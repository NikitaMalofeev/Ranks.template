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C:\Azat\КУБ\Assets Managment\автоследование\Автопилот\"/>
    </mc:Choice>
  </mc:AlternateContent>
  <xr:revisionPtr revIDLastSave="0" documentId="13_ncr:1_{25CDD3E4-E26C-409F-BDAB-E312CA0CFF9C}" xr6:coauthVersionLast="47" xr6:coauthVersionMax="47" xr10:uidLastSave="{00000000-0000-0000-0000-000000000000}"/>
  <bookViews>
    <workbookView xWindow="-120" yWindow="-120" windowWidth="29040" windowHeight="15720" tabRatio="887" firstSheet="2" activeTab="14" xr2:uid="{9173F98F-3985-4CDC-B085-9FDDC4990D43}"/>
  </bookViews>
  <sheets>
    <sheet name="Лист1" sheetId="1" state="hidden" r:id="rId1"/>
    <sheet name="Ввод" sheetId="3" state="hidden" r:id="rId2"/>
    <sheet name="Алгоритм (Процесс_last)" sheetId="23" r:id="rId3"/>
    <sheet name="Меню - Исполнения" sheetId="22" r:id="rId4"/>
    <sheet name="Процесс" sheetId="16" state="hidden" r:id="rId5"/>
    <sheet name="Меню - стратегии" sheetId="19" r:id="rId6"/>
    <sheet name="Меню - ввод модельного порфтеля" sheetId="20" r:id="rId7"/>
    <sheet name="Меню - Риск профили" sheetId="21" r:id="rId8"/>
    <sheet name="01" sheetId="13" state="hidden" r:id="rId9"/>
    <sheet name="Лист5" sheetId="17" state="hidden" r:id="rId10"/>
    <sheet name="02" sheetId="14" state="hidden" r:id="rId11"/>
    <sheet name="Лист4" sheetId="4" state="hidden" r:id="rId12"/>
    <sheet name="Лист12" sheetId="12" state="hidden" r:id="rId13"/>
    <sheet name="LQDT" sheetId="15" r:id="rId14"/>
    <sheet name="info" sheetId="2" r:id="rId15"/>
    <sheet name="QUIK" sheetId="5" r:id="rId16"/>
    <sheet name="QUIK_купитьпродать" sheetId="6" r:id="rId17"/>
    <sheet name="QUIK_деньги" sheetId="7" r:id="rId18"/>
    <sheet name="QUIK_портфель" sheetId="8" r:id="rId19"/>
    <sheet name="QUIK_купитьпродать (2)" sheetId="9" state="hidden" r:id="rId20"/>
    <sheet name="QUIK_деньги (2)" sheetId="10" state="hidden" r:id="rId21"/>
    <sheet name="QUIK_портфель (2)" sheetId="11" state="hidden" r:id="rId22"/>
  </sheets>
  <definedNames>
    <definedName name="_xleta.AND" hidden="1" xlm="1">#NAME?</definedName>
    <definedName name="_xleta.IF" hidden="1" xlm="1">#NAME?</definedName>
    <definedName name="_xlnm._FilterDatabase" localSheetId="15" hidden="1">QUIK!$A$1:$AL$2914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4" i="20" l="1"/>
  <c r="D72" i="20"/>
  <c r="D56" i="20"/>
  <c r="N7" i="22"/>
  <c r="L9" i="22"/>
  <c r="D6" i="22"/>
  <c r="Q12" i="22"/>
  <c r="Q13" i="22"/>
  <c r="Q14" i="22"/>
  <c r="Q15" i="22"/>
  <c r="Q16" i="22"/>
  <c r="Q17" i="22"/>
  <c r="Q18" i="22"/>
  <c r="Q19" i="22"/>
  <c r="Q20" i="22"/>
  <c r="Q21" i="22"/>
  <c r="Q22" i="22"/>
  <c r="Q23" i="22"/>
  <c r="Q24" i="22"/>
  <c r="Q25" i="22"/>
  <c r="Q26" i="22"/>
  <c r="Q27" i="22"/>
  <c r="Q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11" i="22"/>
  <c r="Q29" i="22"/>
  <c r="P43" i="22"/>
  <c r="N29" i="22"/>
  <c r="Q43" i="22"/>
  <c r="N45" i="22"/>
  <c r="O45" i="22" s="1"/>
  <c r="N47" i="22"/>
  <c r="O47" i="22" s="1"/>
  <c r="N46" i="22"/>
  <c r="O46" i="22" s="1"/>
  <c r="N48" i="22"/>
  <c r="O48" i="22" s="1"/>
  <c r="N50" i="22"/>
  <c r="O50" i="22" s="1"/>
  <c r="N51" i="22"/>
  <c r="O51" i="22" s="1"/>
  <c r="N52" i="22"/>
  <c r="O52" i="22" s="1"/>
  <c r="N53" i="22"/>
  <c r="O53" i="22" s="1"/>
  <c r="N54" i="22"/>
  <c r="O54" i="22" s="1"/>
  <c r="N55" i="22"/>
  <c r="O55" i="22" s="1"/>
  <c r="N56" i="22"/>
  <c r="O56" i="22" s="1"/>
  <c r="N57" i="22"/>
  <c r="O57" i="22" s="1"/>
  <c r="N58" i="22"/>
  <c r="O58" i="22" s="1"/>
  <c r="N59" i="22"/>
  <c r="O59" i="22" s="1"/>
  <c r="N60" i="22"/>
  <c r="O60" i="22" s="1"/>
  <c r="N49" i="22"/>
  <c r="O49" i="22" s="1"/>
  <c r="F122" i="23"/>
  <c r="F123" i="23"/>
  <c r="F124" i="23"/>
  <c r="F125" i="23"/>
  <c r="F126" i="23"/>
  <c r="F127" i="23"/>
  <c r="F128" i="23"/>
  <c r="F129" i="23"/>
  <c r="F130" i="23"/>
  <c r="D151" i="23"/>
  <c r="E151" i="23"/>
  <c r="D152" i="23"/>
  <c r="E152" i="23"/>
  <c r="G152" i="23"/>
  <c r="D153" i="23"/>
  <c r="E153" i="23"/>
  <c r="D154" i="23"/>
  <c r="E154" i="23"/>
  <c r="D155" i="23"/>
  <c r="E155" i="23"/>
  <c r="D156" i="23"/>
  <c r="E156" i="23"/>
  <c r="D157" i="23"/>
  <c r="E157" i="23"/>
  <c r="D158" i="23"/>
  <c r="E158" i="23"/>
  <c r="D159" i="23"/>
  <c r="E159" i="23"/>
  <c r="E150" i="23"/>
  <c r="D150" i="23"/>
  <c r="D135" i="23"/>
  <c r="E135" i="23"/>
  <c r="D136" i="23"/>
  <c r="E136" i="23"/>
  <c r="D137" i="23"/>
  <c r="E137" i="23"/>
  <c r="D138" i="23"/>
  <c r="E138" i="23"/>
  <c r="D139" i="23"/>
  <c r="E139" i="23"/>
  <c r="D140" i="23"/>
  <c r="E140" i="23"/>
  <c r="D141" i="23"/>
  <c r="E141" i="23"/>
  <c r="D142" i="23"/>
  <c r="E142" i="23"/>
  <c r="D143" i="23"/>
  <c r="E143" i="23"/>
  <c r="D144" i="23"/>
  <c r="E144" i="23"/>
  <c r="D145" i="23"/>
  <c r="E145" i="23"/>
  <c r="D146" i="23"/>
  <c r="E146" i="23"/>
  <c r="D147" i="23"/>
  <c r="E147" i="23"/>
  <c r="D148" i="23"/>
  <c r="E148" i="23"/>
  <c r="D149" i="23"/>
  <c r="E149" i="23"/>
  <c r="E134" i="23"/>
  <c r="D134" i="23"/>
  <c r="E123" i="23"/>
  <c r="E124" i="23"/>
  <c r="E125" i="23"/>
  <c r="E126" i="23"/>
  <c r="E127" i="23"/>
  <c r="E128" i="23"/>
  <c r="E129" i="23"/>
  <c r="E130" i="23"/>
  <c r="E131" i="23"/>
  <c r="E132" i="23"/>
  <c r="E133" i="23"/>
  <c r="E122" i="23"/>
  <c r="D123" i="23"/>
  <c r="D124" i="23"/>
  <c r="D125" i="23"/>
  <c r="D126" i="23"/>
  <c r="D127" i="23"/>
  <c r="D128" i="23"/>
  <c r="D129" i="23"/>
  <c r="D130" i="23"/>
  <c r="D131" i="23"/>
  <c r="D132" i="23"/>
  <c r="D133" i="23"/>
  <c r="D122" i="23"/>
  <c r="H68" i="23"/>
  <c r="H69" i="23"/>
  <c r="H70" i="23"/>
  <c r="H71" i="23"/>
  <c r="H72" i="23"/>
  <c r="H73" i="23"/>
  <c r="H74" i="23"/>
  <c r="H75" i="23"/>
  <c r="H76" i="23"/>
  <c r="H77" i="23"/>
  <c r="H67" i="23"/>
  <c r="W67" i="20"/>
  <c r="W63" i="20"/>
  <c r="I77" i="20"/>
  <c r="J77" i="20"/>
  <c r="K77" i="20"/>
  <c r="L77" i="20"/>
  <c r="M77" i="20"/>
  <c r="N77" i="20"/>
  <c r="O77" i="20"/>
  <c r="I78" i="20"/>
  <c r="J78" i="20"/>
  <c r="K78" i="20"/>
  <c r="L78" i="20"/>
  <c r="M78" i="20"/>
  <c r="N78" i="20"/>
  <c r="O78" i="20"/>
  <c r="I79" i="20"/>
  <c r="J79" i="20"/>
  <c r="K79" i="20"/>
  <c r="L79" i="20"/>
  <c r="M79" i="20"/>
  <c r="N79" i="20"/>
  <c r="O79" i="20"/>
  <c r="I80" i="20"/>
  <c r="J80" i="20"/>
  <c r="K80" i="20"/>
  <c r="L80" i="20"/>
  <c r="M80" i="20"/>
  <c r="N80" i="20"/>
  <c r="O80" i="20"/>
  <c r="I81" i="20"/>
  <c r="J81" i="20"/>
  <c r="K81" i="20"/>
  <c r="L81" i="20"/>
  <c r="M81" i="20"/>
  <c r="N81" i="20"/>
  <c r="O81" i="20"/>
  <c r="I82" i="20"/>
  <c r="J82" i="20"/>
  <c r="K82" i="20"/>
  <c r="L82" i="20"/>
  <c r="M82" i="20"/>
  <c r="N82" i="20"/>
  <c r="O82" i="20"/>
  <c r="O76" i="20"/>
  <c r="N76" i="20"/>
  <c r="M76" i="20"/>
  <c r="L76" i="20"/>
  <c r="K76" i="20"/>
  <c r="J76" i="20"/>
  <c r="I76" i="20"/>
  <c r="J61" i="20"/>
  <c r="J62" i="20"/>
  <c r="J63" i="20"/>
  <c r="J64" i="20"/>
  <c r="J65" i="20"/>
  <c r="J66" i="20"/>
  <c r="J67" i="20"/>
  <c r="J68" i="20"/>
  <c r="J69" i="20"/>
  <c r="J70" i="20"/>
  <c r="J60" i="20"/>
  <c r="I61" i="20"/>
  <c r="K61" i="20"/>
  <c r="L61" i="20"/>
  <c r="M61" i="20"/>
  <c r="N61" i="20"/>
  <c r="O61" i="20"/>
  <c r="I62" i="20"/>
  <c r="K62" i="20"/>
  <c r="L62" i="20"/>
  <c r="M62" i="20"/>
  <c r="N62" i="20"/>
  <c r="O62" i="20"/>
  <c r="I63" i="20"/>
  <c r="K63" i="20"/>
  <c r="L63" i="20"/>
  <c r="M63" i="20"/>
  <c r="N63" i="20"/>
  <c r="O63" i="20"/>
  <c r="I64" i="20"/>
  <c r="K64" i="20"/>
  <c r="L64" i="20"/>
  <c r="M64" i="20"/>
  <c r="N64" i="20"/>
  <c r="O64" i="20"/>
  <c r="I65" i="20"/>
  <c r="K65" i="20"/>
  <c r="L65" i="20"/>
  <c r="M65" i="20"/>
  <c r="N65" i="20"/>
  <c r="O65" i="20"/>
  <c r="I66" i="20"/>
  <c r="K66" i="20"/>
  <c r="L66" i="20"/>
  <c r="M66" i="20"/>
  <c r="N66" i="20"/>
  <c r="O66" i="20"/>
  <c r="I67" i="20"/>
  <c r="K67" i="20"/>
  <c r="L67" i="20"/>
  <c r="M67" i="20"/>
  <c r="N67" i="20"/>
  <c r="O67" i="20"/>
  <c r="I68" i="20"/>
  <c r="K68" i="20"/>
  <c r="L68" i="20"/>
  <c r="M68" i="20"/>
  <c r="N68" i="20"/>
  <c r="O68" i="20"/>
  <c r="I69" i="20"/>
  <c r="K69" i="20"/>
  <c r="L69" i="20"/>
  <c r="M69" i="20"/>
  <c r="N69" i="20"/>
  <c r="O69" i="20"/>
  <c r="I70" i="20"/>
  <c r="K70" i="20"/>
  <c r="L70" i="20"/>
  <c r="M70" i="20"/>
  <c r="N70" i="20"/>
  <c r="O70" i="20"/>
  <c r="O60" i="20"/>
  <c r="N60" i="20"/>
  <c r="M60" i="20"/>
  <c r="L60" i="20"/>
  <c r="K60" i="20"/>
  <c r="I60" i="20"/>
  <c r="F77" i="20"/>
  <c r="F78" i="20"/>
  <c r="F79" i="20"/>
  <c r="F80" i="20"/>
  <c r="F81" i="20"/>
  <c r="F82" i="20"/>
  <c r="F76" i="20"/>
  <c r="F71" i="23"/>
  <c r="G71" i="23" s="1"/>
  <c r="I71" i="23" s="1"/>
  <c r="F72" i="23"/>
  <c r="G72" i="23" s="1"/>
  <c r="I72" i="23" s="1"/>
  <c r="F61" i="20"/>
  <c r="F62" i="20"/>
  <c r="F63" i="20"/>
  <c r="F64" i="20"/>
  <c r="F65" i="20"/>
  <c r="F66" i="20"/>
  <c r="F67" i="20"/>
  <c r="F68" i="20"/>
  <c r="F69" i="20"/>
  <c r="F70" i="20"/>
  <c r="F60" i="20"/>
  <c r="F77" i="23"/>
  <c r="G77" i="23" s="1"/>
  <c r="I77" i="23" s="1"/>
  <c r="J77" i="23"/>
  <c r="K77" i="23"/>
  <c r="L77" i="23"/>
  <c r="M77" i="23"/>
  <c r="N77" i="23"/>
  <c r="O77" i="23"/>
  <c r="P77" i="23"/>
  <c r="E78" i="23"/>
  <c r="J67" i="23"/>
  <c r="J68" i="23"/>
  <c r="J69" i="23"/>
  <c r="J70" i="23"/>
  <c r="J71" i="23"/>
  <c r="J72" i="23"/>
  <c r="J73" i="23"/>
  <c r="J74" i="23"/>
  <c r="J75" i="23"/>
  <c r="J76" i="23"/>
  <c r="N68" i="23"/>
  <c r="O68" i="23"/>
  <c r="P68" i="23"/>
  <c r="N69" i="23"/>
  <c r="O69" i="23"/>
  <c r="P69" i="23"/>
  <c r="N70" i="23"/>
  <c r="O70" i="23"/>
  <c r="P70" i="23"/>
  <c r="N71" i="23"/>
  <c r="O71" i="23"/>
  <c r="P71" i="23"/>
  <c r="N72" i="23"/>
  <c r="O72" i="23"/>
  <c r="P72" i="23"/>
  <c r="N73" i="23"/>
  <c r="O73" i="23"/>
  <c r="P73" i="23"/>
  <c r="N74" i="23"/>
  <c r="O74" i="23"/>
  <c r="P74" i="23"/>
  <c r="N75" i="23"/>
  <c r="O75" i="23"/>
  <c r="P75" i="23"/>
  <c r="N76" i="23"/>
  <c r="O76" i="23"/>
  <c r="P76" i="23"/>
  <c r="P67" i="23"/>
  <c r="O67" i="23"/>
  <c r="N67" i="23"/>
  <c r="M68" i="23"/>
  <c r="J151" i="23" s="1"/>
  <c r="M69" i="23"/>
  <c r="J152" i="23" s="1"/>
  <c r="M70" i="23"/>
  <c r="J153" i="23" s="1"/>
  <c r="M71" i="23"/>
  <c r="J154" i="23" s="1"/>
  <c r="M72" i="23"/>
  <c r="J155" i="23" s="1"/>
  <c r="M73" i="23"/>
  <c r="J156" i="23" s="1"/>
  <c r="M74" i="23"/>
  <c r="J157" i="23" s="1"/>
  <c r="M75" i="23"/>
  <c r="J158" i="23" s="1"/>
  <c r="M76" i="23"/>
  <c r="J159" i="23" s="1"/>
  <c r="M67" i="23"/>
  <c r="J150" i="23" s="1"/>
  <c r="L68" i="23"/>
  <c r="L69" i="23"/>
  <c r="L70" i="23"/>
  <c r="L71" i="23"/>
  <c r="L72" i="23"/>
  <c r="L73" i="23"/>
  <c r="L74" i="23"/>
  <c r="L75" i="23"/>
  <c r="L76" i="23"/>
  <c r="L67" i="23"/>
  <c r="K68" i="23"/>
  <c r="G151" i="23" s="1"/>
  <c r="K69" i="23"/>
  <c r="K70" i="23"/>
  <c r="G153" i="23" s="1"/>
  <c r="K71" i="23"/>
  <c r="G154" i="23" s="1"/>
  <c r="K72" i="23"/>
  <c r="G155" i="23" s="1"/>
  <c r="K73" i="23"/>
  <c r="G156" i="23" s="1"/>
  <c r="K74" i="23"/>
  <c r="G157" i="23" s="1"/>
  <c r="K75" i="23"/>
  <c r="G158" i="23" s="1"/>
  <c r="K76" i="23"/>
  <c r="G159" i="23" s="1"/>
  <c r="K67" i="23"/>
  <c r="G150" i="23" s="1"/>
  <c r="M85" i="23"/>
  <c r="J123" i="23" s="1"/>
  <c r="M86" i="23"/>
  <c r="J124" i="23" s="1"/>
  <c r="M87" i="23"/>
  <c r="J125" i="23" s="1"/>
  <c r="M88" i="23"/>
  <c r="J126" i="23" s="1"/>
  <c r="M89" i="23"/>
  <c r="J127" i="23" s="1"/>
  <c r="M90" i="23"/>
  <c r="J128" i="23" s="1"/>
  <c r="M91" i="23"/>
  <c r="J129" i="23" s="1"/>
  <c r="M92" i="23"/>
  <c r="J130" i="23" s="1"/>
  <c r="M93" i="23"/>
  <c r="J131" i="23" s="1"/>
  <c r="M94" i="23"/>
  <c r="J132" i="23" s="1"/>
  <c r="M95" i="23"/>
  <c r="J133" i="23" s="1"/>
  <c r="M84" i="23"/>
  <c r="J122" i="23" s="1"/>
  <c r="O85" i="23"/>
  <c r="O86" i="23"/>
  <c r="O87" i="23"/>
  <c r="O88" i="23"/>
  <c r="O89" i="23"/>
  <c r="O90" i="23"/>
  <c r="O91" i="23"/>
  <c r="O92" i="23"/>
  <c r="O93" i="23"/>
  <c r="O94" i="23"/>
  <c r="O95" i="23"/>
  <c r="O84" i="23"/>
  <c r="F46" i="20"/>
  <c r="F47" i="20"/>
  <c r="F48" i="20"/>
  <c r="F49" i="20"/>
  <c r="F50" i="20"/>
  <c r="F51" i="20"/>
  <c r="F52" i="20"/>
  <c r="F53" i="20"/>
  <c r="F54" i="20"/>
  <c r="F45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23" i="20"/>
  <c r="L47" i="23"/>
  <c r="J135" i="23" s="1"/>
  <c r="L48" i="23"/>
  <c r="J136" i="23" s="1"/>
  <c r="L49" i="23"/>
  <c r="J137" i="23" s="1"/>
  <c r="L50" i="23"/>
  <c r="J138" i="23" s="1"/>
  <c r="L51" i="23"/>
  <c r="J139" i="23" s="1"/>
  <c r="L52" i="23"/>
  <c r="J140" i="23" s="1"/>
  <c r="L53" i="23"/>
  <c r="L54" i="23"/>
  <c r="J141" i="23" s="1"/>
  <c r="L55" i="23"/>
  <c r="J142" i="23" s="1"/>
  <c r="L56" i="23"/>
  <c r="J143" i="23" s="1"/>
  <c r="L57" i="23"/>
  <c r="J144" i="23" s="1"/>
  <c r="L58" i="23"/>
  <c r="J145" i="23" s="1"/>
  <c r="L59" i="23"/>
  <c r="J146" i="23" s="1"/>
  <c r="L60" i="23"/>
  <c r="J147" i="23" s="1"/>
  <c r="L61" i="23"/>
  <c r="J148" i="23" s="1"/>
  <c r="L62" i="23"/>
  <c r="J149" i="23" s="1"/>
  <c r="L46" i="23"/>
  <c r="J134" i="23" s="1"/>
  <c r="N47" i="23"/>
  <c r="N48" i="23"/>
  <c r="N49" i="23"/>
  <c r="N50" i="23"/>
  <c r="N51" i="23"/>
  <c r="N52" i="23"/>
  <c r="N53" i="23"/>
  <c r="N54" i="23"/>
  <c r="N55" i="23"/>
  <c r="N56" i="23"/>
  <c r="N57" i="23"/>
  <c r="N58" i="23"/>
  <c r="N59" i="23"/>
  <c r="N60" i="23"/>
  <c r="N61" i="23"/>
  <c r="N62" i="23"/>
  <c r="N46" i="23"/>
  <c r="F70" i="23"/>
  <c r="G70" i="23" s="1"/>
  <c r="I70" i="23" s="1"/>
  <c r="F73" i="23"/>
  <c r="G73" i="23" s="1"/>
  <c r="I73" i="23" s="1"/>
  <c r="F74" i="23"/>
  <c r="G74" i="23" s="1"/>
  <c r="I74" i="23" s="1"/>
  <c r="F75" i="23"/>
  <c r="G75" i="23" s="1"/>
  <c r="I75" i="23" s="1"/>
  <c r="F76" i="23"/>
  <c r="G76" i="23" s="1"/>
  <c r="I76" i="23" s="1"/>
  <c r="F67" i="23"/>
  <c r="G67" i="23" s="1"/>
  <c r="I67" i="23" s="1"/>
  <c r="F68" i="23"/>
  <c r="G68" i="23" s="1"/>
  <c r="I68" i="23" s="1"/>
  <c r="F69" i="23"/>
  <c r="G69" i="23" s="1"/>
  <c r="I69" i="23" s="1"/>
  <c r="E63" i="23"/>
  <c r="G46" i="20"/>
  <c r="G47" i="20"/>
  <c r="G48" i="20"/>
  <c r="G49" i="20"/>
  <c r="G50" i="20"/>
  <c r="G51" i="20"/>
  <c r="G52" i="20"/>
  <c r="G53" i="20"/>
  <c r="G54" i="20"/>
  <c r="G45" i="20"/>
  <c r="H46" i="20"/>
  <c r="I46" i="20"/>
  <c r="J46" i="20"/>
  <c r="K46" i="20"/>
  <c r="L46" i="20"/>
  <c r="M46" i="20"/>
  <c r="N46" i="20"/>
  <c r="H47" i="20"/>
  <c r="I47" i="20"/>
  <c r="J47" i="20"/>
  <c r="K47" i="20"/>
  <c r="L47" i="20"/>
  <c r="M47" i="20"/>
  <c r="N47" i="20"/>
  <c r="H48" i="20"/>
  <c r="I48" i="20"/>
  <c r="J48" i="20"/>
  <c r="K48" i="20"/>
  <c r="L48" i="20"/>
  <c r="M48" i="20"/>
  <c r="N48" i="20"/>
  <c r="H49" i="20"/>
  <c r="I49" i="20"/>
  <c r="J49" i="20"/>
  <c r="K49" i="20"/>
  <c r="L49" i="20"/>
  <c r="M49" i="20"/>
  <c r="N49" i="20"/>
  <c r="H50" i="20"/>
  <c r="I50" i="20"/>
  <c r="J50" i="20"/>
  <c r="K50" i="20"/>
  <c r="L50" i="20"/>
  <c r="M50" i="20"/>
  <c r="N50" i="20"/>
  <c r="H51" i="20"/>
  <c r="I51" i="20"/>
  <c r="J51" i="20"/>
  <c r="K51" i="20"/>
  <c r="L51" i="20"/>
  <c r="M51" i="20"/>
  <c r="N51" i="20"/>
  <c r="H52" i="20"/>
  <c r="I52" i="20"/>
  <c r="J52" i="20"/>
  <c r="K52" i="20"/>
  <c r="L52" i="20"/>
  <c r="M52" i="20"/>
  <c r="N52" i="20"/>
  <c r="H53" i="20"/>
  <c r="I53" i="20"/>
  <c r="J53" i="20"/>
  <c r="K53" i="20"/>
  <c r="L53" i="20"/>
  <c r="M53" i="20"/>
  <c r="N53" i="20"/>
  <c r="H54" i="20"/>
  <c r="I54" i="20"/>
  <c r="J54" i="20"/>
  <c r="K54" i="20"/>
  <c r="L54" i="20"/>
  <c r="M54" i="20"/>
  <c r="N54" i="20"/>
  <c r="N45" i="20"/>
  <c r="M45" i="20"/>
  <c r="L45" i="20"/>
  <c r="K45" i="20"/>
  <c r="J45" i="20"/>
  <c r="I45" i="20"/>
  <c r="H45" i="20"/>
  <c r="R18" i="23"/>
  <c r="S8" i="23"/>
  <c r="S9" i="23"/>
  <c r="S10" i="23"/>
  <c r="S11" i="23"/>
  <c r="S12" i="23"/>
  <c r="S13" i="23"/>
  <c r="S14" i="23"/>
  <c r="S15" i="23"/>
  <c r="S16" i="23"/>
  <c r="S17" i="23"/>
  <c r="S7" i="23"/>
  <c r="L24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7" i="23"/>
  <c r="N235" i="23"/>
  <c r="M235" i="23"/>
  <c r="L235" i="23"/>
  <c r="K235" i="23"/>
  <c r="J235" i="23"/>
  <c r="I235" i="23"/>
  <c r="G235" i="23"/>
  <c r="E235" i="23"/>
  <c r="F235" i="23" s="1"/>
  <c r="N234" i="23"/>
  <c r="M234" i="23"/>
  <c r="L234" i="23"/>
  <c r="K234" i="23"/>
  <c r="J234" i="23"/>
  <c r="I234" i="23"/>
  <c r="G234" i="23"/>
  <c r="E234" i="23"/>
  <c r="F234" i="23" s="1"/>
  <c r="N233" i="23"/>
  <c r="M233" i="23"/>
  <c r="L233" i="23"/>
  <c r="K233" i="23"/>
  <c r="J233" i="23"/>
  <c r="I233" i="23"/>
  <c r="G233" i="23"/>
  <c r="E233" i="23"/>
  <c r="F233" i="23" s="1"/>
  <c r="N232" i="23"/>
  <c r="M232" i="23"/>
  <c r="L232" i="23"/>
  <c r="K232" i="23"/>
  <c r="J232" i="23"/>
  <c r="I232" i="23"/>
  <c r="G232" i="23"/>
  <c r="E232" i="23"/>
  <c r="F232" i="23" s="1"/>
  <c r="N231" i="23"/>
  <c r="M231" i="23"/>
  <c r="L231" i="23"/>
  <c r="K231" i="23"/>
  <c r="J231" i="23"/>
  <c r="I231" i="23"/>
  <c r="G231" i="23"/>
  <c r="E231" i="23"/>
  <c r="F231" i="23" s="1"/>
  <c r="N230" i="23"/>
  <c r="M230" i="23"/>
  <c r="L230" i="23"/>
  <c r="K230" i="23"/>
  <c r="J230" i="23"/>
  <c r="I230" i="23"/>
  <c r="G230" i="23"/>
  <c r="E230" i="23"/>
  <c r="F230" i="23" s="1"/>
  <c r="H230" i="23" s="1"/>
  <c r="N229" i="23"/>
  <c r="M229" i="23"/>
  <c r="L229" i="23"/>
  <c r="K229" i="23"/>
  <c r="J229" i="23"/>
  <c r="I229" i="23"/>
  <c r="G229" i="23"/>
  <c r="E229" i="23"/>
  <c r="F229" i="23" s="1"/>
  <c r="N228" i="23"/>
  <c r="M228" i="23"/>
  <c r="L228" i="23"/>
  <c r="K228" i="23"/>
  <c r="J228" i="23"/>
  <c r="I228" i="23"/>
  <c r="G228" i="23"/>
  <c r="E228" i="23"/>
  <c r="F228" i="23" s="1"/>
  <c r="P227" i="23"/>
  <c r="N227" i="23"/>
  <c r="M227" i="23"/>
  <c r="L227" i="23"/>
  <c r="K227" i="23"/>
  <c r="J227" i="23"/>
  <c r="I227" i="23"/>
  <c r="G227" i="23"/>
  <c r="E227" i="23"/>
  <c r="F227" i="23" s="1"/>
  <c r="H227" i="23" s="1"/>
  <c r="N226" i="23"/>
  <c r="M226" i="23"/>
  <c r="L226" i="23"/>
  <c r="K226" i="23"/>
  <c r="J226" i="23"/>
  <c r="I226" i="23"/>
  <c r="G226" i="23"/>
  <c r="E226" i="23"/>
  <c r="F226" i="23" s="1"/>
  <c r="N225" i="23"/>
  <c r="M225" i="23"/>
  <c r="L225" i="23"/>
  <c r="K225" i="23"/>
  <c r="J225" i="23"/>
  <c r="I225" i="23"/>
  <c r="G225" i="23"/>
  <c r="E225" i="23"/>
  <c r="F225" i="23" s="1"/>
  <c r="N224" i="23"/>
  <c r="M224" i="23"/>
  <c r="L224" i="23"/>
  <c r="K224" i="23"/>
  <c r="J224" i="23"/>
  <c r="I224" i="23"/>
  <c r="G224" i="23"/>
  <c r="E224" i="23"/>
  <c r="F224" i="23" s="1"/>
  <c r="N223" i="23"/>
  <c r="M223" i="23"/>
  <c r="L223" i="23"/>
  <c r="K223" i="23"/>
  <c r="J223" i="23"/>
  <c r="I223" i="23"/>
  <c r="G223" i="23"/>
  <c r="E223" i="23"/>
  <c r="F223" i="23" s="1"/>
  <c r="N222" i="23"/>
  <c r="M222" i="23"/>
  <c r="L222" i="23"/>
  <c r="K222" i="23"/>
  <c r="J222" i="23"/>
  <c r="I222" i="23"/>
  <c r="G222" i="23"/>
  <c r="E222" i="23"/>
  <c r="F222" i="23" s="1"/>
  <c r="N221" i="23"/>
  <c r="M221" i="23"/>
  <c r="L221" i="23"/>
  <c r="K221" i="23"/>
  <c r="J221" i="23"/>
  <c r="I221" i="23"/>
  <c r="G221" i="23"/>
  <c r="E221" i="23"/>
  <c r="F221" i="23" s="1"/>
  <c r="N220" i="23"/>
  <c r="M220" i="23"/>
  <c r="L220" i="23"/>
  <c r="K220" i="23"/>
  <c r="J220" i="23"/>
  <c r="I220" i="23"/>
  <c r="G220" i="23"/>
  <c r="E220" i="23"/>
  <c r="F220" i="23" s="1"/>
  <c r="N219" i="23"/>
  <c r="M219" i="23"/>
  <c r="L219" i="23"/>
  <c r="K219" i="23"/>
  <c r="J219" i="23"/>
  <c r="I219" i="23"/>
  <c r="G219" i="23"/>
  <c r="E219" i="23"/>
  <c r="F219" i="23" s="1"/>
  <c r="H219" i="23" s="1"/>
  <c r="H196" i="23"/>
  <c r="G196" i="23"/>
  <c r="N195" i="23"/>
  <c r="M195" i="23"/>
  <c r="L195" i="23"/>
  <c r="K195" i="23"/>
  <c r="J195" i="23"/>
  <c r="I195" i="23"/>
  <c r="H195" i="23"/>
  <c r="G195" i="23"/>
  <c r="I102" i="23"/>
  <c r="H102" i="23"/>
  <c r="O101" i="23"/>
  <c r="N101" i="23"/>
  <c r="M101" i="23"/>
  <c r="L101" i="23"/>
  <c r="K101" i="23"/>
  <c r="J101" i="23"/>
  <c r="I101" i="23"/>
  <c r="H101" i="23"/>
  <c r="P95" i="23"/>
  <c r="N95" i="23"/>
  <c r="L95" i="23"/>
  <c r="K95" i="23"/>
  <c r="G133" i="23" s="1"/>
  <c r="J95" i="23"/>
  <c r="H95" i="23"/>
  <c r="F95" i="23"/>
  <c r="G95" i="23" s="1"/>
  <c r="B133" i="23" s="1"/>
  <c r="P94" i="23"/>
  <c r="N94" i="23"/>
  <c r="L94" i="23"/>
  <c r="K94" i="23"/>
  <c r="G132" i="23" s="1"/>
  <c r="J94" i="23"/>
  <c r="H94" i="23"/>
  <c r="F94" i="23"/>
  <c r="G94" i="23" s="1"/>
  <c r="I94" i="23" s="1"/>
  <c r="P93" i="23"/>
  <c r="N93" i="23"/>
  <c r="L93" i="23"/>
  <c r="K93" i="23"/>
  <c r="G131" i="23" s="1"/>
  <c r="J93" i="23"/>
  <c r="H93" i="23"/>
  <c r="F93" i="23"/>
  <c r="G93" i="23" s="1"/>
  <c r="B131" i="23" s="1"/>
  <c r="P92" i="23"/>
  <c r="N92" i="23"/>
  <c r="L92" i="23"/>
  <c r="K92" i="23"/>
  <c r="G130" i="23" s="1"/>
  <c r="J92" i="23"/>
  <c r="H92" i="23"/>
  <c r="F92" i="23"/>
  <c r="G92" i="23" s="1"/>
  <c r="I92" i="23" s="1"/>
  <c r="P91" i="23"/>
  <c r="N91" i="23"/>
  <c r="L91" i="23"/>
  <c r="K91" i="23"/>
  <c r="G129" i="23" s="1"/>
  <c r="J91" i="23"/>
  <c r="H91" i="23"/>
  <c r="F91" i="23"/>
  <c r="G91" i="23" s="1"/>
  <c r="B129" i="23" s="1"/>
  <c r="P90" i="23"/>
  <c r="N90" i="23"/>
  <c r="L90" i="23"/>
  <c r="K90" i="23"/>
  <c r="G128" i="23" s="1"/>
  <c r="J90" i="23"/>
  <c r="H90" i="23"/>
  <c r="F90" i="23"/>
  <c r="G90" i="23" s="1"/>
  <c r="I90" i="23" s="1"/>
  <c r="P89" i="23"/>
  <c r="N89" i="23"/>
  <c r="L89" i="23"/>
  <c r="K89" i="23"/>
  <c r="G127" i="23" s="1"/>
  <c r="J89" i="23"/>
  <c r="H89" i="23"/>
  <c r="F89" i="23"/>
  <c r="G89" i="23" s="1"/>
  <c r="B127" i="23" s="1"/>
  <c r="P88" i="23"/>
  <c r="N88" i="23"/>
  <c r="L88" i="23"/>
  <c r="K88" i="23"/>
  <c r="G126" i="23" s="1"/>
  <c r="J88" i="23"/>
  <c r="H88" i="23"/>
  <c r="F88" i="23"/>
  <c r="G88" i="23" s="1"/>
  <c r="I88" i="23" s="1"/>
  <c r="P87" i="23"/>
  <c r="N87" i="23"/>
  <c r="L87" i="23"/>
  <c r="K87" i="23"/>
  <c r="G125" i="23" s="1"/>
  <c r="J87" i="23"/>
  <c r="H87" i="23"/>
  <c r="F87" i="23"/>
  <c r="G87" i="23" s="1"/>
  <c r="B125" i="23" s="1"/>
  <c r="P86" i="23"/>
  <c r="N86" i="23"/>
  <c r="L86" i="23"/>
  <c r="K86" i="23"/>
  <c r="G124" i="23" s="1"/>
  <c r="J86" i="23"/>
  <c r="H86" i="23"/>
  <c r="F86" i="23"/>
  <c r="G86" i="23" s="1"/>
  <c r="I86" i="23" s="1"/>
  <c r="P85" i="23"/>
  <c r="N85" i="23"/>
  <c r="L85" i="23"/>
  <c r="K85" i="23"/>
  <c r="G123" i="23" s="1"/>
  <c r="J85" i="23"/>
  <c r="H85" i="23"/>
  <c r="F85" i="23"/>
  <c r="G85" i="23" s="1"/>
  <c r="B123" i="23" s="1"/>
  <c r="P84" i="23"/>
  <c r="N84" i="23"/>
  <c r="L84" i="23"/>
  <c r="K84" i="23"/>
  <c r="G122" i="23" s="1"/>
  <c r="J84" i="23"/>
  <c r="H84" i="23"/>
  <c r="F84" i="23"/>
  <c r="G84" i="23" s="1"/>
  <c r="I84" i="23" s="1"/>
  <c r="Q62" i="23"/>
  <c r="O62" i="23"/>
  <c r="M62" i="23"/>
  <c r="K62" i="23"/>
  <c r="J62" i="23"/>
  <c r="G149" i="23" s="1"/>
  <c r="I62" i="23"/>
  <c r="H62" i="23"/>
  <c r="F62" i="23"/>
  <c r="G62" i="23" s="1"/>
  <c r="B149" i="23" s="1"/>
  <c r="O61" i="23"/>
  <c r="M61" i="23"/>
  <c r="K61" i="23"/>
  <c r="J61" i="23"/>
  <c r="G148" i="23" s="1"/>
  <c r="I61" i="23"/>
  <c r="H61" i="23"/>
  <c r="F61" i="23"/>
  <c r="G61" i="23" s="1"/>
  <c r="B148" i="23" s="1"/>
  <c r="O60" i="23"/>
  <c r="M60" i="23"/>
  <c r="K60" i="23"/>
  <c r="J60" i="23"/>
  <c r="G147" i="23" s="1"/>
  <c r="I60" i="23"/>
  <c r="H60" i="23"/>
  <c r="F60" i="23"/>
  <c r="G60" i="23" s="1"/>
  <c r="B147" i="23" s="1"/>
  <c r="O59" i="23"/>
  <c r="M59" i="23"/>
  <c r="K59" i="23"/>
  <c r="J59" i="23"/>
  <c r="G146" i="23" s="1"/>
  <c r="I59" i="23"/>
  <c r="R59" i="23" s="1"/>
  <c r="H59" i="23"/>
  <c r="F59" i="23"/>
  <c r="G59" i="23" s="1"/>
  <c r="B146" i="23" s="1"/>
  <c r="O58" i="23"/>
  <c r="M58" i="23"/>
  <c r="K58" i="23"/>
  <c r="J58" i="23"/>
  <c r="G145" i="23" s="1"/>
  <c r="I58" i="23"/>
  <c r="H58" i="23"/>
  <c r="F58" i="23"/>
  <c r="G58" i="23" s="1"/>
  <c r="B145" i="23" s="1"/>
  <c r="O57" i="23"/>
  <c r="M57" i="23"/>
  <c r="K57" i="23"/>
  <c r="J57" i="23"/>
  <c r="G144" i="23" s="1"/>
  <c r="I57" i="23"/>
  <c r="R57" i="23" s="1"/>
  <c r="H57" i="23"/>
  <c r="F57" i="23"/>
  <c r="G57" i="23" s="1"/>
  <c r="B144" i="23" s="1"/>
  <c r="O56" i="23"/>
  <c r="M56" i="23"/>
  <c r="K56" i="23"/>
  <c r="J56" i="23"/>
  <c r="G143" i="23" s="1"/>
  <c r="I56" i="23"/>
  <c r="H56" i="23"/>
  <c r="F56" i="23"/>
  <c r="G56" i="23" s="1"/>
  <c r="B143" i="23" s="1"/>
  <c r="O55" i="23"/>
  <c r="M55" i="23"/>
  <c r="K55" i="23"/>
  <c r="J55" i="23"/>
  <c r="G142" i="23" s="1"/>
  <c r="I55" i="23"/>
  <c r="H55" i="23"/>
  <c r="F55" i="23"/>
  <c r="G55" i="23" s="1"/>
  <c r="B142" i="23" s="1"/>
  <c r="O54" i="23"/>
  <c r="M54" i="23"/>
  <c r="K54" i="23"/>
  <c r="J54" i="23"/>
  <c r="G141" i="23" s="1"/>
  <c r="I54" i="23"/>
  <c r="R54" i="23" s="1"/>
  <c r="H54" i="23"/>
  <c r="F54" i="23"/>
  <c r="G54" i="23" s="1"/>
  <c r="B141" i="23" s="1"/>
  <c r="O53" i="23"/>
  <c r="M53" i="23"/>
  <c r="K53" i="23"/>
  <c r="J53" i="23"/>
  <c r="I53" i="23"/>
  <c r="H53" i="23"/>
  <c r="F53" i="23"/>
  <c r="G53" i="23" s="1"/>
  <c r="O52" i="23"/>
  <c r="M52" i="23"/>
  <c r="K52" i="23"/>
  <c r="J52" i="23"/>
  <c r="G140" i="23" s="1"/>
  <c r="I52" i="23"/>
  <c r="H52" i="23"/>
  <c r="F52" i="23"/>
  <c r="G52" i="23" s="1"/>
  <c r="B140" i="23" s="1"/>
  <c r="O51" i="23"/>
  <c r="M51" i="23"/>
  <c r="K51" i="23"/>
  <c r="J51" i="23"/>
  <c r="G139" i="23" s="1"/>
  <c r="I51" i="23"/>
  <c r="H51" i="23"/>
  <c r="F51" i="23"/>
  <c r="G51" i="23" s="1"/>
  <c r="B139" i="23" s="1"/>
  <c r="O50" i="23"/>
  <c r="M50" i="23"/>
  <c r="K50" i="23"/>
  <c r="J50" i="23"/>
  <c r="G138" i="23" s="1"/>
  <c r="I50" i="23"/>
  <c r="H50" i="23"/>
  <c r="F50" i="23"/>
  <c r="G50" i="23" s="1"/>
  <c r="B138" i="23" s="1"/>
  <c r="O49" i="23"/>
  <c r="M49" i="23"/>
  <c r="K49" i="23"/>
  <c r="J49" i="23"/>
  <c r="G137" i="23" s="1"/>
  <c r="I49" i="23"/>
  <c r="H49" i="23"/>
  <c r="F49" i="23"/>
  <c r="G49" i="23" s="1"/>
  <c r="B137" i="23" s="1"/>
  <c r="O48" i="23"/>
  <c r="M48" i="23"/>
  <c r="K48" i="23"/>
  <c r="J48" i="23"/>
  <c r="G136" i="23" s="1"/>
  <c r="I48" i="23"/>
  <c r="H48" i="23"/>
  <c r="F48" i="23"/>
  <c r="G48" i="23" s="1"/>
  <c r="B136" i="23" s="1"/>
  <c r="O47" i="23"/>
  <c r="M47" i="23"/>
  <c r="K47" i="23"/>
  <c r="J47" i="23"/>
  <c r="G135" i="23" s="1"/>
  <c r="I47" i="23"/>
  <c r="H47" i="23"/>
  <c r="F47" i="23"/>
  <c r="G47" i="23" s="1"/>
  <c r="B135" i="23" s="1"/>
  <c r="O46" i="23"/>
  <c r="M46" i="23"/>
  <c r="K46" i="23"/>
  <c r="J46" i="23"/>
  <c r="G134" i="23" s="1"/>
  <c r="I46" i="23"/>
  <c r="H46" i="23"/>
  <c r="F46" i="23"/>
  <c r="G46" i="23" s="1"/>
  <c r="B134" i="23" s="1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D7" i="23"/>
  <c r="E7" i="23" s="1"/>
  <c r="E3" i="23"/>
  <c r="F8" i="23" s="1"/>
  <c r="N4" i="22"/>
  <c r="L29" i="22"/>
  <c r="N8" i="22" l="1"/>
  <c r="N43" i="22"/>
  <c r="Q9" i="22"/>
  <c r="C154" i="23"/>
  <c r="C157" i="23"/>
  <c r="C151" i="23"/>
  <c r="C158" i="23"/>
  <c r="C155" i="23"/>
  <c r="C152" i="23"/>
  <c r="B158" i="23"/>
  <c r="B155" i="23"/>
  <c r="B152" i="23"/>
  <c r="B150" i="23"/>
  <c r="C150" i="23"/>
  <c r="C159" i="23"/>
  <c r="C156" i="23"/>
  <c r="C153" i="23"/>
  <c r="B159" i="23"/>
  <c r="B156" i="23"/>
  <c r="B153" i="23"/>
  <c r="B157" i="23"/>
  <c r="B154" i="23"/>
  <c r="B151" i="23"/>
  <c r="C148" i="23"/>
  <c r="C145" i="23"/>
  <c r="C142" i="23"/>
  <c r="C139" i="23"/>
  <c r="C136" i="23"/>
  <c r="C134" i="23"/>
  <c r="C149" i="23"/>
  <c r="C146" i="23"/>
  <c r="C143" i="23"/>
  <c r="C140" i="23"/>
  <c r="C137" i="23"/>
  <c r="R47" i="23"/>
  <c r="C147" i="23"/>
  <c r="C144" i="23"/>
  <c r="C141" i="23"/>
  <c r="C138" i="23"/>
  <c r="C135" i="23"/>
  <c r="B122" i="23"/>
  <c r="C122" i="23"/>
  <c r="C133" i="23"/>
  <c r="B132" i="23"/>
  <c r="C132" i="23"/>
  <c r="C131" i="23"/>
  <c r="B130" i="23"/>
  <c r="C130" i="23"/>
  <c r="C129" i="23"/>
  <c r="B128" i="23"/>
  <c r="C128" i="23"/>
  <c r="C127" i="23"/>
  <c r="B126" i="23"/>
  <c r="C126" i="23"/>
  <c r="C125" i="23"/>
  <c r="B124" i="23"/>
  <c r="C124" i="23"/>
  <c r="C123" i="23"/>
  <c r="R52" i="23"/>
  <c r="U84" i="23"/>
  <c r="R61" i="23"/>
  <c r="R56" i="23"/>
  <c r="R51" i="23"/>
  <c r="S76" i="23"/>
  <c r="S75" i="23"/>
  <c r="Q73" i="23"/>
  <c r="R73" i="23" s="1"/>
  <c r="T73" i="23" s="1"/>
  <c r="R49" i="23"/>
  <c r="R46" i="23"/>
  <c r="R58" i="23"/>
  <c r="R53" i="23"/>
  <c r="S74" i="23"/>
  <c r="S73" i="23"/>
  <c r="S72" i="23"/>
  <c r="R48" i="23"/>
  <c r="R60" i="23"/>
  <c r="R50" i="23"/>
  <c r="R62" i="23"/>
  <c r="U95" i="23"/>
  <c r="S71" i="23"/>
  <c r="S77" i="23"/>
  <c r="S70" i="23"/>
  <c r="S69" i="23"/>
  <c r="S68" i="23"/>
  <c r="S67" i="23"/>
  <c r="Q70" i="23"/>
  <c r="R70" i="23" s="1"/>
  <c r="Q68" i="23"/>
  <c r="R68" i="23" s="1"/>
  <c r="Q67" i="23"/>
  <c r="R67" i="23" s="1"/>
  <c r="T67" i="23" s="1"/>
  <c r="Q77" i="23"/>
  <c r="R77" i="23" s="1"/>
  <c r="R55" i="23"/>
  <c r="Q69" i="23"/>
  <c r="R69" i="23" s="1"/>
  <c r="Q76" i="23"/>
  <c r="R76" i="23" s="1"/>
  <c r="Q75" i="23"/>
  <c r="R75" i="23" s="1"/>
  <c r="Q74" i="23"/>
  <c r="R74" i="23" s="1"/>
  <c r="T74" i="23" s="1"/>
  <c r="Q72" i="23"/>
  <c r="R72" i="23" s="1"/>
  <c r="T72" i="23" s="1"/>
  <c r="Q71" i="23"/>
  <c r="R71" i="23" s="1"/>
  <c r="T71" i="23" s="1"/>
  <c r="M24" i="23"/>
  <c r="S18" i="23"/>
  <c r="U90" i="23"/>
  <c r="Q101" i="23"/>
  <c r="C112" i="23" s="1"/>
  <c r="U85" i="23"/>
  <c r="F32" i="23"/>
  <c r="U87" i="23"/>
  <c r="F20" i="23"/>
  <c r="F31" i="23"/>
  <c r="F33" i="23"/>
  <c r="F34" i="23"/>
  <c r="F13" i="23"/>
  <c r="U93" i="23"/>
  <c r="U89" i="23"/>
  <c r="U92" i="23"/>
  <c r="U91" i="23"/>
  <c r="P195" i="23"/>
  <c r="F15" i="23"/>
  <c r="F25" i="23"/>
  <c r="P51" i="23"/>
  <c r="Q51" i="23" s="1"/>
  <c r="P58" i="23"/>
  <c r="Q58" i="23" s="1"/>
  <c r="U94" i="23"/>
  <c r="F21" i="23"/>
  <c r="F14" i="23"/>
  <c r="P57" i="23"/>
  <c r="Q57" i="23" s="1"/>
  <c r="S87" i="23"/>
  <c r="I87" i="23"/>
  <c r="S91" i="23"/>
  <c r="I91" i="23"/>
  <c r="I95" i="23"/>
  <c r="S95" i="23" s="1"/>
  <c r="R227" i="23"/>
  <c r="Q220" i="23"/>
  <c r="H220" i="23"/>
  <c r="H235" i="23"/>
  <c r="Q235" i="23"/>
  <c r="S85" i="23"/>
  <c r="I85" i="23"/>
  <c r="F9" i="23"/>
  <c r="S88" i="23"/>
  <c r="H223" i="23"/>
  <c r="Q223" i="23"/>
  <c r="E4" i="23"/>
  <c r="F4" i="23" s="1"/>
  <c r="F3" i="23" s="1"/>
  <c r="P196" i="23"/>
  <c r="Q196" i="23" s="1"/>
  <c r="Q102" i="23"/>
  <c r="C110" i="23" s="1"/>
  <c r="F26" i="23"/>
  <c r="P53" i="23"/>
  <c r="Q53" i="23" s="1"/>
  <c r="P60" i="23"/>
  <c r="Q60" i="23" s="1"/>
  <c r="I93" i="23"/>
  <c r="Q219" i="23"/>
  <c r="F19" i="23"/>
  <c r="P46" i="23"/>
  <c r="Q46" i="23" s="1"/>
  <c r="S89" i="23"/>
  <c r="I89" i="23"/>
  <c r="H226" i="23"/>
  <c r="Q226" i="23"/>
  <c r="F27" i="23"/>
  <c r="P56" i="23"/>
  <c r="Q56" i="23" s="1"/>
  <c r="Q230" i="23"/>
  <c r="Q234" i="23"/>
  <c r="Q222" i="23"/>
  <c r="U86" i="23"/>
  <c r="S84" i="23"/>
  <c r="S86" i="23"/>
  <c r="U88" i="23"/>
  <c r="F7" i="23"/>
  <c r="O231" i="23"/>
  <c r="P231" i="23" s="1"/>
  <c r="O224" i="23"/>
  <c r="P224" i="23" s="1"/>
  <c r="P59" i="23"/>
  <c r="Q59" i="23" s="1"/>
  <c r="P47" i="23"/>
  <c r="Q47" i="23" s="1"/>
  <c r="S62" i="23"/>
  <c r="P52" i="23"/>
  <c r="Q52" i="23" s="1"/>
  <c r="O229" i="23"/>
  <c r="P229" i="23" s="1"/>
  <c r="Q227" i="23"/>
  <c r="O222" i="23"/>
  <c r="P222" i="23" s="1"/>
  <c r="O234" i="23"/>
  <c r="P234" i="23" s="1"/>
  <c r="Q95" i="23"/>
  <c r="R95" i="23" s="1"/>
  <c r="Q93" i="23"/>
  <c r="R93" i="23" s="1"/>
  <c r="Q91" i="23"/>
  <c r="R91" i="23" s="1"/>
  <c r="Q89" i="23"/>
  <c r="R89" i="23" s="1"/>
  <c r="Q87" i="23"/>
  <c r="R87" i="23" s="1"/>
  <c r="Q85" i="23"/>
  <c r="R85" i="23" s="1"/>
  <c r="P50" i="23"/>
  <c r="Q50" i="23" s="1"/>
  <c r="F28" i="23"/>
  <c r="F22" i="23"/>
  <c r="F16" i="23"/>
  <c r="F10" i="23"/>
  <c r="P55" i="23"/>
  <c r="Q55" i="23" s="1"/>
  <c r="O220" i="23"/>
  <c r="P220" i="23" s="1"/>
  <c r="O232" i="23"/>
  <c r="P232" i="23" s="1"/>
  <c r="O225" i="23"/>
  <c r="P225" i="23" s="1"/>
  <c r="O196" i="23"/>
  <c r="O230" i="23"/>
  <c r="P230" i="23" s="1"/>
  <c r="O223" i="23"/>
  <c r="P223" i="23" s="1"/>
  <c r="P102" i="23"/>
  <c r="O235" i="23"/>
  <c r="P235" i="23" s="1"/>
  <c r="O228" i="23"/>
  <c r="P228" i="23" s="1"/>
  <c r="O221" i="23"/>
  <c r="P221" i="23" s="1"/>
  <c r="Q94" i="23"/>
  <c r="R94" i="23" s="1"/>
  <c r="Q92" i="23"/>
  <c r="R92" i="23" s="1"/>
  <c r="Q90" i="23"/>
  <c r="R90" i="23" s="1"/>
  <c r="Q88" i="23"/>
  <c r="R88" i="23" s="1"/>
  <c r="Q86" i="23"/>
  <c r="R86" i="23" s="1"/>
  <c r="Q84" i="23"/>
  <c r="O233" i="23"/>
  <c r="P233" i="23" s="1"/>
  <c r="O226" i="23"/>
  <c r="P226" i="23" s="1"/>
  <c r="P61" i="23"/>
  <c r="Q61" i="23" s="1"/>
  <c r="P49" i="23"/>
  <c r="Q49" i="23" s="1"/>
  <c r="P54" i="23"/>
  <c r="Q54" i="23" s="1"/>
  <c r="F30" i="23"/>
  <c r="F24" i="23"/>
  <c r="F18" i="23"/>
  <c r="F12" i="23"/>
  <c r="F29" i="23"/>
  <c r="F23" i="23"/>
  <c r="F17" i="23"/>
  <c r="F11" i="23"/>
  <c r="O219" i="23"/>
  <c r="P219" i="23" s="1"/>
  <c r="O195" i="23"/>
  <c r="P101" i="23"/>
  <c r="P48" i="23"/>
  <c r="Q48" i="23" s="1"/>
  <c r="D174" i="23"/>
  <c r="Q229" i="23"/>
  <c r="H233" i="23"/>
  <c r="Q233" i="23"/>
  <c r="Q224" i="23"/>
  <c r="Q231" i="23"/>
  <c r="H234" i="23"/>
  <c r="H222" i="23"/>
  <c r="H229" i="23"/>
  <c r="S90" i="23"/>
  <c r="S92" i="23"/>
  <c r="S94" i="23"/>
  <c r="Q221" i="23"/>
  <c r="H224" i="23"/>
  <c r="Q228" i="23"/>
  <c r="H231" i="23"/>
  <c r="H221" i="23"/>
  <c r="H228" i="23"/>
  <c r="Q225" i="23"/>
  <c r="Q232" i="23"/>
  <c r="H225" i="23"/>
  <c r="H232" i="23"/>
  <c r="D7" i="22"/>
  <c r="M32" i="22" s="1"/>
  <c r="O32" i="22" s="1"/>
  <c r="D175" i="23" l="1"/>
  <c r="D178" i="23"/>
  <c r="D181" i="23"/>
  <c r="D182" i="23"/>
  <c r="D180" i="23"/>
  <c r="D179" i="23"/>
  <c r="D176" i="23"/>
  <c r="D183" i="23"/>
  <c r="F131" i="23"/>
  <c r="D184" i="23"/>
  <c r="F132" i="23"/>
  <c r="D177" i="23"/>
  <c r="D185" i="23"/>
  <c r="F133" i="23"/>
  <c r="R84" i="23"/>
  <c r="Q96" i="23"/>
  <c r="U73" i="23"/>
  <c r="F156" i="23" s="1"/>
  <c r="T62" i="23"/>
  <c r="F149" i="23" s="1"/>
  <c r="T53" i="23"/>
  <c r="T68" i="23"/>
  <c r="U68" i="23" s="1"/>
  <c r="T75" i="23"/>
  <c r="U75" i="23" s="1"/>
  <c r="T69" i="23"/>
  <c r="U69" i="23" s="1"/>
  <c r="T77" i="23"/>
  <c r="U77" i="23"/>
  <c r="Z77" i="23" s="1"/>
  <c r="U67" i="23"/>
  <c r="F150" i="23" s="1"/>
  <c r="T76" i="23"/>
  <c r="U76" i="23" s="1"/>
  <c r="T70" i="23"/>
  <c r="U70" i="23" s="1"/>
  <c r="U71" i="23"/>
  <c r="U72" i="23"/>
  <c r="U74" i="23"/>
  <c r="S58" i="23"/>
  <c r="T58" i="23" s="1"/>
  <c r="F145" i="23" s="1"/>
  <c r="V93" i="23"/>
  <c r="H131" i="23" s="1"/>
  <c r="V92" i="23"/>
  <c r="H130" i="23" s="1"/>
  <c r="V90" i="23"/>
  <c r="H128" i="23" s="1"/>
  <c r="W90" i="23"/>
  <c r="X90" i="23" s="1"/>
  <c r="Y90" i="23" s="1"/>
  <c r="W87" i="23"/>
  <c r="X87" i="23" s="1"/>
  <c r="Y87" i="23" s="1"/>
  <c r="V91" i="23"/>
  <c r="H129" i="23" s="1"/>
  <c r="S227" i="23"/>
  <c r="T227" i="23" s="1"/>
  <c r="V87" i="23"/>
  <c r="H125" i="23" s="1"/>
  <c r="V85" i="23"/>
  <c r="H123" i="23" s="1"/>
  <c r="W85" i="23"/>
  <c r="X85" i="23" s="1"/>
  <c r="Y85" i="23" s="1"/>
  <c r="V89" i="23"/>
  <c r="H127" i="23" s="1"/>
  <c r="W92" i="23"/>
  <c r="X92" i="23" s="1"/>
  <c r="Y92" i="23" s="1"/>
  <c r="W95" i="23"/>
  <c r="X95" i="23" s="1"/>
  <c r="Y95" i="23" s="1"/>
  <c r="W93" i="23"/>
  <c r="X93" i="23" s="1"/>
  <c r="Y93" i="23" s="1"/>
  <c r="W91" i="23"/>
  <c r="X91" i="23" s="1"/>
  <c r="Y91" i="23" s="1"/>
  <c r="W89" i="23"/>
  <c r="X89" i="23" s="1"/>
  <c r="Y89" i="23" s="1"/>
  <c r="V84" i="23"/>
  <c r="H122" i="23" s="1"/>
  <c r="V86" i="23"/>
  <c r="H124" i="23" s="1"/>
  <c r="V94" i="23"/>
  <c r="H132" i="23" s="1"/>
  <c r="V88" i="23"/>
  <c r="H126" i="23" s="1"/>
  <c r="W94" i="23"/>
  <c r="X94" i="23" s="1"/>
  <c r="Y94" i="23" s="1"/>
  <c r="S51" i="23"/>
  <c r="T51" i="23" s="1"/>
  <c r="F139" i="23" s="1"/>
  <c r="R224" i="23"/>
  <c r="S224" i="23" s="1"/>
  <c r="S93" i="23"/>
  <c r="S54" i="23"/>
  <c r="T54" i="23" s="1"/>
  <c r="F141" i="23" s="1"/>
  <c r="R233" i="23"/>
  <c r="S233" i="23" s="1"/>
  <c r="R225" i="23"/>
  <c r="S225" i="23" s="1"/>
  <c r="R220" i="23"/>
  <c r="S220" i="23" s="1"/>
  <c r="R221" i="23"/>
  <c r="S221" i="23" s="1"/>
  <c r="R230" i="23"/>
  <c r="S230" i="23" s="1"/>
  <c r="R231" i="23"/>
  <c r="S231" i="23" s="1"/>
  <c r="R232" i="23"/>
  <c r="S232" i="23" s="1"/>
  <c r="S60" i="23"/>
  <c r="T60" i="23" s="1"/>
  <c r="F147" i="23" s="1"/>
  <c r="S53" i="23"/>
  <c r="S55" i="23"/>
  <c r="T55" i="23" s="1"/>
  <c r="F142" i="23" s="1"/>
  <c r="R234" i="23"/>
  <c r="S234" i="23" s="1"/>
  <c r="S57" i="23"/>
  <c r="T57" i="23" s="1"/>
  <c r="F144" i="23" s="1"/>
  <c r="S48" i="23"/>
  <c r="T48" i="23" s="1"/>
  <c r="F136" i="23" s="1"/>
  <c r="S59" i="23"/>
  <c r="T59" i="23" s="1"/>
  <c r="F146" i="23" s="1"/>
  <c r="S46" i="23"/>
  <c r="T46" i="23" s="1"/>
  <c r="S56" i="23"/>
  <c r="T56" i="23" s="1"/>
  <c r="F143" i="23" s="1"/>
  <c r="R222" i="23"/>
  <c r="S222" i="23" s="1"/>
  <c r="W84" i="23"/>
  <c r="X84" i="23" s="1"/>
  <c r="Y84" i="23" s="1"/>
  <c r="W88" i="23"/>
  <c r="X88" i="23" s="1"/>
  <c r="Y88" i="23" s="1"/>
  <c r="W86" i="23"/>
  <c r="X86" i="23" s="1"/>
  <c r="Y86" i="23" s="1"/>
  <c r="V95" i="23"/>
  <c r="H133" i="23" s="1"/>
  <c r="R229" i="23"/>
  <c r="S229" i="23" s="1"/>
  <c r="S49" i="23"/>
  <c r="T49" i="23" s="1"/>
  <c r="F137" i="23" s="1"/>
  <c r="S235" i="23"/>
  <c r="R235" i="23"/>
  <c r="S52" i="23"/>
  <c r="T52" i="23" s="1"/>
  <c r="F140" i="23" s="1"/>
  <c r="R228" i="23"/>
  <c r="S228" i="23" s="1"/>
  <c r="S61" i="23"/>
  <c r="T61" i="23" s="1"/>
  <c r="F148" i="23" s="1"/>
  <c r="S50" i="23"/>
  <c r="T50" i="23" s="1"/>
  <c r="F138" i="23" s="1"/>
  <c r="R219" i="23"/>
  <c r="S219" i="23" s="1"/>
  <c r="R226" i="23"/>
  <c r="S226" i="23" s="1"/>
  <c r="R223" i="23"/>
  <c r="S223" i="23" s="1"/>
  <c r="S47" i="23"/>
  <c r="T47" i="23" s="1"/>
  <c r="F135" i="23" s="1"/>
  <c r="M31" i="22"/>
  <c r="O31" i="22" s="1"/>
  <c r="M39" i="22"/>
  <c r="O39" i="22" s="1"/>
  <c r="M33" i="22"/>
  <c r="O33" i="22" s="1"/>
  <c r="M38" i="22"/>
  <c r="O38" i="22" s="1"/>
  <c r="M37" i="22"/>
  <c r="O37" i="22" s="1"/>
  <c r="M41" i="22"/>
  <c r="O41" i="22" s="1"/>
  <c r="M36" i="22"/>
  <c r="O36" i="22" s="1"/>
  <c r="M40" i="22"/>
  <c r="O40" i="22" s="1"/>
  <c r="M35" i="22"/>
  <c r="O35" i="22" s="1"/>
  <c r="M34" i="22"/>
  <c r="O34" i="22" s="1"/>
  <c r="S8" i="21"/>
  <c r="S9" i="21"/>
  <c r="S10" i="21"/>
  <c r="S11" i="21"/>
  <c r="S12" i="21"/>
  <c r="S7" i="21"/>
  <c r="T8" i="21"/>
  <c r="T9" i="21"/>
  <c r="T10" i="21"/>
  <c r="T11" i="21"/>
  <c r="T12" i="21"/>
  <c r="T7" i="21"/>
  <c r="C42" i="22"/>
  <c r="F11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12" i="22"/>
  <c r="K96" i="16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23" i="20"/>
  <c r="K27" i="22"/>
  <c r="J27" i="22"/>
  <c r="I27" i="22"/>
  <c r="H27" i="22"/>
  <c r="G27" i="22"/>
  <c r="E27" i="22"/>
  <c r="D27" i="22"/>
  <c r="C27" i="22"/>
  <c r="B27" i="22"/>
  <c r="K26" i="22"/>
  <c r="J26" i="22"/>
  <c r="I26" i="22"/>
  <c r="H26" i="22"/>
  <c r="G26" i="22"/>
  <c r="E26" i="22"/>
  <c r="D26" i="22"/>
  <c r="C26" i="22"/>
  <c r="B26" i="22"/>
  <c r="K25" i="22"/>
  <c r="J25" i="22"/>
  <c r="I25" i="22"/>
  <c r="H25" i="22"/>
  <c r="G25" i="22"/>
  <c r="E25" i="22"/>
  <c r="D25" i="22"/>
  <c r="C25" i="22"/>
  <c r="B25" i="22"/>
  <c r="K24" i="22"/>
  <c r="J24" i="22"/>
  <c r="I24" i="22"/>
  <c r="H24" i="22"/>
  <c r="G24" i="22"/>
  <c r="E24" i="22"/>
  <c r="D24" i="22"/>
  <c r="C24" i="22"/>
  <c r="B24" i="22"/>
  <c r="K23" i="22"/>
  <c r="J23" i="22"/>
  <c r="I23" i="22"/>
  <c r="H23" i="22"/>
  <c r="G23" i="22"/>
  <c r="E23" i="22"/>
  <c r="D23" i="22"/>
  <c r="C23" i="22"/>
  <c r="B23" i="22"/>
  <c r="K22" i="22"/>
  <c r="J22" i="22"/>
  <c r="I22" i="22"/>
  <c r="H22" i="22"/>
  <c r="G22" i="22"/>
  <c r="E22" i="22"/>
  <c r="D22" i="22"/>
  <c r="C22" i="22"/>
  <c r="B22" i="22"/>
  <c r="K21" i="22"/>
  <c r="J21" i="22"/>
  <c r="I21" i="22"/>
  <c r="H21" i="22"/>
  <c r="G21" i="22"/>
  <c r="E21" i="22"/>
  <c r="D21" i="22"/>
  <c r="C21" i="22"/>
  <c r="B21" i="22"/>
  <c r="K20" i="22"/>
  <c r="J20" i="22"/>
  <c r="I20" i="22"/>
  <c r="H20" i="22"/>
  <c r="G20" i="22"/>
  <c r="E20" i="22"/>
  <c r="D20" i="22"/>
  <c r="C20" i="22"/>
  <c r="B20" i="22"/>
  <c r="K19" i="22"/>
  <c r="J19" i="22"/>
  <c r="I19" i="22"/>
  <c r="H19" i="22"/>
  <c r="G19" i="22"/>
  <c r="E19" i="22"/>
  <c r="D19" i="22"/>
  <c r="C19" i="22"/>
  <c r="B19" i="22"/>
  <c r="K18" i="22"/>
  <c r="J18" i="22"/>
  <c r="I18" i="22"/>
  <c r="H18" i="22"/>
  <c r="G18" i="22"/>
  <c r="E18" i="22"/>
  <c r="D18" i="22"/>
  <c r="C18" i="22"/>
  <c r="B18" i="22"/>
  <c r="K17" i="22"/>
  <c r="J17" i="22"/>
  <c r="I17" i="22"/>
  <c r="H17" i="22"/>
  <c r="G17" i="22"/>
  <c r="E17" i="22"/>
  <c r="D17" i="22"/>
  <c r="C17" i="22"/>
  <c r="B17" i="22"/>
  <c r="K16" i="22"/>
  <c r="J16" i="22"/>
  <c r="I16" i="22"/>
  <c r="H16" i="22"/>
  <c r="G16" i="22"/>
  <c r="E16" i="22"/>
  <c r="D16" i="22"/>
  <c r="C16" i="22"/>
  <c r="B16" i="22"/>
  <c r="K15" i="22"/>
  <c r="J15" i="22"/>
  <c r="I15" i="22"/>
  <c r="H15" i="22"/>
  <c r="G15" i="22"/>
  <c r="E15" i="22"/>
  <c r="D15" i="22"/>
  <c r="C15" i="22"/>
  <c r="B15" i="22"/>
  <c r="K14" i="22"/>
  <c r="J14" i="22"/>
  <c r="I14" i="22"/>
  <c r="H14" i="22"/>
  <c r="G14" i="22"/>
  <c r="E14" i="22"/>
  <c r="D14" i="22"/>
  <c r="C14" i="22"/>
  <c r="B14" i="22"/>
  <c r="K13" i="22"/>
  <c r="J13" i="22"/>
  <c r="I13" i="22"/>
  <c r="H13" i="22"/>
  <c r="G13" i="22"/>
  <c r="E13" i="22"/>
  <c r="D13" i="22"/>
  <c r="C13" i="22"/>
  <c r="B13" i="22"/>
  <c r="K12" i="22"/>
  <c r="J12" i="22"/>
  <c r="I12" i="22"/>
  <c r="H12" i="22"/>
  <c r="G12" i="22"/>
  <c r="E12" i="22"/>
  <c r="D12" i="22"/>
  <c r="C12" i="22"/>
  <c r="B12" i="22"/>
  <c r="K11" i="22"/>
  <c r="J11" i="22"/>
  <c r="I11" i="22"/>
  <c r="H11" i="22"/>
  <c r="G11" i="22"/>
  <c r="E11" i="22"/>
  <c r="D11" i="22"/>
  <c r="C11" i="22"/>
  <c r="B11" i="22"/>
  <c r="R8" i="21"/>
  <c r="R9" i="21"/>
  <c r="C3" i="22" s="1"/>
  <c r="R10" i="21"/>
  <c r="R11" i="21"/>
  <c r="R12" i="21"/>
  <c r="R7" i="21"/>
  <c r="R6" i="21"/>
  <c r="P25" i="21"/>
  <c r="P26" i="21"/>
  <c r="P27" i="21"/>
  <c r="P28" i="21"/>
  <c r="P29" i="21"/>
  <c r="P24" i="21"/>
  <c r="P8" i="21"/>
  <c r="P9" i="21"/>
  <c r="P10" i="21"/>
  <c r="P11" i="21"/>
  <c r="P12" i="21"/>
  <c r="P7" i="21"/>
  <c r="AC1" i="21"/>
  <c r="AC2" i="20"/>
  <c r="AC1" i="20"/>
  <c r="AC3" i="20"/>
  <c r="M7" i="22" l="1"/>
  <c r="Z72" i="23"/>
  <c r="A155" i="23" s="1"/>
  <c r="F155" i="23"/>
  <c r="Z71" i="23"/>
  <c r="A154" i="23" s="1"/>
  <c r="F154" i="23"/>
  <c r="Z74" i="23"/>
  <c r="A157" i="23" s="1"/>
  <c r="F157" i="23"/>
  <c r="Z70" i="23"/>
  <c r="A153" i="23" s="1"/>
  <c r="F153" i="23"/>
  <c r="Z76" i="23"/>
  <c r="A159" i="23" s="1"/>
  <c r="F159" i="23"/>
  <c r="Z69" i="23"/>
  <c r="A152" i="23" s="1"/>
  <c r="F152" i="23"/>
  <c r="Z75" i="23"/>
  <c r="A158" i="23" s="1"/>
  <c r="F158" i="23"/>
  <c r="Z68" i="23"/>
  <c r="A151" i="23" s="1"/>
  <c r="F151" i="23"/>
  <c r="Y46" i="23"/>
  <c r="A134" i="23" s="1"/>
  <c r="F134" i="23"/>
  <c r="U57" i="23"/>
  <c r="H144" i="23" s="1"/>
  <c r="Y57" i="23"/>
  <c r="A144" i="23" s="1"/>
  <c r="U49" i="23"/>
  <c r="H137" i="23" s="1"/>
  <c r="Y49" i="23"/>
  <c r="A137" i="23" s="1"/>
  <c r="U62" i="23"/>
  <c r="H149" i="23" s="1"/>
  <c r="Y62" i="23"/>
  <c r="A149" i="23" s="1"/>
  <c r="U60" i="23"/>
  <c r="H147" i="23" s="1"/>
  <c r="Y60" i="23"/>
  <c r="A147" i="23" s="1"/>
  <c r="U54" i="23"/>
  <c r="H141" i="23" s="1"/>
  <c r="Y54" i="23"/>
  <c r="A141" i="23" s="1"/>
  <c r="U58" i="23"/>
  <c r="H145" i="23" s="1"/>
  <c r="Y58" i="23"/>
  <c r="A145" i="23" s="1"/>
  <c r="U53" i="23"/>
  <c r="Y53" i="23"/>
  <c r="U55" i="23"/>
  <c r="H142" i="23" s="1"/>
  <c r="Y55" i="23"/>
  <c r="A142" i="23" s="1"/>
  <c r="U47" i="23"/>
  <c r="H135" i="23" s="1"/>
  <c r="Y47" i="23"/>
  <c r="A135" i="23" s="1"/>
  <c r="U51" i="23"/>
  <c r="H139" i="23" s="1"/>
  <c r="Y51" i="23"/>
  <c r="A139" i="23" s="1"/>
  <c r="V73" i="23"/>
  <c r="H156" i="23" s="1"/>
  <c r="Z73" i="23"/>
  <c r="A156" i="23" s="1"/>
  <c r="U50" i="23"/>
  <c r="H138" i="23" s="1"/>
  <c r="Y50" i="23"/>
  <c r="A138" i="23" s="1"/>
  <c r="W67" i="23"/>
  <c r="X67" i="23" s="1"/>
  <c r="Y67" i="23" s="1"/>
  <c r="Z67" i="23"/>
  <c r="A150" i="23" s="1"/>
  <c r="U61" i="23"/>
  <c r="H148" i="23" s="1"/>
  <c r="Y61" i="23"/>
  <c r="A148" i="23" s="1"/>
  <c r="U52" i="23"/>
  <c r="H140" i="23" s="1"/>
  <c r="Y52" i="23"/>
  <c r="A140" i="23" s="1"/>
  <c r="U59" i="23"/>
  <c r="H146" i="23" s="1"/>
  <c r="Y59" i="23"/>
  <c r="A146" i="23" s="1"/>
  <c r="U56" i="23"/>
  <c r="H143" i="23" s="1"/>
  <c r="Y56" i="23"/>
  <c r="A143" i="23" s="1"/>
  <c r="U48" i="23"/>
  <c r="H136" i="23" s="1"/>
  <c r="Y48" i="23"/>
  <c r="A136" i="23" s="1"/>
  <c r="V96" i="23"/>
  <c r="W73" i="23"/>
  <c r="X73" i="23" s="1"/>
  <c r="Y73" i="23" s="1"/>
  <c r="V62" i="23"/>
  <c r="W62" i="23" s="1"/>
  <c r="X62" i="23" s="1"/>
  <c r="V70" i="23"/>
  <c r="H153" i="23" s="1"/>
  <c r="W70" i="23"/>
  <c r="X70" i="23" s="1"/>
  <c r="Y70" i="23" s="1"/>
  <c r="V76" i="23"/>
  <c r="H159" i="23" s="1"/>
  <c r="W76" i="23"/>
  <c r="X76" i="23" s="1"/>
  <c r="Y76" i="23" s="1"/>
  <c r="V75" i="23"/>
  <c r="H158" i="23" s="1"/>
  <c r="W75" i="23"/>
  <c r="X75" i="23" s="1"/>
  <c r="Y75" i="23" s="1"/>
  <c r="V69" i="23"/>
  <c r="H152" i="23" s="1"/>
  <c r="W69" i="23"/>
  <c r="X69" i="23" s="1"/>
  <c r="Y69" i="23" s="1"/>
  <c r="V74" i="23"/>
  <c r="H157" i="23" s="1"/>
  <c r="W74" i="23"/>
  <c r="X74" i="23" s="1"/>
  <c r="Y74" i="23" s="1"/>
  <c r="V68" i="23"/>
  <c r="H151" i="23" s="1"/>
  <c r="W68" i="23"/>
  <c r="X68" i="23" s="1"/>
  <c r="Y68" i="23" s="1"/>
  <c r="V72" i="23"/>
  <c r="H155" i="23" s="1"/>
  <c r="W72" i="23"/>
  <c r="X72" i="23" s="1"/>
  <c r="Y72" i="23" s="1"/>
  <c r="V77" i="23"/>
  <c r="W77" i="23"/>
  <c r="X77" i="23" s="1"/>
  <c r="Y77" i="23" s="1"/>
  <c r="V71" i="23"/>
  <c r="H154" i="23" s="1"/>
  <c r="W71" i="23"/>
  <c r="X71" i="23" s="1"/>
  <c r="Y71" i="23" s="1"/>
  <c r="V67" i="23"/>
  <c r="H150" i="23" s="1"/>
  <c r="V58" i="23"/>
  <c r="W58" i="23" s="1"/>
  <c r="X58" i="23" s="1"/>
  <c r="U46" i="23"/>
  <c r="H134" i="23" s="1"/>
  <c r="V46" i="23"/>
  <c r="W46" i="23" s="1"/>
  <c r="X46" i="23" s="1"/>
  <c r="U227" i="23"/>
  <c r="V227" i="23" s="1"/>
  <c r="W227" i="23" s="1"/>
  <c r="C108" i="23"/>
  <c r="V51" i="23"/>
  <c r="W51" i="23" s="1"/>
  <c r="X51" i="23" s="1"/>
  <c r="S200" i="23"/>
  <c r="V59" i="23"/>
  <c r="W59" i="23" s="1"/>
  <c r="X59" i="23" s="1"/>
  <c r="T226" i="23"/>
  <c r="U226" i="23"/>
  <c r="V226" i="23" s="1"/>
  <c r="W226" i="23" s="1"/>
  <c r="U219" i="23"/>
  <c r="V219" i="23" s="1"/>
  <c r="W219" i="23" s="1"/>
  <c r="T219" i="23"/>
  <c r="U232" i="23"/>
  <c r="V232" i="23" s="1"/>
  <c r="W232" i="23" s="1"/>
  <c r="T232" i="23"/>
  <c r="V50" i="23"/>
  <c r="W50" i="23" s="1"/>
  <c r="X50" i="23" s="1"/>
  <c r="U231" i="23"/>
  <c r="V231" i="23" s="1"/>
  <c r="W231" i="23" s="1"/>
  <c r="T231" i="23"/>
  <c r="V61" i="23"/>
  <c r="W61" i="23" s="1"/>
  <c r="X61" i="23" s="1"/>
  <c r="V57" i="23"/>
  <c r="W57" i="23" s="1"/>
  <c r="X57" i="23" s="1"/>
  <c r="T230" i="23"/>
  <c r="U230" i="23"/>
  <c r="V230" i="23" s="1"/>
  <c r="W230" i="23" s="1"/>
  <c r="U228" i="23"/>
  <c r="V228" i="23" s="1"/>
  <c r="W228" i="23" s="1"/>
  <c r="T228" i="23"/>
  <c r="U223" i="23"/>
  <c r="V223" i="23" s="1"/>
  <c r="W223" i="23" s="1"/>
  <c r="T223" i="23"/>
  <c r="T221" i="23"/>
  <c r="U221" i="23"/>
  <c r="V221" i="23" s="1"/>
  <c r="W221" i="23" s="1"/>
  <c r="U222" i="23"/>
  <c r="V222" i="23" s="1"/>
  <c r="W222" i="23" s="1"/>
  <c r="T222" i="23"/>
  <c r="U220" i="23"/>
  <c r="V220" i="23" s="1"/>
  <c r="W220" i="23" s="1"/>
  <c r="T220" i="23"/>
  <c r="U233" i="23"/>
  <c r="V233" i="23" s="1"/>
  <c r="W233" i="23" s="1"/>
  <c r="T233" i="23"/>
  <c r="V49" i="23"/>
  <c r="W49" i="23" s="1"/>
  <c r="X49" i="23" s="1"/>
  <c r="V54" i="23"/>
  <c r="W54" i="23" s="1"/>
  <c r="X54" i="23" s="1"/>
  <c r="V47" i="23"/>
  <c r="W47" i="23" s="1"/>
  <c r="X47" i="23" s="1"/>
  <c r="U229" i="23"/>
  <c r="V229" i="23" s="1"/>
  <c r="W229" i="23" s="1"/>
  <c r="T229" i="23"/>
  <c r="U224" i="23"/>
  <c r="V224" i="23" s="1"/>
  <c r="W224" i="23" s="1"/>
  <c r="T224" i="23"/>
  <c r="V53" i="23"/>
  <c r="W53" i="23" s="1"/>
  <c r="X53" i="23" s="1"/>
  <c r="V48" i="23"/>
  <c r="W48" i="23" s="1"/>
  <c r="X48" i="23" s="1"/>
  <c r="V52" i="23"/>
  <c r="W52" i="23" s="1"/>
  <c r="X52" i="23" s="1"/>
  <c r="V60" i="23"/>
  <c r="W60" i="23" s="1"/>
  <c r="X60" i="23" s="1"/>
  <c r="V56" i="23"/>
  <c r="W56" i="23" s="1"/>
  <c r="X56" i="23" s="1"/>
  <c r="U225" i="23"/>
  <c r="V225" i="23" s="1"/>
  <c r="W225" i="23" s="1"/>
  <c r="T225" i="23"/>
  <c r="T235" i="23"/>
  <c r="U235" i="23"/>
  <c r="V235" i="23" s="1"/>
  <c r="W235" i="23" s="1"/>
  <c r="U234" i="23"/>
  <c r="V234" i="23" s="1"/>
  <c r="W234" i="23" s="1"/>
  <c r="T234" i="23"/>
  <c r="V55" i="23"/>
  <c r="W55" i="23" s="1"/>
  <c r="X55" i="23" s="1"/>
  <c r="C28" i="22"/>
  <c r="M29" i="22"/>
  <c r="M14" i="22"/>
  <c r="M26" i="22"/>
  <c r="M15" i="22"/>
  <c r="M27" i="22"/>
  <c r="M11" i="22"/>
  <c r="M18" i="22"/>
  <c r="M21" i="22"/>
  <c r="M12" i="22"/>
  <c r="M13" i="22"/>
  <c r="M16" i="22"/>
  <c r="M17" i="22"/>
  <c r="M19" i="22"/>
  <c r="M23" i="22"/>
  <c r="M24" i="22"/>
  <c r="M25" i="22"/>
  <c r="M20" i="22"/>
  <c r="M22" i="22"/>
  <c r="M6" i="22" l="1"/>
  <c r="M9" i="22"/>
  <c r="M45" i="22" s="1"/>
  <c r="C107" i="23"/>
  <c r="C109" i="23" s="1"/>
  <c r="U63" i="23"/>
  <c r="V78" i="23"/>
  <c r="Y78" i="23"/>
  <c r="X63" i="23"/>
  <c r="C204" i="23"/>
  <c r="C206" i="23" s="1"/>
  <c r="C207" i="23" s="1"/>
  <c r="L7" i="21"/>
  <c r="L24" i="21"/>
  <c r="D34" i="21"/>
  <c r="D33" i="21"/>
  <c r="D35" i="21"/>
  <c r="D17" i="21"/>
  <c r="K24" i="21" s="1"/>
  <c r="D18" i="21"/>
  <c r="K10" i="21" s="1"/>
  <c r="D19" i="21"/>
  <c r="L12" i="21" s="1"/>
  <c r="C54" i="20"/>
  <c r="C53" i="20"/>
  <c r="C52" i="20"/>
  <c r="C51" i="20"/>
  <c r="C50" i="20"/>
  <c r="C49" i="20"/>
  <c r="C48" i="20"/>
  <c r="C47" i="20"/>
  <c r="C46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23" i="20"/>
  <c r="G24" i="20"/>
  <c r="H24" i="20"/>
  <c r="J24" i="20"/>
  <c r="M24" i="20"/>
  <c r="L24" i="20"/>
  <c r="K24" i="20"/>
  <c r="N24" i="20"/>
  <c r="G25" i="20"/>
  <c r="H25" i="20"/>
  <c r="J25" i="20"/>
  <c r="M25" i="20"/>
  <c r="L25" i="20"/>
  <c r="K25" i="20"/>
  <c r="N25" i="20"/>
  <c r="G26" i="20"/>
  <c r="H26" i="20"/>
  <c r="J26" i="20"/>
  <c r="M26" i="20"/>
  <c r="L26" i="20"/>
  <c r="K26" i="20"/>
  <c r="N26" i="20"/>
  <c r="G27" i="20"/>
  <c r="H27" i="20"/>
  <c r="J27" i="20"/>
  <c r="M27" i="20"/>
  <c r="L27" i="20"/>
  <c r="K27" i="20"/>
  <c r="N27" i="20"/>
  <c r="G28" i="20"/>
  <c r="H28" i="20"/>
  <c r="J28" i="20"/>
  <c r="M28" i="20"/>
  <c r="L28" i="20"/>
  <c r="K28" i="20"/>
  <c r="N28" i="20"/>
  <c r="G29" i="20"/>
  <c r="H29" i="20"/>
  <c r="J29" i="20"/>
  <c r="M29" i="20"/>
  <c r="L29" i="20"/>
  <c r="K29" i="20"/>
  <c r="N29" i="20"/>
  <c r="G30" i="20"/>
  <c r="H30" i="20"/>
  <c r="J30" i="20"/>
  <c r="M30" i="20"/>
  <c r="L30" i="20"/>
  <c r="K30" i="20"/>
  <c r="N30" i="20"/>
  <c r="G31" i="20"/>
  <c r="H31" i="20"/>
  <c r="J31" i="20"/>
  <c r="M31" i="20"/>
  <c r="L31" i="20"/>
  <c r="K31" i="20"/>
  <c r="N31" i="20"/>
  <c r="G32" i="20"/>
  <c r="H32" i="20"/>
  <c r="J32" i="20"/>
  <c r="M32" i="20"/>
  <c r="L32" i="20"/>
  <c r="K32" i="20"/>
  <c r="N32" i="20"/>
  <c r="G33" i="20"/>
  <c r="H33" i="20"/>
  <c r="J33" i="20"/>
  <c r="M33" i="20"/>
  <c r="L33" i="20"/>
  <c r="K33" i="20"/>
  <c r="N33" i="20"/>
  <c r="G34" i="20"/>
  <c r="H34" i="20"/>
  <c r="J34" i="20"/>
  <c r="M34" i="20"/>
  <c r="L34" i="20"/>
  <c r="K34" i="20"/>
  <c r="N34" i="20"/>
  <c r="G35" i="20"/>
  <c r="H35" i="20"/>
  <c r="J35" i="20"/>
  <c r="M35" i="20"/>
  <c r="L35" i="20"/>
  <c r="K35" i="20"/>
  <c r="N35" i="20"/>
  <c r="G36" i="20"/>
  <c r="H36" i="20"/>
  <c r="J36" i="20"/>
  <c r="M36" i="20"/>
  <c r="L36" i="20"/>
  <c r="K36" i="20"/>
  <c r="N36" i="20"/>
  <c r="G37" i="20"/>
  <c r="H37" i="20"/>
  <c r="J37" i="20"/>
  <c r="M37" i="20"/>
  <c r="L37" i="20"/>
  <c r="K37" i="20"/>
  <c r="N37" i="20"/>
  <c r="G38" i="20"/>
  <c r="H38" i="20"/>
  <c r="J38" i="20"/>
  <c r="M38" i="20"/>
  <c r="L38" i="20"/>
  <c r="K38" i="20"/>
  <c r="N38" i="20"/>
  <c r="G39" i="20"/>
  <c r="H39" i="20"/>
  <c r="J39" i="20"/>
  <c r="M39" i="20"/>
  <c r="L39" i="20"/>
  <c r="K39" i="20"/>
  <c r="N39" i="20"/>
  <c r="N23" i="20"/>
  <c r="K23" i="20"/>
  <c r="L23" i="20"/>
  <c r="M23" i="20"/>
  <c r="J23" i="20"/>
  <c r="H23" i="20"/>
  <c r="G23" i="20"/>
  <c r="D55" i="20"/>
  <c r="D40" i="20"/>
  <c r="W61" i="20"/>
  <c r="W62" i="20"/>
  <c r="W64" i="20"/>
  <c r="W65" i="20"/>
  <c r="W66" i="20"/>
  <c r="W68" i="20"/>
  <c r="W69" i="20"/>
  <c r="W70" i="20"/>
  <c r="W60" i="20"/>
  <c r="W77" i="20"/>
  <c r="W78" i="20"/>
  <c r="W79" i="20"/>
  <c r="W80" i="20"/>
  <c r="W81" i="20"/>
  <c r="W82" i="20"/>
  <c r="W76" i="20"/>
  <c r="D109" i="23" l="1"/>
  <c r="C111" i="23"/>
  <c r="K11" i="21"/>
  <c r="K8" i="21"/>
  <c r="L8" i="21"/>
  <c r="K9" i="21"/>
  <c r="L9" i="21"/>
  <c r="L10" i="21"/>
  <c r="J10" i="21" s="1"/>
  <c r="I10" i="21" s="1"/>
  <c r="K7" i="21"/>
  <c r="J7" i="21" s="1"/>
  <c r="I7" i="21" s="1"/>
  <c r="L11" i="21"/>
  <c r="K12" i="21"/>
  <c r="J12" i="21" s="1"/>
  <c r="I12" i="21" s="1"/>
  <c r="K29" i="21"/>
  <c r="J24" i="21"/>
  <c r="I24" i="21" s="1"/>
  <c r="L29" i="21"/>
  <c r="L25" i="21"/>
  <c r="L27" i="21"/>
  <c r="K25" i="21"/>
  <c r="K26" i="21"/>
  <c r="L26" i="21"/>
  <c r="K27" i="21"/>
  <c r="K28" i="21"/>
  <c r="L28" i="21"/>
  <c r="D70" i="20"/>
  <c r="D65" i="20"/>
  <c r="D68" i="20"/>
  <c r="D63" i="20"/>
  <c r="D67" i="20"/>
  <c r="D62" i="20"/>
  <c r="D66" i="20"/>
  <c r="D69" i="20"/>
  <c r="D64" i="20"/>
  <c r="D61" i="20"/>
  <c r="D60" i="20"/>
  <c r="D76" i="20"/>
  <c r="D77" i="20"/>
  <c r="D82" i="20"/>
  <c r="D81" i="20"/>
  <c r="D80" i="20"/>
  <c r="D79" i="20"/>
  <c r="D78" i="20"/>
  <c r="F42" i="19"/>
  <c r="E42" i="19" s="1"/>
  <c r="H93" i="19"/>
  <c r="F43" i="19"/>
  <c r="E43" i="19" s="1"/>
  <c r="F46" i="19"/>
  <c r="E46" i="19" s="1"/>
  <c r="E47" i="19"/>
  <c r="Q195" i="23" l="1"/>
  <c r="D111" i="23"/>
  <c r="C113" i="23"/>
  <c r="D113" i="23" s="1"/>
  <c r="J11" i="21"/>
  <c r="I11" i="21" s="1"/>
  <c r="J8" i="21"/>
  <c r="I8" i="21" s="1"/>
  <c r="J9" i="21"/>
  <c r="I9" i="21" s="1"/>
  <c r="J27" i="21"/>
  <c r="I27" i="21" s="1"/>
  <c r="J29" i="21"/>
  <c r="I29" i="21" s="1"/>
  <c r="J26" i="21"/>
  <c r="I26" i="21" s="1"/>
  <c r="J25" i="21"/>
  <c r="I25" i="21" s="1"/>
  <c r="J28" i="21"/>
  <c r="I28" i="21" s="1"/>
  <c r="D71" i="20"/>
  <c r="D83" i="20"/>
  <c r="F45" i="19"/>
  <c r="E45" i="19" s="1"/>
  <c r="F44" i="19"/>
  <c r="E44" i="19" s="1"/>
  <c r="G45" i="19"/>
  <c r="G44" i="19"/>
  <c r="R195" i="23" l="1"/>
  <c r="S201" i="23"/>
  <c r="P221" i="16"/>
  <c r="N221" i="16"/>
  <c r="M221" i="16"/>
  <c r="L221" i="16"/>
  <c r="K221" i="16"/>
  <c r="J221" i="16"/>
  <c r="I221" i="16"/>
  <c r="G221" i="16"/>
  <c r="E221" i="16"/>
  <c r="F221" i="16" s="1"/>
  <c r="H221" i="16" s="1"/>
  <c r="N220" i="16"/>
  <c r="M220" i="16"/>
  <c r="L220" i="16"/>
  <c r="K220" i="16"/>
  <c r="J220" i="16"/>
  <c r="I220" i="16"/>
  <c r="G220" i="16"/>
  <c r="E220" i="16"/>
  <c r="F220" i="16" s="1"/>
  <c r="N225" i="16"/>
  <c r="M225" i="16"/>
  <c r="L225" i="16"/>
  <c r="K225" i="16"/>
  <c r="J225" i="16"/>
  <c r="I225" i="16"/>
  <c r="G225" i="16"/>
  <c r="E225" i="16"/>
  <c r="F225" i="16" s="1"/>
  <c r="N228" i="16"/>
  <c r="M228" i="16"/>
  <c r="L228" i="16"/>
  <c r="K228" i="16"/>
  <c r="J228" i="16"/>
  <c r="I228" i="16"/>
  <c r="G228" i="16"/>
  <c r="E228" i="16"/>
  <c r="F228" i="16" s="1"/>
  <c r="N222" i="16"/>
  <c r="M222" i="16"/>
  <c r="L222" i="16"/>
  <c r="K222" i="16"/>
  <c r="J222" i="16"/>
  <c r="I222" i="16"/>
  <c r="G222" i="16"/>
  <c r="E222" i="16"/>
  <c r="F222" i="16" s="1"/>
  <c r="N214" i="16"/>
  <c r="M214" i="16"/>
  <c r="L214" i="16"/>
  <c r="K214" i="16"/>
  <c r="J214" i="16"/>
  <c r="I214" i="16"/>
  <c r="G214" i="16"/>
  <c r="E214" i="16"/>
  <c r="F214" i="16" s="1"/>
  <c r="N216" i="16"/>
  <c r="M216" i="16"/>
  <c r="L216" i="16"/>
  <c r="K216" i="16"/>
  <c r="J216" i="16"/>
  <c r="I216" i="16"/>
  <c r="G216" i="16"/>
  <c r="E216" i="16"/>
  <c r="F216" i="16" s="1"/>
  <c r="N227" i="16"/>
  <c r="M227" i="16"/>
  <c r="L227" i="16"/>
  <c r="K227" i="16"/>
  <c r="J227" i="16"/>
  <c r="I227" i="16"/>
  <c r="G227" i="16"/>
  <c r="E227" i="16"/>
  <c r="F227" i="16" s="1"/>
  <c r="N219" i="16"/>
  <c r="M219" i="16"/>
  <c r="L219" i="16"/>
  <c r="K219" i="16"/>
  <c r="J219" i="16"/>
  <c r="I219" i="16"/>
  <c r="G219" i="16"/>
  <c r="E219" i="16"/>
  <c r="F219" i="16" s="1"/>
  <c r="N224" i="16"/>
  <c r="M224" i="16"/>
  <c r="L224" i="16"/>
  <c r="K224" i="16"/>
  <c r="J224" i="16"/>
  <c r="I224" i="16"/>
  <c r="G224" i="16"/>
  <c r="E224" i="16"/>
  <c r="F224" i="16" s="1"/>
  <c r="N213" i="16"/>
  <c r="M213" i="16"/>
  <c r="L213" i="16"/>
  <c r="K213" i="16"/>
  <c r="J213" i="16"/>
  <c r="I213" i="16"/>
  <c r="G213" i="16"/>
  <c r="E213" i="16"/>
  <c r="F213" i="16" s="1"/>
  <c r="N226" i="16"/>
  <c r="M226" i="16"/>
  <c r="L226" i="16"/>
  <c r="K226" i="16"/>
  <c r="J226" i="16"/>
  <c r="I226" i="16"/>
  <c r="G226" i="16"/>
  <c r="E226" i="16"/>
  <c r="F226" i="16" s="1"/>
  <c r="N223" i="16"/>
  <c r="M223" i="16"/>
  <c r="L223" i="16"/>
  <c r="K223" i="16"/>
  <c r="J223" i="16"/>
  <c r="I223" i="16"/>
  <c r="G223" i="16"/>
  <c r="E223" i="16"/>
  <c r="F223" i="16" s="1"/>
  <c r="N215" i="16"/>
  <c r="M215" i="16"/>
  <c r="L215" i="16"/>
  <c r="K215" i="16"/>
  <c r="J215" i="16"/>
  <c r="I215" i="16"/>
  <c r="G215" i="16"/>
  <c r="E215" i="16"/>
  <c r="F215" i="16" s="1"/>
  <c r="N218" i="16"/>
  <c r="M218" i="16"/>
  <c r="L218" i="16"/>
  <c r="K218" i="16"/>
  <c r="J218" i="16"/>
  <c r="I218" i="16"/>
  <c r="G218" i="16"/>
  <c r="E218" i="16"/>
  <c r="F218" i="16" s="1"/>
  <c r="H218" i="16" s="1"/>
  <c r="N217" i="16"/>
  <c r="M217" i="16"/>
  <c r="L217" i="16"/>
  <c r="K217" i="16"/>
  <c r="J217" i="16"/>
  <c r="I217" i="16"/>
  <c r="G217" i="16"/>
  <c r="E217" i="16"/>
  <c r="F217" i="16" s="1"/>
  <c r="N229" i="16"/>
  <c r="M229" i="16"/>
  <c r="L229" i="16"/>
  <c r="K229" i="16"/>
  <c r="J229" i="16"/>
  <c r="I229" i="16"/>
  <c r="G229" i="16"/>
  <c r="E229" i="16"/>
  <c r="F229" i="16" s="1"/>
  <c r="H190" i="16"/>
  <c r="G190" i="16"/>
  <c r="N189" i="16"/>
  <c r="M189" i="16"/>
  <c r="L189" i="16"/>
  <c r="K189" i="16"/>
  <c r="J189" i="16"/>
  <c r="I189" i="16"/>
  <c r="H189" i="16"/>
  <c r="G189" i="16"/>
  <c r="P111" i="16"/>
  <c r="H136" i="16"/>
  <c r="G136" i="16"/>
  <c r="N135" i="16"/>
  <c r="M135" i="16"/>
  <c r="L135" i="16"/>
  <c r="K135" i="16"/>
  <c r="J135" i="16"/>
  <c r="I135" i="16"/>
  <c r="H135" i="16"/>
  <c r="G135" i="16"/>
  <c r="N128" i="16"/>
  <c r="M128" i="16"/>
  <c r="L128" i="16"/>
  <c r="K128" i="16"/>
  <c r="J128" i="16"/>
  <c r="I128" i="16"/>
  <c r="G128" i="16"/>
  <c r="E128" i="16"/>
  <c r="F128" i="16" s="1"/>
  <c r="H128" i="16" s="1"/>
  <c r="N127" i="16"/>
  <c r="M127" i="16"/>
  <c r="L127" i="16"/>
  <c r="K127" i="16"/>
  <c r="J127" i="16"/>
  <c r="I127" i="16"/>
  <c r="G127" i="16"/>
  <c r="E127" i="16"/>
  <c r="F127" i="16" s="1"/>
  <c r="H127" i="16" s="1"/>
  <c r="N126" i="16"/>
  <c r="M126" i="16"/>
  <c r="L126" i="16"/>
  <c r="K126" i="16"/>
  <c r="J126" i="16"/>
  <c r="I126" i="16"/>
  <c r="G126" i="16"/>
  <c r="E126" i="16"/>
  <c r="F126" i="16" s="1"/>
  <c r="H126" i="16" s="1"/>
  <c r="N125" i="16"/>
  <c r="M125" i="16"/>
  <c r="L125" i="16"/>
  <c r="K125" i="16"/>
  <c r="J125" i="16"/>
  <c r="I125" i="16"/>
  <c r="G125" i="16"/>
  <c r="E125" i="16"/>
  <c r="F125" i="16" s="1"/>
  <c r="H125" i="16" s="1"/>
  <c r="N124" i="16"/>
  <c r="M124" i="16"/>
  <c r="L124" i="16"/>
  <c r="K124" i="16"/>
  <c r="J124" i="16"/>
  <c r="I124" i="16"/>
  <c r="S124" i="16" s="1"/>
  <c r="U124" i="16" s="1"/>
  <c r="G124" i="16"/>
  <c r="E124" i="16"/>
  <c r="F124" i="16" s="1"/>
  <c r="H124" i="16" s="1"/>
  <c r="N123" i="16"/>
  <c r="M123" i="16"/>
  <c r="L123" i="16"/>
  <c r="K123" i="16"/>
  <c r="J123" i="16"/>
  <c r="I123" i="16"/>
  <c r="G123" i="16"/>
  <c r="E123" i="16"/>
  <c r="F123" i="16" s="1"/>
  <c r="H123" i="16" s="1"/>
  <c r="N122" i="16"/>
  <c r="M122" i="16"/>
  <c r="L122" i="16"/>
  <c r="K122" i="16"/>
  <c r="J122" i="16"/>
  <c r="I122" i="16"/>
  <c r="G122" i="16"/>
  <c r="E122" i="16"/>
  <c r="F122" i="16" s="1"/>
  <c r="H122" i="16" s="1"/>
  <c r="N121" i="16"/>
  <c r="M121" i="16"/>
  <c r="L121" i="16"/>
  <c r="K121" i="16"/>
  <c r="J121" i="16"/>
  <c r="I121" i="16"/>
  <c r="G121" i="16"/>
  <c r="E121" i="16"/>
  <c r="F121" i="16" s="1"/>
  <c r="H121" i="16" s="1"/>
  <c r="N120" i="16"/>
  <c r="M120" i="16"/>
  <c r="L120" i="16"/>
  <c r="K120" i="16"/>
  <c r="J120" i="16"/>
  <c r="I120" i="16"/>
  <c r="G120" i="16"/>
  <c r="E120" i="16"/>
  <c r="F120" i="16" s="1"/>
  <c r="H120" i="16" s="1"/>
  <c r="N119" i="16"/>
  <c r="M119" i="16"/>
  <c r="L119" i="16"/>
  <c r="K119" i="16"/>
  <c r="J119" i="16"/>
  <c r="I119" i="16"/>
  <c r="G119" i="16"/>
  <c r="E119" i="16"/>
  <c r="F119" i="16" s="1"/>
  <c r="H119" i="16" s="1"/>
  <c r="N118" i="16"/>
  <c r="M118" i="16"/>
  <c r="L118" i="16"/>
  <c r="K118" i="16"/>
  <c r="J118" i="16"/>
  <c r="I118" i="16"/>
  <c r="G118" i="16"/>
  <c r="E118" i="16"/>
  <c r="F118" i="16" s="1"/>
  <c r="H118" i="16" s="1"/>
  <c r="N117" i="16"/>
  <c r="M117" i="16"/>
  <c r="L117" i="16"/>
  <c r="K117" i="16"/>
  <c r="J117" i="16"/>
  <c r="I117" i="16"/>
  <c r="G117" i="16"/>
  <c r="E117" i="16"/>
  <c r="F117" i="16" s="1"/>
  <c r="H117" i="16" s="1"/>
  <c r="N111" i="16"/>
  <c r="M111" i="16"/>
  <c r="L111" i="16"/>
  <c r="K111" i="16"/>
  <c r="J111" i="16"/>
  <c r="I111" i="16"/>
  <c r="G111" i="16"/>
  <c r="E111" i="16"/>
  <c r="F111" i="16" s="1"/>
  <c r="H111" i="16" s="1"/>
  <c r="N110" i="16"/>
  <c r="M110" i="16"/>
  <c r="L110" i="16"/>
  <c r="K110" i="16"/>
  <c r="J110" i="16"/>
  <c r="I110" i="16"/>
  <c r="G110" i="16"/>
  <c r="E110" i="16"/>
  <c r="F110" i="16" s="1"/>
  <c r="H110" i="16" s="1"/>
  <c r="N109" i="16"/>
  <c r="M109" i="16"/>
  <c r="L109" i="16"/>
  <c r="K109" i="16"/>
  <c r="J109" i="16"/>
  <c r="I109" i="16"/>
  <c r="G109" i="16"/>
  <c r="E109" i="16"/>
  <c r="F109" i="16" s="1"/>
  <c r="H109" i="16" s="1"/>
  <c r="N108" i="16"/>
  <c r="M108" i="16"/>
  <c r="L108" i="16"/>
  <c r="K108" i="16"/>
  <c r="J108" i="16"/>
  <c r="I108" i="16"/>
  <c r="G108" i="16"/>
  <c r="E108" i="16"/>
  <c r="F108" i="16" s="1"/>
  <c r="H108" i="16" s="1"/>
  <c r="N107" i="16"/>
  <c r="M107" i="16"/>
  <c r="L107" i="16"/>
  <c r="K107" i="16"/>
  <c r="J107" i="16"/>
  <c r="I107" i="16"/>
  <c r="G107" i="16"/>
  <c r="E107" i="16"/>
  <c r="F107" i="16" s="1"/>
  <c r="H107" i="16" s="1"/>
  <c r="N106" i="16"/>
  <c r="M106" i="16"/>
  <c r="L106" i="16"/>
  <c r="K106" i="16"/>
  <c r="J106" i="16"/>
  <c r="I106" i="16"/>
  <c r="G106" i="16"/>
  <c r="E106" i="16"/>
  <c r="F106" i="16" s="1"/>
  <c r="H106" i="16" s="1"/>
  <c r="N105" i="16"/>
  <c r="M105" i="16"/>
  <c r="L105" i="16"/>
  <c r="K105" i="16"/>
  <c r="J105" i="16"/>
  <c r="I105" i="16"/>
  <c r="G105" i="16"/>
  <c r="E105" i="16"/>
  <c r="F105" i="16" s="1"/>
  <c r="H105" i="16" s="1"/>
  <c r="N104" i="16"/>
  <c r="M104" i="16"/>
  <c r="L104" i="16"/>
  <c r="K104" i="16"/>
  <c r="J104" i="16"/>
  <c r="I104" i="16"/>
  <c r="G104" i="16"/>
  <c r="E104" i="16"/>
  <c r="F104" i="16" s="1"/>
  <c r="H104" i="16" s="1"/>
  <c r="N103" i="16"/>
  <c r="M103" i="16"/>
  <c r="L103" i="16"/>
  <c r="K103" i="16"/>
  <c r="J103" i="16"/>
  <c r="I103" i="16"/>
  <c r="G103" i="16"/>
  <c r="E103" i="16"/>
  <c r="F103" i="16" s="1"/>
  <c r="H103" i="16" s="1"/>
  <c r="N102" i="16"/>
  <c r="M102" i="16"/>
  <c r="L102" i="16"/>
  <c r="K102" i="16"/>
  <c r="J102" i="16"/>
  <c r="I102" i="16"/>
  <c r="G102" i="16"/>
  <c r="E102" i="16"/>
  <c r="F102" i="16" s="1"/>
  <c r="H102" i="16" s="1"/>
  <c r="N101" i="16"/>
  <c r="M101" i="16"/>
  <c r="L101" i="16"/>
  <c r="K101" i="16"/>
  <c r="J101" i="16"/>
  <c r="I101" i="16"/>
  <c r="G101" i="16"/>
  <c r="E101" i="16"/>
  <c r="F101" i="16" s="1"/>
  <c r="H101" i="16" s="1"/>
  <c r="N100" i="16"/>
  <c r="M100" i="16"/>
  <c r="L100" i="16"/>
  <c r="K100" i="16"/>
  <c r="J100" i="16"/>
  <c r="I100" i="16"/>
  <c r="G100" i="16"/>
  <c r="E100" i="16"/>
  <c r="F100" i="16" s="1"/>
  <c r="H100" i="16" s="1"/>
  <c r="N99" i="16"/>
  <c r="M99" i="16"/>
  <c r="L99" i="16"/>
  <c r="K99" i="16"/>
  <c r="J99" i="16"/>
  <c r="I99" i="16"/>
  <c r="G99" i="16"/>
  <c r="E99" i="16"/>
  <c r="F99" i="16" s="1"/>
  <c r="H99" i="16" s="1"/>
  <c r="N98" i="16"/>
  <c r="M98" i="16"/>
  <c r="L98" i="16"/>
  <c r="K98" i="16"/>
  <c r="J98" i="16"/>
  <c r="I98" i="16"/>
  <c r="G98" i="16"/>
  <c r="E98" i="16"/>
  <c r="F98" i="16" s="1"/>
  <c r="H98" i="16" s="1"/>
  <c r="N97" i="16"/>
  <c r="M97" i="16"/>
  <c r="L97" i="16"/>
  <c r="K97" i="16"/>
  <c r="J97" i="16"/>
  <c r="I97" i="16"/>
  <c r="G97" i="16"/>
  <c r="E97" i="16"/>
  <c r="F97" i="16" s="1"/>
  <c r="H97" i="16" s="1"/>
  <c r="N96" i="16"/>
  <c r="M96" i="16"/>
  <c r="L96" i="16"/>
  <c r="J96" i="16"/>
  <c r="I96" i="16"/>
  <c r="G96" i="16"/>
  <c r="E96" i="16"/>
  <c r="F96" i="16" s="1"/>
  <c r="H96" i="16" s="1"/>
  <c r="N95" i="16"/>
  <c r="M95" i="16"/>
  <c r="L95" i="16"/>
  <c r="K95" i="16"/>
  <c r="J95" i="16"/>
  <c r="I95" i="16"/>
  <c r="G95" i="16"/>
  <c r="E95" i="16"/>
  <c r="F95" i="16" s="1"/>
  <c r="H95" i="16" s="1"/>
  <c r="H86" i="16"/>
  <c r="H85" i="16"/>
  <c r="G86" i="16"/>
  <c r="G85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137" i="17"/>
  <c r="G78" i="16"/>
  <c r="G77" i="16"/>
  <c r="G76" i="16"/>
  <c r="G75" i="16"/>
  <c r="G74" i="16"/>
  <c r="G73" i="16"/>
  <c r="G72" i="16"/>
  <c r="G71" i="16"/>
  <c r="G70" i="16"/>
  <c r="G69" i="16"/>
  <c r="G68" i="16"/>
  <c r="G67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45" i="16"/>
  <c r="N85" i="16"/>
  <c r="M85" i="16"/>
  <c r="L85" i="16"/>
  <c r="K85" i="16"/>
  <c r="J85" i="16"/>
  <c r="I85" i="16"/>
  <c r="E68" i="16"/>
  <c r="F68" i="16" s="1"/>
  <c r="H68" i="16" s="1"/>
  <c r="E69" i="16"/>
  <c r="F69" i="16" s="1"/>
  <c r="H69" i="16" s="1"/>
  <c r="E70" i="16"/>
  <c r="F70" i="16" s="1"/>
  <c r="H70" i="16" s="1"/>
  <c r="E71" i="16"/>
  <c r="F71" i="16" s="1"/>
  <c r="H71" i="16" s="1"/>
  <c r="E72" i="16"/>
  <c r="F72" i="16" s="1"/>
  <c r="H72" i="16" s="1"/>
  <c r="E73" i="16"/>
  <c r="F73" i="16" s="1"/>
  <c r="H73" i="16" s="1"/>
  <c r="E74" i="16"/>
  <c r="F74" i="16" s="1"/>
  <c r="H74" i="16" s="1"/>
  <c r="E75" i="16"/>
  <c r="F75" i="16" s="1"/>
  <c r="H75" i="16" s="1"/>
  <c r="E76" i="16"/>
  <c r="F76" i="16" s="1"/>
  <c r="H76" i="16" s="1"/>
  <c r="E77" i="16"/>
  <c r="F77" i="16" s="1"/>
  <c r="H77" i="16" s="1"/>
  <c r="E78" i="16"/>
  <c r="F78" i="16" s="1"/>
  <c r="H78" i="16" s="1"/>
  <c r="E67" i="16"/>
  <c r="F67" i="16" s="1"/>
  <c r="H67" i="16" s="1"/>
  <c r="N78" i="16"/>
  <c r="M78" i="16"/>
  <c r="L78" i="16"/>
  <c r="K78" i="16"/>
  <c r="J78" i="16"/>
  <c r="I78" i="16"/>
  <c r="N77" i="16"/>
  <c r="M77" i="16"/>
  <c r="L77" i="16"/>
  <c r="K77" i="16"/>
  <c r="J77" i="16"/>
  <c r="I77" i="16"/>
  <c r="N76" i="16"/>
  <c r="M76" i="16"/>
  <c r="L76" i="16"/>
  <c r="K76" i="16"/>
  <c r="J76" i="16"/>
  <c r="I76" i="16"/>
  <c r="N75" i="16"/>
  <c r="M75" i="16"/>
  <c r="L75" i="16"/>
  <c r="K75" i="16"/>
  <c r="J75" i="16"/>
  <c r="I75" i="16"/>
  <c r="N74" i="16"/>
  <c r="M74" i="16"/>
  <c r="L74" i="16"/>
  <c r="K74" i="16"/>
  <c r="J74" i="16"/>
  <c r="I74" i="16"/>
  <c r="N73" i="16"/>
  <c r="M73" i="16"/>
  <c r="L73" i="16"/>
  <c r="K73" i="16"/>
  <c r="J73" i="16"/>
  <c r="I73" i="16"/>
  <c r="N72" i="16"/>
  <c r="M72" i="16"/>
  <c r="L72" i="16"/>
  <c r="K72" i="16"/>
  <c r="J72" i="16"/>
  <c r="I72" i="16"/>
  <c r="N71" i="16"/>
  <c r="M71" i="16"/>
  <c r="L71" i="16"/>
  <c r="K71" i="16"/>
  <c r="J71" i="16"/>
  <c r="I71" i="16"/>
  <c r="N70" i="16"/>
  <c r="M70" i="16"/>
  <c r="L70" i="16"/>
  <c r="K70" i="16"/>
  <c r="J70" i="16"/>
  <c r="I70" i="16"/>
  <c r="N69" i="16"/>
  <c r="M69" i="16"/>
  <c r="L69" i="16"/>
  <c r="K69" i="16"/>
  <c r="J69" i="16"/>
  <c r="I69" i="16"/>
  <c r="N68" i="16"/>
  <c r="M68" i="16"/>
  <c r="L68" i="16"/>
  <c r="K68" i="16"/>
  <c r="J68" i="16"/>
  <c r="I68" i="16"/>
  <c r="N67" i="16"/>
  <c r="M67" i="16"/>
  <c r="L67" i="16"/>
  <c r="K67" i="16"/>
  <c r="J67" i="16"/>
  <c r="I67" i="16"/>
  <c r="E46" i="16"/>
  <c r="F46" i="16" s="1"/>
  <c r="H46" i="16" s="1"/>
  <c r="E47" i="16"/>
  <c r="F47" i="16" s="1"/>
  <c r="H47" i="16" s="1"/>
  <c r="E48" i="16"/>
  <c r="F48" i="16" s="1"/>
  <c r="H48" i="16" s="1"/>
  <c r="E49" i="16"/>
  <c r="F49" i="16" s="1"/>
  <c r="H49" i="16" s="1"/>
  <c r="E50" i="16"/>
  <c r="F50" i="16" s="1"/>
  <c r="H50" i="16" s="1"/>
  <c r="E51" i="16"/>
  <c r="F51" i="16" s="1"/>
  <c r="H51" i="16" s="1"/>
  <c r="E52" i="16"/>
  <c r="F52" i="16" s="1"/>
  <c r="H52" i="16" s="1"/>
  <c r="E53" i="16"/>
  <c r="F53" i="16" s="1"/>
  <c r="H53" i="16" s="1"/>
  <c r="E54" i="16"/>
  <c r="F54" i="16" s="1"/>
  <c r="H54" i="16" s="1"/>
  <c r="E55" i="16"/>
  <c r="F55" i="16" s="1"/>
  <c r="H55" i="16" s="1"/>
  <c r="E56" i="16"/>
  <c r="F56" i="16" s="1"/>
  <c r="H56" i="16" s="1"/>
  <c r="E57" i="16"/>
  <c r="F57" i="16" s="1"/>
  <c r="H57" i="16" s="1"/>
  <c r="E58" i="16"/>
  <c r="F58" i="16" s="1"/>
  <c r="H58" i="16" s="1"/>
  <c r="E59" i="16"/>
  <c r="F59" i="16" s="1"/>
  <c r="H59" i="16" s="1"/>
  <c r="E60" i="16"/>
  <c r="F60" i="16" s="1"/>
  <c r="H60" i="16" s="1"/>
  <c r="E61" i="16"/>
  <c r="F61" i="16" s="1"/>
  <c r="H61" i="16" s="1"/>
  <c r="E45" i="16"/>
  <c r="F45" i="16" s="1"/>
  <c r="H45" i="16" s="1"/>
  <c r="N61" i="16"/>
  <c r="M61" i="16"/>
  <c r="L61" i="16"/>
  <c r="K61" i="16"/>
  <c r="J61" i="16"/>
  <c r="I61" i="16"/>
  <c r="N60" i="16"/>
  <c r="M60" i="16"/>
  <c r="L60" i="16"/>
  <c r="K60" i="16"/>
  <c r="J60" i="16"/>
  <c r="I60" i="16"/>
  <c r="N59" i="16"/>
  <c r="M59" i="16"/>
  <c r="L59" i="16"/>
  <c r="K59" i="16"/>
  <c r="J59" i="16"/>
  <c r="I59" i="16"/>
  <c r="N58" i="16"/>
  <c r="M58" i="16"/>
  <c r="L58" i="16"/>
  <c r="K58" i="16"/>
  <c r="J58" i="16"/>
  <c r="I58" i="16"/>
  <c r="N57" i="16"/>
  <c r="M57" i="16"/>
  <c r="L57" i="16"/>
  <c r="K57" i="16"/>
  <c r="J57" i="16"/>
  <c r="I57" i="16"/>
  <c r="N56" i="16"/>
  <c r="M56" i="16"/>
  <c r="L56" i="16"/>
  <c r="K56" i="16"/>
  <c r="J56" i="16"/>
  <c r="I56" i="16"/>
  <c r="N55" i="16"/>
  <c r="M55" i="16"/>
  <c r="L55" i="16"/>
  <c r="K55" i="16"/>
  <c r="J55" i="16"/>
  <c r="I55" i="16"/>
  <c r="N54" i="16"/>
  <c r="M54" i="16"/>
  <c r="L54" i="16"/>
  <c r="K54" i="16"/>
  <c r="J54" i="16"/>
  <c r="I54" i="16"/>
  <c r="N53" i="16"/>
  <c r="M53" i="16"/>
  <c r="L53" i="16"/>
  <c r="K53" i="16"/>
  <c r="J53" i="16"/>
  <c r="I53" i="16"/>
  <c r="N52" i="16"/>
  <c r="M52" i="16"/>
  <c r="L52" i="16"/>
  <c r="K52" i="16"/>
  <c r="J52" i="16"/>
  <c r="I52" i="16"/>
  <c r="N51" i="16"/>
  <c r="M51" i="16"/>
  <c r="L51" i="16"/>
  <c r="K51" i="16"/>
  <c r="J51" i="16"/>
  <c r="I51" i="16"/>
  <c r="N50" i="16"/>
  <c r="M50" i="16"/>
  <c r="L50" i="16"/>
  <c r="K50" i="16"/>
  <c r="J50" i="16"/>
  <c r="I50" i="16"/>
  <c r="N49" i="16"/>
  <c r="M49" i="16"/>
  <c r="L49" i="16"/>
  <c r="K49" i="16"/>
  <c r="J49" i="16"/>
  <c r="I49" i="16"/>
  <c r="N48" i="16"/>
  <c r="M48" i="16"/>
  <c r="L48" i="16"/>
  <c r="K48" i="16"/>
  <c r="J48" i="16"/>
  <c r="I48" i="16"/>
  <c r="N47" i="16"/>
  <c r="M47" i="16"/>
  <c r="L47" i="16"/>
  <c r="K47" i="16"/>
  <c r="J47" i="16"/>
  <c r="I47" i="16"/>
  <c r="N46" i="16"/>
  <c r="M46" i="16"/>
  <c r="L46" i="16"/>
  <c r="K46" i="16"/>
  <c r="J46" i="16"/>
  <c r="I46" i="16"/>
  <c r="N45" i="16"/>
  <c r="M45" i="16"/>
  <c r="L45" i="16"/>
  <c r="K45" i="16"/>
  <c r="J45" i="16"/>
  <c r="I45" i="16"/>
  <c r="D7" i="16"/>
  <c r="E7" i="16" s="1"/>
  <c r="E4" i="16" s="1"/>
  <c r="E3" i="16"/>
  <c r="F9" i="16" s="1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44" i="13"/>
  <c r="N8" i="13"/>
  <c r="N9" i="13"/>
  <c r="L32" i="13"/>
  <c r="O44" i="13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O14" i="13" s="1"/>
  <c r="L15" i="13"/>
  <c r="M15" i="13" s="1"/>
  <c r="L16" i="13"/>
  <c r="M16" i="13" s="1"/>
  <c r="L17" i="13"/>
  <c r="M17" i="13" s="1"/>
  <c r="L18" i="13"/>
  <c r="M18" i="13" s="1"/>
  <c r="L19" i="13"/>
  <c r="M19" i="13" s="1"/>
  <c r="O19" i="13" s="1"/>
  <c r="L20" i="13"/>
  <c r="M20" i="13" s="1"/>
  <c r="L21" i="13"/>
  <c r="M21" i="13" s="1"/>
  <c r="L22" i="13"/>
  <c r="M22" i="13" s="1"/>
  <c r="L23" i="13"/>
  <c r="M23" i="13" s="1"/>
  <c r="L24" i="13"/>
  <c r="M24" i="13" s="1"/>
  <c r="L27" i="13"/>
  <c r="M27" i="13" s="1"/>
  <c r="L28" i="13"/>
  <c r="M28" i="13" s="1"/>
  <c r="L29" i="13"/>
  <c r="M29" i="13" s="1"/>
  <c r="L30" i="13"/>
  <c r="M30" i="13" s="1"/>
  <c r="L31" i="13"/>
  <c r="M31" i="13" s="1"/>
  <c r="L33" i="13"/>
  <c r="M33" i="13" s="1"/>
  <c r="L34" i="13"/>
  <c r="M34" i="13" s="1"/>
  <c r="L35" i="13"/>
  <c r="M35" i="13" s="1"/>
  <c r="L36" i="13"/>
  <c r="M36" i="13" s="1"/>
  <c r="L37" i="13"/>
  <c r="M37" i="13" s="1"/>
  <c r="L38" i="13"/>
  <c r="M38" i="13" s="1"/>
  <c r="L8" i="13"/>
  <c r="M8" i="13" s="1"/>
  <c r="N25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45" i="13"/>
  <c r="T44" i="13"/>
  <c r="U44" i="13"/>
  <c r="S44" i="13"/>
  <c r="P44" i="13"/>
  <c r="P8" i="13"/>
  <c r="R44" i="13"/>
  <c r="Q44" i="13"/>
  <c r="W24" i="13"/>
  <c r="W9" i="13"/>
  <c r="W18" i="13"/>
  <c r="N22" i="22" l="1"/>
  <c r="O22" i="22" s="1"/>
  <c r="N13" i="22"/>
  <c r="O13" i="22" s="1"/>
  <c r="N25" i="22"/>
  <c r="O25" i="22" s="1"/>
  <c r="N20" i="22"/>
  <c r="O20" i="22" s="1"/>
  <c r="N21" i="22"/>
  <c r="O21" i="22" s="1"/>
  <c r="N23" i="22"/>
  <c r="O23" i="22" s="1"/>
  <c r="N15" i="22"/>
  <c r="O15" i="22" s="1"/>
  <c r="N16" i="22"/>
  <c r="O16" i="22" s="1"/>
  <c r="N11" i="22"/>
  <c r="N17" i="22"/>
  <c r="O17" i="22" s="1"/>
  <c r="N24" i="22"/>
  <c r="O24" i="22" s="1"/>
  <c r="N26" i="22"/>
  <c r="O26" i="22" s="1"/>
  <c r="N12" i="22"/>
  <c r="O12" i="22" s="1"/>
  <c r="N18" i="22"/>
  <c r="O18" i="22" s="1"/>
  <c r="N19" i="22"/>
  <c r="O19" i="22" s="1"/>
  <c r="N27" i="22"/>
  <c r="O27" i="22" s="1"/>
  <c r="N14" i="22"/>
  <c r="O14" i="22" s="1"/>
  <c r="S125" i="16"/>
  <c r="U125" i="16" s="1"/>
  <c r="V125" i="16" s="1"/>
  <c r="W125" i="16" s="1"/>
  <c r="O227" i="16"/>
  <c r="P227" i="16" s="1"/>
  <c r="R227" i="16" s="1"/>
  <c r="Q217" i="16"/>
  <c r="R221" i="16"/>
  <c r="Q215" i="16"/>
  <c r="H215" i="16"/>
  <c r="O219" i="16"/>
  <c r="P219" i="16" s="1"/>
  <c r="R219" i="16" s="1"/>
  <c r="O225" i="16"/>
  <c r="P225" i="16" s="1"/>
  <c r="R225" i="16" s="1"/>
  <c r="O224" i="16"/>
  <c r="P224" i="16" s="1"/>
  <c r="R224" i="16" s="1"/>
  <c r="O222" i="16"/>
  <c r="P222" i="16" s="1"/>
  <c r="R222" i="16" s="1"/>
  <c r="O228" i="16"/>
  <c r="P228" i="16" s="1"/>
  <c r="R228" i="16" s="1"/>
  <c r="O223" i="16"/>
  <c r="P223" i="16" s="1"/>
  <c r="R223" i="16" s="1"/>
  <c r="O226" i="16"/>
  <c r="P226" i="16" s="1"/>
  <c r="R226" i="16" s="1"/>
  <c r="O213" i="16"/>
  <c r="P213" i="16" s="1"/>
  <c r="R213" i="16" s="1"/>
  <c r="O215" i="16"/>
  <c r="P215" i="16" s="1"/>
  <c r="R215" i="16" s="1"/>
  <c r="O214" i="16"/>
  <c r="P214" i="16" s="1"/>
  <c r="R214" i="16" s="1"/>
  <c r="O218" i="16"/>
  <c r="P218" i="16" s="1"/>
  <c r="R218" i="16" s="1"/>
  <c r="O217" i="16"/>
  <c r="P217" i="16" s="1"/>
  <c r="Q228" i="16"/>
  <c r="O216" i="16"/>
  <c r="P216" i="16" s="1"/>
  <c r="R216" i="16" s="1"/>
  <c r="P190" i="16"/>
  <c r="Q190" i="16" s="1"/>
  <c r="O229" i="16"/>
  <c r="P229" i="16" s="1"/>
  <c r="R229" i="16" s="1"/>
  <c r="Q218" i="16"/>
  <c r="O220" i="16"/>
  <c r="P220" i="16" s="1"/>
  <c r="R220" i="16" s="1"/>
  <c r="Q214" i="16"/>
  <c r="H214" i="16"/>
  <c r="Q220" i="16"/>
  <c r="H220" i="16"/>
  <c r="H229" i="16"/>
  <c r="Q229" i="16"/>
  <c r="H216" i="16"/>
  <c r="Q216" i="16"/>
  <c r="Q219" i="16"/>
  <c r="H219" i="16"/>
  <c r="H225" i="16"/>
  <c r="Q225" i="16"/>
  <c r="H224" i="16"/>
  <c r="Q224" i="16"/>
  <c r="H222" i="16"/>
  <c r="Q222" i="16"/>
  <c r="H217" i="16"/>
  <c r="H228" i="16"/>
  <c r="Q226" i="16"/>
  <c r="H226" i="16"/>
  <c r="Q227" i="16"/>
  <c r="Q221" i="16"/>
  <c r="Q223" i="16"/>
  <c r="Q213" i="16"/>
  <c r="H227" i="16"/>
  <c r="H223" i="16"/>
  <c r="H213" i="16"/>
  <c r="P189" i="16"/>
  <c r="O189" i="16"/>
  <c r="O190" i="16"/>
  <c r="S120" i="16"/>
  <c r="U120" i="16" s="1"/>
  <c r="V120" i="16" s="1"/>
  <c r="W120" i="16" s="1"/>
  <c r="S121" i="16"/>
  <c r="U121" i="16" s="1"/>
  <c r="V121" i="16" s="1"/>
  <c r="W121" i="16" s="1"/>
  <c r="P135" i="16"/>
  <c r="C150" i="16" s="1"/>
  <c r="V124" i="16"/>
  <c r="W124" i="16" s="1"/>
  <c r="S117" i="16"/>
  <c r="T117" i="16" s="1"/>
  <c r="Q127" i="16"/>
  <c r="Q106" i="16"/>
  <c r="P136" i="16"/>
  <c r="C146" i="16" s="1"/>
  <c r="D175" i="16"/>
  <c r="S128" i="16"/>
  <c r="T128" i="16" s="1"/>
  <c r="Q105" i="16"/>
  <c r="Q128" i="16"/>
  <c r="T124" i="16"/>
  <c r="S122" i="16"/>
  <c r="U122" i="16" s="1"/>
  <c r="V122" i="16" s="1"/>
  <c r="W122" i="16" s="1"/>
  <c r="Q107" i="16"/>
  <c r="Q126" i="16"/>
  <c r="S119" i="16"/>
  <c r="Q104" i="16"/>
  <c r="Q125" i="16"/>
  <c r="S118" i="16"/>
  <c r="Q103" i="16"/>
  <c r="Q124" i="16"/>
  <c r="Q102" i="16"/>
  <c r="Q123" i="16"/>
  <c r="Q101" i="16"/>
  <c r="Q122" i="16"/>
  <c r="S127" i="16"/>
  <c r="Q100" i="16"/>
  <c r="Q121" i="16"/>
  <c r="S126" i="16"/>
  <c r="T126" i="16" s="1"/>
  <c r="Q95" i="16"/>
  <c r="Q99" i="16"/>
  <c r="Q120" i="16"/>
  <c r="Q110" i="16"/>
  <c r="Q98" i="16"/>
  <c r="Q119" i="16"/>
  <c r="Q109" i="16"/>
  <c r="Q97" i="16"/>
  <c r="Q118" i="16"/>
  <c r="S123" i="16"/>
  <c r="U123" i="16" s="1"/>
  <c r="V123" i="16" s="1"/>
  <c r="W123" i="16" s="1"/>
  <c r="Q108" i="16"/>
  <c r="Q96" i="16"/>
  <c r="Q117" i="16"/>
  <c r="Q111" i="16"/>
  <c r="O104" i="16"/>
  <c r="P104" i="16" s="1"/>
  <c r="O125" i="16"/>
  <c r="P125" i="16" s="1"/>
  <c r="F4" i="16"/>
  <c r="F3" i="16" s="1"/>
  <c r="R111" i="16"/>
  <c r="O105" i="16"/>
  <c r="P105" i="16" s="1"/>
  <c r="O126" i="16"/>
  <c r="P126" i="16" s="1"/>
  <c r="O103" i="16"/>
  <c r="P103" i="16" s="1"/>
  <c r="O124" i="16"/>
  <c r="P124" i="16" s="1"/>
  <c r="O102" i="16"/>
  <c r="P102" i="16" s="1"/>
  <c r="O123" i="16"/>
  <c r="P123" i="16" s="1"/>
  <c r="O101" i="16"/>
  <c r="P101" i="16" s="1"/>
  <c r="O122" i="16"/>
  <c r="P122" i="16" s="1"/>
  <c r="O100" i="16"/>
  <c r="P100" i="16" s="1"/>
  <c r="O121" i="16"/>
  <c r="P121" i="16" s="1"/>
  <c r="O95" i="16"/>
  <c r="P95" i="16" s="1"/>
  <c r="O99" i="16"/>
  <c r="P99" i="16" s="1"/>
  <c r="O120" i="16"/>
  <c r="P120" i="16" s="1"/>
  <c r="O110" i="16"/>
  <c r="P110" i="16" s="1"/>
  <c r="O98" i="16"/>
  <c r="P98" i="16" s="1"/>
  <c r="O119" i="16"/>
  <c r="P119" i="16" s="1"/>
  <c r="O109" i="16"/>
  <c r="P109" i="16" s="1"/>
  <c r="O97" i="16"/>
  <c r="P97" i="16" s="1"/>
  <c r="O118" i="16"/>
  <c r="P118" i="16" s="1"/>
  <c r="O108" i="16"/>
  <c r="P108" i="16" s="1"/>
  <c r="O96" i="16"/>
  <c r="P96" i="16" s="1"/>
  <c r="O117" i="16"/>
  <c r="P117" i="16" s="1"/>
  <c r="O107" i="16"/>
  <c r="P107" i="16" s="1"/>
  <c r="O128" i="16"/>
  <c r="P128" i="16" s="1"/>
  <c r="O136" i="16"/>
  <c r="O106" i="16"/>
  <c r="P106" i="16" s="1"/>
  <c r="O127" i="16"/>
  <c r="P127" i="16" s="1"/>
  <c r="O135" i="16"/>
  <c r="F19" i="16"/>
  <c r="F18" i="16"/>
  <c r="F7" i="16"/>
  <c r="F31" i="16"/>
  <c r="F30" i="16"/>
  <c r="F24" i="16"/>
  <c r="F12" i="16"/>
  <c r="F32" i="16"/>
  <c r="F20" i="16"/>
  <c r="F8" i="16"/>
  <c r="F29" i="16"/>
  <c r="F17" i="16"/>
  <c r="F28" i="16"/>
  <c r="F16" i="16"/>
  <c r="F27" i="16"/>
  <c r="F15" i="16"/>
  <c r="F26" i="16"/>
  <c r="F14" i="16"/>
  <c r="F25" i="16"/>
  <c r="F13" i="16"/>
  <c r="F11" i="16"/>
  <c r="F34" i="16"/>
  <c r="F10" i="16"/>
  <c r="F23" i="16"/>
  <c r="F22" i="16"/>
  <c r="F33" i="16"/>
  <c r="F21" i="16"/>
  <c r="O28" i="13"/>
  <c r="O12" i="13"/>
  <c r="O38" i="13"/>
  <c r="O30" i="13"/>
  <c r="O24" i="13"/>
  <c r="O37" i="13"/>
  <c r="O17" i="13"/>
  <c r="O27" i="13"/>
  <c r="O36" i="13"/>
  <c r="O9" i="13"/>
  <c r="O18" i="13"/>
  <c r="O13" i="13"/>
  <c r="O21" i="13"/>
  <c r="O35" i="13"/>
  <c r="O33" i="13"/>
  <c r="O31" i="13"/>
  <c r="O16" i="13"/>
  <c r="O29" i="13"/>
  <c r="O15" i="13"/>
  <c r="O23" i="13"/>
  <c r="O11" i="13"/>
  <c r="O22" i="13"/>
  <c r="O10" i="13"/>
  <c r="O34" i="13"/>
  <c r="O20" i="13"/>
  <c r="O8" i="13"/>
  <c r="M32" i="13"/>
  <c r="P27" i="13"/>
  <c r="Z27" i="13" s="1"/>
  <c r="Q27" i="13"/>
  <c r="R27" i="13"/>
  <c r="S27" i="13"/>
  <c r="T27" i="13"/>
  <c r="U27" i="13"/>
  <c r="P28" i="13"/>
  <c r="Z28" i="13" s="1"/>
  <c r="Q28" i="13"/>
  <c r="R28" i="13"/>
  <c r="S28" i="13"/>
  <c r="T28" i="13"/>
  <c r="U28" i="13"/>
  <c r="P29" i="13"/>
  <c r="Z29" i="13" s="1"/>
  <c r="AB29" i="13" s="1"/>
  <c r="Q29" i="13"/>
  <c r="R29" i="13"/>
  <c r="S29" i="13"/>
  <c r="T29" i="13"/>
  <c r="U29" i="13"/>
  <c r="P30" i="13"/>
  <c r="Z30" i="13" s="1"/>
  <c r="AB30" i="13" s="1"/>
  <c r="Q30" i="13"/>
  <c r="R30" i="13"/>
  <c r="S30" i="13"/>
  <c r="T30" i="13"/>
  <c r="U30" i="13"/>
  <c r="P31" i="13"/>
  <c r="Z31" i="13" s="1"/>
  <c r="AB31" i="13" s="1"/>
  <c r="Q31" i="13"/>
  <c r="R31" i="13"/>
  <c r="S31" i="13"/>
  <c r="T31" i="13"/>
  <c r="U31" i="13"/>
  <c r="P32" i="13"/>
  <c r="Z32" i="13" s="1"/>
  <c r="AB32" i="13" s="1"/>
  <c r="Q32" i="13"/>
  <c r="R32" i="13"/>
  <c r="S32" i="13"/>
  <c r="T32" i="13"/>
  <c r="U32" i="13"/>
  <c r="P33" i="13"/>
  <c r="Z33" i="13" s="1"/>
  <c r="Q33" i="13"/>
  <c r="R33" i="13"/>
  <c r="S33" i="13"/>
  <c r="T33" i="13"/>
  <c r="U33" i="13"/>
  <c r="P34" i="13"/>
  <c r="Z34" i="13" s="1"/>
  <c r="Q34" i="13"/>
  <c r="R34" i="13"/>
  <c r="S34" i="13"/>
  <c r="T34" i="13"/>
  <c r="U34" i="13"/>
  <c r="P35" i="13"/>
  <c r="Z35" i="13" s="1"/>
  <c r="Q35" i="13"/>
  <c r="R35" i="13"/>
  <c r="S35" i="13"/>
  <c r="T35" i="13"/>
  <c r="U35" i="13"/>
  <c r="P36" i="13"/>
  <c r="Z36" i="13" s="1"/>
  <c r="Q36" i="13"/>
  <c r="R36" i="13"/>
  <c r="S36" i="13"/>
  <c r="T36" i="13"/>
  <c r="U36" i="13"/>
  <c r="P37" i="13"/>
  <c r="Z37" i="13" s="1"/>
  <c r="AB37" i="13" s="1"/>
  <c r="Q37" i="13"/>
  <c r="R37" i="13"/>
  <c r="S37" i="13"/>
  <c r="T37" i="13"/>
  <c r="U37" i="13"/>
  <c r="P38" i="13"/>
  <c r="Z38" i="13" s="1"/>
  <c r="AB38" i="13" s="1"/>
  <c r="Q38" i="13"/>
  <c r="R38" i="13"/>
  <c r="S38" i="13"/>
  <c r="T38" i="13"/>
  <c r="U38" i="13"/>
  <c r="E5" i="13"/>
  <c r="U24" i="13"/>
  <c r="T24" i="13"/>
  <c r="S24" i="13"/>
  <c r="R24" i="13"/>
  <c r="Q24" i="13"/>
  <c r="P24" i="13"/>
  <c r="U23" i="13"/>
  <c r="T23" i="13"/>
  <c r="S23" i="13"/>
  <c r="R23" i="13"/>
  <c r="Q23" i="13"/>
  <c r="P23" i="13"/>
  <c r="U22" i="13"/>
  <c r="T22" i="13"/>
  <c r="S22" i="13"/>
  <c r="R22" i="13"/>
  <c r="Q22" i="13"/>
  <c r="P22" i="13"/>
  <c r="U21" i="13"/>
  <c r="T21" i="13"/>
  <c r="S21" i="13"/>
  <c r="R21" i="13"/>
  <c r="Q21" i="13"/>
  <c r="P21" i="13"/>
  <c r="U20" i="13"/>
  <c r="T20" i="13"/>
  <c r="S20" i="13"/>
  <c r="R20" i="13"/>
  <c r="Q20" i="13"/>
  <c r="P20" i="13"/>
  <c r="U19" i="13"/>
  <c r="T19" i="13"/>
  <c r="S19" i="13"/>
  <c r="R19" i="13"/>
  <c r="Q19" i="13"/>
  <c r="P19" i="13"/>
  <c r="U18" i="13"/>
  <c r="T18" i="13"/>
  <c r="S18" i="13"/>
  <c r="R18" i="13"/>
  <c r="Q18" i="13"/>
  <c r="P18" i="13"/>
  <c r="U17" i="13"/>
  <c r="T17" i="13"/>
  <c r="S17" i="13"/>
  <c r="R17" i="13"/>
  <c r="Q17" i="13"/>
  <c r="P17" i="13"/>
  <c r="U16" i="13"/>
  <c r="T16" i="13"/>
  <c r="S16" i="13"/>
  <c r="R16" i="13"/>
  <c r="Q16" i="13"/>
  <c r="P16" i="13"/>
  <c r="U15" i="13"/>
  <c r="T15" i="13"/>
  <c r="S15" i="13"/>
  <c r="R15" i="13"/>
  <c r="Q15" i="13"/>
  <c r="P15" i="13"/>
  <c r="U14" i="13"/>
  <c r="T14" i="13"/>
  <c r="S14" i="13"/>
  <c r="R14" i="13"/>
  <c r="Q14" i="13"/>
  <c r="P14" i="13"/>
  <c r="U13" i="13"/>
  <c r="T13" i="13"/>
  <c r="S13" i="13"/>
  <c r="R13" i="13"/>
  <c r="Q13" i="13"/>
  <c r="P13" i="13"/>
  <c r="U12" i="13"/>
  <c r="T12" i="13"/>
  <c r="S12" i="13"/>
  <c r="R12" i="13"/>
  <c r="Q12" i="13"/>
  <c r="P12" i="13"/>
  <c r="U11" i="13"/>
  <c r="T11" i="13"/>
  <c r="S11" i="13"/>
  <c r="R11" i="13"/>
  <c r="Q11" i="13"/>
  <c r="P11" i="13"/>
  <c r="U10" i="13"/>
  <c r="T10" i="13"/>
  <c r="S10" i="13"/>
  <c r="R10" i="13"/>
  <c r="Q10" i="13"/>
  <c r="P10" i="13"/>
  <c r="U9" i="13"/>
  <c r="T9" i="13"/>
  <c r="S9" i="13"/>
  <c r="R9" i="13"/>
  <c r="Q9" i="13"/>
  <c r="P9" i="13"/>
  <c r="U8" i="13"/>
  <c r="T8" i="13"/>
  <c r="S8" i="13"/>
  <c r="R8" i="13"/>
  <c r="Q8" i="13"/>
  <c r="E8" i="3"/>
  <c r="F8" i="3"/>
  <c r="G8" i="3"/>
  <c r="H8" i="3"/>
  <c r="I8" i="3"/>
  <c r="J8" i="3"/>
  <c r="E9" i="3"/>
  <c r="F9" i="3"/>
  <c r="G9" i="3"/>
  <c r="H9" i="3"/>
  <c r="I9" i="3"/>
  <c r="J9" i="3"/>
  <c r="E10" i="3"/>
  <c r="F10" i="3"/>
  <c r="G10" i="3"/>
  <c r="H10" i="3"/>
  <c r="I10" i="3"/>
  <c r="J10" i="3"/>
  <c r="E11" i="3"/>
  <c r="F11" i="3"/>
  <c r="G11" i="3"/>
  <c r="H11" i="3"/>
  <c r="I11" i="3"/>
  <c r="J11" i="3"/>
  <c r="E12" i="3"/>
  <c r="F12" i="3"/>
  <c r="G12" i="3"/>
  <c r="H12" i="3"/>
  <c r="I12" i="3"/>
  <c r="J12" i="3"/>
  <c r="E13" i="3"/>
  <c r="F13" i="3"/>
  <c r="G13" i="3"/>
  <c r="H13" i="3"/>
  <c r="I13" i="3"/>
  <c r="J13" i="3"/>
  <c r="E14" i="3"/>
  <c r="F14" i="3"/>
  <c r="G14" i="3"/>
  <c r="H14" i="3"/>
  <c r="I14" i="3"/>
  <c r="J14" i="3"/>
  <c r="E15" i="3"/>
  <c r="F15" i="3"/>
  <c r="G15" i="3"/>
  <c r="H15" i="3"/>
  <c r="I15" i="3"/>
  <c r="J15" i="3"/>
  <c r="E16" i="3"/>
  <c r="F16" i="3"/>
  <c r="G16" i="3"/>
  <c r="H16" i="3"/>
  <c r="I16" i="3"/>
  <c r="J16" i="3"/>
  <c r="E17" i="3"/>
  <c r="F17" i="3"/>
  <c r="G17" i="3"/>
  <c r="H17" i="3"/>
  <c r="I17" i="3"/>
  <c r="J17" i="3"/>
  <c r="E18" i="3"/>
  <c r="F18" i="3"/>
  <c r="G18" i="3"/>
  <c r="H18" i="3"/>
  <c r="I18" i="3"/>
  <c r="J18" i="3"/>
  <c r="E19" i="3"/>
  <c r="F19" i="3"/>
  <c r="G19" i="3"/>
  <c r="H19" i="3"/>
  <c r="I19" i="3"/>
  <c r="J19" i="3"/>
  <c r="E20" i="3"/>
  <c r="F20" i="3"/>
  <c r="G20" i="3"/>
  <c r="H20" i="3"/>
  <c r="I20" i="3"/>
  <c r="J20" i="3"/>
  <c r="E21" i="3"/>
  <c r="F21" i="3"/>
  <c r="G21" i="3"/>
  <c r="H21" i="3"/>
  <c r="I21" i="3"/>
  <c r="J21" i="3"/>
  <c r="E22" i="3"/>
  <c r="F22" i="3"/>
  <c r="G22" i="3"/>
  <c r="H22" i="3"/>
  <c r="I22" i="3"/>
  <c r="J22" i="3"/>
  <c r="E23" i="3"/>
  <c r="F23" i="3"/>
  <c r="G23" i="3"/>
  <c r="H23" i="3"/>
  <c r="I23" i="3"/>
  <c r="J23" i="3"/>
  <c r="E24" i="3"/>
  <c r="F24" i="3"/>
  <c r="G24" i="3"/>
  <c r="H24" i="3"/>
  <c r="I24" i="3"/>
  <c r="J24" i="3"/>
  <c r="J7" i="3"/>
  <c r="I7" i="3"/>
  <c r="H7" i="3"/>
  <c r="G7" i="3"/>
  <c r="F7" i="3"/>
  <c r="E7" i="3"/>
  <c r="C8" i="13"/>
  <c r="D8" i="13" s="1"/>
  <c r="S3" i="3"/>
  <c r="O3" i="3"/>
  <c r="N3" i="3"/>
  <c r="M25" i="1"/>
  <c r="J25" i="1"/>
  <c r="G25" i="1"/>
  <c r="M14" i="1"/>
  <c r="J14" i="1"/>
  <c r="G14" i="1"/>
  <c r="F14" i="1"/>
  <c r="L8" i="1"/>
  <c r="L14" i="1" s="1"/>
  <c r="L45" i="1"/>
  <c r="L44" i="1"/>
  <c r="L43" i="1"/>
  <c r="L39" i="1"/>
  <c r="L37" i="1"/>
  <c r="L29" i="1"/>
  <c r="L30" i="1"/>
  <c r="L31" i="1"/>
  <c r="L32" i="1"/>
  <c r="L33" i="1"/>
  <c r="L34" i="1"/>
  <c r="L35" i="1"/>
  <c r="L28" i="1"/>
  <c r="I28" i="1"/>
  <c r="I29" i="1"/>
  <c r="I30" i="1"/>
  <c r="I31" i="1"/>
  <c r="I32" i="1"/>
  <c r="I33" i="1"/>
  <c r="I34" i="1"/>
  <c r="I35" i="1"/>
  <c r="I37" i="1"/>
  <c r="I39" i="1"/>
  <c r="I43" i="1"/>
  <c r="I44" i="1"/>
  <c r="I45" i="1"/>
  <c r="I9" i="1"/>
  <c r="I8" i="1"/>
  <c r="F28" i="1"/>
  <c r="F29" i="1"/>
  <c r="F30" i="1"/>
  <c r="F31" i="1"/>
  <c r="F32" i="1"/>
  <c r="F33" i="1"/>
  <c r="F34" i="1"/>
  <c r="F35" i="1"/>
  <c r="F37" i="1"/>
  <c r="F43" i="1"/>
  <c r="F44" i="1"/>
  <c r="F45" i="1"/>
  <c r="F27" i="1"/>
  <c r="N6" i="22" l="1"/>
  <c r="O6" i="22" s="1"/>
  <c r="N9" i="22"/>
  <c r="O11" i="22"/>
  <c r="O9" i="22" s="1"/>
  <c r="S223" i="16"/>
  <c r="T223" i="16" s="1"/>
  <c r="AC38" i="13"/>
  <c r="AD38" i="13" s="1"/>
  <c r="AC32" i="13"/>
  <c r="AD32" i="13" s="1"/>
  <c r="AC30" i="13"/>
  <c r="AD30" i="13" s="1"/>
  <c r="T125" i="16"/>
  <c r="S213" i="16"/>
  <c r="U213" i="16" s="1"/>
  <c r="V213" i="16" s="1"/>
  <c r="W213" i="16" s="1"/>
  <c r="D176" i="16"/>
  <c r="S225" i="16"/>
  <c r="U225" i="16" s="1"/>
  <c r="V225" i="16" s="1"/>
  <c r="W225" i="16" s="1"/>
  <c r="S221" i="16"/>
  <c r="U221" i="16" s="1"/>
  <c r="V221" i="16" s="1"/>
  <c r="W221" i="16" s="1"/>
  <c r="S222" i="16"/>
  <c r="U222" i="16" s="1"/>
  <c r="V222" i="16" s="1"/>
  <c r="W222" i="16" s="1"/>
  <c r="S228" i="16"/>
  <c r="T228" i="16" s="1"/>
  <c r="S229" i="16"/>
  <c r="U229" i="16" s="1"/>
  <c r="V229" i="16" s="1"/>
  <c r="W229" i="16" s="1"/>
  <c r="S216" i="16"/>
  <c r="U216" i="16" s="1"/>
  <c r="V216" i="16" s="1"/>
  <c r="W216" i="16" s="1"/>
  <c r="S214" i="16"/>
  <c r="T214" i="16" s="1"/>
  <c r="S218" i="16"/>
  <c r="U218" i="16" s="1"/>
  <c r="V218" i="16" s="1"/>
  <c r="W218" i="16" s="1"/>
  <c r="S227" i="16"/>
  <c r="T227" i="16" s="1"/>
  <c r="S219" i="16"/>
  <c r="T219" i="16" s="1"/>
  <c r="R217" i="16"/>
  <c r="S217" i="16" s="1"/>
  <c r="S224" i="16"/>
  <c r="U224" i="16" s="1"/>
  <c r="V224" i="16" s="1"/>
  <c r="W224" i="16" s="1"/>
  <c r="S215" i="16"/>
  <c r="U215" i="16" s="1"/>
  <c r="V215" i="16" s="1"/>
  <c r="W215" i="16" s="1"/>
  <c r="S226" i="16"/>
  <c r="U226" i="16" s="1"/>
  <c r="V226" i="16" s="1"/>
  <c r="W226" i="16" s="1"/>
  <c r="S220" i="16"/>
  <c r="T220" i="16" s="1"/>
  <c r="T120" i="16"/>
  <c r="D171" i="16"/>
  <c r="T121" i="16"/>
  <c r="D172" i="16"/>
  <c r="T127" i="16"/>
  <c r="D178" i="16"/>
  <c r="U119" i="16"/>
  <c r="V119" i="16" s="1"/>
  <c r="W119" i="16" s="1"/>
  <c r="D170" i="16"/>
  <c r="U128" i="16"/>
  <c r="V128" i="16" s="1"/>
  <c r="W128" i="16" s="1"/>
  <c r="D179" i="16"/>
  <c r="S95" i="16"/>
  <c r="U95" i="16" s="1"/>
  <c r="T122" i="16"/>
  <c r="D173" i="16"/>
  <c r="U117" i="16"/>
  <c r="V117" i="16" s="1"/>
  <c r="W117" i="16" s="1"/>
  <c r="D168" i="16"/>
  <c r="T123" i="16"/>
  <c r="D174" i="16"/>
  <c r="U126" i="16"/>
  <c r="V126" i="16" s="1"/>
  <c r="W126" i="16" s="1"/>
  <c r="D177" i="16"/>
  <c r="U118" i="16"/>
  <c r="V118" i="16" s="1"/>
  <c r="W118" i="16" s="1"/>
  <c r="D169" i="16"/>
  <c r="R100" i="16"/>
  <c r="S100" i="16" s="1"/>
  <c r="R104" i="16"/>
  <c r="S104" i="16" s="1"/>
  <c r="U104" i="16" s="1"/>
  <c r="V104" i="16" s="1"/>
  <c r="W104" i="16" s="1"/>
  <c r="R106" i="16"/>
  <c r="S106" i="16" s="1"/>
  <c r="R101" i="16"/>
  <c r="S101" i="16" s="1"/>
  <c r="R99" i="16"/>
  <c r="S99" i="16" s="1"/>
  <c r="S111" i="16"/>
  <c r="U111" i="16" s="1"/>
  <c r="V111" i="16" s="1"/>
  <c r="W111" i="16" s="1"/>
  <c r="R97" i="16"/>
  <c r="S97" i="16" s="1"/>
  <c r="R110" i="16"/>
  <c r="S110" i="16" s="1"/>
  <c r="U110" i="16" s="1"/>
  <c r="V110" i="16" s="1"/>
  <c r="W110" i="16" s="1"/>
  <c r="R108" i="16"/>
  <c r="S108" i="16" s="1"/>
  <c r="R109" i="16"/>
  <c r="S109" i="16" s="1"/>
  <c r="U109" i="16" s="1"/>
  <c r="V109" i="16" s="1"/>
  <c r="W109" i="16" s="1"/>
  <c r="R102" i="16"/>
  <c r="S102" i="16" s="1"/>
  <c r="T119" i="16"/>
  <c r="T118" i="16"/>
  <c r="R98" i="16"/>
  <c r="S98" i="16" s="1"/>
  <c r="T98" i="16" s="1"/>
  <c r="R103" i="16"/>
  <c r="S103" i="16"/>
  <c r="U127" i="16"/>
  <c r="V127" i="16" s="1"/>
  <c r="W127" i="16" s="1"/>
  <c r="R105" i="16"/>
  <c r="S105" i="16" s="1"/>
  <c r="U105" i="16" s="1"/>
  <c r="V105" i="16" s="1"/>
  <c r="W105" i="16" s="1"/>
  <c r="R107" i="16"/>
  <c r="S107" i="16" s="1"/>
  <c r="U107" i="16" s="1"/>
  <c r="V107" i="16" s="1"/>
  <c r="W107" i="16" s="1"/>
  <c r="R95" i="16"/>
  <c r="R96" i="16"/>
  <c r="S96" i="16" s="1"/>
  <c r="X44" i="13"/>
  <c r="AC45" i="13"/>
  <c r="AD45" i="13" s="1"/>
  <c r="AC31" i="13"/>
  <c r="AD31" i="13" s="1"/>
  <c r="AC29" i="13"/>
  <c r="AD29" i="13" s="1"/>
  <c r="AC37" i="13"/>
  <c r="AD37" i="13" s="1"/>
  <c r="AA35" i="13"/>
  <c r="AA33" i="13"/>
  <c r="AA36" i="13"/>
  <c r="AA34" i="13"/>
  <c r="AA28" i="13"/>
  <c r="AA27" i="13"/>
  <c r="AA31" i="13"/>
  <c r="AB36" i="13"/>
  <c r="AC36" i="13" s="1"/>
  <c r="AD36" i="13" s="1"/>
  <c r="AB33" i="13"/>
  <c r="AC33" i="13" s="1"/>
  <c r="AD33" i="13" s="1"/>
  <c r="AA38" i="13"/>
  <c r="AA37" i="13"/>
  <c r="AA32" i="13"/>
  <c r="O32" i="13"/>
  <c r="AB35" i="13"/>
  <c r="AC35" i="13" s="1"/>
  <c r="AD35" i="13" s="1"/>
  <c r="AA29" i="13"/>
  <c r="AB34" i="13"/>
  <c r="AC34" i="13" s="1"/>
  <c r="AD34" i="13" s="1"/>
  <c r="AB27" i="13"/>
  <c r="AC27" i="13" s="1"/>
  <c r="AD27" i="13" s="1"/>
  <c r="AB28" i="13"/>
  <c r="AC28" i="13" s="1"/>
  <c r="AD28" i="13" s="1"/>
  <c r="AA30" i="13"/>
  <c r="X8" i="13"/>
  <c r="X19" i="13"/>
  <c r="X21" i="13"/>
  <c r="X38" i="13"/>
  <c r="Y24" i="13"/>
  <c r="Y18" i="13"/>
  <c r="X36" i="13"/>
  <c r="X34" i="13"/>
  <c r="X32" i="13"/>
  <c r="X28" i="13"/>
  <c r="Y9" i="13"/>
  <c r="X17" i="13"/>
  <c r="E9" i="13"/>
  <c r="X45" i="13"/>
  <c r="X9" i="13"/>
  <c r="X11" i="13"/>
  <c r="X13" i="13"/>
  <c r="X15" i="13"/>
  <c r="X23" i="13"/>
  <c r="X37" i="13"/>
  <c r="X35" i="13"/>
  <c r="X33" i="13"/>
  <c r="X31" i="13"/>
  <c r="X29" i="13"/>
  <c r="X27" i="13"/>
  <c r="X10" i="13"/>
  <c r="X12" i="13"/>
  <c r="X14" i="13"/>
  <c r="X16" i="13"/>
  <c r="X18" i="13"/>
  <c r="X20" i="13"/>
  <c r="X22" i="13"/>
  <c r="X24" i="13"/>
  <c r="X30" i="13"/>
  <c r="E34" i="13"/>
  <c r="E31" i="13"/>
  <c r="E29" i="13"/>
  <c r="E28" i="13"/>
  <c r="E8" i="13"/>
  <c r="E26" i="13"/>
  <c r="E22" i="13"/>
  <c r="E19" i="13"/>
  <c r="E17" i="13"/>
  <c r="E16" i="13"/>
  <c r="E14" i="13"/>
  <c r="E10" i="13"/>
  <c r="E32" i="13"/>
  <c r="E20" i="13"/>
  <c r="E30" i="13"/>
  <c r="E18" i="13"/>
  <c r="E27" i="13"/>
  <c r="E15" i="13"/>
  <c r="E25" i="13"/>
  <c r="E13" i="13"/>
  <c r="E24" i="13"/>
  <c r="E12" i="13"/>
  <c r="E35" i="13"/>
  <c r="E23" i="13"/>
  <c r="E11" i="13"/>
  <c r="E33" i="13"/>
  <c r="E21" i="13"/>
  <c r="V27" i="13"/>
  <c r="W27" i="13" s="1"/>
  <c r="V10" i="13"/>
  <c r="W10" i="13" s="1"/>
  <c r="V13" i="13"/>
  <c r="W13" i="13" s="1"/>
  <c r="Y13" i="13" s="1"/>
  <c r="V21" i="13"/>
  <c r="W21" i="13" s="1"/>
  <c r="V22" i="13"/>
  <c r="W22" i="13" s="1"/>
  <c r="V44" i="13"/>
  <c r="W44" i="13" s="1"/>
  <c r="Y44" i="13" s="1"/>
  <c r="V14" i="13"/>
  <c r="W14" i="13" s="1"/>
  <c r="Y14" i="13" s="1"/>
  <c r="V38" i="13"/>
  <c r="W38" i="13" s="1"/>
  <c r="V37" i="13"/>
  <c r="W37" i="13" s="1"/>
  <c r="V24" i="13"/>
  <c r="V12" i="13"/>
  <c r="W12" i="13" s="1"/>
  <c r="Y12" i="13" s="1"/>
  <c r="V36" i="13"/>
  <c r="W36" i="13" s="1"/>
  <c r="V23" i="13"/>
  <c r="W23" i="13" s="1"/>
  <c r="V11" i="13"/>
  <c r="W11" i="13" s="1"/>
  <c r="V35" i="13"/>
  <c r="W35" i="13" s="1"/>
  <c r="V34" i="13"/>
  <c r="W34" i="13" s="1"/>
  <c r="V33" i="13"/>
  <c r="W33" i="13" s="1"/>
  <c r="V20" i="13"/>
  <c r="W20" i="13" s="1"/>
  <c r="V9" i="13"/>
  <c r="V32" i="13"/>
  <c r="W32" i="13" s="1"/>
  <c r="V19" i="13"/>
  <c r="W19" i="13" s="1"/>
  <c r="V8" i="13"/>
  <c r="W8" i="13" s="1"/>
  <c r="V31" i="13"/>
  <c r="W31" i="13" s="1"/>
  <c r="V18" i="13"/>
  <c r="V29" i="13"/>
  <c r="W29" i="13" s="1"/>
  <c r="V17" i="13"/>
  <c r="W17" i="13" s="1"/>
  <c r="Y17" i="13" s="1"/>
  <c r="V28" i="13"/>
  <c r="W28" i="13" s="1"/>
  <c r="V16" i="13"/>
  <c r="W16" i="13" s="1"/>
  <c r="Y16" i="13" s="1"/>
  <c r="V45" i="13"/>
  <c r="W45" i="13" s="1"/>
  <c r="V15" i="13"/>
  <c r="W15" i="13" s="1"/>
  <c r="Y15" i="13" s="1"/>
  <c r="L25" i="1"/>
  <c r="F25" i="1"/>
  <c r="I25" i="1"/>
  <c r="I14" i="1"/>
  <c r="U223" i="16" l="1"/>
  <c r="V223" i="16" s="1"/>
  <c r="W223" i="16" s="1"/>
  <c r="Z16" i="13"/>
  <c r="AA16" i="13" s="1"/>
  <c r="T218" i="16"/>
  <c r="T213" i="16"/>
  <c r="T225" i="16"/>
  <c r="T221" i="16"/>
  <c r="T222" i="16"/>
  <c r="U227" i="16"/>
  <c r="V227" i="16" s="1"/>
  <c r="W227" i="16" s="1"/>
  <c r="S194" i="16"/>
  <c r="U214" i="16"/>
  <c r="V214" i="16" s="1"/>
  <c r="W214" i="16" s="1"/>
  <c r="U220" i="16"/>
  <c r="V220" i="16" s="1"/>
  <c r="W220" i="16" s="1"/>
  <c r="T224" i="16"/>
  <c r="U219" i="16"/>
  <c r="V219" i="16" s="1"/>
  <c r="W219" i="16" s="1"/>
  <c r="T226" i="16"/>
  <c r="T215" i="16"/>
  <c r="U228" i="16"/>
  <c r="V228" i="16" s="1"/>
  <c r="W228" i="16" s="1"/>
  <c r="T229" i="16"/>
  <c r="T216" i="16"/>
  <c r="U217" i="16"/>
  <c r="V217" i="16" s="1"/>
  <c r="W217" i="16" s="1"/>
  <c r="T217" i="16"/>
  <c r="T107" i="16"/>
  <c r="C142" i="16"/>
  <c r="T108" i="16"/>
  <c r="U108" i="16"/>
  <c r="V108" i="16" s="1"/>
  <c r="W108" i="16" s="1"/>
  <c r="T99" i="16"/>
  <c r="U99" i="16"/>
  <c r="V99" i="16" s="1"/>
  <c r="W99" i="16" s="1"/>
  <c r="T101" i="16"/>
  <c r="U101" i="16"/>
  <c r="V101" i="16" s="1"/>
  <c r="W101" i="16" s="1"/>
  <c r="T111" i="16"/>
  <c r="U98" i="16"/>
  <c r="V98" i="16" s="1"/>
  <c r="W98" i="16" s="1"/>
  <c r="T110" i="16"/>
  <c r="T104" i="16"/>
  <c r="T105" i="16"/>
  <c r="T109" i="16"/>
  <c r="T100" i="16"/>
  <c r="U100" i="16"/>
  <c r="V100" i="16" s="1"/>
  <c r="W100" i="16" s="1"/>
  <c r="U102" i="16"/>
  <c r="V102" i="16" s="1"/>
  <c r="W102" i="16" s="1"/>
  <c r="T102" i="16"/>
  <c r="T95" i="16"/>
  <c r="V95" i="16"/>
  <c r="W95" i="16" s="1"/>
  <c r="U103" i="16"/>
  <c r="V103" i="16" s="1"/>
  <c r="W103" i="16" s="1"/>
  <c r="T103" i="16"/>
  <c r="T97" i="16"/>
  <c r="U97" i="16"/>
  <c r="V97" i="16" s="1"/>
  <c r="W97" i="16" s="1"/>
  <c r="T96" i="16"/>
  <c r="U96" i="16"/>
  <c r="V96" i="16" s="1"/>
  <c r="W96" i="16" s="1"/>
  <c r="T106" i="16"/>
  <c r="U106" i="16"/>
  <c r="V106" i="16" s="1"/>
  <c r="W106" i="16" s="1"/>
  <c r="Z44" i="13"/>
  <c r="Z17" i="13"/>
  <c r="AB17" i="13" s="1"/>
  <c r="AC17" i="13" s="1"/>
  <c r="AD17" i="13" s="1"/>
  <c r="Z9" i="13"/>
  <c r="AB9" i="13" s="1"/>
  <c r="AC9" i="13" s="1"/>
  <c r="AD9" i="13" s="1"/>
  <c r="Z15" i="13"/>
  <c r="Z14" i="13"/>
  <c r="Y21" i="13"/>
  <c r="Z21" i="13" s="1"/>
  <c r="Z13" i="13"/>
  <c r="Y11" i="13"/>
  <c r="Z11" i="13" s="1"/>
  <c r="Y23" i="13"/>
  <c r="Z23" i="13" s="1"/>
  <c r="Z12" i="13"/>
  <c r="Y19" i="13"/>
  <c r="Z19" i="13" s="1"/>
  <c r="Z24" i="13"/>
  <c r="Y10" i="13"/>
  <c r="Z10" i="13" s="1"/>
  <c r="Y8" i="13"/>
  <c r="Z8" i="13"/>
  <c r="AF16" i="13"/>
  <c r="Y20" i="13"/>
  <c r="Z20" i="13" s="1"/>
  <c r="Y22" i="13"/>
  <c r="Z22" i="13" s="1"/>
  <c r="Z18" i="13"/>
  <c r="V4" i="13"/>
  <c r="AB16" i="13" l="1"/>
  <c r="AC16" i="13" s="1"/>
  <c r="AD16" i="13" s="1"/>
  <c r="C141" i="16"/>
  <c r="C143" i="16" s="1"/>
  <c r="C198" i="16"/>
  <c r="C200" i="16" s="1"/>
  <c r="C201" i="16" s="1"/>
  <c r="AA17" i="13"/>
  <c r="AA9" i="13"/>
  <c r="AB15" i="13"/>
  <c r="AC15" i="13" s="1"/>
  <c r="AD15" i="13" s="1"/>
  <c r="AA15" i="13"/>
  <c r="AA19" i="13"/>
  <c r="AB19" i="13"/>
  <c r="AC19" i="13" s="1"/>
  <c r="AD19" i="13" s="1"/>
  <c r="AA12" i="13"/>
  <c r="AB12" i="13"/>
  <c r="AC12" i="13" s="1"/>
  <c r="AD12" i="13" s="1"/>
  <c r="AB23" i="13"/>
  <c r="AC23" i="13" s="1"/>
  <c r="AD23" i="13" s="1"/>
  <c r="AA23" i="13"/>
  <c r="AA18" i="13"/>
  <c r="AB18" i="13"/>
  <c r="AC18" i="13" s="1"/>
  <c r="AD18" i="13" s="1"/>
  <c r="AA22" i="13"/>
  <c r="AB22" i="13"/>
  <c r="AC22" i="13" s="1"/>
  <c r="AD22" i="13" s="1"/>
  <c r="AB14" i="13"/>
  <c r="AC14" i="13" s="1"/>
  <c r="AD14" i="13" s="1"/>
  <c r="AA14" i="13"/>
  <c r="AB8" i="13"/>
  <c r="AC8" i="13" s="1"/>
  <c r="AA8" i="13"/>
  <c r="AB24" i="13"/>
  <c r="AC24" i="13" s="1"/>
  <c r="AD24" i="13" s="1"/>
  <c r="AA24" i="13"/>
  <c r="AB11" i="13"/>
  <c r="AC11" i="13" s="1"/>
  <c r="AD11" i="13" s="1"/>
  <c r="AA11" i="13"/>
  <c r="AB13" i="13"/>
  <c r="AC13" i="13" s="1"/>
  <c r="AD13" i="13" s="1"/>
  <c r="AA13" i="13"/>
  <c r="AB21" i="13"/>
  <c r="AC21" i="13" s="1"/>
  <c r="AD21" i="13" s="1"/>
  <c r="AA21" i="13"/>
  <c r="AB20" i="13"/>
  <c r="AC20" i="13" s="1"/>
  <c r="AD20" i="13" s="1"/>
  <c r="AA20" i="13"/>
  <c r="AA10" i="13"/>
  <c r="AB10" i="13"/>
  <c r="AC10" i="13" s="1"/>
  <c r="AD10" i="13" s="1"/>
  <c r="AF13" i="13" l="1"/>
  <c r="AF12" i="13"/>
  <c r="C144" i="16"/>
  <c r="C147" i="16"/>
  <c r="AD8" i="13"/>
  <c r="AC44" i="13"/>
  <c r="AD44" i="13" s="1"/>
  <c r="AA44" i="13"/>
  <c r="AB44" i="13"/>
  <c r="AF14" i="13" l="1"/>
  <c r="AF17" i="13" s="1"/>
  <c r="AF18" i="13" s="1"/>
  <c r="C148" i="16"/>
  <c r="Q189" i="16"/>
  <c r="S195" i="16" s="1"/>
  <c r="C151" i="16"/>
  <c r="C152" i="16" s="1"/>
  <c r="AD52" i="13"/>
  <c r="AD53" i="13" s="1"/>
  <c r="R189" i="16" l="1"/>
  <c r="C45" i="20" l="1"/>
  <c r="M8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Azat Zakirov</author>
  </authors>
  <commentList>
    <comment ref="E3" authorId="0" shapeId="0" xr:uid="{EE636B6F-15D4-4D26-B9CC-CE1A449CC40F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Добавить проверку суммы активов:
1) От брокера подтянуть сумму
2) Рассчитать по сумме каждой позиции
3) Сравнить 1 и 2 если расхождение меньше 1% то ОК. Если нет. На портфеле нельзя запускать автоследование. Нужно где-то выдать сообщение трейдеру. Что с этим счетом что-то не так. Нужно проверить в ручную.</t>
        </r>
      </text>
    </comment>
    <comment ref="B108" authorId="0" shapeId="0" xr:uid="{B236F985-9999-427E-9B16-59375C07D53D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Позиции из выборки 2 (Полность продать)</t>
        </r>
      </text>
    </comment>
    <comment ref="B205" authorId="0" shapeId="0" xr:uid="{53CCC37B-6378-4AC2-9BEB-09CB8E4A38F6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Позиции из выборки 2 (Полность продать)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Azat Zakirov</author>
  </authors>
  <commentList>
    <comment ref="E3" authorId="0" shapeId="0" xr:uid="{A22ED5E7-FEA0-4715-B14C-A083229DB60C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Добавить проверку суммы активов:
1) От брокера подтянуть сумму
2) Рассчитать по сумме каждой позиции
3) Сравнить 1 и 2 если расхождение меньше 1% то ОК. Если нет. На портфеле нельзя запускать автоследование. Нужно где-то выдать сообщение трейдеру. Что с этим счетом что-то не так. Нужно проверить в ручную.</t>
        </r>
      </text>
    </comment>
    <comment ref="B142" authorId="0" shapeId="0" xr:uid="{D4CADE1F-2543-4FED-82E1-80C71EFDF185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Позиции из выборки 2 (Полность продать)</t>
        </r>
      </text>
    </comment>
    <comment ref="B199" authorId="0" shapeId="0" xr:uid="{D9226051-1877-4F15-B727-048ABB838F0C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Позиции из выборки 2 (Полность продать)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Azat Zakirov</author>
  </authors>
  <commentList>
    <comment ref="A3" authorId="0" shapeId="0" xr:uid="{0E3F6922-AC1C-47A7-A430-BD048701D84D}">
      <text>
        <r>
          <rPr>
            <b/>
            <sz val="9"/>
            <color indexed="81"/>
            <rFont val="Tahoma"/>
            <family val="2"/>
            <charset val="204"/>
          </rPr>
          <t>Название стартегии генерируется автоматически: 
Склейка номера стратегии и названия через " - 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Azat Zakirov</author>
  </authors>
  <commentList>
    <comment ref="K22" authorId="0" shapeId="0" xr:uid="{1DB51F21-8999-40AA-86D0-C3138E667AF5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Тип сложного финансового продукта. Возможные значения:
«-100» – без ограничений;
«-1» – не попадает под тесты из Базового стандарта, недоступно для неквалифицированных инвесторов, не прошедших тестирование;
«0» – предназначено для квалифицированных инвесторов согласно 39-ФЗ или эмиссионным документам;
«4» – структурные облигации, не предназначенные для квалифицированных инвесторов;
«5» – инвестиционные паи закрытых паевых инвестиционных фондов, непредназначенных для квалифицированных инвесторов;
«6» – облигации российских эмитентов, которым не присвоен кредитный рейтинг, либо кредитный рейтинг которых ниже установленного уровня;
«7» – облигации иностранных эмитентов, обязательства по которым исполняются за счёт юридического лица, созданного в соответствии с законодательством РФ, не имеющего кредитный рейтинг, либо кредитный рейтинг которого ниже установленного уровня;
«8» – облигации со структурным доходом;
«9» – акции, не включенные в котировальные списки;
«10» – иностранные акции, требующие проведения тестирования;
«11» – сделки по приобретению паев иностранных ETF, требующие проведения тестирования;
«800» – облигации, запрещенные к приобретению с 01.10.2021 до ДД.ММ.ГГГГ для инвестора, успешно прошедшего тестирование по тесту 8, где дата окончания периодически меняет значение в соответствии с требованиями контролирующих органов</t>
        </r>
      </text>
    </comment>
    <comment ref="K44" authorId="0" shapeId="0" xr:uid="{CA0A5A84-96F3-407F-A121-B2D6E06A1698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Тип сложного финансового продукта. Возможные значения:
«-100» – без ограничений;
«-1» – не попадает под тесты из Базового стандарта, недоступно для неквалифицированных инвесторов, не прошедших тестирование;
«0» – предназначено для квалифицированных инвесторов согласно 39-ФЗ или эмиссионным документам;
«4» – структурные облигации, не предназначенные для квалифицированных инвесторов;
«5» – инвестиционные паи закрытых паевых инвестиционных фондов, непредназначенных для квалифицированных инвесторов;
«6» – облигации российских эмитентов, которым не присвоен кредитный рейтинг, либо кредитный рейтинг которых ниже установленного уровня;
«7» – облигации иностранных эмитентов, обязательства по которым исполняются за счёт юридического лица, созданного в соответствии с законодательством РФ, не имеющего кредитный рейтинг, либо кредитный рейтинг которого ниже установленного уровня;
«8» – облигации со структурным доходом;
«9» – акции, не включенные в котировальные списки;
«10» – иностранные акции, требующие проведения тестирования;
«11» – сделки по приобретению паев иностранных ETF, требующие проведения тестирования;
«800» – облигации, запрещенные к приобретению с 01.10.2021 до ДД.ММ.ГГГГ для инвестора, успешно прошедшего тестирование по тесту 8, где дата окончания периодически меняет значение в соответствии с требованиями контролирующих органов</t>
        </r>
      </text>
    </comment>
    <comment ref="L59" authorId="0" shapeId="0" xr:uid="{B5F2D79A-CC18-4D0C-BB01-192462883E8E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Тип сложного финансового продукта. Возможные значения:
«-100» – без ограничений;
«-1» – не попадает под тесты из Базового стандарта, недоступно для неквалифицированных инвесторов, не прошедших тестирование;
«0» – предназначено для квалифицированных инвесторов согласно 39-ФЗ или эмиссионным документам;
«4» – структурные облигации, не предназначенные для квалифицированных инвесторов;
«5» – инвестиционные паи закрытых паевых инвестиционных фондов, непредназначенных для квалифицированных инвесторов;
«6» – облигации российских эмитентов, которым не присвоен кредитный рейтинг, либо кредитный рейтинг которых ниже установленного уровня;
«7» – облигации иностранных эмитентов, обязательства по которым исполняются за счёт юридического лица, созданного в соответствии с законодательством РФ, не имеющего кредитный рейтинг, либо кредитный рейтинг которого ниже установленного уровня;
«8» – облигации со структурным доходом;
«9» – акции, не включенные в котировальные списки;
«10» – иностранные акции, требующие проведения тестирования;
«11» – сделки по приобретению паев иностранных ETF, требующие проведения тестирования;
«800» – облигации, запрещенные к приобретению с 01.10.2021 до ДД.ММ.ГГГГ для инвестора, успешно прошедшего тестирование по тесту 8, где дата окончания периодически меняет значение в соответствии с требованиями контролирующих органов</t>
        </r>
      </text>
    </comment>
    <comment ref="L75" authorId="0" shapeId="0" xr:uid="{F164CCCC-D78B-45BF-91BE-74B6968047D5}">
      <text>
        <r>
          <rPr>
            <b/>
            <sz val="9"/>
            <color indexed="81"/>
            <rFont val="Tahoma"/>
            <family val="2"/>
            <charset val="204"/>
          </rPr>
          <t>Azat Zakirov:</t>
        </r>
        <r>
          <rPr>
            <sz val="9"/>
            <color indexed="81"/>
            <rFont val="Tahoma"/>
            <family val="2"/>
            <charset val="204"/>
          </rPr>
          <t xml:space="preserve">
Тип сложного финансового продукта. Возможные значения:
«-100» – без ограничений;
«-1» – не попадает под тесты из Базового стандарта, недоступно для неквалифицированных инвесторов, не прошедших тестирование;
«0» – предназначено для квалифицированных инвесторов согласно 39-ФЗ или эмиссионным документам;
«4» – структурные облигации, не предназначенные для квалифицированных инвесторов;
«5» – инвестиционные паи закрытых паевых инвестиционных фондов, непредназначенных для квалифицированных инвесторов;
«6» – облигации российских эмитентов, которым не присвоен кредитный рейтинг, либо кредитный рейтинг которых ниже установленного уровня;
«7» – облигации иностранных эмитентов, обязательства по которым исполняются за счёт юридического лица, созданного в соответствии с законодательством РФ, не имеющего кредитный рейтинг, либо кредитный рейтинг которого ниже установленного уровня;
«8» – облигации со структурным доходом;
«9» – акции, не включенные в котировальные списки;
«10» – иностранные акции, требующие проведения тестирования;
«11» – сделки по приобретению паев иностранных ETF, требующие проведения тестирования;
«800» – облигации, запрещенные к приобретению с 01.10.2021 до ДД.ММ.ГГГГ для инвестора, успешно прошедшего тестирование по тесту 8, где дата окончания периодически меняет значение в соответствии с требованиями контролирующих органов</t>
        </r>
      </text>
    </comment>
  </commentList>
</comments>
</file>

<file path=xl/sharedStrings.xml><?xml version="1.0" encoding="utf-8"?>
<sst xmlns="http://schemas.openxmlformats.org/spreadsheetml/2006/main" count="46269" uniqueCount="13035">
  <si>
    <t>Ticker</t>
  </si>
  <si>
    <t>Asset name</t>
  </si>
  <si>
    <t>USD</t>
  </si>
  <si>
    <t>RUR</t>
  </si>
  <si>
    <t>EUR</t>
  </si>
  <si>
    <t>AUD</t>
  </si>
  <si>
    <t>HKD</t>
  </si>
  <si>
    <t>SEK</t>
  </si>
  <si>
    <t>SGOV</t>
  </si>
  <si>
    <t>iShares 0-3 Month Treasury Bond ETF</t>
  </si>
  <si>
    <t>NBIX</t>
  </si>
  <si>
    <t>Neurocrine Biosciences, Inc.</t>
  </si>
  <si>
    <t>UNH</t>
  </si>
  <si>
    <t>UnitedHealth Group Inc</t>
  </si>
  <si>
    <t>EXPE</t>
  </si>
  <si>
    <t>Expedia Group Inc</t>
  </si>
  <si>
    <t>MELI</t>
  </si>
  <si>
    <t>MercadoLibre Inc</t>
  </si>
  <si>
    <t>PDD</t>
  </si>
  <si>
    <t>PDD Holdings Inc - ADR</t>
  </si>
  <si>
    <t>AMZN</t>
  </si>
  <si>
    <t>Amazon.com Inc</t>
  </si>
  <si>
    <t>CRM</t>
  </si>
  <si>
    <t>Salesforce Inc</t>
  </si>
  <si>
    <t>GOOG</t>
  </si>
  <si>
    <t>Alphabet Inc Class C</t>
  </si>
  <si>
    <t>GOOGL</t>
  </si>
  <si>
    <t>Alphabet Inc Class A</t>
  </si>
  <si>
    <t>ASML</t>
  </si>
  <si>
    <t>ASML Holding NV</t>
  </si>
  <si>
    <t>EC</t>
  </si>
  <si>
    <t>Ecopetrol SA</t>
  </si>
  <si>
    <t>META</t>
  </si>
  <si>
    <t>Meta Platforms Inc</t>
  </si>
  <si>
    <t>3690.HK</t>
  </si>
  <si>
    <t>Meituan</t>
  </si>
  <si>
    <t>OMAB</t>
  </si>
  <si>
    <t>Grupo Arprtr dl Cntr Nrte SABdeCV</t>
  </si>
  <si>
    <t>EVO.ST</t>
  </si>
  <si>
    <t>Evolution</t>
  </si>
  <si>
    <t>UPRO</t>
  </si>
  <si>
    <t>ProShares UltraPro S&amp;P500</t>
  </si>
  <si>
    <t>QQQ</t>
  </si>
  <si>
    <t>Invesco QQQ Trust, Series 1</t>
  </si>
  <si>
    <t>SPMO</t>
  </si>
  <si>
    <t>S&amp;P500 Momentum ETF</t>
  </si>
  <si>
    <t>3USL</t>
  </si>
  <si>
    <t>Wisdomtree S&amp;P 500 3X Daily Leveraged</t>
  </si>
  <si>
    <t>EQQQ</t>
  </si>
  <si>
    <t>Invesco EQQQ NASDAQ-100 UCITS ETF Dist</t>
  </si>
  <si>
    <t>CSPX</t>
  </si>
  <si>
    <t>iShares Core S&amp;P 500 UCITS ETF (London USD)</t>
  </si>
  <si>
    <t>Валюта</t>
  </si>
  <si>
    <t>Денежная позиция</t>
  </si>
  <si>
    <t>Номер счета</t>
  </si>
  <si>
    <t>S016-F2</t>
  </si>
  <si>
    <t>S024-F2</t>
  </si>
  <si>
    <t>S025-F2</t>
  </si>
  <si>
    <t>Стратегия</t>
  </si>
  <si>
    <t>FF</t>
  </si>
  <si>
    <t>Брокер</t>
  </si>
  <si>
    <t>Стоимость активов</t>
  </si>
  <si>
    <t>-</t>
  </si>
  <si>
    <t>кол</t>
  </si>
  <si>
    <t>объем</t>
  </si>
  <si>
    <t>доля</t>
  </si>
  <si>
    <t>Цена</t>
  </si>
  <si>
    <t>CRM.US</t>
  </si>
  <si>
    <r>
      <t>ISIN:</t>
    </r>
    <r>
      <rPr>
        <sz val="11"/>
        <color rgb="FF333333"/>
        <rFont val="Segoe UI"/>
        <family val="2"/>
        <charset val="204"/>
      </rPr>
      <t>US79466L3024</t>
    </r>
  </si>
  <si>
    <r>
      <t>Company:</t>
    </r>
    <r>
      <rPr>
        <sz val="11"/>
        <color rgb="FF333333"/>
        <rFont val="Segoe UI"/>
        <family val="2"/>
        <charset val="204"/>
      </rPr>
      <t>CRM</t>
    </r>
  </si>
  <si>
    <r>
      <t>Country:</t>
    </r>
    <r>
      <rPr>
        <sz val="11"/>
        <color rgb="FF333333"/>
        <rFont val="Segoe UI"/>
        <family val="2"/>
        <charset val="204"/>
      </rPr>
      <t>США</t>
    </r>
  </si>
  <si>
    <r>
      <t>Sector name:</t>
    </r>
    <r>
      <rPr>
        <sz val="11"/>
        <color rgb="FF333333"/>
        <rFont val="Segoe UI"/>
        <family val="2"/>
        <charset val="204"/>
      </rPr>
      <t>Инновации и интернет</t>
    </r>
  </si>
  <si>
    <r>
      <t>Stock:</t>
    </r>
    <r>
      <rPr>
        <sz val="11"/>
        <color rgb="FF333333"/>
        <rFont val="Segoe UI"/>
        <family val="2"/>
        <charset val="204"/>
      </rPr>
      <t>NYSE </t>
    </r>
    <r>
      <rPr>
        <b/>
        <sz val="11"/>
        <color rgb="FF333333"/>
        <rFont val="Segoe UI"/>
        <family val="2"/>
        <charset val="204"/>
      </rPr>
      <t>CLOSE</t>
    </r>
  </si>
  <si>
    <r>
      <t>Lot:</t>
    </r>
    <r>
      <rPr>
        <sz val="11"/>
        <color rgb="FF333333"/>
        <rFont val="Segoe UI"/>
        <family val="2"/>
        <charset val="204"/>
      </rPr>
      <t>1.00000000</t>
    </r>
  </si>
  <si>
    <t xml:space="preserve">Кнопки купить/продать загораются зеленым и красным только при нажатии. Если нажать на одну отрубается другая. </t>
  </si>
  <si>
    <t>Кнопка исполнить активна только при нажатии купить или продать.</t>
  </si>
  <si>
    <t>При нажатии Исполнить - обязательно должно выйти окно:</t>
  </si>
  <si>
    <t>Хотите КУПИТЬ CRM.US - 21 шт по цене 298,01?</t>
  </si>
  <si>
    <t xml:space="preserve"> и кноки ДА и НЕТ. </t>
  </si>
  <si>
    <t>Если нажал НЕТ закрывается диалоговое окно (возвращается назад)</t>
  </si>
  <si>
    <t>В бумагах</t>
  </si>
  <si>
    <t>Если нажал ДА заявка исполняется. Выходит окно: "КУПИТЬ CRM.US - 21 шт по цене 298,01. Исполнено!" таблица обновляется.</t>
  </si>
  <si>
    <t>Freedom Finance</t>
  </si>
  <si>
    <t>Tinkoff</t>
  </si>
  <si>
    <t>Finam</t>
  </si>
  <si>
    <t>Broker:</t>
  </si>
  <si>
    <t>Strategy:</t>
  </si>
  <si>
    <t>1F - США Стандарт</t>
  </si>
  <si>
    <t>2F - США Концентрированная</t>
  </si>
  <si>
    <t>3S - РФ Стандарт</t>
  </si>
  <si>
    <t>4S - РФ Концентированная</t>
  </si>
  <si>
    <t>Стратегия:</t>
  </si>
  <si>
    <t>Брокер:</t>
  </si>
  <si>
    <t>Желтые поля можно корректироватьи пересчитываются если изменить одно поле</t>
  </si>
  <si>
    <t>SUR</t>
  </si>
  <si>
    <t>Рубль</t>
  </si>
  <si>
    <t>Доллар</t>
  </si>
  <si>
    <t>BONDS SUR</t>
  </si>
  <si>
    <t>Облигации</t>
  </si>
  <si>
    <t>LQDT</t>
  </si>
  <si>
    <t>Ликвидность</t>
  </si>
  <si>
    <t>LKOH</t>
  </si>
  <si>
    <t>ЛУКОЙЛ</t>
  </si>
  <si>
    <t>покупка</t>
  </si>
  <si>
    <t>OZON</t>
  </si>
  <si>
    <t>OZON-адр</t>
  </si>
  <si>
    <t>держать</t>
  </si>
  <si>
    <t>POSI</t>
  </si>
  <si>
    <t>iПозитив</t>
  </si>
  <si>
    <t>RTKM</t>
  </si>
  <si>
    <t>Ростел -ао</t>
  </si>
  <si>
    <t>продать</t>
  </si>
  <si>
    <t>SNGSP</t>
  </si>
  <si>
    <t>Сургнфгз-п</t>
  </si>
  <si>
    <t>T</t>
  </si>
  <si>
    <t>ТКСХолд ао</t>
  </si>
  <si>
    <t>TRNFP</t>
  </si>
  <si>
    <t>Транснф ап</t>
  </si>
  <si>
    <t>YDEX</t>
  </si>
  <si>
    <t>ЯНДЕКС</t>
  </si>
  <si>
    <t>MOEX</t>
  </si>
  <si>
    <t>МосБиржа</t>
  </si>
  <si>
    <t>SVCB</t>
  </si>
  <si>
    <t>Совкомбанк</t>
  </si>
  <si>
    <t>HEAD</t>
  </si>
  <si>
    <t>Хэдхантер</t>
  </si>
  <si>
    <t>TATNP</t>
  </si>
  <si>
    <t>Татнфт 3ап</t>
  </si>
  <si>
    <t>ASTR</t>
  </si>
  <si>
    <t>Астра ао</t>
  </si>
  <si>
    <t>SIBN</t>
  </si>
  <si>
    <t>Газпрнефть</t>
  </si>
  <si>
    <t>MDMG</t>
  </si>
  <si>
    <t>MDMG-ао</t>
  </si>
  <si>
    <t>BSPB</t>
  </si>
  <si>
    <t>БСП ао</t>
  </si>
  <si>
    <t>IRAO</t>
  </si>
  <si>
    <t>ИнтерРАОао</t>
  </si>
  <si>
    <t>LENT</t>
  </si>
  <si>
    <t>Лента ао</t>
  </si>
  <si>
    <t>распределение по стратегии</t>
  </si>
  <si>
    <t>Quantity</t>
  </si>
  <si>
    <t>Balance price</t>
  </si>
  <si>
    <t>Price at the month beginning</t>
  </si>
  <si>
    <t>Current price</t>
  </si>
  <si>
    <t>Total asset cost</t>
  </si>
  <si>
    <t>Total unrealized P/L</t>
  </si>
  <si>
    <t>Monthly unrealized P/L</t>
  </si>
  <si>
    <t>Nominal P/L</t>
  </si>
  <si>
    <t>Asset share</t>
  </si>
  <si>
    <t>RU000A105JH9</t>
  </si>
  <si>
    <t>ГазКЗ-27Д2</t>
  </si>
  <si>
    <t>2 798,00</t>
  </si>
  <si>
    <t>536 439,79</t>
  </si>
  <si>
    <t>1 103</t>
  </si>
  <si>
    <t>941 851,70</t>
  </si>
  <si>
    <t>#N/A</t>
  </si>
  <si>
    <t>7 941,30</t>
  </si>
  <si>
    <t>1 052,86</t>
  </si>
  <si>
    <t>1 008,00</t>
  </si>
  <si>
    <t>1 010,00</t>
  </si>
  <si>
    <t>949 400,00</t>
  </si>
  <si>
    <t>(40 293,00)</t>
  </si>
  <si>
    <t>2 650,81</t>
  </si>
  <si>
    <t>2 307,00</t>
  </si>
  <si>
    <t>1 880,40</t>
  </si>
  <si>
    <t>1 094 392,80</t>
  </si>
  <si>
    <t>(448 378,60)</t>
  </si>
  <si>
    <t>1 128</t>
  </si>
  <si>
    <t>1 497,00</t>
  </si>
  <si>
    <t>1 264,50</t>
  </si>
  <si>
    <t>1 016,00</t>
  </si>
  <si>
    <t>1 146 048,00</t>
  </si>
  <si>
    <t>(542 563,00)</t>
  </si>
  <si>
    <t>2 299</t>
  </si>
  <si>
    <t>1 278 703,80</t>
  </si>
  <si>
    <t>(354 410,00)</t>
  </si>
  <si>
    <t>3 192,15</t>
  </si>
  <si>
    <t>2 675,50</t>
  </si>
  <si>
    <t>2 934,00</t>
  </si>
  <si>
    <t>1 367 244,00</t>
  </si>
  <si>
    <t>(120 297,00)</t>
  </si>
  <si>
    <t>2 521</t>
  </si>
  <si>
    <t>1 368 146,70</t>
  </si>
  <si>
    <t>(315 629,10)</t>
  </si>
  <si>
    <t>109 300</t>
  </si>
  <si>
    <t>1 394 121,50</t>
  </si>
  <si>
    <t>(455 877,95)</t>
  </si>
  <si>
    <t>LQDT ETF</t>
  </si>
  <si>
    <t>914 007</t>
  </si>
  <si>
    <t>1 404 737,36</t>
  </si>
  <si>
    <t>51 538,11</t>
  </si>
  <si>
    <t>7 770</t>
  </si>
  <si>
    <t>1 436 517,60</t>
  </si>
  <si>
    <t>(199 758,72)</t>
  </si>
  <si>
    <t>2 923,38</t>
  </si>
  <si>
    <t>2 387,80</t>
  </si>
  <si>
    <t>1 478 048,20</t>
  </si>
  <si>
    <t>(331 522,80)</t>
  </si>
  <si>
    <t>5 200,86</t>
  </si>
  <si>
    <t>4 228,00</t>
  </si>
  <si>
    <t>4 159,00</t>
  </si>
  <si>
    <t>1 630 328,00</t>
  </si>
  <si>
    <t>(408 408,00)</t>
  </si>
  <si>
    <t>444 500</t>
  </si>
  <si>
    <t>1 698 434,50</t>
  </si>
  <si>
    <t>25 483,63</t>
  </si>
  <si>
    <t>6 238,08</t>
  </si>
  <si>
    <t>6 844,50</t>
  </si>
  <si>
    <t>6 860,50</t>
  </si>
  <si>
    <t>1 728 846,00</t>
  </si>
  <si>
    <t>156 850,19</t>
  </si>
  <si>
    <t>5 304</t>
  </si>
  <si>
    <t>2 378 313,60</t>
  </si>
  <si>
    <t>(668 976,55)</t>
  </si>
  <si>
    <t>3 930,18</t>
  </si>
  <si>
    <t>3 674,00</t>
  </si>
  <si>
    <t>3 320,00</t>
  </si>
  <si>
    <t>2 483 360,00</t>
  </si>
  <si>
    <t>(456 413,50)</t>
  </si>
  <si>
    <t>44 800</t>
  </si>
  <si>
    <t>2 560 992,00</t>
  </si>
  <si>
    <t>(96 782,78)</t>
  </si>
  <si>
    <t>8 790</t>
  </si>
  <si>
    <t>2 797 944,90</t>
  </si>
  <si>
    <t>(419 728,29)</t>
  </si>
  <si>
    <t/>
  </si>
  <si>
    <t>Рег.номер</t>
  </si>
  <si>
    <t>ISIN</t>
  </si>
  <si>
    <t>Код инструмента</t>
  </si>
  <si>
    <t>Инструмент сокр.</t>
  </si>
  <si>
    <t>Тип</t>
  </si>
  <si>
    <t>Листинг</t>
  </si>
  <si>
    <t>Лот</t>
  </si>
  <si>
    <t>Шаг цены</t>
  </si>
  <si>
    <t>Номинал</t>
  </si>
  <si>
    <t>% измен.закр.</t>
  </si>
  <si>
    <t>Цена послед.</t>
  </si>
  <si>
    <t>Пред.цена закр.</t>
  </si>
  <si>
    <t>Вч.рын.цена</t>
  </si>
  <si>
    <t>Оф.тек.цена</t>
  </si>
  <si>
    <t>Рын.цена</t>
  </si>
  <si>
    <t>Рын.цена2</t>
  </si>
  <si>
    <t>Оф.цена закр.</t>
  </si>
  <si>
    <t>Ср. взв. цена</t>
  </si>
  <si>
    <t>Откр.</t>
  </si>
  <si>
    <t>Мин. цена</t>
  </si>
  <si>
    <t>Макс. цена</t>
  </si>
  <si>
    <t>Оборот</t>
  </si>
  <si>
    <t>Спрос</t>
  </si>
  <si>
    <t>Предл.</t>
  </si>
  <si>
    <t>Кол-во сделок</t>
  </si>
  <si>
    <t>Объем обр.</t>
  </si>
  <si>
    <t>Оборот посл.</t>
  </si>
  <si>
    <t>Закр.</t>
  </si>
  <si>
    <t>Сопр.валюта</t>
  </si>
  <si>
    <t>Квалиф. инвестор</t>
  </si>
  <si>
    <t>П.И.Р.</t>
  </si>
  <si>
    <t>Сложный продукт</t>
  </si>
  <si>
    <t>Код класса</t>
  </si>
  <si>
    <t>Класс</t>
  </si>
  <si>
    <t>Подтип инстр-та</t>
  </si>
  <si>
    <t>Статус</t>
  </si>
  <si>
    <t>+МосЭнерго [МБ ФР: Т+: Акции]</t>
  </si>
  <si>
    <t>1-01-00085-A</t>
  </si>
  <si>
    <t>RU0008958863</t>
  </si>
  <si>
    <t>MSNG</t>
  </si>
  <si>
    <t>+МосЭнерго</t>
  </si>
  <si>
    <t>ао</t>
  </si>
  <si>
    <t>TQBR</t>
  </si>
  <si>
    <t>МБ ФР: Т+: Акции</t>
  </si>
  <si>
    <t>Акция обыкновенная</t>
  </si>
  <si>
    <t>торгуется</t>
  </si>
  <si>
    <t>AGRO-гдр [МБ ФР: Т+: Акции]</t>
  </si>
  <si>
    <t>US7496552057</t>
  </si>
  <si>
    <t>AGRO</t>
  </si>
  <si>
    <t>AGRO-гдр</t>
  </si>
  <si>
    <t>др</t>
  </si>
  <si>
    <t>Депозитарная расписка</t>
  </si>
  <si>
    <t>CIAN-адр [МБ ФР: Т+: Акции]</t>
  </si>
  <si>
    <t>US83418T1088</t>
  </si>
  <si>
    <t>CIAN</t>
  </si>
  <si>
    <t>CIAN-адр</t>
  </si>
  <si>
    <t>ETLN-гдр [МБ ФР: Т+: Акции]</t>
  </si>
  <si>
    <t>US29760G1031</t>
  </si>
  <si>
    <t>ETLN</t>
  </si>
  <si>
    <t>ETLN-гдр</t>
  </si>
  <si>
    <t>FIXP-гдр [МБ ФР: Т+: Акции]</t>
  </si>
  <si>
    <t>US33835G2057</t>
  </si>
  <si>
    <t>FIXP</t>
  </si>
  <si>
    <t>FIXP-гдр</t>
  </si>
  <si>
    <t>MDMG-ао [МБ ФР: Т+: Акции]</t>
  </si>
  <si>
    <t>1-01-16802-A</t>
  </si>
  <si>
    <t>RU000A108KL3</t>
  </si>
  <si>
    <t>OKEY-гдр [МБ ФР: Т+: Акции]</t>
  </si>
  <si>
    <t>US6708662019</t>
  </si>
  <si>
    <t>OKEY</t>
  </si>
  <si>
    <t>OKEY-гдр</t>
  </si>
  <si>
    <t>OZON-адр [МБ ФР: Т+: Акции]</t>
  </si>
  <si>
    <t>US69269L1044</t>
  </si>
  <si>
    <t>VEON [МБ ФР: Т+: Акции]</t>
  </si>
  <si>
    <t>BMG9349W1038</t>
  </si>
  <si>
    <t>VEON-RX</t>
  </si>
  <si>
    <t>VEON</t>
  </si>
  <si>
    <t>Для любых квал.инвесторов</t>
  </si>
  <si>
    <t>iQIWI [МБ ФР: Т+: Акции]</t>
  </si>
  <si>
    <t>US74735M1080</t>
  </si>
  <si>
    <t>QIWI</t>
  </si>
  <si>
    <t>iQIWI</t>
  </si>
  <si>
    <t>iАРТГЕН ао [МБ ФР: Т+: Акции]</t>
  </si>
  <si>
    <t>1-01-08902-A</t>
  </si>
  <si>
    <t>RU000A0JNAB6</t>
  </si>
  <si>
    <t>ABIO</t>
  </si>
  <si>
    <t>iАРТГЕН ао</t>
  </si>
  <si>
    <t>iАвиастКао [МБ ФР: Т+: Акции]</t>
  </si>
  <si>
    <t>1-02-55306-E</t>
  </si>
  <si>
    <t>RU000A0JPLZ7</t>
  </si>
  <si>
    <t>UNAC</t>
  </si>
  <si>
    <t>iАвиастКао</t>
  </si>
  <si>
    <t>iАренадата [МБ ФР: Т+: Акции]</t>
  </si>
  <si>
    <t>1-01-87685-H</t>
  </si>
  <si>
    <t>RU000A108ZR8</t>
  </si>
  <si>
    <t>DATA</t>
  </si>
  <si>
    <t>iАренадата</t>
  </si>
  <si>
    <t>iВУШХолднг [МБ ФР: Т+: Акции]</t>
  </si>
  <si>
    <t>1-01-03292-G</t>
  </si>
  <si>
    <t>RU000A105EX7</t>
  </si>
  <si>
    <t>WUSH</t>
  </si>
  <si>
    <t>iВУШХолднг</t>
  </si>
  <si>
    <t>iГЕНЕТИКО [МБ ФР: Т+: Акции]</t>
  </si>
  <si>
    <t>1-01-87198-H</t>
  </si>
  <si>
    <t>RU000A105BN4</t>
  </si>
  <si>
    <t>GECO</t>
  </si>
  <si>
    <t>iГЕНЕТИКО</t>
  </si>
  <si>
    <t>iДиасофт [МБ ФР: Т+: Акции]</t>
  </si>
  <si>
    <t>1-01-84777-H</t>
  </si>
  <si>
    <t>RU000A107ER5</t>
  </si>
  <si>
    <t>DIAS</t>
  </si>
  <si>
    <t>iДиасофт</t>
  </si>
  <si>
    <t>iИВА [МБ ФР: Т+: Акции]</t>
  </si>
  <si>
    <t>1-01-10876-P</t>
  </si>
  <si>
    <t>RU000A108GD8</t>
  </si>
  <si>
    <t>IVAT</t>
  </si>
  <si>
    <t>iИВА</t>
  </si>
  <si>
    <t>iКаршеринг [МБ ФР: Т+: Акции]</t>
  </si>
  <si>
    <t>1-01-16750-A</t>
  </si>
  <si>
    <t>RU000A107J11</t>
  </si>
  <si>
    <t>DELI</t>
  </si>
  <si>
    <t>iКаршеринг</t>
  </si>
  <si>
    <t>iММЦБ ао [МБ ФР: Т+: Акции]</t>
  </si>
  <si>
    <t>1-01-85932-H</t>
  </si>
  <si>
    <t>RU000A100GC7</t>
  </si>
  <si>
    <t>GEMA</t>
  </si>
  <si>
    <t>iММЦБ ао</t>
  </si>
  <si>
    <t>iНПОНаука [МБ ФР: Т+: Акции]</t>
  </si>
  <si>
    <t>1-01-04440-A</t>
  </si>
  <si>
    <t>RU000A0JRPX9</t>
  </si>
  <si>
    <t>NAUK</t>
  </si>
  <si>
    <t>iНПОНаука</t>
  </si>
  <si>
    <t>iНаукаСвяз [МБ ФР: Т+: Акции]</t>
  </si>
  <si>
    <t>1-01-12689-A</t>
  </si>
  <si>
    <t>RU000A0JQLB6</t>
  </si>
  <si>
    <t>NSVZ</t>
  </si>
  <si>
    <t>iНаукаСвяз</t>
  </si>
  <si>
    <t>iПозитив [МБ ФР: Т+: Акции]</t>
  </si>
  <si>
    <t>1-01-85307-H</t>
  </si>
  <si>
    <t>RU000A103X66</t>
  </si>
  <si>
    <t>iСофтлайн [МБ ФР: Т+: Акции]</t>
  </si>
  <si>
    <t>1-01-45848-H</t>
  </si>
  <si>
    <t>RU000A0ZZBC2</t>
  </si>
  <si>
    <t>SOFL</t>
  </si>
  <si>
    <t>iСофтлайн</t>
  </si>
  <si>
    <t>АЛРОСА ао [МБ ФР: Т+: Акции]</t>
  </si>
  <si>
    <t>1-03-40046-N</t>
  </si>
  <si>
    <t>RU0007252813</t>
  </si>
  <si>
    <t>ALRS</t>
  </si>
  <si>
    <t>АЛРОСА ао</t>
  </si>
  <si>
    <t>АПРИ [МБ ФР: Т+: Акции]</t>
  </si>
  <si>
    <t>1-01-12464-K</t>
  </si>
  <si>
    <t>RU000A108LJ5</t>
  </si>
  <si>
    <t>APRI</t>
  </si>
  <si>
    <t>АПРИ</t>
  </si>
  <si>
    <t>АСКО ао [МБ ФР: Т+: Акции]</t>
  </si>
  <si>
    <t>1-01-52065-Z</t>
  </si>
  <si>
    <t>RU000A0JXS91</t>
  </si>
  <si>
    <t>ACKO</t>
  </si>
  <si>
    <t>АСКО ао</t>
  </si>
  <si>
    <t>АбрауДюрсо [МБ ФР: Т+: Акции]</t>
  </si>
  <si>
    <t>1-02-12500-A</t>
  </si>
  <si>
    <t>RU000A0JS5T7</t>
  </si>
  <si>
    <t>ABRD</t>
  </si>
  <si>
    <t>АбрауДюрсо</t>
  </si>
  <si>
    <t>Авангрд-ао [МБ ФР: Т+: Акции]</t>
  </si>
  <si>
    <t>10102879B</t>
  </si>
  <si>
    <t>RU000A0DM7B3</t>
  </si>
  <si>
    <t>AVAN</t>
  </si>
  <si>
    <t>Авангрд-ао</t>
  </si>
  <si>
    <t>Акрон [МБ ФР: Т+: Акции]</t>
  </si>
  <si>
    <t>1-03-00207-A</t>
  </si>
  <si>
    <t>RU0009028674</t>
  </si>
  <si>
    <t>AKRN</t>
  </si>
  <si>
    <t>Акрон</t>
  </si>
  <si>
    <t>Аптеки36и6 [МБ ФР: Т+: Акции]</t>
  </si>
  <si>
    <t>1-01-07335-A</t>
  </si>
  <si>
    <t>RU0008081765</t>
  </si>
  <si>
    <t>APTK</t>
  </si>
  <si>
    <t>Аптеки36и6</t>
  </si>
  <si>
    <t>Арсагера [МБ ФР: Т+: Акции]</t>
  </si>
  <si>
    <t>1-01-03163-D</t>
  </si>
  <si>
    <t>RU000A0JP0Q7</t>
  </si>
  <si>
    <t>ARSA</t>
  </si>
  <si>
    <t>Арсагера</t>
  </si>
  <si>
    <t>АстрЭнСб [МБ ФР: Т+: Акции]</t>
  </si>
  <si>
    <t>1-01-55064-E</t>
  </si>
  <si>
    <t>RU000A0D8MM8</t>
  </si>
  <si>
    <t>ASSB</t>
  </si>
  <si>
    <t>АстрЭнСб</t>
  </si>
  <si>
    <t>Астра ао [МБ ФР: Т+: Акции]</t>
  </si>
  <si>
    <t>1-01-01286-G</t>
  </si>
  <si>
    <t>RU000A106T36</t>
  </si>
  <si>
    <t>АшинскийМЗ [МБ ФР: Т+: Акции]</t>
  </si>
  <si>
    <t>1-03-45219-D</t>
  </si>
  <si>
    <t>RU000A0B88G6</t>
  </si>
  <si>
    <t>AMEZ</t>
  </si>
  <si>
    <t>АшинскийМЗ</t>
  </si>
  <si>
    <t>Аэрофлот [МБ ФР: Т+: Акции]</t>
  </si>
  <si>
    <t>1-01-00010-A</t>
  </si>
  <si>
    <t>RU0009062285</t>
  </si>
  <si>
    <t>AFLT</t>
  </si>
  <si>
    <t>Аэрофлот</t>
  </si>
  <si>
    <t>БСП ао [МБ ФР: Т+: Акции]</t>
  </si>
  <si>
    <t>10300436B</t>
  </si>
  <si>
    <t>RU0009100945</t>
  </si>
  <si>
    <t>БСП ап [МБ ФР: Т+: Акции]</t>
  </si>
  <si>
    <t>20100436B</t>
  </si>
  <si>
    <t>RU000A0JP0U9</t>
  </si>
  <si>
    <t>BSPBP</t>
  </si>
  <si>
    <t>БСП ап</t>
  </si>
  <si>
    <t>ап</t>
  </si>
  <si>
    <t>Акция привилегированная</t>
  </si>
  <si>
    <t>БашИнСв ап [МБ ФР: Т+: Акции]</t>
  </si>
  <si>
    <t>2-01-00011-A</t>
  </si>
  <si>
    <t>RU0009100176</t>
  </si>
  <si>
    <t>BISVP</t>
  </si>
  <si>
    <t>БашИнСв ап</t>
  </si>
  <si>
    <t>Башнефт ао [МБ ФР: Т+: Акции]</t>
  </si>
  <si>
    <t>1-01-00013-A</t>
  </si>
  <si>
    <t>RU0007976957</t>
  </si>
  <si>
    <t>BANE</t>
  </si>
  <si>
    <t>Башнефт ао</t>
  </si>
  <si>
    <t>Башнефт ап [МБ ФР: Т+: Акции]</t>
  </si>
  <si>
    <t>2-01-00013-A</t>
  </si>
  <si>
    <t>RU0007976965</t>
  </si>
  <si>
    <t>BANEP</t>
  </si>
  <si>
    <t>Башнефт ап</t>
  </si>
  <si>
    <t>БурЗолото [МБ ФР: Т+: Акции]</t>
  </si>
  <si>
    <t>1-06-20577-F</t>
  </si>
  <si>
    <t>RU0009288658</t>
  </si>
  <si>
    <t>BRZL</t>
  </si>
  <si>
    <t>БурЗолото</t>
  </si>
  <si>
    <t>ВИ.ру [МБ ФР: Т+: Акции]</t>
  </si>
  <si>
    <t>1-01-06636-G</t>
  </si>
  <si>
    <t>RU000A108K09</t>
  </si>
  <si>
    <t>VSEH</t>
  </si>
  <si>
    <t>ВИ.ру</t>
  </si>
  <si>
    <t>ВСМПО-АВСМ [МБ ФР: Т+: Акции]</t>
  </si>
  <si>
    <t>1-01-30202-D</t>
  </si>
  <si>
    <t>RU0009100291</t>
  </si>
  <si>
    <t>VSMO</t>
  </si>
  <si>
    <t>ВСМПО-АВСМ</t>
  </si>
  <si>
    <t>ВТБ ао [МБ ФР: Т+: Акции]</t>
  </si>
  <si>
    <t>10401000B</t>
  </si>
  <si>
    <t>RU000A0JP5V6</t>
  </si>
  <si>
    <t>VTBR</t>
  </si>
  <si>
    <t>ВТБ ао</t>
  </si>
  <si>
    <t>ВХЗ-ао [МБ ФР: Т+: Акции]</t>
  </si>
  <si>
    <t>1-02-04847-A</t>
  </si>
  <si>
    <t>RU0007984761</t>
  </si>
  <si>
    <t>VLHZ</t>
  </si>
  <si>
    <t>ВХЗ-ао</t>
  </si>
  <si>
    <t>Варьеган [МБ ФР: Т+: Акции]</t>
  </si>
  <si>
    <t>1-01-00017-A</t>
  </si>
  <si>
    <t>RU0009046460</t>
  </si>
  <si>
    <t>VJGZ</t>
  </si>
  <si>
    <t>Варьеган</t>
  </si>
  <si>
    <t>Варьеган-п [МБ ФР: Т+: Акции]</t>
  </si>
  <si>
    <t>2-01-00017-A</t>
  </si>
  <si>
    <t>RU0007964789</t>
  </si>
  <si>
    <t>VJGZP</t>
  </si>
  <si>
    <t>Варьеган-п</t>
  </si>
  <si>
    <t>ВолгЭнСб [МБ ФР: Т+: Акции]</t>
  </si>
  <si>
    <t>1-01-65103-D</t>
  </si>
  <si>
    <t>RU000A0D8L73</t>
  </si>
  <si>
    <t>VGSB</t>
  </si>
  <si>
    <t>ВолгЭнСб</t>
  </si>
  <si>
    <t>ВолгЭнСб-п [МБ ФР: Т+: Акции]</t>
  </si>
  <si>
    <t>2-01-65103-D</t>
  </si>
  <si>
    <t>RU000A0D8L57</t>
  </si>
  <si>
    <t>VGSBP</t>
  </si>
  <si>
    <t>ВолгЭнСб-п</t>
  </si>
  <si>
    <t>ВыбСудЗ ао [МБ ФР: Т+: Акции]</t>
  </si>
  <si>
    <t>1-01-02203-D</t>
  </si>
  <si>
    <t>RU0006334372</t>
  </si>
  <si>
    <t>VSYD</t>
  </si>
  <si>
    <t>ВыбСудЗ ао</t>
  </si>
  <si>
    <t>ВыбСудЗ ап [МБ ФР: Т+: Акции]</t>
  </si>
  <si>
    <t>2-01-02203-D</t>
  </si>
  <si>
    <t>RU0006334380</t>
  </si>
  <si>
    <t>VSYDP</t>
  </si>
  <si>
    <t>ВыбСудЗ ап</t>
  </si>
  <si>
    <t>ГАЗ-Тек ао [МБ ФР: Т+: Акции]</t>
  </si>
  <si>
    <t>1-01-12996-A</t>
  </si>
  <si>
    <t>RU000A0JS199</t>
  </si>
  <si>
    <t>GAZT</t>
  </si>
  <si>
    <t>ГАЗ-Тек ао</t>
  </si>
  <si>
    <t>ГАЗ-сервис [МБ ФР: Т+: Акции]</t>
  </si>
  <si>
    <t>1-01-09871-A</t>
  </si>
  <si>
    <t>RU000A0JQG78</t>
  </si>
  <si>
    <t>GAZS</t>
  </si>
  <si>
    <t>ГАЗ-сервис</t>
  </si>
  <si>
    <t>ГАЗКОН-ао [МБ ФР: Т+: Акции]</t>
  </si>
  <si>
    <t>1-01-09870-A</t>
  </si>
  <si>
    <t>RU000A0JQG86</t>
  </si>
  <si>
    <t>GAZC</t>
  </si>
  <si>
    <t>ГАЗКОН-ао</t>
  </si>
  <si>
    <t>ГАЗПРОМ ао [МБ ФР: Т+: Акции]</t>
  </si>
  <si>
    <t>1-02-00028-A</t>
  </si>
  <si>
    <t>RU0007661625</t>
  </si>
  <si>
    <t>GAZP</t>
  </si>
  <si>
    <t>ГАЗПРОМ ао</t>
  </si>
  <si>
    <t>ГМКНорНик [МБ ФР: Т+: Акции]</t>
  </si>
  <si>
    <t>1-01-40155-F</t>
  </si>
  <si>
    <t>RU0007288411</t>
  </si>
  <si>
    <t>GMKN</t>
  </si>
  <si>
    <t>ГМКНорНик</t>
  </si>
  <si>
    <t>ГР Ростов [МБ ФР: Т+: Акции]</t>
  </si>
  <si>
    <t>1-02-30742-E</t>
  </si>
  <si>
    <t>RU000A0JPG04</t>
  </si>
  <si>
    <t>RTGZ</t>
  </si>
  <si>
    <t>ГР Ростов</t>
  </si>
  <si>
    <t>ГТМ ао [МБ ФР: Т+: Акции]</t>
  </si>
  <si>
    <t>1-01-84907-H</t>
  </si>
  <si>
    <t>RU000A0ZYD22</t>
  </si>
  <si>
    <t>GTRK</t>
  </si>
  <si>
    <t>ГТМ ао</t>
  </si>
  <si>
    <t>Газпрнефть [МБ ФР: Т+: Акции]</t>
  </si>
  <si>
    <t>1-01-00146-A</t>
  </si>
  <si>
    <t>RU0009062467</t>
  </si>
  <si>
    <t>ДВМП ао [МБ ФР: Т+: Акции]</t>
  </si>
  <si>
    <t>1-03-00032-A</t>
  </si>
  <si>
    <t>RU0008992318</t>
  </si>
  <si>
    <t>FESH</t>
  </si>
  <si>
    <t>ДВМП ао</t>
  </si>
  <si>
    <t>ДЭК ао [МБ ФР: Т+: Акции]</t>
  </si>
  <si>
    <t>1-01-55275-E</t>
  </si>
  <si>
    <t>RU000A0JP2W1</t>
  </si>
  <si>
    <t>DVEC</t>
  </si>
  <si>
    <t>ДЭК ао</t>
  </si>
  <si>
    <t>ДонскЗР [МБ ФР: Т+: Акции]</t>
  </si>
  <si>
    <t>1-01-02677-A</t>
  </si>
  <si>
    <t>RU000A0JQW11</t>
  </si>
  <si>
    <t>DZRD</t>
  </si>
  <si>
    <t>ДонскЗР</t>
  </si>
  <si>
    <t>ДонскЗР п [МБ ФР: Т+: Акции]</t>
  </si>
  <si>
    <t>2-01-02677-A</t>
  </si>
  <si>
    <t>RU000A0JQW29</t>
  </si>
  <si>
    <t>DZRDP</t>
  </si>
  <si>
    <t>ДонскЗР п</t>
  </si>
  <si>
    <t>ЕвроТранс [МБ ФР: Т+: Акции]</t>
  </si>
  <si>
    <t>1-01-80110-H</t>
  </si>
  <si>
    <t>RU000A1002V2</t>
  </si>
  <si>
    <t>EUTR</t>
  </si>
  <si>
    <t>ЕвроТранс</t>
  </si>
  <si>
    <t>ЕвроЭлтех [МБ ФР: Т+: Акции]</t>
  </si>
  <si>
    <t>1-01-83993-H</t>
  </si>
  <si>
    <t>RU000A0JWW54</t>
  </si>
  <si>
    <t>EELT</t>
  </si>
  <si>
    <t>ЕвроЭлтех</t>
  </si>
  <si>
    <t>Европлан [МБ ФР: Т+: Акции]</t>
  </si>
  <si>
    <t>1-01-16419-A</t>
  </si>
  <si>
    <t>RU000A0ZZFS9</t>
  </si>
  <si>
    <t>LEAS</t>
  </si>
  <si>
    <t>Европлан</t>
  </si>
  <si>
    <t>ЗВЕЗДА ао [МБ ФР: Т+: Акции]</t>
  </si>
  <si>
    <t>1-01-00169-D</t>
  </si>
  <si>
    <t>RU0009091300</t>
  </si>
  <si>
    <t>ZVEZ</t>
  </si>
  <si>
    <t>ЗВЕЗДА ао</t>
  </si>
  <si>
    <t>ЗИЛ ао [МБ ФР: Т+: Акции]</t>
  </si>
  <si>
    <t>1-02-00036-A</t>
  </si>
  <si>
    <t>RU0009086193</t>
  </si>
  <si>
    <t>ZILL</t>
  </si>
  <si>
    <t>ЗИЛ ао</t>
  </si>
  <si>
    <t>ЗаводДИОД [МБ ФР: Т+: Акции]</t>
  </si>
  <si>
    <t>1-03-06923-A</t>
  </si>
  <si>
    <t>RU000A0JQWC1</t>
  </si>
  <si>
    <t>DIOD</t>
  </si>
  <si>
    <t>ЗаводДИОД</t>
  </si>
  <si>
    <t>Займер ао [МБ ФР: Т+: Акции]</t>
  </si>
  <si>
    <t>1-01-16767-A</t>
  </si>
  <si>
    <t>RU000A107RM8</t>
  </si>
  <si>
    <t>ZAYM</t>
  </si>
  <si>
    <t>Займер ао</t>
  </si>
  <si>
    <t>ИКРУСС-ИНВ [МБ ФР: Т+: Акции]</t>
  </si>
  <si>
    <t>1-01-00409-A</t>
  </si>
  <si>
    <t>RU000A0JQ9W5</t>
  </si>
  <si>
    <t>RUSI</t>
  </si>
  <si>
    <t>ИКРУСС-ИНВ</t>
  </si>
  <si>
    <t>ИНАРКТИКА [МБ ФР: Т+: Акции]</t>
  </si>
  <si>
    <t>1-01-04461-D</t>
  </si>
  <si>
    <t>RU000A0JQTS3</t>
  </si>
  <si>
    <t>AQUA</t>
  </si>
  <si>
    <t>ИНАРКТИКА</t>
  </si>
  <si>
    <t>ИНГРАД ао [МБ ФР: Т+: Акции]</t>
  </si>
  <si>
    <t>1-01-50020-A</t>
  </si>
  <si>
    <t>RU000A0DJ9B4</t>
  </si>
  <si>
    <t>INGR</t>
  </si>
  <si>
    <t>ИНГРАД ао</t>
  </si>
  <si>
    <t>Ижсталь ап [МБ ФР: Т+: Акции]</t>
  </si>
  <si>
    <t>2-02-30078-D</t>
  </si>
  <si>
    <t>RU0002155300</t>
  </si>
  <si>
    <t>IGSTP</t>
  </si>
  <si>
    <t>Ижсталь ап</t>
  </si>
  <si>
    <t>Ижсталь2ао [МБ ФР: Т+: Акции]</t>
  </si>
  <si>
    <t>1-02-30078-D</t>
  </si>
  <si>
    <t>RU0002155292</t>
  </si>
  <si>
    <t>IGST</t>
  </si>
  <si>
    <t>Ижсталь2ао</t>
  </si>
  <si>
    <t>ИнтерРАОао [МБ ФР: Т+: Акции]</t>
  </si>
  <si>
    <t>1-04-33498-E</t>
  </si>
  <si>
    <t>RU000A0JPNM1</t>
  </si>
  <si>
    <t>КАМАЗ [МБ ФР: Т+: Акции]</t>
  </si>
  <si>
    <t>1-08-55010-D</t>
  </si>
  <si>
    <t>RU0008959580</t>
  </si>
  <si>
    <t>KMAZ</t>
  </si>
  <si>
    <t>КАМАЗ</t>
  </si>
  <si>
    <t>КМЗ [МБ ФР: Т+: Акции]</t>
  </si>
  <si>
    <t>1-02-05376-A</t>
  </si>
  <si>
    <t>RU0006753613</t>
  </si>
  <si>
    <t>KMEZ</t>
  </si>
  <si>
    <t>КМЗ</t>
  </si>
  <si>
    <t>КалужскСК [МБ ФР: Т+: Акции]</t>
  </si>
  <si>
    <t>1-01-65057-D</t>
  </si>
  <si>
    <t>RU000A0DKZK3</t>
  </si>
  <si>
    <t>KLSB</t>
  </si>
  <si>
    <t>КалужскСК</t>
  </si>
  <si>
    <t>КамчатЭ ао [МБ ФР: Т+: Акции]</t>
  </si>
  <si>
    <t>1-02-00235-A</t>
  </si>
  <si>
    <t>RU0006753498</t>
  </si>
  <si>
    <t>KCHE</t>
  </si>
  <si>
    <t>КамчатЭ ао</t>
  </si>
  <si>
    <t>КамчатЭ ап [МБ ФР: Т+: Акции]</t>
  </si>
  <si>
    <t>2-02-00235-A</t>
  </si>
  <si>
    <t>RU0006753480</t>
  </si>
  <si>
    <t>KCHEP</t>
  </si>
  <si>
    <t>КамчатЭ ап</t>
  </si>
  <si>
    <t>КоршГОК ао [МБ ФР: Т+: Акции]</t>
  </si>
  <si>
    <t>1-01-20992-F</t>
  </si>
  <si>
    <t>RU0002155359</t>
  </si>
  <si>
    <t>KOGK</t>
  </si>
  <si>
    <t>КоршГОК ао</t>
  </si>
  <si>
    <t>КрасОкт-1п [МБ ФР: Т+: Акции]</t>
  </si>
  <si>
    <t>2-01-00060-A</t>
  </si>
  <si>
    <t>RU0008913868</t>
  </si>
  <si>
    <t>KROTP</t>
  </si>
  <si>
    <t>КрасОкт-1п</t>
  </si>
  <si>
    <t>КрасОкт-ао [МБ ФР: Т+: Акции]</t>
  </si>
  <si>
    <t>1-02-00060-A</t>
  </si>
  <si>
    <t>RU0008913850</t>
  </si>
  <si>
    <t>KROT</t>
  </si>
  <si>
    <t>КрасОкт-ао</t>
  </si>
  <si>
    <t>Красэсб ао [МБ ФР: Т+: Акции]</t>
  </si>
  <si>
    <t>1-01-55147-E</t>
  </si>
  <si>
    <t>RU000A0HMLY1</t>
  </si>
  <si>
    <t>KRSB</t>
  </si>
  <si>
    <t>Красэсб ао</t>
  </si>
  <si>
    <t>Красэсб ап [МБ ФР: Т+: Акции]</t>
  </si>
  <si>
    <t>2-01-55147-E</t>
  </si>
  <si>
    <t>RU000A0HMLZ8</t>
  </si>
  <si>
    <t>KRSBP</t>
  </si>
  <si>
    <t>Красэсб ап</t>
  </si>
  <si>
    <t>Кристалл [МБ ФР: Т+: Акции]</t>
  </si>
  <si>
    <t>1-01-05421-G</t>
  </si>
  <si>
    <t>RU000A107KX0</t>
  </si>
  <si>
    <t>KLVZ</t>
  </si>
  <si>
    <t>Кристалл</t>
  </si>
  <si>
    <t>КузнецкийБ [МБ ФР: Т+: Акции]</t>
  </si>
  <si>
    <t>10100609B</t>
  </si>
  <si>
    <t>RU000A0JSQ66</t>
  </si>
  <si>
    <t>KUZB</t>
  </si>
  <si>
    <t>КузнецкийБ</t>
  </si>
  <si>
    <t>Куйбазот [МБ ФР: Т+: Акции]</t>
  </si>
  <si>
    <t>1-01-00067-A</t>
  </si>
  <si>
    <t>RU000A0B9BV2</t>
  </si>
  <si>
    <t>KAZT</t>
  </si>
  <si>
    <t>Куйбазот</t>
  </si>
  <si>
    <t>Куйбазот-п [МБ ФР: Т+: Акции]</t>
  </si>
  <si>
    <t>2-01-00067-A</t>
  </si>
  <si>
    <t>RU000A0B9BW0</t>
  </si>
  <si>
    <t>KAZTP</t>
  </si>
  <si>
    <t>Куйбазот-п</t>
  </si>
  <si>
    <t>КурганГКао [МБ ФР: Т+: Акции]</t>
  </si>
  <si>
    <t>1-01-55226-E</t>
  </si>
  <si>
    <t>RU000A0JP120</t>
  </si>
  <si>
    <t>KGKC</t>
  </si>
  <si>
    <t>КурганГКао</t>
  </si>
  <si>
    <t>КурганГКап [МБ ФР: Т+: Акции]</t>
  </si>
  <si>
    <t>2-01-55226-E</t>
  </si>
  <si>
    <t>RU000A0JP138</t>
  </si>
  <si>
    <t>KGKCP</t>
  </si>
  <si>
    <t>КурганГКап</t>
  </si>
  <si>
    <t>ЛСР ао [МБ ФР: Т+: Акции]</t>
  </si>
  <si>
    <t>1-01-55234-E</t>
  </si>
  <si>
    <t>RU000A0JPFP0</t>
  </si>
  <si>
    <t>LSRG</t>
  </si>
  <si>
    <t>ЛСР ао</t>
  </si>
  <si>
    <t>ЛУКОЙЛ [МБ ФР: Т+: Акции]</t>
  </si>
  <si>
    <t>1-01-00077-A</t>
  </si>
  <si>
    <t>RU0009024277</t>
  </si>
  <si>
    <t>Ламбумиз [МБ ФР: Т+: Акции]</t>
  </si>
  <si>
    <t>1-01-09188-H</t>
  </si>
  <si>
    <t>RU000A108ZX6</t>
  </si>
  <si>
    <t>LMBZ</t>
  </si>
  <si>
    <t>Ламбумиз</t>
  </si>
  <si>
    <t>Левенгук [МБ ФР: Т+: Акции]</t>
  </si>
  <si>
    <t>1-01-04329-D</t>
  </si>
  <si>
    <t>RU000A0JT7Y2</t>
  </si>
  <si>
    <t>LVHK</t>
  </si>
  <si>
    <t>Левенгук</t>
  </si>
  <si>
    <t>Лензол. ап [МБ ФР: Т+: Акции]</t>
  </si>
  <si>
    <t>2-02-40433-N</t>
  </si>
  <si>
    <t>RU000A0JP1P7</t>
  </si>
  <si>
    <t>LNZLP</t>
  </si>
  <si>
    <t>Лензол. ап</t>
  </si>
  <si>
    <t>Лензолото [МБ ФР: Т+: Акции]</t>
  </si>
  <si>
    <t>1-02-40433-N</t>
  </si>
  <si>
    <t>RU000A0JP1N2</t>
  </si>
  <si>
    <t>LNZL</t>
  </si>
  <si>
    <t>Лензолото</t>
  </si>
  <si>
    <t>Лента ао [МБ ФР: Т+: Акции]</t>
  </si>
  <si>
    <t>1-01-16686-A</t>
  </si>
  <si>
    <t>RU000A102S15</t>
  </si>
  <si>
    <t>М.видео [МБ ФР: Т+: Акции]</t>
  </si>
  <si>
    <t>1-02-11700-A</t>
  </si>
  <si>
    <t>RU000A0JPGA0</t>
  </si>
  <si>
    <t>MVID</t>
  </si>
  <si>
    <t>М.видео</t>
  </si>
  <si>
    <t>МГКЛ [МБ ФР: Т+: Акции]</t>
  </si>
  <si>
    <t>1-01-11915-A</t>
  </si>
  <si>
    <t>RU000A0JVJQ8</t>
  </si>
  <si>
    <t>MGKL</t>
  </si>
  <si>
    <t>МГКЛ</t>
  </si>
  <si>
    <t>МГТС-4ап [МБ ФР: Т+: Акции]</t>
  </si>
  <si>
    <t>2-04-00083-A</t>
  </si>
  <si>
    <t>RU0009036479</t>
  </si>
  <si>
    <t>MGTSP</t>
  </si>
  <si>
    <t>МГТС-4ап</t>
  </si>
  <si>
    <t>МГТС-5ао [МБ ФР: Т+: Акции]</t>
  </si>
  <si>
    <t>1-05-00083-A</t>
  </si>
  <si>
    <t>RU0009036461</t>
  </si>
  <si>
    <t>MGTS</t>
  </si>
  <si>
    <t>МГТС-5ао</t>
  </si>
  <si>
    <t>МКБ ао [МБ ФР: Т+: Акции]</t>
  </si>
  <si>
    <t>10101978B</t>
  </si>
  <si>
    <t>RU000A0JUG31</t>
  </si>
  <si>
    <t>CBOM</t>
  </si>
  <si>
    <t>МКБ ао</t>
  </si>
  <si>
    <t>МКПАО "ВК" [МБ ФР: Т+: Акции]</t>
  </si>
  <si>
    <t>1-01-16753-A</t>
  </si>
  <si>
    <t>RU000A106YF0</t>
  </si>
  <si>
    <t>VKCO</t>
  </si>
  <si>
    <t>МКПАО "ВК"</t>
  </si>
  <si>
    <t>МКПАО ЮМГ [МБ ФР: Т+: Акции]</t>
  </si>
  <si>
    <t>1-01-16774-A</t>
  </si>
  <si>
    <t>RU000A107JE2</t>
  </si>
  <si>
    <t>GEMC</t>
  </si>
  <si>
    <t>МКПАО ЮМГ</t>
  </si>
  <si>
    <t>ММК [МБ ФР: Т+: Акции]</t>
  </si>
  <si>
    <t>1-03-00078-A</t>
  </si>
  <si>
    <t>RU0009084396</t>
  </si>
  <si>
    <t>MAGN</t>
  </si>
  <si>
    <t>ММК</t>
  </si>
  <si>
    <t>МТС Банк [МБ ФР: Т+: Акции]</t>
  </si>
  <si>
    <t>10102268B</t>
  </si>
  <si>
    <t>RU000A0JRH43</t>
  </si>
  <si>
    <t>MBNK</t>
  </si>
  <si>
    <t>МТС Банк</t>
  </si>
  <si>
    <t>МТС-ао [МБ ФР: Т+: Акции]</t>
  </si>
  <si>
    <t>1-01-04715-A</t>
  </si>
  <si>
    <t>RU0007775219</t>
  </si>
  <si>
    <t>MTSS</t>
  </si>
  <si>
    <t>МТС-ао</t>
  </si>
  <si>
    <t>МагадЭн ао [МБ ФР: Т+: Акции]</t>
  </si>
  <si>
    <t>1-01-00254-A</t>
  </si>
  <si>
    <t>RU0006758919</t>
  </si>
  <si>
    <t>MAGE</t>
  </si>
  <si>
    <t>МагадЭн ао</t>
  </si>
  <si>
    <t>МагадЭн ап [МБ ФР: Т+: Акции]</t>
  </si>
  <si>
    <t>2-01-00254-A</t>
  </si>
  <si>
    <t>RU0006758893</t>
  </si>
  <si>
    <t>MAGEP</t>
  </si>
  <si>
    <t>МагадЭн ап</t>
  </si>
  <si>
    <t>Магнит ао [МБ ФР: Т+: Акции]</t>
  </si>
  <si>
    <t>1-01-60525-P</t>
  </si>
  <si>
    <t>RU000A0JKQU8</t>
  </si>
  <si>
    <t>MGNT</t>
  </si>
  <si>
    <t>Магнит ао</t>
  </si>
  <si>
    <t>Мегион-ао [МБ ФР: Т+: Акции]</t>
  </si>
  <si>
    <t>1-03-00149-A</t>
  </si>
  <si>
    <t>RU0009011126</t>
  </si>
  <si>
    <t>MFGS</t>
  </si>
  <si>
    <t>Мегион-ао</t>
  </si>
  <si>
    <t>Мегион-ап [МБ ФР: Т+: Акции]</t>
  </si>
  <si>
    <t>2-03-00149-A</t>
  </si>
  <si>
    <t>RU0009011134</t>
  </si>
  <si>
    <t>MFGSP</t>
  </si>
  <si>
    <t>Мегион-ап</t>
  </si>
  <si>
    <t>Мечел ао [МБ ФР: Т+: Акции]</t>
  </si>
  <si>
    <t>1-01-55005-E</t>
  </si>
  <si>
    <t>RU000A0DKXV5</t>
  </si>
  <si>
    <t>MTLR</t>
  </si>
  <si>
    <t>Мечел ао</t>
  </si>
  <si>
    <t>Мечел ап [МБ ФР: Т+: Акции]</t>
  </si>
  <si>
    <t>2-01-55005-E</t>
  </si>
  <si>
    <t>RU000A0JPV70</t>
  </si>
  <si>
    <t>MTLRP</t>
  </si>
  <si>
    <t>Мечел ап</t>
  </si>
  <si>
    <t>МордЭнСб [МБ ФР: Т+: Акции]</t>
  </si>
  <si>
    <t>1-01-55055-E</t>
  </si>
  <si>
    <t>RU000A0D9AJ7</t>
  </si>
  <si>
    <t>MRSB</t>
  </si>
  <si>
    <t>МордЭнСб</t>
  </si>
  <si>
    <t>МосБиржа [МБ ФР: Т+: Акции]</t>
  </si>
  <si>
    <t>1-05-08443-H</t>
  </si>
  <si>
    <t>RU000A0JR4A1</t>
  </si>
  <si>
    <t>Мостотрест [МБ ФР: Т+: Акции]</t>
  </si>
  <si>
    <t>1-03-02472-A</t>
  </si>
  <si>
    <t>RU0009177331</t>
  </si>
  <si>
    <t>MSTT</t>
  </si>
  <si>
    <t>Мостотрест</t>
  </si>
  <si>
    <t>НЕФАЗ [МБ ФР: Т+: Акции]</t>
  </si>
  <si>
    <t>1-01-30520-D</t>
  </si>
  <si>
    <t>RU0009115604</t>
  </si>
  <si>
    <t>NFAZ</t>
  </si>
  <si>
    <t>НЕФАЗ</t>
  </si>
  <si>
    <t>НКНХ ао [МБ ФР: Т+: Акции]</t>
  </si>
  <si>
    <t>1-02-00096-A</t>
  </si>
  <si>
    <t>RU0009100507</t>
  </si>
  <si>
    <t>NKNC</t>
  </si>
  <si>
    <t>НКНХ ао</t>
  </si>
  <si>
    <t>НКНХ ап [МБ ФР: Т+: Акции]</t>
  </si>
  <si>
    <t>2-02-00096-A</t>
  </si>
  <si>
    <t>RU0006765096</t>
  </si>
  <si>
    <t>NKNCP</t>
  </si>
  <si>
    <t>НКНХ ап</t>
  </si>
  <si>
    <t>НКХП ао [МБ ФР: Т+: Акции]</t>
  </si>
  <si>
    <t>1-03-35684-E</t>
  </si>
  <si>
    <t>RU000A0BLWD7</t>
  </si>
  <si>
    <t>NKHP</t>
  </si>
  <si>
    <t>НКХП ао</t>
  </si>
  <si>
    <t>НЛМК ао [МБ ФР: Т+: Акции]</t>
  </si>
  <si>
    <t>1-01-00102-A</t>
  </si>
  <si>
    <t>RU0009046452</t>
  </si>
  <si>
    <t>NLMK</t>
  </si>
  <si>
    <t>НЛМК ао</t>
  </si>
  <si>
    <t>НМТП ао [МБ ФР: Т+: Акции]</t>
  </si>
  <si>
    <t>1-01-30251-E</t>
  </si>
  <si>
    <t>RU0009084446</t>
  </si>
  <si>
    <t>NMTP</t>
  </si>
  <si>
    <t>НМТП ао</t>
  </si>
  <si>
    <t>Нижкамшина [МБ ФР: Т+: Акции]</t>
  </si>
  <si>
    <t>1-02-55032-D</t>
  </si>
  <si>
    <t>RU0009100515</t>
  </si>
  <si>
    <t>NKSH</t>
  </si>
  <si>
    <t>Нижкамшина</t>
  </si>
  <si>
    <t>НоваБев ао [МБ ФР: Т+: Акции]</t>
  </si>
  <si>
    <t>1-01-55052-E</t>
  </si>
  <si>
    <t>RU000A0HL5M1</t>
  </si>
  <si>
    <t>BELU</t>
  </si>
  <si>
    <t>НоваБев ао</t>
  </si>
  <si>
    <t>Новатэк ао [МБ ФР: Т+: Акции]</t>
  </si>
  <si>
    <t>1-02-00268-E</t>
  </si>
  <si>
    <t>RU000A0DKVS5</t>
  </si>
  <si>
    <t>NVTK</t>
  </si>
  <si>
    <t>Новатэк ао</t>
  </si>
  <si>
    <t>ОГК-2 ао [МБ ФР: Т+: Акции]</t>
  </si>
  <si>
    <t>1-02-65105-D</t>
  </si>
  <si>
    <t>RU000A0JNG55</t>
  </si>
  <si>
    <t>OGKB</t>
  </si>
  <si>
    <t>ОГК-2 ао</t>
  </si>
  <si>
    <t>ОМЗ-ап [МБ ФР: Т+: Акции]</t>
  </si>
  <si>
    <t>2-01-30174-D</t>
  </si>
  <si>
    <t>RU0009090559</t>
  </si>
  <si>
    <t>OMZZP</t>
  </si>
  <si>
    <t>ОМЗ-ап</t>
  </si>
  <si>
    <t>ОзонФарм [МБ ФР: Т+: Акции]</t>
  </si>
  <si>
    <t>1-01-10877-P</t>
  </si>
  <si>
    <t>RU000A109B25</t>
  </si>
  <si>
    <t>OZPH</t>
  </si>
  <si>
    <t>ОзонФарм</t>
  </si>
  <si>
    <t>ОргСинт ао [МБ ФР: Т+: Акции]</t>
  </si>
  <si>
    <t>1-02-55245-D</t>
  </si>
  <si>
    <t>RU0009089825</t>
  </si>
  <si>
    <t>KZOS</t>
  </si>
  <si>
    <t>ОргСинт ао</t>
  </si>
  <si>
    <t>ОргСинт ап [МБ ФР: Т+: Акции]</t>
  </si>
  <si>
    <t>2-02-55245-D</t>
  </si>
  <si>
    <t>RU0006753456</t>
  </si>
  <si>
    <t>KZOSP</t>
  </si>
  <si>
    <t>ОргСинт ап</t>
  </si>
  <si>
    <t>ПИК ао [МБ ФР: Т+: Акции]</t>
  </si>
  <si>
    <t>1-02-01556-A</t>
  </si>
  <si>
    <t>RU000A0JP7J7</t>
  </si>
  <si>
    <t>PIKK</t>
  </si>
  <si>
    <t>ПИК ао</t>
  </si>
  <si>
    <t>ПРОМОМЕД [МБ ФР: Т+: Акции]</t>
  </si>
  <si>
    <t>1-01-01622-G</t>
  </si>
  <si>
    <t>RU000A108JF7</t>
  </si>
  <si>
    <t>PRMD</t>
  </si>
  <si>
    <t>ПРОМОМЕД</t>
  </si>
  <si>
    <t>ПермьЭнС-п [МБ ФР: Т+: Акции]</t>
  </si>
  <si>
    <t>2-01-55084-E</t>
  </si>
  <si>
    <t>RU000A0ET156</t>
  </si>
  <si>
    <t>PMSBP</t>
  </si>
  <si>
    <t>ПермьЭнС-п</t>
  </si>
  <si>
    <t>ПермьЭнСб [МБ ФР: Т+: Акции]</t>
  </si>
  <si>
    <t>1-01-55084-E</t>
  </si>
  <si>
    <t>RU000A0ET123</t>
  </si>
  <si>
    <t>PMSB</t>
  </si>
  <si>
    <t>ПермьЭнСб</t>
  </si>
  <si>
    <t>Полюс [МБ ФР: Т+: Акции]</t>
  </si>
  <si>
    <t>1-01-55192-E</t>
  </si>
  <si>
    <t>RU000A0JNAA8</t>
  </si>
  <si>
    <t>PLZL</t>
  </si>
  <si>
    <t>Полюс</t>
  </si>
  <si>
    <t>Приморье [МБ ФР: Т+: Акции]</t>
  </si>
  <si>
    <t>10103001B</t>
  </si>
  <si>
    <t>RU000A0DPNQ5</t>
  </si>
  <si>
    <t>PRMB</t>
  </si>
  <si>
    <t>Приморье</t>
  </si>
  <si>
    <t>РГС СК ао [МБ ФР: Т+: Акции]</t>
  </si>
  <si>
    <t>1-03-10003-Z</t>
  </si>
  <si>
    <t>RU0008010855</t>
  </si>
  <si>
    <t>RGSS</t>
  </si>
  <si>
    <t>РГС СК ао</t>
  </si>
  <si>
    <t>РДБанк ао [МБ ФР: Т+: Акции]</t>
  </si>
  <si>
    <t>10201573B</t>
  </si>
  <si>
    <t>RU000A0JU6Q7</t>
  </si>
  <si>
    <t>RDRB</t>
  </si>
  <si>
    <t>РДБанк ао</t>
  </si>
  <si>
    <t>РН-ЗапСиб [МБ ФР: Т+: Акции]</t>
  </si>
  <si>
    <t>1-01-00185-A</t>
  </si>
  <si>
    <t>RU0009082291</t>
  </si>
  <si>
    <t>CHGZ</t>
  </si>
  <si>
    <t>РН-ЗапСиб</t>
  </si>
  <si>
    <t>РОСИНТЕРао [МБ ФР: Т+: Акции]</t>
  </si>
  <si>
    <t>1-02-55033-E</t>
  </si>
  <si>
    <t>RU000A0JP922</t>
  </si>
  <si>
    <t>ROST</t>
  </si>
  <si>
    <t>РОСИНТЕРао</t>
  </si>
  <si>
    <t>РСТомск ао [МБ ФР: Т+: Акции]</t>
  </si>
  <si>
    <t>1-01-50128-A</t>
  </si>
  <si>
    <t>RU000A0ETZF2</t>
  </si>
  <si>
    <t>TORS</t>
  </si>
  <si>
    <t>РСТомск ао</t>
  </si>
  <si>
    <t>РСТомск ап [МБ ФР: Т+: Акции]</t>
  </si>
  <si>
    <t>2-01-50128-A</t>
  </si>
  <si>
    <t>RU000A0ETZM8</t>
  </si>
  <si>
    <t>TORSP</t>
  </si>
  <si>
    <t>РСТомск ап</t>
  </si>
  <si>
    <t>РСетКубань [МБ ФР: Т+: Акции]</t>
  </si>
  <si>
    <t>1-02-00063-A</t>
  </si>
  <si>
    <t>RU0009046767</t>
  </si>
  <si>
    <t>KUBE</t>
  </si>
  <si>
    <t>РСетКубань</t>
  </si>
  <si>
    <t>РСетиЛЭ [МБ ФР: Т+: Акции]</t>
  </si>
  <si>
    <t>1-01-00073-A</t>
  </si>
  <si>
    <t>RU0009034490</t>
  </si>
  <si>
    <t>LSNG</t>
  </si>
  <si>
    <t>РСетиЛЭ</t>
  </si>
  <si>
    <t>РСетиЛЭ-п [МБ ФР: Т+: Акции]</t>
  </si>
  <si>
    <t>2-01-00073-A</t>
  </si>
  <si>
    <t>RU0009092134</t>
  </si>
  <si>
    <t>LSNGP</t>
  </si>
  <si>
    <t>РСетиЛЭ-п</t>
  </si>
  <si>
    <t>РСетиМР ао [МБ ФР: Т+: Акции]</t>
  </si>
  <si>
    <t>1-01-65116-D</t>
  </si>
  <si>
    <t>RU000A0ET7Y7</t>
  </si>
  <si>
    <t>MSRS</t>
  </si>
  <si>
    <t>РСетиМР ао</t>
  </si>
  <si>
    <t>РСетиСЗ ао [МБ ФР: Т+: Акции]</t>
  </si>
  <si>
    <t>1-01-03347-D</t>
  </si>
  <si>
    <t>RU000A0JPPB9</t>
  </si>
  <si>
    <t>MRKZ</t>
  </si>
  <si>
    <t>РСетиСЗ ао</t>
  </si>
  <si>
    <t>РСетиЦП ао [МБ ФР: Т+: Акции]</t>
  </si>
  <si>
    <t>1-01-12665-E</t>
  </si>
  <si>
    <t>RU000A0JPN96</t>
  </si>
  <si>
    <t>MRKP</t>
  </si>
  <si>
    <t>РСетиЦП ао</t>
  </si>
  <si>
    <t>РУСАЛ ао [МБ ФР: Т+: Акции]</t>
  </si>
  <si>
    <t>1-01-16677-A</t>
  </si>
  <si>
    <t>RU000A1025V3</t>
  </si>
  <si>
    <t>RUAL</t>
  </si>
  <si>
    <t>РУСАЛ ао</t>
  </si>
  <si>
    <t>Распадская [МБ ФР: Т+: Акции]</t>
  </si>
  <si>
    <t>1-04-21725-N</t>
  </si>
  <si>
    <t>RU000A0B90N8</t>
  </si>
  <si>
    <t>RASP</t>
  </si>
  <si>
    <t>Распадская</t>
  </si>
  <si>
    <t>Ренессанс [МБ ФР: Т+: Акции]</t>
  </si>
  <si>
    <t>1-01-10601-Z</t>
  </si>
  <si>
    <t>RU000A0ZZM04</t>
  </si>
  <si>
    <t>RENI</t>
  </si>
  <si>
    <t>Ренессанс</t>
  </si>
  <si>
    <t>Росбанк ао [МБ ФР: Т+: Акции]</t>
  </si>
  <si>
    <t>10102272B</t>
  </si>
  <si>
    <t>RU000A0HHK26</t>
  </si>
  <si>
    <t>ROSB</t>
  </si>
  <si>
    <t>Росбанк ао</t>
  </si>
  <si>
    <t>заморожена</t>
  </si>
  <si>
    <t>Роснефть [МБ ФР: Т+: Акции]</t>
  </si>
  <si>
    <t>1-02-00122-A</t>
  </si>
  <si>
    <t>RU000A0J2Q06</t>
  </si>
  <si>
    <t>ROSN</t>
  </si>
  <si>
    <t>Роснефть</t>
  </si>
  <si>
    <t>РоссЦентр [МБ ФР: Т+: Акции]</t>
  </si>
  <si>
    <t>1-01-10214-A</t>
  </si>
  <si>
    <t>RU000A0JPPL8</t>
  </si>
  <si>
    <t>MRKC</t>
  </si>
  <si>
    <t>РоссЦентр</t>
  </si>
  <si>
    <t>РоссЮг ао [МБ ФР: Т+: Акции]</t>
  </si>
  <si>
    <t>1-01-34956-E</t>
  </si>
  <si>
    <t>RU000A0JPPG8</t>
  </si>
  <si>
    <t>MRKY</t>
  </si>
  <si>
    <t>РоссЮг ао</t>
  </si>
  <si>
    <t>Россети [МБ ФР: Т+: Акции]</t>
  </si>
  <si>
    <t>1-01-65018-D</t>
  </si>
  <si>
    <t>RU000A0JPNN9</t>
  </si>
  <si>
    <t>FEES</t>
  </si>
  <si>
    <t>Россети</t>
  </si>
  <si>
    <t>Россети СК [МБ ФР: Т+: Акции]</t>
  </si>
  <si>
    <t>1-01-34747-E</t>
  </si>
  <si>
    <t>RU000A0JPPQ7</t>
  </si>
  <si>
    <t>MRKK</t>
  </si>
  <si>
    <t>Россети СК</t>
  </si>
  <si>
    <t>Россети Ур [МБ ФР: Т+: Акции]</t>
  </si>
  <si>
    <t>1-01-32501-D</t>
  </si>
  <si>
    <t>RU000A0JPPT1</t>
  </si>
  <si>
    <t>MRKU</t>
  </si>
  <si>
    <t>Россети Ур</t>
  </si>
  <si>
    <t>Ростел -ао [МБ ФР: Т+: Акции]</t>
  </si>
  <si>
    <t>1-01-00124-A</t>
  </si>
  <si>
    <t>RU0008943394</t>
  </si>
  <si>
    <t>Ростел -ап [МБ ФР: Т+: Акции]</t>
  </si>
  <si>
    <t>2-01-00124-A</t>
  </si>
  <si>
    <t>RU0009046700</t>
  </si>
  <si>
    <t>RTKMP</t>
  </si>
  <si>
    <t>Ростел -ап</t>
  </si>
  <si>
    <t>РсетВол ао [МБ ФР: Т+: Акции]</t>
  </si>
  <si>
    <t>1-01-04247-E</t>
  </si>
  <si>
    <t>RU000A0JPPN4</t>
  </si>
  <si>
    <t>MRKV</t>
  </si>
  <si>
    <t>РсетВол ао</t>
  </si>
  <si>
    <t>РсетСиб ао [МБ ФР: Т+: Акции]</t>
  </si>
  <si>
    <t>1-01-12044-F</t>
  </si>
  <si>
    <t>RU000A0JPPF0</t>
  </si>
  <si>
    <t>MRKS</t>
  </si>
  <si>
    <t>РсетСиб ао</t>
  </si>
  <si>
    <t>РусГидро [МБ ФР: Т+: Акции]</t>
  </si>
  <si>
    <t>1-01-55038-E</t>
  </si>
  <si>
    <t>RU000A0JPKH7</t>
  </si>
  <si>
    <t>HYDR</t>
  </si>
  <si>
    <t>РусГидро</t>
  </si>
  <si>
    <t>Русолово [МБ ФР: Т+: Акции]</t>
  </si>
  <si>
    <t>1-01-15065-A</t>
  </si>
  <si>
    <t>RU000A0JU1B0</t>
  </si>
  <si>
    <t>ROLO</t>
  </si>
  <si>
    <t>Русолово</t>
  </si>
  <si>
    <t>РуссНфт ао [МБ ФР: Т+: Акции]</t>
  </si>
  <si>
    <t>1-02-39134-H</t>
  </si>
  <si>
    <t>RU000A0JSE60</t>
  </si>
  <si>
    <t>RNFT</t>
  </si>
  <si>
    <t>РуссНфт ао</t>
  </si>
  <si>
    <t>РязЭнСб [МБ ФР: Т+: Акции]</t>
  </si>
  <si>
    <t>1-01-50092-A</t>
  </si>
  <si>
    <t>RU000A0D9AF5</t>
  </si>
  <si>
    <t>RZSB</t>
  </si>
  <si>
    <t>РязЭнСб</t>
  </si>
  <si>
    <t>СМЗ-ао [МБ ФР: Т+: Акции]</t>
  </si>
  <si>
    <t>1-01-00283-A</t>
  </si>
  <si>
    <t>RU0009100911</t>
  </si>
  <si>
    <t>MGNZ</t>
  </si>
  <si>
    <t>СМЗ-ао</t>
  </si>
  <si>
    <t>СОЛЛЕРС [МБ ФР: Т+: Акции]</t>
  </si>
  <si>
    <t>1-01-02461-D</t>
  </si>
  <si>
    <t>RU0006914488</t>
  </si>
  <si>
    <t>SVAV</t>
  </si>
  <si>
    <t>СОЛЛЕРС</t>
  </si>
  <si>
    <t>СПБ Биржа [МБ ФР: Т+: Акции]</t>
  </si>
  <si>
    <t>1-01-55439-E</t>
  </si>
  <si>
    <t>RU000A0JQ9P9</t>
  </si>
  <si>
    <t>SPBE</t>
  </si>
  <si>
    <t>СПБ Биржа</t>
  </si>
  <si>
    <t>СТГ [МБ ФР: Т+: Акции]</t>
  </si>
  <si>
    <t>1-01-03536-G</t>
  </si>
  <si>
    <t>RU000A105NV2</t>
  </si>
  <si>
    <t>CARM</t>
  </si>
  <si>
    <t>СТГ</t>
  </si>
  <si>
    <t>СамарЭн-ао [МБ ФР: Т+: Акции]</t>
  </si>
  <si>
    <t>1-02-00127-A</t>
  </si>
  <si>
    <t>RU0009098255</t>
  </si>
  <si>
    <t>SAGO</t>
  </si>
  <si>
    <t>СамарЭн-ао</t>
  </si>
  <si>
    <t>СамарЭн-ап [МБ ФР: Т+: Акции]</t>
  </si>
  <si>
    <t>2-02-00127-A</t>
  </si>
  <si>
    <t>RU0009084495</t>
  </si>
  <si>
    <t>SAGOP</t>
  </si>
  <si>
    <t>СамарЭн-ап</t>
  </si>
  <si>
    <t>Самолет ао [МБ ФР: Т+: Акции]</t>
  </si>
  <si>
    <t>1-01-16493-A</t>
  </si>
  <si>
    <t>RU000A0ZZG02</t>
  </si>
  <si>
    <t>SMLT</t>
  </si>
  <si>
    <t>Самолет ао</t>
  </si>
  <si>
    <t>СаратНПЗ [МБ ФР: Т+: Акции]</t>
  </si>
  <si>
    <t>1-01-00248-A</t>
  </si>
  <si>
    <t>RU0009100408</t>
  </si>
  <si>
    <t>KRKN</t>
  </si>
  <si>
    <t>СаратНПЗ</t>
  </si>
  <si>
    <t>СаратНПЗ-п [МБ ФР: Т+: Акции]</t>
  </si>
  <si>
    <t>2-01-00248-A</t>
  </si>
  <si>
    <t>RU0009100416</t>
  </si>
  <si>
    <t>KRKNP</t>
  </si>
  <si>
    <t>СаратНПЗ-п</t>
  </si>
  <si>
    <t>СаратЭн-ао [МБ ФР: Т+: Акции]</t>
  </si>
  <si>
    <t>1-02-00132-A</t>
  </si>
  <si>
    <t>RU0009100754</t>
  </si>
  <si>
    <t>SARE</t>
  </si>
  <si>
    <t>СаратЭн-ао</t>
  </si>
  <si>
    <t>СаратЭн-ап [МБ ФР: Т+: Акции]</t>
  </si>
  <si>
    <t>2-02-00132-A</t>
  </si>
  <si>
    <t>RU0009100762</t>
  </si>
  <si>
    <t>SAREP</t>
  </si>
  <si>
    <t>СаратЭн-ап</t>
  </si>
  <si>
    <t>Сахэнер ао [МБ ФР: Т+: Акции]</t>
  </si>
  <si>
    <t>1-03-00272-A</t>
  </si>
  <si>
    <t>RU0009280465</t>
  </si>
  <si>
    <t>SLEN</t>
  </si>
  <si>
    <t>Сахэнер ао</t>
  </si>
  <si>
    <t>Сбербанк [МБ ФР: Т+: Акции]</t>
  </si>
  <si>
    <t>10301481B</t>
  </si>
  <si>
    <t>RU0009029540</t>
  </si>
  <si>
    <t>SBER</t>
  </si>
  <si>
    <t>Сбербанк</t>
  </si>
  <si>
    <t>Сбербанк-п [МБ ФР: Т+: Акции]</t>
  </si>
  <si>
    <t>20301481B</t>
  </si>
  <si>
    <t>RU0009029557</t>
  </si>
  <si>
    <t>SBERP</t>
  </si>
  <si>
    <t>Сбербанк-п</t>
  </si>
  <si>
    <t>Светофор [МБ ФР: Т+: Акции]</t>
  </si>
  <si>
    <t>1-01-24350-J</t>
  </si>
  <si>
    <t>RU000A100592</t>
  </si>
  <si>
    <t>SVET</t>
  </si>
  <si>
    <t>Светофор</t>
  </si>
  <si>
    <t>Светофор п [МБ ФР: Т+: Акции]</t>
  </si>
  <si>
    <t>2-01-24350-J</t>
  </si>
  <si>
    <t>RU000A1005A9</t>
  </si>
  <si>
    <t>SVETP</t>
  </si>
  <si>
    <t>Светофор п</t>
  </si>
  <si>
    <t>СевСт-ао [МБ ФР: Т+: Акции]</t>
  </si>
  <si>
    <t>1-02-00143-A</t>
  </si>
  <si>
    <t>RU0009046510</t>
  </si>
  <si>
    <t>CHMF</t>
  </si>
  <si>
    <t>СевСт-ао</t>
  </si>
  <si>
    <t>Сегежа [МБ ФР: Т+: Акции]</t>
  </si>
  <si>
    <t>1-01-87154-H</t>
  </si>
  <si>
    <t>RU000A102XG9</t>
  </si>
  <si>
    <t>SGZH</t>
  </si>
  <si>
    <t>Сегежа</t>
  </si>
  <si>
    <t>Селигдар [МБ ФР: Т+: Акции]</t>
  </si>
  <si>
    <t>1-01-32694-F</t>
  </si>
  <si>
    <t>RU000A0JPR50</t>
  </si>
  <si>
    <t>SELG</t>
  </si>
  <si>
    <t>Селигдар</t>
  </si>
  <si>
    <t>Система ао [МБ ФР: Т+: Акции]</t>
  </si>
  <si>
    <t>1-05-01669-A</t>
  </si>
  <si>
    <t>RU000A0DQZE3</t>
  </si>
  <si>
    <t>AFKS</t>
  </si>
  <si>
    <t>Система ао</t>
  </si>
  <si>
    <t>Слав-ЯНОСп [МБ ФР: Т+: Акции]</t>
  </si>
  <si>
    <t>2-01-00199-A</t>
  </si>
  <si>
    <t>RU0009101927</t>
  </si>
  <si>
    <t>JNOSP</t>
  </si>
  <si>
    <t>Слав-ЯНОСп</t>
  </si>
  <si>
    <t>Славн-ЯНОС [МБ ФР: Т+: Акции]</t>
  </si>
  <si>
    <t>1-01-00199-A</t>
  </si>
  <si>
    <t>RU0009100895</t>
  </si>
  <si>
    <t>JNOS</t>
  </si>
  <si>
    <t>Славн-ЯНОС</t>
  </si>
  <si>
    <t>Совкомбанк [МБ ФР: Т+: Акции]</t>
  </si>
  <si>
    <t>10100963B</t>
  </si>
  <si>
    <t>RU000A0ZZAC4</t>
  </si>
  <si>
    <t>Совкомфлот [МБ ФР: Т+: Акции]</t>
  </si>
  <si>
    <t>1-01-10613-A</t>
  </si>
  <si>
    <t>RU000A0JXNU8</t>
  </si>
  <si>
    <t>FLOT</t>
  </si>
  <si>
    <t>Совкомфлот</t>
  </si>
  <si>
    <t>СтаврЭнСб [МБ ФР: Т+: Акции]</t>
  </si>
  <si>
    <t>1-01-50119-A</t>
  </si>
  <si>
    <t>RU000A0ET1W4</t>
  </si>
  <si>
    <t>STSB</t>
  </si>
  <si>
    <t>СтаврЭнСб</t>
  </si>
  <si>
    <t>СтаврЭнСбп [МБ ФР: Т+: Акции]</t>
  </si>
  <si>
    <t>2-01-50119-A</t>
  </si>
  <si>
    <t>RU000A0ET1Z7</t>
  </si>
  <si>
    <t>STSBP</t>
  </si>
  <si>
    <t>СтаврЭнСбп</t>
  </si>
  <si>
    <t>Сургнфгз [МБ ФР: Т+: Акции]</t>
  </si>
  <si>
    <t>1-01-00155-A</t>
  </si>
  <si>
    <t>RU0008926258</t>
  </si>
  <si>
    <t>SNGS</t>
  </si>
  <si>
    <t>Сургнфгз</t>
  </si>
  <si>
    <t>Сургнфгз-п [МБ ФР: Т+: Акции]</t>
  </si>
  <si>
    <t>2-01-00155-A</t>
  </si>
  <si>
    <t>RU0009029524</t>
  </si>
  <si>
    <t>ТГК-1 [МБ ФР: Т+: Акции]</t>
  </si>
  <si>
    <t>1-01-03388-D</t>
  </si>
  <si>
    <t>RU000A0JNUD0</t>
  </si>
  <si>
    <t>TGKA</t>
  </si>
  <si>
    <t>ТГК-1</t>
  </si>
  <si>
    <t>ТГК-14 [МБ ФР: Т+: Акции]</t>
  </si>
  <si>
    <t>1-01-22451-F</t>
  </si>
  <si>
    <t>RU000A0H1ES3</t>
  </si>
  <si>
    <t>TGKN</t>
  </si>
  <si>
    <t>ТГК-14</t>
  </si>
  <si>
    <t>ТГК-2 [МБ ФР: Т+: Акции]</t>
  </si>
  <si>
    <t>1-01-10420-A</t>
  </si>
  <si>
    <t>RU000A0JNGS7</t>
  </si>
  <si>
    <t>TGKB</t>
  </si>
  <si>
    <t>ТГК-2</t>
  </si>
  <si>
    <t>ТГК-2 ап [МБ ФР: Т+: Акции]</t>
  </si>
  <si>
    <t>2-01-10420-A</t>
  </si>
  <si>
    <t>RU000A0JNGT5</t>
  </si>
  <si>
    <t>TGKBP</t>
  </si>
  <si>
    <t>ТГК-2 ап</t>
  </si>
  <si>
    <t>ТЗА ао [МБ ФР: Т+: Акции]</t>
  </si>
  <si>
    <t>1-01-30455-D</t>
  </si>
  <si>
    <t>RU000A0HL7A2</t>
  </si>
  <si>
    <t>TUZA</t>
  </si>
  <si>
    <t>ТЗА ао</t>
  </si>
  <si>
    <t>ТКЗКК ап [МБ ФР: Т+: Акции]</t>
  </si>
  <si>
    <t>2-01-30301-E</t>
  </si>
  <si>
    <t>RU0009098131</t>
  </si>
  <si>
    <t>KRKOP</t>
  </si>
  <si>
    <t>ТКЗКК ап</t>
  </si>
  <si>
    <t>ТКСХолд ао [МБ ФР: Т+: Акции]</t>
  </si>
  <si>
    <t>1-01-16784-A</t>
  </si>
  <si>
    <t>RU000A107UL4</t>
  </si>
  <si>
    <t>ТМК ао [МБ ФР: Т+: Акции]</t>
  </si>
  <si>
    <t>1-01-29031-H</t>
  </si>
  <si>
    <t>RU000A0B6NK6</t>
  </si>
  <si>
    <t>TRMK</t>
  </si>
  <si>
    <t>ТМК ао</t>
  </si>
  <si>
    <t>ТНСэКубань [МБ ФР: Т+: Акции]</t>
  </si>
  <si>
    <t>1-01-55218-E</t>
  </si>
  <si>
    <t>RU000A0JNJ11</t>
  </si>
  <si>
    <t>KBSB</t>
  </si>
  <si>
    <t>ТНСэКубань</t>
  </si>
  <si>
    <t>ТНСэМаЭл-п [МБ ФР: Т+: Акции]</t>
  </si>
  <si>
    <t>2-01-50086-A</t>
  </si>
  <si>
    <t>RU000A0D8K41</t>
  </si>
  <si>
    <t>MISBP</t>
  </si>
  <si>
    <t>ТНСэМаЭл-п</t>
  </si>
  <si>
    <t>ТНСэнВор-п [МБ ФР: Т+: Акции]</t>
  </si>
  <si>
    <t>2-01-55029-E</t>
  </si>
  <si>
    <t>RU000A0DPG75</t>
  </si>
  <si>
    <t>VRSBP</t>
  </si>
  <si>
    <t>ТНСэнВор-п</t>
  </si>
  <si>
    <t>ТНСэнВорон [МБ ФР: Т+: Акции]</t>
  </si>
  <si>
    <t>1-01-55029-E</t>
  </si>
  <si>
    <t>RU000A0DPG67</t>
  </si>
  <si>
    <t>VRSB</t>
  </si>
  <si>
    <t>ТНСэнВорон</t>
  </si>
  <si>
    <t>ТНСэнМарЭл [МБ ФР: Т+: Акции]</t>
  </si>
  <si>
    <t>1-01-50086-A</t>
  </si>
  <si>
    <t>RU000A0D8K33</t>
  </si>
  <si>
    <t>MISB</t>
  </si>
  <si>
    <t>ТНСэнМарЭл</t>
  </si>
  <si>
    <t>ТНСэнНН ао [МБ ФР: Т+: Акции]</t>
  </si>
  <si>
    <t>1-01-55072-E</t>
  </si>
  <si>
    <t>RU000A0ET5A1</t>
  </si>
  <si>
    <t>NNSB</t>
  </si>
  <si>
    <t>ТНСэнНН ао</t>
  </si>
  <si>
    <t>ТНСэнНН ап [МБ ФР: Т+: Акции]</t>
  </si>
  <si>
    <t>2-01-55072-E</t>
  </si>
  <si>
    <t>RU000A0ET5B9</t>
  </si>
  <si>
    <t>NNSBP</t>
  </si>
  <si>
    <t>ТНСэнНН ап</t>
  </si>
  <si>
    <t>ТНСэнРст [МБ ФР: Т+: Акции]</t>
  </si>
  <si>
    <t>1-01-50095-A</t>
  </si>
  <si>
    <t>RU000A0D8PB4</t>
  </si>
  <si>
    <t>RTSB</t>
  </si>
  <si>
    <t>ТНСэнРст</t>
  </si>
  <si>
    <t>ТНСэнРст-п [МБ ФР: Т+: Акции]</t>
  </si>
  <si>
    <t>2-01-50095-A</t>
  </si>
  <si>
    <t>RU000A0D8PC2</t>
  </si>
  <si>
    <t>RTSBP</t>
  </si>
  <si>
    <t>ТНСэнРст-п</t>
  </si>
  <si>
    <t>ТНСэнЯр [МБ ФР: Т+: Акции]</t>
  </si>
  <si>
    <t>1-01-50099-A</t>
  </si>
  <si>
    <t>RU000A0D8760</t>
  </si>
  <si>
    <t>YRSB</t>
  </si>
  <si>
    <t>ТНСэнЯр</t>
  </si>
  <si>
    <t>ТНСэнЯр-п [МБ ФР: Т+: Акции]</t>
  </si>
  <si>
    <t>2-01-50099-A</t>
  </si>
  <si>
    <t>RU000A0D88B3</t>
  </si>
  <si>
    <t>YRSBP</t>
  </si>
  <si>
    <t>ТНСэнЯр-п</t>
  </si>
  <si>
    <t>ТНСэнрг ао [МБ ФР: Т+: Акции]</t>
  </si>
  <si>
    <t>1-01-15521-A</t>
  </si>
  <si>
    <t>RU000A0JUCQ5</t>
  </si>
  <si>
    <t>TNSE</t>
  </si>
  <si>
    <t>ТНСэнрг ао</t>
  </si>
  <si>
    <t>ТамбЭнСб [МБ ФР: Т+: Акции]</t>
  </si>
  <si>
    <t>1-01-65100-D</t>
  </si>
  <si>
    <t>RU000A0D8NG8</t>
  </si>
  <si>
    <t>TASB</t>
  </si>
  <si>
    <t>ТамбЭнСб</t>
  </si>
  <si>
    <t>ТамбЭнСб-п [МБ ФР: Т+: Акции]</t>
  </si>
  <si>
    <t>2-01-65100-D</t>
  </si>
  <si>
    <t>RU000A0D8NH6</t>
  </si>
  <si>
    <t>TASBP</t>
  </si>
  <si>
    <t>ТамбЭнСб-п</t>
  </si>
  <si>
    <t>Татнфт 3ао [МБ ФР: Т+: Акции]</t>
  </si>
  <si>
    <t>1-03-00161-A</t>
  </si>
  <si>
    <t>RU0009033591</t>
  </si>
  <si>
    <t>TATN</t>
  </si>
  <si>
    <t>Татнфт 3ао</t>
  </si>
  <si>
    <t>Татнфт 3ап [МБ ФР: Т+: Акции]</t>
  </si>
  <si>
    <t>2-03-00161-A</t>
  </si>
  <si>
    <t>RU0006944147</t>
  </si>
  <si>
    <t>Таттел. ао [МБ ФР: Т+: Акции]</t>
  </si>
  <si>
    <t>1-02-50049-A</t>
  </si>
  <si>
    <t>RU000A0HM5C1</t>
  </si>
  <si>
    <t>TTLK</t>
  </si>
  <si>
    <t>Таттел. ао</t>
  </si>
  <si>
    <t>Телеграф [МБ ФР: Т+: Акции]</t>
  </si>
  <si>
    <t>1-03-00327-A</t>
  </si>
  <si>
    <t>RU0007665147</t>
  </si>
  <si>
    <t>CNTL</t>
  </si>
  <si>
    <t>Телеграф</t>
  </si>
  <si>
    <t>Телеграф-п [МБ ФР: Т+: Акции]</t>
  </si>
  <si>
    <t>2-03-00327-A</t>
  </si>
  <si>
    <t>RU0007665139</t>
  </si>
  <si>
    <t>CNTLP</t>
  </si>
  <si>
    <t>Телеграф-п</t>
  </si>
  <si>
    <t>Транснф ап [МБ ФР: Т+: Акции]</t>
  </si>
  <si>
    <t>2-01-00206-A</t>
  </si>
  <si>
    <t>RU0009091573</t>
  </si>
  <si>
    <t>УрКузница [МБ ФР: Т+: Акции]</t>
  </si>
  <si>
    <t>1-01-32341-D</t>
  </si>
  <si>
    <t>RU000A0JPFY2</t>
  </si>
  <si>
    <t>URKZ</t>
  </si>
  <si>
    <t>УрКузница</t>
  </si>
  <si>
    <t>УралСиб ао [МБ ФР: Т+: Акции]</t>
  </si>
  <si>
    <t>10200030B</t>
  </si>
  <si>
    <t>RU0006929536</t>
  </si>
  <si>
    <t>USBN</t>
  </si>
  <si>
    <t>УралСиб ао</t>
  </si>
  <si>
    <t>ФосАгро ао [МБ ФР: Т+: Акции]</t>
  </si>
  <si>
    <t>1-02-06556-A</t>
  </si>
  <si>
    <t>RU000A0JRKT8</t>
  </si>
  <si>
    <t>PHOR</t>
  </si>
  <si>
    <t>ФосАгро ао</t>
  </si>
  <si>
    <t>ХЭНДЕРСОН [МБ ФР: Т+: Акции]</t>
  </si>
  <si>
    <t>1-01-03109-G</t>
  </si>
  <si>
    <t>RU000A106XF2</t>
  </si>
  <si>
    <t>HNFG</t>
  </si>
  <si>
    <t>ХЭНДЕРСОН</t>
  </si>
  <si>
    <t>Химпром ап [МБ ФР: Т+: Акции]</t>
  </si>
  <si>
    <t>2-01-55076-D</t>
  </si>
  <si>
    <t>RU0009099006</t>
  </si>
  <si>
    <t>HIMCP</t>
  </si>
  <si>
    <t>Химпром ап</t>
  </si>
  <si>
    <t>Хэдхантер [МБ ФР: Т+: Акции]</t>
  </si>
  <si>
    <t>1-01-16755-A</t>
  </si>
  <si>
    <t>RU000A107662</t>
  </si>
  <si>
    <t>ЦМТ ао [МБ ФР: Т+: Акции]</t>
  </si>
  <si>
    <t>1-01-01837-A</t>
  </si>
  <si>
    <t>RU0008137070</t>
  </si>
  <si>
    <t>WTCM</t>
  </si>
  <si>
    <t>ЦМТ ао</t>
  </si>
  <si>
    <t>ЦМТ ап [МБ ФР: Т+: Акции]</t>
  </si>
  <si>
    <t>2-01-01837-A</t>
  </si>
  <si>
    <t>RU0008137088</t>
  </si>
  <si>
    <t>WTCMP</t>
  </si>
  <si>
    <t>ЦМТ ап</t>
  </si>
  <si>
    <t>ЧЗПСН ао [МБ ФР: Т+: Акции]</t>
  </si>
  <si>
    <t>1-01-45194-D</t>
  </si>
  <si>
    <t>RU000A0JNXF9</t>
  </si>
  <si>
    <t>PRFN</t>
  </si>
  <si>
    <t>ЧЗПСН ао</t>
  </si>
  <si>
    <t>ЧКПЗ ао [МБ ФР: Т+: Акции]</t>
  </si>
  <si>
    <t>1-03-45058-D</t>
  </si>
  <si>
    <t>RU000A0JNST0</t>
  </si>
  <si>
    <t>CHKZ</t>
  </si>
  <si>
    <t>ЧКПЗ ао</t>
  </si>
  <si>
    <t>ЧМК ао [МБ ФР: Т+: Акции]</t>
  </si>
  <si>
    <t>1-01-00080-A</t>
  </si>
  <si>
    <t>RU0007665170</t>
  </si>
  <si>
    <t>CHMK</t>
  </si>
  <si>
    <t>ЧМК ао</t>
  </si>
  <si>
    <t>ЧеркизГ-ао [МБ ФР: Т+: Акции]</t>
  </si>
  <si>
    <t>1-02-10797-A</t>
  </si>
  <si>
    <t>RU000A0JL4R1</t>
  </si>
  <si>
    <t>GCHE</t>
  </si>
  <si>
    <t>ЧеркизГ-ао</t>
  </si>
  <si>
    <t>ЭЛ5Энер ао [МБ ФР: Т+: Акции]</t>
  </si>
  <si>
    <t>1-01-50077-A</t>
  </si>
  <si>
    <t>RU000A0F5UN3</t>
  </si>
  <si>
    <t>ELFV</t>
  </si>
  <si>
    <t>ЭЛ5Энер ао</t>
  </si>
  <si>
    <t>ЭН+ГРУП ао [МБ ФР: Т+: Акции]</t>
  </si>
  <si>
    <t>1-01-16625-A</t>
  </si>
  <si>
    <t>RU000A100K72</t>
  </si>
  <si>
    <t>ENPG</t>
  </si>
  <si>
    <t>ЭН+ГРУП ао</t>
  </si>
  <si>
    <t>Элемент [МБ ФР: Т+: Акции]</t>
  </si>
  <si>
    <t>1-01-16673-A</t>
  </si>
  <si>
    <t>RU000A102093</t>
  </si>
  <si>
    <t>ELMT</t>
  </si>
  <si>
    <t>Элемент</t>
  </si>
  <si>
    <t>ЭнергияРКК [МБ ФР: Т+: Акции]</t>
  </si>
  <si>
    <t>1-03-01091-A</t>
  </si>
  <si>
    <t>RU0009095939</t>
  </si>
  <si>
    <t>RKKE</t>
  </si>
  <si>
    <t>ЭнергияРКК</t>
  </si>
  <si>
    <t>ЭсЭфАй ао [МБ ФР: Т+: Акции]</t>
  </si>
  <si>
    <t>1-02-56453-P</t>
  </si>
  <si>
    <t>RU000A0JVW89</t>
  </si>
  <si>
    <t>SFIN</t>
  </si>
  <si>
    <t>ЭсЭфАй ао</t>
  </si>
  <si>
    <t>ЮГК [МБ ФР: Т+: Акции]</t>
  </si>
  <si>
    <t>1-02-33010-D</t>
  </si>
  <si>
    <t>RU000A0JPP37</t>
  </si>
  <si>
    <t>UGLD</t>
  </si>
  <si>
    <t>ЮГК</t>
  </si>
  <si>
    <t>ЮТэйр ао [МБ ФР: Т+: Акции]</t>
  </si>
  <si>
    <t>1-01-00077-F</t>
  </si>
  <si>
    <t>RU0007661385</t>
  </si>
  <si>
    <t>UTAR</t>
  </si>
  <si>
    <t>ЮТэйр ао</t>
  </si>
  <si>
    <t>ЮУНК ао [МБ ФР: Т+: Акции]</t>
  </si>
  <si>
    <t>1-01-00197-A</t>
  </si>
  <si>
    <t>RU0004887991</t>
  </si>
  <si>
    <t>UNKL</t>
  </si>
  <si>
    <t>ЮУНК ао</t>
  </si>
  <si>
    <t>ЮжКузб. ао [МБ ФР: Т+: Акции]</t>
  </si>
  <si>
    <t>1-02-10591-F</t>
  </si>
  <si>
    <t>RU0005294775</t>
  </si>
  <si>
    <t>UKUZ</t>
  </si>
  <si>
    <t>ЮжКузб. ао</t>
  </si>
  <si>
    <t>Юнипро ао [МБ ФР: Т+: Акции]</t>
  </si>
  <si>
    <t>1-02-65104-D</t>
  </si>
  <si>
    <t>RU000A0JNGA5</t>
  </si>
  <si>
    <t>Юнипро ао</t>
  </si>
  <si>
    <t>ЯНДЕКС [МБ ФР: Т+: Акции]</t>
  </si>
  <si>
    <t>1-01-16777-A</t>
  </si>
  <si>
    <t>RU000A107T19</t>
  </si>
  <si>
    <t>ЯТЭК ао [МБ ФР: Т+: Акции]</t>
  </si>
  <si>
    <t>1-01-20510-F</t>
  </si>
  <si>
    <t>RU0007796819</t>
  </si>
  <si>
    <t>YAKG</t>
  </si>
  <si>
    <t>ЯТЭК ао</t>
  </si>
  <si>
    <t>Яковлев-3 [МБ ФР: Т+: Акции]</t>
  </si>
  <si>
    <t>1-03-00040-A</t>
  </si>
  <si>
    <t>RU0006752979</t>
  </si>
  <si>
    <t>IRKT</t>
  </si>
  <si>
    <t>Яковлев-3</t>
  </si>
  <si>
    <t>Якутскэн-п [МБ ФР: Т+: Акции]</t>
  </si>
  <si>
    <t>2-01-00304-A</t>
  </si>
  <si>
    <t>RU0007796827</t>
  </si>
  <si>
    <t>YKENP</t>
  </si>
  <si>
    <t>Якутскэн-п</t>
  </si>
  <si>
    <t>Якутскэнрг [МБ ФР: Т+: Акции]</t>
  </si>
  <si>
    <t>1-01-00304-A</t>
  </si>
  <si>
    <t>RU0009257075</t>
  </si>
  <si>
    <t>YKEN</t>
  </si>
  <si>
    <t>Якутскэнрг</t>
  </si>
  <si>
    <t>Белон ао [МБ ФР: Т+: Повышенный инвестиционный риск (Акции)]</t>
  </si>
  <si>
    <t>1-06-10167-F</t>
  </si>
  <si>
    <t>RU000A0J2QG8</t>
  </si>
  <si>
    <t>BLNG</t>
  </si>
  <si>
    <t>Белон ао</t>
  </si>
  <si>
    <t>Да</t>
  </si>
  <si>
    <t>TQPI</t>
  </si>
  <si>
    <t>МБ ФР: Т+: Повышенный инвестиционный риск (Акции)</t>
  </si>
  <si>
    <t>ГАЗ ао [МБ ФР: Т+: Повышенный инвестиционный риск (Акции)]</t>
  </si>
  <si>
    <t>1-01-00029-A</t>
  </si>
  <si>
    <t>RU0009034268</t>
  </si>
  <si>
    <t>GAZA</t>
  </si>
  <si>
    <t>ГАЗ ао</t>
  </si>
  <si>
    <t>ГАЗ ап [МБ ФР: Т+: Повышенный инвестиционный риск (Акции)]</t>
  </si>
  <si>
    <t>2-02-00029-A</t>
  </si>
  <si>
    <t>RU000A0ZYHF5</t>
  </si>
  <si>
    <t>GAZAP</t>
  </si>
  <si>
    <t>ГАЗ ап</t>
  </si>
  <si>
    <t>ГК РБК ао [МБ ФР: Т+: Повышенный инвестиционный риск (Акции)]</t>
  </si>
  <si>
    <t>1-02-56413-H</t>
  </si>
  <si>
    <t>RU000A0JR6A6</t>
  </si>
  <si>
    <t>RBCM</t>
  </si>
  <si>
    <t>ГК РБК ао</t>
  </si>
  <si>
    <t>ДетскийМир [МБ ФР: Т+: Повышенный инвестиционный риск (Акции)]</t>
  </si>
  <si>
    <t>1-02-00844-A</t>
  </si>
  <si>
    <t>RU000A0JSQ90</t>
  </si>
  <si>
    <t>DSKY</t>
  </si>
  <si>
    <t>ДетскийМир</t>
  </si>
  <si>
    <t>ЗПИФ ВДО [МБ ФР: Т+: Повышенный инвестиционный риск (Акции)]</t>
  </si>
  <si>
    <t>4025</t>
  </si>
  <si>
    <t>RU000A1027E5</t>
  </si>
  <si>
    <t>ЗПИФ ВДО</t>
  </si>
  <si>
    <t>закр.ПИФ</t>
  </si>
  <si>
    <t>Пай закрытого ПИФа</t>
  </si>
  <si>
    <t>ЗПИФ КапВл [МБ ФР: Т+: Повышенный инвестиционный риск (Акции)]</t>
  </si>
  <si>
    <t>0464-93295436</t>
  </si>
  <si>
    <t>RU000A0JNUM1</t>
  </si>
  <si>
    <t>ЗПИФ КапВл</t>
  </si>
  <si>
    <t>ИСУ ГК-3 [МБ ФР: Т+: Повышенный инвестиционный риск (Акции)]</t>
  </si>
  <si>
    <t>0034</t>
  </si>
  <si>
    <t>RU000A0JVEZ0</t>
  </si>
  <si>
    <t>ИСУ ГК-3</t>
  </si>
  <si>
    <t>ис</t>
  </si>
  <si>
    <t>Ипотечный сертификат</t>
  </si>
  <si>
    <t>ЛЭСК ао [МБ ФР: Т+: Повышенный инвестиционный риск (Акции)]</t>
  </si>
  <si>
    <t>1-01-65097-D</t>
  </si>
  <si>
    <t>RU000A0D8MR7</t>
  </si>
  <si>
    <t>LPSB</t>
  </si>
  <si>
    <t>ЛЭСК ао</t>
  </si>
  <si>
    <t>ОВК ао [МБ ФР: Т+: Повышенный инвестиционный риск (Акции)]</t>
  </si>
  <si>
    <t>1-01-82031-H</t>
  </si>
  <si>
    <t>RU000A0JVBT9</t>
  </si>
  <si>
    <t>UWGN</t>
  </si>
  <si>
    <t>ОВК ао</t>
  </si>
  <si>
    <t>ОРЕОЛСтрой [МБ ФР: Т+: Повышенный инвестиционный риск (Акции)]</t>
  </si>
  <si>
    <t>2416</t>
  </si>
  <si>
    <t>RU000A101UK9</t>
  </si>
  <si>
    <t>ОРЕОЛСтрой</t>
  </si>
  <si>
    <t>ПавлАвт ао [МБ ФР: Т+: Повышенный инвестиционный риск (Акции)]</t>
  </si>
  <si>
    <t>1-02-00261-A</t>
  </si>
  <si>
    <t>RU0009083240</t>
  </si>
  <si>
    <t>PAZA</t>
  </si>
  <si>
    <t>ПавлАвт ао</t>
  </si>
  <si>
    <t>СФНАрБиз7 [МБ ФР: Т+: Повышенный инвестиционный риск (Акции)]</t>
  </si>
  <si>
    <t>4416</t>
  </si>
  <si>
    <t>RU000A1034U7</t>
  </si>
  <si>
    <t>СФНАрБиз7</t>
  </si>
  <si>
    <t>СолидРент2 [МБ ФР: Т+: Повышенный инвестиционный риск (Акции)]</t>
  </si>
  <si>
    <t>3444</t>
  </si>
  <si>
    <t>RU000A0ZZX84</t>
  </si>
  <si>
    <t>СолидРент2</t>
  </si>
  <si>
    <t>ТРЗПИФ [МБ ФР: Т+: Повышенный инвестиционный риск (Акции)]</t>
  </si>
  <si>
    <t>3279</t>
  </si>
  <si>
    <t>RU000A0ZZ422</t>
  </si>
  <si>
    <t>ТРЗПИФ</t>
  </si>
  <si>
    <t>Фармсинтез [МБ ФР: Т+: Повышенный инвестиционный риск (Акции)]</t>
  </si>
  <si>
    <t>1-02-09669-J</t>
  </si>
  <si>
    <t>RU000A0JR514</t>
  </si>
  <si>
    <t>LIFE</t>
  </si>
  <si>
    <t>Фармсинтез</t>
  </si>
  <si>
    <t>LQDT ETF [МБ ФР: Т+ ETF F]</t>
  </si>
  <si>
    <t>3915</t>
  </si>
  <si>
    <t>RU000A1014L8</t>
  </si>
  <si>
    <t>бирж.ПИФ</t>
  </si>
  <si>
    <t>TQTF_F</t>
  </si>
  <si>
    <t>МБ ФР: Т+ ETF F</t>
  </si>
  <si>
    <t>Пай открытого ПИФа</t>
  </si>
  <si>
    <t>AKAI ETF [МБ ФР: Т+: ETF]</t>
  </si>
  <si>
    <t>6527</t>
  </si>
  <si>
    <t>RU000A109PQ9</t>
  </si>
  <si>
    <t>AKAI</t>
  </si>
  <si>
    <t>AKAI ETF</t>
  </si>
  <si>
    <t>TQTF</t>
  </si>
  <si>
    <t>МБ ФР: Т+: ETF</t>
  </si>
  <si>
    <t>AKFB ETF [МБ ФР: Т+: ETF]</t>
  </si>
  <si>
    <t>6541</t>
  </si>
  <si>
    <t>RU000A109T66</t>
  </si>
  <si>
    <t>AKFB</t>
  </si>
  <si>
    <t>AKFB ETF</t>
  </si>
  <si>
    <t>AKGD ETF [МБ ФР: Т+: ETF]</t>
  </si>
  <si>
    <t>4713</t>
  </si>
  <si>
    <t>RU000A1045N8</t>
  </si>
  <si>
    <t>AKGD</t>
  </si>
  <si>
    <t>AKGD ETF</t>
  </si>
  <si>
    <t>AKHT ETF [МБ ФР: Т+: ETF]</t>
  </si>
  <si>
    <t>6580</t>
  </si>
  <si>
    <t>RU000A109VF0</t>
  </si>
  <si>
    <t>AKHT</t>
  </si>
  <si>
    <t>AKHT ETF</t>
  </si>
  <si>
    <t>AKMM ETF [МБ ФР: Т+: ETF]</t>
  </si>
  <si>
    <t>5012</t>
  </si>
  <si>
    <t>RU000A104X08</t>
  </si>
  <si>
    <t>AKMM</t>
  </si>
  <si>
    <t>AKMM ETF</t>
  </si>
  <si>
    <t>AKQU ETF [МБ ФР: Т+: ETF]</t>
  </si>
  <si>
    <t>4580</t>
  </si>
  <si>
    <t>RU000A103NR5</t>
  </si>
  <si>
    <t>AKQU</t>
  </si>
  <si>
    <t>AKQU ETF</t>
  </si>
  <si>
    <t>AKUP ETF [МБ ФР: Т+: ETF]</t>
  </si>
  <si>
    <t>5955</t>
  </si>
  <si>
    <t>RU000A107KJ9</t>
  </si>
  <si>
    <t>AKUP</t>
  </si>
  <si>
    <t>AKUP ETF</t>
  </si>
  <si>
    <t>AMNR ETF [МБ ФР: Т+: ETF]</t>
  </si>
  <si>
    <t>5936</t>
  </si>
  <si>
    <t>RU000A107H96</t>
  </si>
  <si>
    <t>AMNR</t>
  </si>
  <si>
    <t>AMNR ETF</t>
  </si>
  <si>
    <t>AMNY ETF [МБ ФР: Т+: ETF]</t>
  </si>
  <si>
    <t>6221</t>
  </si>
  <si>
    <t>RU000A108P04</t>
  </si>
  <si>
    <t>AMNY</t>
  </si>
  <si>
    <t>AMNY ETF</t>
  </si>
  <si>
    <t>AMRE ETF [МБ ФР: Т+: ETF]</t>
  </si>
  <si>
    <t>4330</t>
  </si>
  <si>
    <t>RU000A102XX4</t>
  </si>
  <si>
    <t>AMRE</t>
  </si>
  <si>
    <t>AMRE ETF</t>
  </si>
  <si>
    <t>AMRH ETF [МБ ФР: Т+: ETF]</t>
  </si>
  <si>
    <t>4506</t>
  </si>
  <si>
    <t>RU000A103FW1</t>
  </si>
  <si>
    <t>AMRH</t>
  </si>
  <si>
    <t>AMRH ETF</t>
  </si>
  <si>
    <t>BCSB ETF [МБ ФР: Т+: ETF]</t>
  </si>
  <si>
    <t>4301</t>
  </si>
  <si>
    <t>RU000A102ST2</t>
  </si>
  <si>
    <t>BCSB</t>
  </si>
  <si>
    <t>BCSB ETF</t>
  </si>
  <si>
    <t>BCSD ETF [МБ ФР: Т+: ETF]</t>
  </si>
  <si>
    <t>6330</t>
  </si>
  <si>
    <t>RU000A108ZJ5</t>
  </si>
  <si>
    <t>BCSD</t>
  </si>
  <si>
    <t>BCSD ETF</t>
  </si>
  <si>
    <t>BCSR ETF [МБ ФР: Т+: ETF]</t>
  </si>
  <si>
    <t>6615</t>
  </si>
  <si>
    <t>RU000A10A0N6</t>
  </si>
  <si>
    <t>BCSR</t>
  </si>
  <si>
    <t>BCSR ETF</t>
  </si>
  <si>
    <t>BOND ETF [МБ ФР: Т+: ETF]</t>
  </si>
  <si>
    <t>4920</t>
  </si>
  <si>
    <t>RU000A104Z22</t>
  </si>
  <si>
    <t>BOND</t>
  </si>
  <si>
    <t>BOND ETF</t>
  </si>
  <si>
    <t>CASH ETF [МБ ФР: Т+: ETF]</t>
  </si>
  <si>
    <t>6589</t>
  </si>
  <si>
    <t>RU000A109X11</t>
  </si>
  <si>
    <t>CASH</t>
  </si>
  <si>
    <t>CASH ETF</t>
  </si>
  <si>
    <t>CNYM ETF [МБ ФР: Т+: ETF]</t>
  </si>
  <si>
    <t>5866</t>
  </si>
  <si>
    <t>RU000A107D41</t>
  </si>
  <si>
    <t>CNYM</t>
  </si>
  <si>
    <t>CNYM ETF</t>
  </si>
  <si>
    <t>CNY</t>
  </si>
  <si>
    <t>EQMX ETF [МБ ФР: Т+: ETF]</t>
  </si>
  <si>
    <t>3965</t>
  </si>
  <si>
    <t>RU000A101EJ5</t>
  </si>
  <si>
    <t>EQMX</t>
  </si>
  <si>
    <t>EQMX ETF</t>
  </si>
  <si>
    <t>ESGE ETF [МБ ФР: Т+: ETF]</t>
  </si>
  <si>
    <t>4568</t>
  </si>
  <si>
    <t>RU000A103LL2</t>
  </si>
  <si>
    <t>ESGE</t>
  </si>
  <si>
    <t>ESGE ETF</t>
  </si>
  <si>
    <t>ESGR ETF [МБ ФР: Т+: ETF]</t>
  </si>
  <si>
    <t>4057</t>
  </si>
  <si>
    <t>RU000A101R66</t>
  </si>
  <si>
    <t>ESGR</t>
  </si>
  <si>
    <t>ESGR ETF</t>
  </si>
  <si>
    <t>ETF AKIE [МБ ФР: Т+: ETF]</t>
  </si>
  <si>
    <t>6467</t>
  </si>
  <si>
    <t>RU000A109JU4</t>
  </si>
  <si>
    <t>AKIE</t>
  </si>
  <si>
    <t>ETF AKIE</t>
  </si>
  <si>
    <t>ETF AKMB [МБ ФР: Т+: ETF]</t>
  </si>
  <si>
    <t>4039</t>
  </si>
  <si>
    <t>RU000A101PN3</t>
  </si>
  <si>
    <t>AKMB</t>
  </si>
  <si>
    <t>ETF AKMB</t>
  </si>
  <si>
    <t>ETF AKME [МБ ФР: Т+: ETF]</t>
  </si>
  <si>
    <t>4213</t>
  </si>
  <si>
    <t>RU000A102E78</t>
  </si>
  <si>
    <t>AKME</t>
  </si>
  <si>
    <t>ETF AKME</t>
  </si>
  <si>
    <t>ETF DIVD [МБ ФР: Т+: ETF]</t>
  </si>
  <si>
    <t>4242</t>
  </si>
  <si>
    <t>RU000A102N02</t>
  </si>
  <si>
    <t>DIVD</t>
  </si>
  <si>
    <t>ETF DIVD</t>
  </si>
  <si>
    <t>ETF GROD [МБ ФР: Т+: ETF]</t>
  </si>
  <si>
    <t>4444</t>
  </si>
  <si>
    <t>RU000A1037V8</t>
  </si>
  <si>
    <t>GROD</t>
  </si>
  <si>
    <t>ETF GROD</t>
  </si>
  <si>
    <t>FINC ETF [МБ ФР: Т+: ETF]</t>
  </si>
  <si>
    <t>6396</t>
  </si>
  <si>
    <t>RU000A109866</t>
  </si>
  <si>
    <t>FINC</t>
  </si>
  <si>
    <t>FINC ETF</t>
  </si>
  <si>
    <t>FMMM ETF [МБ ФР: Т+: ETF]</t>
  </si>
  <si>
    <t>6459</t>
  </si>
  <si>
    <t>RU000A109LD6</t>
  </si>
  <si>
    <t>FMMM</t>
  </si>
  <si>
    <t>FMMM ETF</t>
  </si>
  <si>
    <t>GOLD ETF [МБ ФР: Т+: ETF]</t>
  </si>
  <si>
    <t>4038</t>
  </si>
  <si>
    <t>RU000A101NZ2</t>
  </si>
  <si>
    <t>GOLD</t>
  </si>
  <si>
    <t>GOLD ETF</t>
  </si>
  <si>
    <t>INFL ETF [МБ ФР: Т+: ETF]</t>
  </si>
  <si>
    <t>4742</t>
  </si>
  <si>
    <t>RU000A1047H6</t>
  </si>
  <si>
    <t>INFL</t>
  </si>
  <si>
    <t>INFL ETF</t>
  </si>
  <si>
    <t>INGO ETF [МБ ФР: Т+: ETF]</t>
  </si>
  <si>
    <t>4483</t>
  </si>
  <si>
    <t>RU000A103CA4</t>
  </si>
  <si>
    <t>INGO</t>
  </si>
  <si>
    <t>INGO ETF</t>
  </si>
  <si>
    <t>MKBD ETF [МБ ФР: Т+: ETF]</t>
  </si>
  <si>
    <t>4474</t>
  </si>
  <si>
    <t>RU000A103BX8</t>
  </si>
  <si>
    <t>MKBD</t>
  </si>
  <si>
    <t>MKBD ETF</t>
  </si>
  <si>
    <t>OBLG ETF [МБ ФР: Т+: ETF]</t>
  </si>
  <si>
    <t>3647</t>
  </si>
  <si>
    <t>RU000A1002S8</t>
  </si>
  <si>
    <t>OBLG</t>
  </si>
  <si>
    <t>OBLG ETF</t>
  </si>
  <si>
    <t>OPNB ETF [МБ ФР: Т+: ETF]</t>
  </si>
  <si>
    <t>4525</t>
  </si>
  <si>
    <t>RU000A103HB1</t>
  </si>
  <si>
    <t>OPNB</t>
  </si>
  <si>
    <t>OPNB ETF</t>
  </si>
  <si>
    <t>OPNR ETF [МБ ФР: Т+: ETF]</t>
  </si>
  <si>
    <t>4523</t>
  </si>
  <si>
    <t>RU000A103H90</t>
  </si>
  <si>
    <t>OPNR</t>
  </si>
  <si>
    <t>OPNR ETF</t>
  </si>
  <si>
    <t>PRIE ETF [МБ ФР: Т+: ETF]</t>
  </si>
  <si>
    <t>4362</t>
  </si>
  <si>
    <t>RU000A1030R1</t>
  </si>
  <si>
    <t>PRIE</t>
  </si>
  <si>
    <t>PRIE ETF</t>
  </si>
  <si>
    <t>PSMM ETF [МБ ФР: Т+: ETF]</t>
  </si>
  <si>
    <t>6170</t>
  </si>
  <si>
    <t>RU000A108G96</t>
  </si>
  <si>
    <t>PSMM</t>
  </si>
  <si>
    <t>PSMM ETF</t>
  </si>
  <si>
    <t>PSRB ETF [МБ ФР: Т+: ETF]</t>
  </si>
  <si>
    <t>6626</t>
  </si>
  <si>
    <t>RU000A10A0X5</t>
  </si>
  <si>
    <t>PSRB</t>
  </si>
  <si>
    <t>PSRB ETF</t>
  </si>
  <si>
    <t>RCGL ETF [МБ ФР: Т+: ETF]</t>
  </si>
  <si>
    <t>5059</t>
  </si>
  <si>
    <t>RU000A1053E1</t>
  </si>
  <si>
    <t>RCGL</t>
  </si>
  <si>
    <t>RCGL ETF</t>
  </si>
  <si>
    <t>RCHY ETF [МБ ФР: Т+: ETF]</t>
  </si>
  <si>
    <t>4497</t>
  </si>
  <si>
    <t>RU000A103E02</t>
  </si>
  <si>
    <t>RCHY</t>
  </si>
  <si>
    <t>RCHY ETF</t>
  </si>
  <si>
    <t>RCMB ETF [МБ ФР: Т+: ETF]</t>
  </si>
  <si>
    <t>4154</t>
  </si>
  <si>
    <t>RU000A102697</t>
  </si>
  <si>
    <t>RCMB</t>
  </si>
  <si>
    <t>RCMB ETF</t>
  </si>
  <si>
    <t>RCMX ETF [МБ ФР: Т+: ETF]</t>
  </si>
  <si>
    <t>4027</t>
  </si>
  <si>
    <t>RU000A101MF6</t>
  </si>
  <si>
    <t>RCMX</t>
  </si>
  <si>
    <t>RCMX ETF</t>
  </si>
  <si>
    <t>RSHU ETF [МБ ФР: Т+: ETF]</t>
  </si>
  <si>
    <t>3906</t>
  </si>
  <si>
    <t>RU000A101368</t>
  </si>
  <si>
    <t>RSHU</t>
  </si>
  <si>
    <t>RSHU ETF</t>
  </si>
  <si>
    <t>SBBY ETF [МБ ФР: Т+: ETF]</t>
  </si>
  <si>
    <t>5472</t>
  </si>
  <si>
    <t>RU000A106J53</t>
  </si>
  <si>
    <t>SBBY</t>
  </si>
  <si>
    <t>SBBY ETF</t>
  </si>
  <si>
    <t>SBCB ETF [МБ ФР: Т+: ETF]</t>
  </si>
  <si>
    <t>3636</t>
  </si>
  <si>
    <t>RU000A1000Q6</t>
  </si>
  <si>
    <t>SBCB</t>
  </si>
  <si>
    <t>SBCB ETF</t>
  </si>
  <si>
    <t>SBCN ETF [МБ ФР: Т+: ETF]</t>
  </si>
  <si>
    <t>5230</t>
  </si>
  <si>
    <t>RU000A105PU9</t>
  </si>
  <si>
    <t>SBCN</t>
  </si>
  <si>
    <t>SBCN ETF</t>
  </si>
  <si>
    <t>SBCS ETF [МБ ФР: Т+: ETF]</t>
  </si>
  <si>
    <t>4431</t>
  </si>
  <si>
    <t>RU000A1035N9</t>
  </si>
  <si>
    <t>SBCS</t>
  </si>
  <si>
    <t>SBCS ETF</t>
  </si>
  <si>
    <t>SBDS ETF [МБ ФР: Т+: ETF]</t>
  </si>
  <si>
    <t>4428</t>
  </si>
  <si>
    <t>RU000A1035L3</t>
  </si>
  <si>
    <t>SBDS</t>
  </si>
  <si>
    <t>SBDS ETF</t>
  </si>
  <si>
    <t>SBFR ETF [МБ ФР: Т+: ETF]</t>
  </si>
  <si>
    <t>5972</t>
  </si>
  <si>
    <t>RU000A107KW2</t>
  </si>
  <si>
    <t>SBFR</t>
  </si>
  <si>
    <t>SBFR ETF</t>
  </si>
  <si>
    <t>SBGB ETF [МБ ФР: Т+: ETF]</t>
  </si>
  <si>
    <t>3629</t>
  </si>
  <si>
    <t>RU000A1000F9</t>
  </si>
  <si>
    <t>SBGB</t>
  </si>
  <si>
    <t>SBGB ETF</t>
  </si>
  <si>
    <t>SBGD ETF [МБ ФР: Т+: ETF]</t>
  </si>
  <si>
    <t>5061</t>
  </si>
  <si>
    <t>RU000A105385</t>
  </si>
  <si>
    <t>SBGD</t>
  </si>
  <si>
    <t>SBGD ETF</t>
  </si>
  <si>
    <t>SBHI ETF [МБ ФР: Т+: ETF]</t>
  </si>
  <si>
    <t>4678</t>
  </si>
  <si>
    <t>RU000A103ZQ1</t>
  </si>
  <si>
    <t>SBHI</t>
  </si>
  <si>
    <t>SBHI ETF</t>
  </si>
  <si>
    <t>SBLB ETF [МБ ФР: Т+: ETF]</t>
  </si>
  <si>
    <t>6079</t>
  </si>
  <si>
    <t>RU000A108355</t>
  </si>
  <si>
    <t>SBLB</t>
  </si>
  <si>
    <t>SBLB ETF</t>
  </si>
  <si>
    <t>SBMM ETF [МБ ФР: Т+: ETF]</t>
  </si>
  <si>
    <t>4607</t>
  </si>
  <si>
    <t>RU000A103RF1</t>
  </si>
  <si>
    <t>SBMM</t>
  </si>
  <si>
    <t>SBMM ETF</t>
  </si>
  <si>
    <t>SBMX ETF [МБ ФР: Т+: ETF]</t>
  </si>
  <si>
    <t>3555</t>
  </si>
  <si>
    <t>RU000A0ZZH92</t>
  </si>
  <si>
    <t>SBMX</t>
  </si>
  <si>
    <t>SBMX ETF</t>
  </si>
  <si>
    <t>SBPS ETF [МБ ФР: Т+: ETF]</t>
  </si>
  <si>
    <t>4427</t>
  </si>
  <si>
    <t>RU000A1035R0</t>
  </si>
  <si>
    <t>SBPS</t>
  </si>
  <si>
    <t>SBPS ETF</t>
  </si>
  <si>
    <t>SBRB ETF [МБ ФР: Т+: ETF]</t>
  </si>
  <si>
    <t>3785</t>
  </si>
  <si>
    <t>RU000A100P44</t>
  </si>
  <si>
    <t>SBRB</t>
  </si>
  <si>
    <t>SBRB ETF</t>
  </si>
  <si>
    <t>SBRI ETF [МБ ФР: Т+: ETF]</t>
  </si>
  <si>
    <t>4162</t>
  </si>
  <si>
    <t>RU000A1024P8</t>
  </si>
  <si>
    <t>SBRI</t>
  </si>
  <si>
    <t>SBRI ETF</t>
  </si>
  <si>
    <t>SBRS ETF [МБ ФР: Т+: ETF]</t>
  </si>
  <si>
    <t>4426</t>
  </si>
  <si>
    <t>RU000A1035Q2</t>
  </si>
  <si>
    <t>SBRS</t>
  </si>
  <si>
    <t>SBRS ETF</t>
  </si>
  <si>
    <t>SBSC ETF [МБ ФР: Т+: ETF]</t>
  </si>
  <si>
    <t>5649</t>
  </si>
  <si>
    <t>RU000A106XY3</t>
  </si>
  <si>
    <t>SBSC</t>
  </si>
  <si>
    <t>SBSC ETF</t>
  </si>
  <si>
    <t>SBWS ETF [МБ ФР: Т+: ETF]</t>
  </si>
  <si>
    <t>4429</t>
  </si>
  <si>
    <t>RU000A1035S8</t>
  </si>
  <si>
    <t>SBWS</t>
  </si>
  <si>
    <t>SBWS ETF</t>
  </si>
  <si>
    <t>SCFT ETF [МБ ФР: Т+: ETF]</t>
  </si>
  <si>
    <t>4654</t>
  </si>
  <si>
    <t>RU000A104FE7</t>
  </si>
  <si>
    <t>SCFT</t>
  </si>
  <si>
    <t>SCFT ETF</t>
  </si>
  <si>
    <t>SCLI ETF [МБ ФР: Т+: ETF]</t>
  </si>
  <si>
    <t>6268</t>
  </si>
  <si>
    <t>RU000A108VV9</t>
  </si>
  <si>
    <t>SCLI</t>
  </si>
  <si>
    <t>SCLI ETF</t>
  </si>
  <si>
    <t>SIPO ETF [МБ ФР: Т+: ETF]</t>
  </si>
  <si>
    <t>6312</t>
  </si>
  <si>
    <t>RU000A108X20</t>
  </si>
  <si>
    <t>SIPO</t>
  </si>
  <si>
    <t>SIPO ETF</t>
  </si>
  <si>
    <t>SUGB ETF [МБ ФР: Т+: ETF]</t>
  </si>
  <si>
    <t>4121</t>
  </si>
  <si>
    <t>RU000A1020A8</t>
  </si>
  <si>
    <t>SUGB</t>
  </si>
  <si>
    <t>SUGB ETF</t>
  </si>
  <si>
    <t>TBEU ETF [МБ ФР: Т+: ETF]</t>
  </si>
  <si>
    <t>4618</t>
  </si>
  <si>
    <t>RU000A103TD2</t>
  </si>
  <si>
    <t>TBEU</t>
  </si>
  <si>
    <t>TBEU ETF</t>
  </si>
  <si>
    <t>TBRU ETF [МБ ФР: Т+: ETF]</t>
  </si>
  <si>
    <t>4458</t>
  </si>
  <si>
    <t>RU000A1039N1</t>
  </si>
  <si>
    <t>TBRU</t>
  </si>
  <si>
    <t>TBRU ETF</t>
  </si>
  <si>
    <t>TDIV ETF [МБ ФР: Т+: ETF]</t>
  </si>
  <si>
    <t>5707</t>
  </si>
  <si>
    <t>RU000A107563</t>
  </si>
  <si>
    <t>TDIV</t>
  </si>
  <si>
    <t>TDIV ETF</t>
  </si>
  <si>
    <t>TEUR ETF [МБ ФР: Т+: ETF]</t>
  </si>
  <si>
    <t>3899</t>
  </si>
  <si>
    <t>RU000A1011T7</t>
  </si>
  <si>
    <t>TEUR</t>
  </si>
  <si>
    <t>TEUR ETF</t>
  </si>
  <si>
    <t>TGLD ETF [МБ ФР: Т+: ETF]</t>
  </si>
  <si>
    <t>4098</t>
  </si>
  <si>
    <t>RU000A101X50</t>
  </si>
  <si>
    <t>TGLD</t>
  </si>
  <si>
    <t>TGLD ETF</t>
  </si>
  <si>
    <t>TITR ETF [МБ ФР: Т+: ETF]</t>
  </si>
  <si>
    <t>6126</t>
  </si>
  <si>
    <t>RU000A108BL2</t>
  </si>
  <si>
    <t>TITR</t>
  </si>
  <si>
    <t>TITR ETF</t>
  </si>
  <si>
    <t>TLCB ETF [МБ ФР: Т+: ETF]</t>
  </si>
  <si>
    <t>5728</t>
  </si>
  <si>
    <t>RU000A107597</t>
  </si>
  <si>
    <t>TLCB</t>
  </si>
  <si>
    <t>TLCB ETF</t>
  </si>
  <si>
    <t>TMON ETF [МБ ФР: Т+: ETF]</t>
  </si>
  <si>
    <t>5229</t>
  </si>
  <si>
    <t>RU000A106DL2</t>
  </si>
  <si>
    <t>TMON</t>
  </si>
  <si>
    <t>TMON ETF</t>
  </si>
  <si>
    <t>TMOS ETF [МБ ФР: Т+: ETF]</t>
  </si>
  <si>
    <t>4100</t>
  </si>
  <si>
    <t>RU000A101X76</t>
  </si>
  <si>
    <t>TMOS</t>
  </si>
  <si>
    <t>TMOS ETF</t>
  </si>
  <si>
    <t>TPAY ETF [МБ ФР: Т+: ETF]</t>
  </si>
  <si>
    <t>6287</t>
  </si>
  <si>
    <t>RU000A108WX3</t>
  </si>
  <si>
    <t>TPAY</t>
  </si>
  <si>
    <t>TPAY ETF</t>
  </si>
  <si>
    <t>TRUR ETF [МБ ФР: Т+: ETF]</t>
  </si>
  <si>
    <t>3900</t>
  </si>
  <si>
    <t>RU000A1011U5</t>
  </si>
  <si>
    <t>TRUR</t>
  </si>
  <si>
    <t>TRUR ETF</t>
  </si>
  <si>
    <t>TUSD ETF [МБ ФР: Т+: ETF]</t>
  </si>
  <si>
    <t>3898</t>
  </si>
  <si>
    <t>RU000A1011S9</t>
  </si>
  <si>
    <t>TUSD</t>
  </si>
  <si>
    <t>TUSD ETF</t>
  </si>
  <si>
    <t>YUAN ETF [МБ ФР: Т+: ETF]</t>
  </si>
  <si>
    <t>5248</t>
  </si>
  <si>
    <t>RU000A105SN8</t>
  </si>
  <si>
    <t>YUAN</t>
  </si>
  <si>
    <t>YUAN ETF</t>
  </si>
  <si>
    <t>Инструмент</t>
  </si>
  <si>
    <t>Срок расчётов</t>
  </si>
  <si>
    <t>Остаток</t>
  </si>
  <si>
    <t>Оценка</t>
  </si>
  <si>
    <t>Доля</t>
  </si>
  <si>
    <t>Срвзв. цена коротких позиций</t>
  </si>
  <si>
    <t>Срвзв. цена длинных позиций</t>
  </si>
  <si>
    <t>Прибыль/убытки</t>
  </si>
  <si>
    <t>Y1</t>
  </si>
  <si>
    <t>Д</t>
  </si>
  <si>
    <t>ДК</t>
  </si>
  <si>
    <t>Европлн1Р6</t>
  </si>
  <si>
    <t>МБ ФР: Т+: Корпоративные облигации</t>
  </si>
  <si>
    <t>RU000A106F40</t>
  </si>
  <si>
    <t>НоваБевБП4</t>
  </si>
  <si>
    <t>RU000A102GU5</t>
  </si>
  <si>
    <t>СамолетP12</t>
  </si>
  <si>
    <t>RU000A104YT6</t>
  </si>
  <si>
    <t>Код клиента</t>
  </si>
  <si>
    <t>Входящий остаток</t>
  </si>
  <si>
    <t>Входящий лимит</t>
  </si>
  <si>
    <t>Текущий остаток</t>
  </si>
  <si>
    <t>Текущий лимит</t>
  </si>
  <si>
    <t>Всего</t>
  </si>
  <si>
    <t>Доступно</t>
  </si>
  <si>
    <t>Заблокировано</t>
  </si>
  <si>
    <t>Плечо</t>
  </si>
  <si>
    <t>T0</t>
  </si>
  <si>
    <t>136GYC</t>
  </si>
  <si>
    <t>T1</t>
  </si>
  <si>
    <t>T2</t>
  </si>
  <si>
    <t>Tx</t>
  </si>
  <si>
    <t>Мин.маржа</t>
  </si>
  <si>
    <t>Нач.маржа</t>
  </si>
  <si>
    <t>Скор.маржа</t>
  </si>
  <si>
    <t>Вход.активы</t>
  </si>
  <si>
    <t>Стоимость портфеля</t>
  </si>
  <si>
    <t>Требование</t>
  </si>
  <si>
    <t>УДС</t>
  </si>
  <si>
    <t>Шорты</t>
  </si>
  <si>
    <t>Лонги</t>
  </si>
  <si>
    <t>ВходСредства</t>
  </si>
  <si>
    <t>ТекСредства</t>
  </si>
  <si>
    <t>НаПокупНеМаржин</t>
  </si>
  <si>
    <t>Сумма ден. остатков</t>
  </si>
  <si>
    <t>ПроцИзмен</t>
  </si>
  <si>
    <t>Фирма</t>
  </si>
  <si>
    <t>ПовышУрРиска</t>
  </si>
  <si>
    <t>Тип клиента</t>
  </si>
  <si>
    <t>НПР1</t>
  </si>
  <si>
    <t>НПР2</t>
  </si>
  <si>
    <t>Сроч. счет</t>
  </si>
  <si>
    <t>Вход.лимит</t>
  </si>
  <si>
    <t>Лонги МО</t>
  </si>
  <si>
    <t>Лонги О</t>
  </si>
  <si>
    <t>Тек.плечо</t>
  </si>
  <si>
    <t>Ур.маржи</t>
  </si>
  <si>
    <t>Тек.лимит</t>
  </si>
  <si>
    <t>ДостТекЛимит</t>
  </si>
  <si>
    <t>БлокПокупка</t>
  </si>
  <si>
    <t>БлокПок МО</t>
  </si>
  <si>
    <t>БлокПок О</t>
  </si>
  <si>
    <t>БлокПродажа</t>
  </si>
  <si>
    <t>БлокПокНеМарж</t>
  </si>
  <si>
    <t>На покупку</t>
  </si>
  <si>
    <t>На продажу</t>
  </si>
  <si>
    <t>НаПокупОбесп</t>
  </si>
  <si>
    <t>ГО поз.</t>
  </si>
  <si>
    <t>ГО заяв.</t>
  </si>
  <si>
    <t>Вариац. маржа</t>
  </si>
  <si>
    <t>Активы/ГО</t>
  </si>
  <si>
    <t>Суммарно заблок.</t>
  </si>
  <si>
    <t>Парам. расч.</t>
  </si>
  <si>
    <t>Шорты (нетто)</t>
  </si>
  <si>
    <t>Лонги (нетто)</t>
  </si>
  <si>
    <t>Сумма дисконтов</t>
  </si>
  <si>
    <t>ТекАктБезДиск</t>
  </si>
  <si>
    <t>Статус счета</t>
  </si>
  <si>
    <t>ПолнСумДенОстат на нач. дня</t>
  </si>
  <si>
    <t>ПолнСумДенОстат</t>
  </si>
  <si>
    <t>ПланЧистПоз</t>
  </si>
  <si>
    <t>ТекЧистПоз</t>
  </si>
  <si>
    <t>НакопВарМаржа</t>
  </si>
  <si>
    <t>ВарМаржаПромклир.</t>
  </si>
  <si>
    <t>НакопДоход</t>
  </si>
  <si>
    <t>ЛиквСтоимОпционов</t>
  </si>
  <si>
    <t>СумАктивовНаСрчРынке</t>
  </si>
  <si>
    <t>ПолнСтоимПортфеля</t>
  </si>
  <si>
    <t>ТекЗадолжНаСрчРынке</t>
  </si>
  <si>
    <t>Дост. Средств</t>
  </si>
  <si>
    <t>Дост. Средств (ОткрПоз)</t>
  </si>
  <si>
    <t>КоэффЛикв ГО</t>
  </si>
  <si>
    <t>Ожид. КоэффЛикв ГО</t>
  </si>
  <si>
    <t>Cash Leverage</t>
  </si>
  <si>
    <t>ТипПозНаСрчРынке</t>
  </si>
  <si>
    <t>Нормальный</t>
  </si>
  <si>
    <t>MC0003300000</t>
  </si>
  <si>
    <t>МД+</t>
  </si>
  <si>
    <t>SUR-EQTV</t>
  </si>
  <si>
    <t>Покупка(Собств.)</t>
  </si>
  <si>
    <t>Продажа(Собств.)</t>
  </si>
  <si>
    <t>Дисконт корреляции</t>
  </si>
  <si>
    <t>D long</t>
  </si>
  <si>
    <t>D short</t>
  </si>
  <si>
    <t>D min long</t>
  </si>
  <si>
    <t>D min short</t>
  </si>
  <si>
    <t>ГО покупателя</t>
  </si>
  <si>
    <t>ГО продавца</t>
  </si>
  <si>
    <t>Текущий портфель клиента</t>
  </si>
  <si>
    <t>стоимость портфеля</t>
  </si>
  <si>
    <t>1.</t>
  </si>
  <si>
    <t>лот</t>
  </si>
  <si>
    <t>цена</t>
  </si>
  <si>
    <t>Тип сложного финансового продукта. Возможные значения:</t>
  </si>
  <si>
    <t>«-100» – без ограничений;</t>
  </si>
  <si>
    <t>«-1» – не попадает под тесты из Базового стандарта, недоступно для неквалифицированных инвесторов, не прошедших тестирование;</t>
  </si>
  <si>
    <t>«0» – предназначено для квалифицированных инвесторов согласно 39-ФЗ или эмиссионным документам;</t>
  </si>
  <si>
    <t>«4» – структурные облигации, не предназначенные для квалифицированных инвесторов;</t>
  </si>
  <si>
    <t>«5» – инвестиционные паи закрытых паевых инвестиционных фондов, непредназначенных для квалифицированных инвесторов;</t>
  </si>
  <si>
    <t>«6» – облигации российских эмитентов, которым не присвоен кредитный рейтинг, либо кредитный рейтинг которых ниже установленного уровня;</t>
  </si>
  <si>
    <t>«7» – облигации иностранных эмитентов, обязательства по которым исполняются за счёт юридического лица, созданного в соответствии с законодательством РФ, не имеющего кредитный рейтинг, либо кредитный рейтинг которого ниже установленного уровня;</t>
  </si>
  <si>
    <t>«8» – облигации со структурным доходом;</t>
  </si>
  <si>
    <t>«9» – акции, не включенные в котировальные списки;</t>
  </si>
  <si>
    <t>«10» – иностранные акции, требующие проведения тестирования;</t>
  </si>
  <si>
    <t>«11» – сделки по приобретению паев иностранных ETF, требующие проведения тестирования;</t>
  </si>
  <si>
    <t>«800» – облигации, запрещенные к приобретению с 01.10.2021 до ДД.ММ.ГГГГ для инвестора, успешно прошедшего тестирование по тесту 8, где дата окончания периодически меняет значение в соответствии с требованиями контролирующих органов</t>
  </si>
  <si>
    <t>валюта</t>
  </si>
  <si>
    <t>квал?</t>
  </si>
  <si>
    <t>ПИР?</t>
  </si>
  <si>
    <t>Квал?</t>
  </si>
  <si>
    <t>листинг</t>
  </si>
  <si>
    <t>да</t>
  </si>
  <si>
    <t>Проверка счета на доступность всех инструментов из портфеля автоследования. С учетом Квал инвестора и уровня листинга инструмента</t>
  </si>
  <si>
    <t>2.</t>
  </si>
  <si>
    <t>3.</t>
  </si>
  <si>
    <t>Подсчет суммы долей на продажу</t>
  </si>
  <si>
    <t>4.</t>
  </si>
  <si>
    <t>Подсчет суммы долей на покупку</t>
  </si>
  <si>
    <t>5.</t>
  </si>
  <si>
    <t>Подсчет текущей позиции по деньгам</t>
  </si>
  <si>
    <t>6.</t>
  </si>
  <si>
    <t>Расчет доступных остатков для покупки = (п.4+п.5)-п.3</t>
  </si>
  <si>
    <t>Тестирование пройдено?</t>
  </si>
  <si>
    <t>Пересчет доли позиций в портфеле автоследовании за вычетом недоступных для инвестора позиций. Если клиент не квал инвестор проверяется позиции столбца "квал" и если = 0 тогда позиция не должна попадать в портфель.</t>
  </si>
  <si>
    <t>Пересчет доли позиций в портфеле автоследовании за вычетом недоступных для инвестора позиций.  Если клиент не прошел тестирование инвестор проверяется позиции столбца "листинг" и если = 3 тогда позиция не должна попадать в портфель.</t>
  </si>
  <si>
    <t>1. Загружаем портфель клиента</t>
  </si>
  <si>
    <t>2. Проверяем позиции которые есть в ПА (портфеле автоследования)</t>
  </si>
  <si>
    <t>Проверка:</t>
  </si>
  <si>
    <t>2. Сопостовляем 2 портфеля</t>
  </si>
  <si>
    <t>Портфель клиента:</t>
  </si>
  <si>
    <t>Портфель автоследования:</t>
  </si>
  <si>
    <t>разница в долях</t>
  </si>
  <si>
    <t>Портфель:</t>
  </si>
  <si>
    <t>шаг 2</t>
  </si>
  <si>
    <t>шаг 1</t>
  </si>
  <si>
    <t>шаг 3</t>
  </si>
  <si>
    <t>ОФЗ 25085 [МБ ФР: Т+: Облигации]</t>
  </si>
  <si>
    <t>25085RMFS</t>
  </si>
  <si>
    <t>RU000A103BQ2</t>
  </si>
  <si>
    <t>SU25085RMFS0</t>
  </si>
  <si>
    <t>ОФЗ 25085</t>
  </si>
  <si>
    <t>РФ</t>
  </si>
  <si>
    <t>TQOB</t>
  </si>
  <si>
    <t>МБ ФР: Т+: Облигации</t>
  </si>
  <si>
    <t>Облигационный федеральный займ</t>
  </si>
  <si>
    <t>ОФЗ 26207 [МБ ФР: Т+: Облигации]</t>
  </si>
  <si>
    <t>26207RMFS</t>
  </si>
  <si>
    <t>RU000A0JS3W6</t>
  </si>
  <si>
    <t>SU26207RMFS9</t>
  </si>
  <si>
    <t>ОФЗ 26207</t>
  </si>
  <si>
    <t>ОФЗ 26212 [МБ ФР: Т+: Облигации]</t>
  </si>
  <si>
    <t>26212RMFS</t>
  </si>
  <si>
    <t>RU000A0JTK38</t>
  </si>
  <si>
    <t>SU26212RMFS9</t>
  </si>
  <si>
    <t>ОФЗ 26212</t>
  </si>
  <si>
    <t>ОФЗ 26218 [МБ ФР: Т+: Облигации]</t>
  </si>
  <si>
    <t>26218RMFS</t>
  </si>
  <si>
    <t>RU000A0JVW48</t>
  </si>
  <si>
    <t>SU26218RMFS6</t>
  </si>
  <si>
    <t>ОФЗ 26218</t>
  </si>
  <si>
    <t>ОФЗ 26219 [МБ ФР: Т+: Облигации]</t>
  </si>
  <si>
    <t>26219RMFS</t>
  </si>
  <si>
    <t>RU000A0JWM07</t>
  </si>
  <si>
    <t>SU26219RMFS4</t>
  </si>
  <si>
    <t>ОФЗ 26219</t>
  </si>
  <si>
    <t>ОФЗ 26221 [МБ ФР: Т+: Облигации]</t>
  </si>
  <si>
    <t>26221RMFS</t>
  </si>
  <si>
    <t>RU000A0JXFM1</t>
  </si>
  <si>
    <t>SU26221RMFS0</t>
  </si>
  <si>
    <t>ОФЗ 26221</t>
  </si>
  <si>
    <t>ОФЗ 26224 [МБ ФР: Т+: Облигации]</t>
  </si>
  <si>
    <t>26224RMFS</t>
  </si>
  <si>
    <t>RU000A0ZYUA9</t>
  </si>
  <si>
    <t>SU26224RMFS4</t>
  </si>
  <si>
    <t>ОФЗ 26224</t>
  </si>
  <si>
    <t>ОФЗ 26225 [МБ ФР: Т+: Облигации]</t>
  </si>
  <si>
    <t>26225RMFS</t>
  </si>
  <si>
    <t>RU000A0ZYUB7</t>
  </si>
  <si>
    <t>SU26225RMFS1</t>
  </si>
  <si>
    <t>ОФЗ 26225</t>
  </si>
  <si>
    <t>ОФЗ 26226 [МБ ФР: Т+: Облигации]</t>
  </si>
  <si>
    <t>26226RMFS</t>
  </si>
  <si>
    <t>RU000A0ZZYW2</t>
  </si>
  <si>
    <t>SU26226RMFS9</t>
  </si>
  <si>
    <t>ОФЗ 26226</t>
  </si>
  <si>
    <t>ОФЗ 26228 [МБ ФР: Т+: Облигации]</t>
  </si>
  <si>
    <t>26228RMFS</t>
  </si>
  <si>
    <t>RU000A100A82</t>
  </si>
  <si>
    <t>SU26228RMFS5</t>
  </si>
  <si>
    <t>ОФЗ 26228</t>
  </si>
  <si>
    <t>ОФЗ 26229 [МБ ФР: Т+: Облигации]</t>
  </si>
  <si>
    <t>26229RMFS</t>
  </si>
  <si>
    <t>RU000A100EG3</t>
  </si>
  <si>
    <t>SU26229RMFS3</t>
  </si>
  <si>
    <t>ОФЗ 26229</t>
  </si>
  <si>
    <t>ОФЗ 26230 [МБ ФР: Т+: Облигации]</t>
  </si>
  <si>
    <t>26230RMFS</t>
  </si>
  <si>
    <t>RU000A100EF5</t>
  </si>
  <si>
    <t>SU26230RMFS1</t>
  </si>
  <si>
    <t>ОФЗ 26230</t>
  </si>
  <si>
    <t>ОФЗ 26231 [МБ ФР: Т+: Облигации]</t>
  </si>
  <si>
    <t>26231RMFS</t>
  </si>
  <si>
    <t>RU000A100MY9</t>
  </si>
  <si>
    <t>SU26231RMFS9</t>
  </si>
  <si>
    <t>ОФЗ 26231</t>
  </si>
  <si>
    <t>ОФЗ 26232 [МБ ФР: Т+: Облигации]</t>
  </si>
  <si>
    <t>26232RMFS</t>
  </si>
  <si>
    <t>RU000A1014N4</t>
  </si>
  <si>
    <t>SU26232RMFS7</t>
  </si>
  <si>
    <t>ОФЗ 26232</t>
  </si>
  <si>
    <t>ОФЗ 26233 [МБ ФР: Т+: Облигации]</t>
  </si>
  <si>
    <t>26233RMFS</t>
  </si>
  <si>
    <t>RU000A101F94</t>
  </si>
  <si>
    <t>SU26233RMFS5</t>
  </si>
  <si>
    <t>ОФЗ 26233</t>
  </si>
  <si>
    <t>ОФЗ 26234 [МБ ФР: Т+: Облигации]</t>
  </si>
  <si>
    <t>26234RMFS</t>
  </si>
  <si>
    <t>RU000A101QE0</t>
  </si>
  <si>
    <t>SU26234RMFS3</t>
  </si>
  <si>
    <t>ОФЗ 26234</t>
  </si>
  <si>
    <t>ОФЗ 26235 [МБ ФР: Т+: Облигации]</t>
  </si>
  <si>
    <t>26235RMFS</t>
  </si>
  <si>
    <t>RU000A1028E3</t>
  </si>
  <si>
    <t>SU26235RMFS0</t>
  </si>
  <si>
    <t>ОФЗ 26235</t>
  </si>
  <si>
    <t>ОФЗ 26236 [МБ ФР: Т+: Облигации]</t>
  </si>
  <si>
    <t>26236RMFS</t>
  </si>
  <si>
    <t>RU000A102BT8</t>
  </si>
  <si>
    <t>SU26236RMFS8</t>
  </si>
  <si>
    <t>ОФЗ 26236</t>
  </si>
  <si>
    <t>ОФЗ 26237 [МБ ФР: Т+: Облигации]</t>
  </si>
  <si>
    <t>26237RMFS</t>
  </si>
  <si>
    <t>RU000A1038Z7</t>
  </si>
  <si>
    <t>SU26237RMFS6</t>
  </si>
  <si>
    <t>ОФЗ 26237</t>
  </si>
  <si>
    <t>ОФЗ 26238 [МБ ФР: Т+: Облигации]</t>
  </si>
  <si>
    <t>26238RMFS</t>
  </si>
  <si>
    <t>RU000A1038V6</t>
  </si>
  <si>
    <t>SU26238RMFS4</t>
  </si>
  <si>
    <t>ОФЗ 26238</t>
  </si>
  <si>
    <t>ОФЗ 26239 [МБ ФР: Т+: Облигации]</t>
  </si>
  <si>
    <t>26239RMFS</t>
  </si>
  <si>
    <t>RU000A103901</t>
  </si>
  <si>
    <t>SU26239RMFS2</t>
  </si>
  <si>
    <t>ОФЗ 26239</t>
  </si>
  <si>
    <t>ОФЗ 26240 [МБ ФР: Т+: Облигации]</t>
  </si>
  <si>
    <t>26240RMFS</t>
  </si>
  <si>
    <t>RU000A103BR0</t>
  </si>
  <si>
    <t>SU26240RMFS0</t>
  </si>
  <si>
    <t>ОФЗ 26240</t>
  </si>
  <si>
    <t>ОФЗ 26241 [МБ ФР: Т+: Облигации]</t>
  </si>
  <si>
    <t>26241RMFS</t>
  </si>
  <si>
    <t>RU000A105FZ9</t>
  </si>
  <si>
    <t>SU26241RMFS8</t>
  </si>
  <si>
    <t>ОФЗ 26241</t>
  </si>
  <si>
    <t>ОФЗ 26242 [МБ ФР: Т+: Облигации]</t>
  </si>
  <si>
    <t>26242RMFS</t>
  </si>
  <si>
    <t>RU000A105RV3</t>
  </si>
  <si>
    <t>SU26242RMFS6</t>
  </si>
  <si>
    <t>ОФЗ 26242</t>
  </si>
  <si>
    <t>ОФЗ 26243 [МБ ФР: Т+: Облигации]</t>
  </si>
  <si>
    <t>26243RMFS</t>
  </si>
  <si>
    <t>RU000A106E90</t>
  </si>
  <si>
    <t>SU26243RMFS4</t>
  </si>
  <si>
    <t>ОФЗ 26243</t>
  </si>
  <si>
    <t>ОФЗ 26244 [МБ ФР: Т+: Облигации]</t>
  </si>
  <si>
    <t>26244RMFS</t>
  </si>
  <si>
    <t>RU000A1074G2</t>
  </si>
  <si>
    <t>SU26244RMFS2</t>
  </si>
  <si>
    <t>ОФЗ 26244</t>
  </si>
  <si>
    <t>ОФЗ 26245 [МБ ФР: Т+: Облигации]</t>
  </si>
  <si>
    <t>26245RMFS</t>
  </si>
  <si>
    <t>RU000A108EG6</t>
  </si>
  <si>
    <t>SU26245RMFS9</t>
  </si>
  <si>
    <t>ОФЗ 26245</t>
  </si>
  <si>
    <t>ОФЗ 26246 [МБ ФР: Т+: Облигации]</t>
  </si>
  <si>
    <t>26246RMFS</t>
  </si>
  <si>
    <t>RU000A108EE1</t>
  </si>
  <si>
    <t>SU26246RMFS7</t>
  </si>
  <si>
    <t>ОФЗ 26246</t>
  </si>
  <si>
    <t>ОФЗ 26247 [МБ ФР: Т+: Облигации]</t>
  </si>
  <si>
    <t>26247RMFS</t>
  </si>
  <si>
    <t>RU000A108EF8</t>
  </si>
  <si>
    <t>SU26247RMFS5</t>
  </si>
  <si>
    <t>ОФЗ 26247</t>
  </si>
  <si>
    <t>ОФЗ 26248 [МБ ФР: Т+: Облигации]</t>
  </si>
  <si>
    <t>26248RMFS</t>
  </si>
  <si>
    <t>RU000A108EH4</t>
  </si>
  <si>
    <t>SU26248RMFS3</t>
  </si>
  <si>
    <t>ОФЗ 26248</t>
  </si>
  <si>
    <t>ОФЗ 29006 [МБ ФР: Т+: Облигации]</t>
  </si>
  <si>
    <t>29006RMFS</t>
  </si>
  <si>
    <t>RU000A0JV4L2</t>
  </si>
  <si>
    <t>SU29006RMFS2</t>
  </si>
  <si>
    <t>ОФЗ 29006</t>
  </si>
  <si>
    <t>ОФЗ 29007 [МБ ФР: Т+: Облигации]</t>
  </si>
  <si>
    <t>29007RMFS</t>
  </si>
  <si>
    <t>RU000A0JV4M0</t>
  </si>
  <si>
    <t>SU29007RMFS0</t>
  </si>
  <si>
    <t>ОФЗ 29007</t>
  </si>
  <si>
    <t>ОФЗ 29008 [МБ ФР: Т+: Облигации]</t>
  </si>
  <si>
    <t>29008RMFS</t>
  </si>
  <si>
    <t>RU000A0JV4P3</t>
  </si>
  <si>
    <t>SU29008RMFS8</t>
  </si>
  <si>
    <t>ОФЗ 29008</t>
  </si>
  <si>
    <t>ОФЗ 29009 [МБ ФР: Т+: Облигации]</t>
  </si>
  <si>
    <t>29009RMFS</t>
  </si>
  <si>
    <t>RU000A0JV4N8</t>
  </si>
  <si>
    <t>SU29009RMFS6</t>
  </si>
  <si>
    <t>ОФЗ 29009</t>
  </si>
  <si>
    <t>ОФЗ 29010 [МБ ФР: Т+: Облигации]</t>
  </si>
  <si>
    <t>29010RMFS</t>
  </si>
  <si>
    <t>RU000A0JV4Q1</t>
  </si>
  <si>
    <t>SU29010RMFS4</t>
  </si>
  <si>
    <t>ОФЗ 29010</t>
  </si>
  <si>
    <t>ОФЗ 29013 [МБ ФР: Т+: Облигации]</t>
  </si>
  <si>
    <t>29013RMFS</t>
  </si>
  <si>
    <t>RU000A101KT1</t>
  </si>
  <si>
    <t>SU29013RMFS8</t>
  </si>
  <si>
    <t>ОФЗ 29013</t>
  </si>
  <si>
    <t>ОФЗ 29014 [МБ ФР: Т+: Облигации]</t>
  </si>
  <si>
    <t>29014RMFS</t>
  </si>
  <si>
    <t>RU000A101N52</t>
  </si>
  <si>
    <t>SU29014RMFS6</t>
  </si>
  <si>
    <t>ОФЗ 29014</t>
  </si>
  <si>
    <t>ОФЗ 29015 [МБ ФР: Т+: Облигации]</t>
  </si>
  <si>
    <t>29015RMFS</t>
  </si>
  <si>
    <t>RU000A1025A7</t>
  </si>
  <si>
    <t>SU29015RMFS3</t>
  </si>
  <si>
    <t>ОФЗ 29015</t>
  </si>
  <si>
    <t>ОФЗ 29016 [МБ ФР: Т+: Облигации]</t>
  </si>
  <si>
    <t>29016RMFS</t>
  </si>
  <si>
    <t>RU000A1025B5</t>
  </si>
  <si>
    <t>SU29016RMFS1</t>
  </si>
  <si>
    <t>ОФЗ 29016</t>
  </si>
  <si>
    <t>ОФЗ 29017 [МБ ФР: Т+: Облигации]</t>
  </si>
  <si>
    <t>29017RMFS</t>
  </si>
  <si>
    <t>RU000A1028D5</t>
  </si>
  <si>
    <t>SU29017RMFS9</t>
  </si>
  <si>
    <t>ОФЗ 29017</t>
  </si>
  <si>
    <t>ОФЗ 29018 [МБ ФР: Т+: Облигации]</t>
  </si>
  <si>
    <t>29018RMFS</t>
  </si>
  <si>
    <t>RU000A102A31</t>
  </si>
  <si>
    <t>SU29018RMFS7</t>
  </si>
  <si>
    <t>ОФЗ 29018</t>
  </si>
  <si>
    <t>ОФЗ 29019 [МБ ФР: Т+: Облигации]</t>
  </si>
  <si>
    <t>29019RMFS</t>
  </si>
  <si>
    <t>RU000A102A49</t>
  </si>
  <si>
    <t>SU29019RMFS5</t>
  </si>
  <si>
    <t>ОФЗ 29019</t>
  </si>
  <si>
    <t>ОФЗ 29020 [МБ ФР: Т+: Облигации]</t>
  </si>
  <si>
    <t>29020RMFS</t>
  </si>
  <si>
    <t>RU000A102BV4</t>
  </si>
  <si>
    <t>SU29020RMFS3</t>
  </si>
  <si>
    <t>ОФЗ 29020</t>
  </si>
  <si>
    <t>ОФЗ 29021 [МБ ФР: Т+: Облигации]</t>
  </si>
  <si>
    <t>29021RMFS</t>
  </si>
  <si>
    <t>RU000A105B11</t>
  </si>
  <si>
    <t>SU29021RMFS1</t>
  </si>
  <si>
    <t>ОФЗ 29021</t>
  </si>
  <si>
    <t>ОФЗ 29022 [МБ ФР: Т+: Облигации]</t>
  </si>
  <si>
    <t>29022RMFS</t>
  </si>
  <si>
    <t>RU000A105G16</t>
  </si>
  <si>
    <t>SU29022RMFS9</t>
  </si>
  <si>
    <t>ОФЗ 29022</t>
  </si>
  <si>
    <t>ОФЗ 29023 [МБ ФР: Т+: Облигации]</t>
  </si>
  <si>
    <t>29023RMFS</t>
  </si>
  <si>
    <t>RU000A105L19</t>
  </si>
  <si>
    <t>SU29023RMFS7</t>
  </si>
  <si>
    <t>ОФЗ 29023</t>
  </si>
  <si>
    <t>ОФЗ 29024 [МБ ФР: Т+: Облигации]</t>
  </si>
  <si>
    <t>29024RMFS</t>
  </si>
  <si>
    <t>RU000A1066D5</t>
  </si>
  <si>
    <t>SU29024RMFS5</t>
  </si>
  <si>
    <t>ОФЗ 29024</t>
  </si>
  <si>
    <t>ОФЗ 29025 [МБ ФР: Т+: Облигации]</t>
  </si>
  <si>
    <t>29025RMFS</t>
  </si>
  <si>
    <t>RU000A106Z61</t>
  </si>
  <si>
    <t>SU29025RMFS2</t>
  </si>
  <si>
    <t>ОФЗ 29025</t>
  </si>
  <si>
    <t>ОФЗ 29026 [МБ ФР: Т+: Облигации]</t>
  </si>
  <si>
    <t>29026RMFS</t>
  </si>
  <si>
    <t>RU000A10A7D2</t>
  </si>
  <si>
    <t>SU29026RMFS0</t>
  </si>
  <si>
    <t>ОФЗ 29026</t>
  </si>
  <si>
    <t>ОФЗ 46011 [МБ ФР: Т+: Облигации]</t>
  </si>
  <si>
    <t>46011RMFS</t>
  </si>
  <si>
    <t>RU0002867854</t>
  </si>
  <si>
    <t>SU46011RMFS1</t>
  </si>
  <si>
    <t>ОФЗ 46011</t>
  </si>
  <si>
    <t>ОФЗ 46012 [МБ ФР: Т+: Облигации]</t>
  </si>
  <si>
    <t>46012RMFS</t>
  </si>
  <si>
    <t>RU0002868001</t>
  </si>
  <si>
    <t>SU46012RMFS9</t>
  </si>
  <si>
    <t>ОФЗ 46012</t>
  </si>
  <si>
    <t>ОФЗ 46020 [МБ ФР: Т+: Облигации]</t>
  </si>
  <si>
    <t>46020RMFS</t>
  </si>
  <si>
    <t>RU000A0GN9A7</t>
  </si>
  <si>
    <t>SU46020RMFS2</t>
  </si>
  <si>
    <t>ОФЗ 46020</t>
  </si>
  <si>
    <t>ОФЗ 46023 [МБ ФР: Т+: Облигации]</t>
  </si>
  <si>
    <t>46023RMFS</t>
  </si>
  <si>
    <t>RU000A0JRTL6</t>
  </si>
  <si>
    <t>SU46023RMFS6</t>
  </si>
  <si>
    <t>ОФЗ 46023</t>
  </si>
  <si>
    <t>ОФЗ 52002 [МБ ФР: Т+: Облигации]</t>
  </si>
  <si>
    <t>52002RMFS</t>
  </si>
  <si>
    <t>RU000A0ZYZ26</t>
  </si>
  <si>
    <t>SU52002RMFS1</t>
  </si>
  <si>
    <t>ОФЗ 52002</t>
  </si>
  <si>
    <t>ОФЗ 52003 [МБ ФР: Т+: Облигации]</t>
  </si>
  <si>
    <t>52003RMFS</t>
  </si>
  <si>
    <t>RU000A102069</t>
  </si>
  <si>
    <t>SU52003RMFS9</t>
  </si>
  <si>
    <t>ОФЗ 52003</t>
  </si>
  <si>
    <t>ОФЗ 52004 [МБ ФР: Т+: Облигации]</t>
  </si>
  <si>
    <t>52004RMFS</t>
  </si>
  <si>
    <t>RU000A103MX5</t>
  </si>
  <si>
    <t>SU52004RMFS7</t>
  </si>
  <si>
    <t>ОФЗ 52004</t>
  </si>
  <si>
    <t>ОФЗ 52005 [МБ ФР: Т+: Облигации]</t>
  </si>
  <si>
    <t>52005RMFS</t>
  </si>
  <si>
    <t>RU000A105XV1</t>
  </si>
  <si>
    <t>SU52005RMFS4</t>
  </si>
  <si>
    <t>ОФЗ 52005</t>
  </si>
  <si>
    <t>АЛЬФАБ2Р20 [МБ ФР: Т+: Облигации (расч.в CNY)]</t>
  </si>
  <si>
    <t>4B02-20-01326-B-002P</t>
  </si>
  <si>
    <t>RU000A105NH1</t>
  </si>
  <si>
    <t>АЛЬФАБ2Р20</t>
  </si>
  <si>
    <t>бирж.обл.</t>
  </si>
  <si>
    <t>TQOY</t>
  </si>
  <si>
    <t>МБ ФР: Т+: Облигации (расч.в CNY)</t>
  </si>
  <si>
    <t>Биржевая облигация</t>
  </si>
  <si>
    <t>Акрон Б1P4 [МБ ФР: Т+: Облигации (расч.в CNY)]</t>
  </si>
  <si>
    <t>4B02-04-00207-A-001P</t>
  </si>
  <si>
    <t>RU000A108JH3</t>
  </si>
  <si>
    <t>Акрон Б1P4</t>
  </si>
  <si>
    <t>ВТБ С1-662 [МБ ФР: Т+: Облигации (расч.в CNY)]</t>
  </si>
  <si>
    <t>6-662-01000-B-001P</t>
  </si>
  <si>
    <t>RU000A0NRCJ8</t>
  </si>
  <si>
    <t>ВТБ С1-662</t>
  </si>
  <si>
    <t>корп.обл.</t>
  </si>
  <si>
    <t>Корпоративная облигация</t>
  </si>
  <si>
    <t>ГПБ3P6CNY [МБ ФР: Т+: Облигации (расч.в CNY)]</t>
  </si>
  <si>
    <t>4B02-06-00354-B-003P</t>
  </si>
  <si>
    <t>RU000A1087C3</t>
  </si>
  <si>
    <t>ГПБ3P6CNY</t>
  </si>
  <si>
    <t>ГТЛК 2P-05 [МБ ФР: Т+: Облигации (расч.в CNY)]</t>
  </si>
  <si>
    <t>4B02-05-32432-H-002P</t>
  </si>
  <si>
    <t>RU000A108NS2</t>
  </si>
  <si>
    <t>ГТЛК 2P-05</t>
  </si>
  <si>
    <t>Газпн3P12R [МБ ФР: Т+: Облигации (расч.в CNY)]</t>
  </si>
  <si>
    <t>4B02-12-00146-A-003P</t>
  </si>
  <si>
    <t>RU000A108PZ2</t>
  </si>
  <si>
    <t>Газпн3P12R</t>
  </si>
  <si>
    <t>ЕАБР П3-04 [МБ ФР: Т+: Облигации (расч.в CNY)]</t>
  </si>
  <si>
    <t>RU000A105EV1</t>
  </si>
  <si>
    <t>ЕАБР П3-04</t>
  </si>
  <si>
    <t>ЕСЭГ1PC1 [МБ ФР: Т+: Облигации (расч.в CNY)]</t>
  </si>
  <si>
    <t>4B02-01-00660-R-001P</t>
  </si>
  <si>
    <t>RU000A106797</t>
  </si>
  <si>
    <t>ЕСЭГ1PC1</t>
  </si>
  <si>
    <t>ЕСЭГ1PC5 [МБ ФР: Т+: Облигации (расч.в CNY)]</t>
  </si>
  <si>
    <t>4B02-05-00660-R-001P</t>
  </si>
  <si>
    <t>RU000A108FX8</t>
  </si>
  <si>
    <t>ЕСЭГ1PC5</t>
  </si>
  <si>
    <t>МЕТАЛИН1P2 [МБ ФР: Т+: Облигации (расч.в CNY)]</t>
  </si>
  <si>
    <t>4B02-02-25642-H-001P</t>
  </si>
  <si>
    <t>RU000A1057D4</t>
  </si>
  <si>
    <t>МЕТАЛИН1P2</t>
  </si>
  <si>
    <t>МЕТАЛИН1P3 [МБ ФР: Т+: Облигации (расч.в CNY)]</t>
  </si>
  <si>
    <t>4B02-03-25642-H-001P</t>
  </si>
  <si>
    <t>RU000A105M75</t>
  </si>
  <si>
    <t>МЕТАЛИН1P3</t>
  </si>
  <si>
    <t>МЕТАЛИН1P5 [МБ ФР: Т+: Облигации (расч.в CNY)]</t>
  </si>
  <si>
    <t>4B02-05-25642-H-001P</t>
  </si>
  <si>
    <t>RU000A1071S3</t>
  </si>
  <si>
    <t>МЕТАЛИН1P5</t>
  </si>
  <si>
    <t>МЕТАЛИН1P7 [МБ ФР: Т+: Облигации (расч.в CNY)]</t>
  </si>
  <si>
    <t>4B02-07-25642-H-001P</t>
  </si>
  <si>
    <t>RU000A107K18</t>
  </si>
  <si>
    <t>МЕТАЛИН1P7</t>
  </si>
  <si>
    <t>НорНикБ1P5 [МБ ФР: Т+: Облигации (расч.в CNY)]</t>
  </si>
  <si>
    <t>4B02-05-40155-F-001P</t>
  </si>
  <si>
    <t>RU000A105ML5</t>
  </si>
  <si>
    <t>НорНикБ1P5</t>
  </si>
  <si>
    <t>НорНикБ1P6 [МБ ФР: Т+: Облигации (расч.в CNY)]</t>
  </si>
  <si>
    <t>4B02-06-40155-F-001P</t>
  </si>
  <si>
    <t>RU000A105NL3</t>
  </si>
  <si>
    <t>НорНикБ1P6</t>
  </si>
  <si>
    <t>Полюс Б1P2 [МБ ФР: Т+: Облигации (расч.в CNY)]</t>
  </si>
  <si>
    <t>4B02-02-55192-E-001P</t>
  </si>
  <si>
    <t>RU000A1054W1</t>
  </si>
  <si>
    <t>Полюс Б1P2</t>
  </si>
  <si>
    <t>РУСАЛ 1Р1 [МБ ФР: Т+: Облигации (расч.в CNY)]</t>
  </si>
  <si>
    <t>4B02-01-16677-A-001P</t>
  </si>
  <si>
    <t>RU000A105C44</t>
  </si>
  <si>
    <t>РУСАЛ 1Р1</t>
  </si>
  <si>
    <t>РУСАЛ 1Р2 [МБ ФР: Т+: Облигации (расч.в CNY)]</t>
  </si>
  <si>
    <t>4B02-02-16677-A-001P</t>
  </si>
  <si>
    <t>RU000A105PQ7</t>
  </si>
  <si>
    <t>РУСАЛ 1Р2</t>
  </si>
  <si>
    <t>РУСАЛ 1Р3 [МБ ФР: Т+: Облигации (расч.в CNY)]</t>
  </si>
  <si>
    <t>4B02-03-16677-A-001P</t>
  </si>
  <si>
    <t>RU000A105Q06</t>
  </si>
  <si>
    <t>РУСАЛ 1Р3</t>
  </si>
  <si>
    <t>РУСАЛ 1Р5 [МБ ФР: Т+: Облигации (расч.в CNY)]</t>
  </si>
  <si>
    <t>4B02-05-16677-A-001P</t>
  </si>
  <si>
    <t>RU000A1076U8</t>
  </si>
  <si>
    <t>РУСАЛ 1Р5</t>
  </si>
  <si>
    <t>РУСАЛ 1Р6 [МБ ФР: Т+: Облигации (расч.в CNY)]</t>
  </si>
  <si>
    <t>4B02-06-16677-A-001P</t>
  </si>
  <si>
    <t>RU000A107RH8</t>
  </si>
  <si>
    <t>РУСАЛ 1Р6</t>
  </si>
  <si>
    <t>РУСАЛ 1Р7 [МБ ФР: Т+: Облигации (расч.в CNY)]</t>
  </si>
  <si>
    <t>4B02-07-16677-A-001P</t>
  </si>
  <si>
    <t>RU000A1089K2</t>
  </si>
  <si>
    <t>РУСАЛ 1Р7</t>
  </si>
  <si>
    <t>РУСАЛ БО05 [МБ ФР: Т+: Облигации (расч.в CNY)]</t>
  </si>
  <si>
    <t>4B02-05-16677-A</t>
  </si>
  <si>
    <t>RU000A105104</t>
  </si>
  <si>
    <t>РУСАЛ БО05</t>
  </si>
  <si>
    <t>РУСАЛ БО06 [МБ ФР: Т+: Облигации (расч.в CNY)]</t>
  </si>
  <si>
    <t>4B02-06-16677-A</t>
  </si>
  <si>
    <t>RU000A105112</t>
  </si>
  <si>
    <t>РУСАЛ БО06</t>
  </si>
  <si>
    <t>Роснфт2P12 [МБ ФР: Т+: Облигации (расч.в CNY)]</t>
  </si>
  <si>
    <t>4B02-12-00122-A-002P</t>
  </si>
  <si>
    <t>RU000A1057S2</t>
  </si>
  <si>
    <t>Роснфт2P12</t>
  </si>
  <si>
    <t>Роснфт2P13 [МБ ФР: Т+: Облигации (расч.в CNY)]</t>
  </si>
  <si>
    <t>4B02-13-00122-A-002P</t>
  </si>
  <si>
    <t>RU000A105ZC6</t>
  </si>
  <si>
    <t>Роснфт2P13</t>
  </si>
  <si>
    <t>Роснфт4P1 [МБ ФР: Т+: Облигации (расч.в CNY)]</t>
  </si>
  <si>
    <t>4B02-01-00122-A-004P</t>
  </si>
  <si>
    <t>RU000A1083N9</t>
  </si>
  <si>
    <t>Роснфт4P1</t>
  </si>
  <si>
    <t>Роснфт4P2 [МБ ФР: Т+: Облигации (расч.в CNY)]</t>
  </si>
  <si>
    <t>4B02-02-00122-A-004P</t>
  </si>
  <si>
    <t>RU000A109DY9</t>
  </si>
  <si>
    <t>Роснфт4P2</t>
  </si>
  <si>
    <t>СКФ 1Р1CNY [МБ ФР: Т+: Облигации (расч.в CNY)]</t>
  </si>
  <si>
    <t>4B02-01-10613-A-001P</t>
  </si>
  <si>
    <t>RU000A1060Q0</t>
  </si>
  <si>
    <t>СКФ 1Р1CNY</t>
  </si>
  <si>
    <t>Сегежа3P1R [МБ ФР: Т+: Облигации (расч.в CNY)]</t>
  </si>
  <si>
    <t>4B02-01-87154-H-003P</t>
  </si>
  <si>
    <t>RU000A105EW9</t>
  </si>
  <si>
    <t>Сегежа3P1R</t>
  </si>
  <si>
    <t>СлавЭКО1Р3 [МБ ФР: Т+: Облигации (расч.в CNY)]</t>
  </si>
  <si>
    <t>4B02-03-00039-L-001P</t>
  </si>
  <si>
    <t>RU000A1080Z9</t>
  </si>
  <si>
    <t>СлавЭКО1Р3</t>
  </si>
  <si>
    <t>УралСт1Р03 [МБ ФР: Т+: Облигации (расч.в CNY)]</t>
  </si>
  <si>
    <t>4B02-03-55163-E-001P</t>
  </si>
  <si>
    <t>RU000A107U81</t>
  </si>
  <si>
    <t>УралСт1Р03</t>
  </si>
  <si>
    <t>ФосА1П1CHY [МБ ФР: Т+: Облигации (расч.в CNY)]</t>
  </si>
  <si>
    <t>4B02-02-06556-A-001P</t>
  </si>
  <si>
    <t>RU000A1063Z5</t>
  </si>
  <si>
    <t>ФосА1П1CHY</t>
  </si>
  <si>
    <t>ЮГК 1P2 [МБ ФР: Т+: Облигации (расч.в CNY)]</t>
  </si>
  <si>
    <t>4B02-02-33010-D-001P</t>
  </si>
  <si>
    <t>RU000A1061L9</t>
  </si>
  <si>
    <t>ЮГК 1P2</t>
  </si>
  <si>
    <t>RUS-25 EUR [МБ ФР: Т+: Облигации (расч.в EUR)]</t>
  </si>
  <si>
    <t>12978082V</t>
  </si>
  <si>
    <t>RU000A0ZZVE6</t>
  </si>
  <si>
    <t>RUS-25 EUR</t>
  </si>
  <si>
    <t>TQOE</t>
  </si>
  <si>
    <t>МБ ФР: Т+: Облигации (расч.в EUR)</t>
  </si>
  <si>
    <t>Государственная облигация</t>
  </si>
  <si>
    <t>RUS-27 EUR [МБ ФР: Т+: Облигации (расч.в EUR)]</t>
  </si>
  <si>
    <t>12978087V</t>
  </si>
  <si>
    <t>RU000A102CK5</t>
  </si>
  <si>
    <t>RUS-27 EUR</t>
  </si>
  <si>
    <t>RUS-32 EUR [МБ ФР: Т+: Облигации (расч.в EUR)]</t>
  </si>
  <si>
    <t>12978088V</t>
  </si>
  <si>
    <t>RU000A102CL3</t>
  </si>
  <si>
    <t>RUS-32 EUR</t>
  </si>
  <si>
    <t>RUS-36 EUR [МБ ФР: Т+: Облигации (расч.в EUR)]</t>
  </si>
  <si>
    <t>12978104V</t>
  </si>
  <si>
    <t>RU000A1034K8</t>
  </si>
  <si>
    <t>RUS-36 EUR</t>
  </si>
  <si>
    <t>RZD-27 EUR [МБ ФР: Т+: Облигации (расч.в EUR)]</t>
  </si>
  <si>
    <t>XS1843437036</t>
  </si>
  <si>
    <t>RZD-27 EUR</t>
  </si>
  <si>
    <t>ГПБ Т2-02Е [МБ ФР: Т+: Облигации (расч.в EUR)]</t>
  </si>
  <si>
    <t>4-02-00354-B-002P</t>
  </si>
  <si>
    <t>RU000A101EQ0</t>
  </si>
  <si>
    <t>ГПБ Т2-02Е</t>
  </si>
  <si>
    <t>РСХБ С01Е1 [МБ ФР: Т+: Облигации (расч.в EUR)]</t>
  </si>
  <si>
    <t>40103349B002P</t>
  </si>
  <si>
    <t>RU000A101616</t>
  </si>
  <si>
    <t>РСХБ С01Е1</t>
  </si>
  <si>
    <t>BLR-27 [МБ ФР: Т+: Облигации (расч.в USD)]</t>
  </si>
  <si>
    <t>XS1634369224</t>
  </si>
  <si>
    <t>BLR-27</t>
  </si>
  <si>
    <t>TQOD</t>
  </si>
  <si>
    <t>МБ ФР: Т+: Облигации (расч.в USD)</t>
  </si>
  <si>
    <t>BLR-30 [МБ ФР: Т+: Облигации (расч.в USD)]</t>
  </si>
  <si>
    <t>XS1760804184</t>
  </si>
  <si>
    <t>BLR-30</t>
  </si>
  <si>
    <t>BLR-31 [МБ ФР: Т+: Облигации (расч.в USD)]</t>
  </si>
  <si>
    <t>XS2120882183</t>
  </si>
  <si>
    <t>BLR-31</t>
  </si>
  <si>
    <t>RUS-26 [МБ ФР: Т+: Облигации (расч.в USD)]</t>
  </si>
  <si>
    <t>12840077V</t>
  </si>
  <si>
    <t>RU000A0JWHA4</t>
  </si>
  <si>
    <t>RUS-26</t>
  </si>
  <si>
    <t>RUS-27 [МБ ФР: Т+: Облигации (расч.в USD)]</t>
  </si>
  <si>
    <t>12840078V</t>
  </si>
  <si>
    <t>RU000A0JXTS9</t>
  </si>
  <si>
    <t>RUS-27</t>
  </si>
  <si>
    <t>RUS-28 [МБ ФР: Т+: Облигации (расч.в USD)]</t>
  </si>
  <si>
    <t>MK-0-CM-119</t>
  </si>
  <si>
    <t>XS0088543193</t>
  </si>
  <si>
    <t>RUS-28</t>
  </si>
  <si>
    <t>RUS-29 [МБ ФР: Т+: Облигации (расч.в USD)]</t>
  </si>
  <si>
    <t>12840080V</t>
  </si>
  <si>
    <t>RU000A0ZYYN4</t>
  </si>
  <si>
    <t>RUS-29</t>
  </si>
  <si>
    <t>RUS-30 [МБ ФР: Т+: Облигации (расч.в USD)]</t>
  </si>
  <si>
    <t>SK-0-CM-128</t>
  </si>
  <si>
    <t>XS0114288789</t>
  </si>
  <si>
    <t>RUS-30</t>
  </si>
  <si>
    <t>RUS-35 [МБ ФР: Т+: Облигации (расч.в USD)]</t>
  </si>
  <si>
    <t>12840086V</t>
  </si>
  <si>
    <t>RU000A1006S9</t>
  </si>
  <si>
    <t>RUS-35</t>
  </si>
  <si>
    <t>RUS-42 [МБ ФР: Т+: Облигации (расч.в USD)]</t>
  </si>
  <si>
    <t>12840061V</t>
  </si>
  <si>
    <t>XS0767473852</t>
  </si>
  <si>
    <t>RUS-42</t>
  </si>
  <si>
    <t>RUS-43 [МБ ФР: Т+: Облигации (расч.в USD)]</t>
  </si>
  <si>
    <t>12840069V</t>
  </si>
  <si>
    <t>XS0971721963</t>
  </si>
  <si>
    <t>RUS-43</t>
  </si>
  <si>
    <t>RUS-47 [МБ ФР: Т+: Облигации (расч.в USD)]</t>
  </si>
  <si>
    <t>12840079V</t>
  </si>
  <si>
    <t>RU000A0JXU14</t>
  </si>
  <si>
    <t>RUS-47</t>
  </si>
  <si>
    <t>Rolls-Royc [МБ ФР: Т+: Облигации (расч.в USD)]</t>
  </si>
  <si>
    <t>USG76237AC37</t>
  </si>
  <si>
    <t>Rolls-Royc</t>
  </si>
  <si>
    <t>SUEK-26 [МБ ФР: Т+: Облигации (расч.в USD)]</t>
  </si>
  <si>
    <t>XS2384174228</t>
  </si>
  <si>
    <t>SUEK-26</t>
  </si>
  <si>
    <t>VEB FIN-25 [МБ ФР: Т+: Облигации (расч.в USD)]</t>
  </si>
  <si>
    <t>XS0559915961</t>
  </si>
  <si>
    <t>VEB FIN-25</t>
  </si>
  <si>
    <t>ВЭБ1P-23В [МБ ФР: Т+: Облигации (расч.в USD)]</t>
  </si>
  <si>
    <t>4B02-316-00004-T-001P</t>
  </si>
  <si>
    <t>RU000A102K96</t>
  </si>
  <si>
    <t>ВЭБ1P-23В</t>
  </si>
  <si>
    <t>ВЭБ1P-30В [МБ ФР: Т+: Облигации (расч.в USD)]</t>
  </si>
  <si>
    <t>4B02-367-00004-T-001P</t>
  </si>
  <si>
    <t>RU000A103FY7</t>
  </si>
  <si>
    <t>ВЭБ1P-30В</t>
  </si>
  <si>
    <t>ВЭБUSD1P-1 [МБ ФР: Т+: Облигации (расч.в USD)]</t>
  </si>
  <si>
    <t>4B02-01-43801-H-001P</t>
  </si>
  <si>
    <t>RU000A0JVNL1</t>
  </si>
  <si>
    <t>ВЭБUSD1P-1</t>
  </si>
  <si>
    <t>ГПБ Т2-03Д [МБ ФР: Т+: Облигации (расч.в USD)]</t>
  </si>
  <si>
    <t>4-03-00354-B-002P</t>
  </si>
  <si>
    <t>RU000A101ER8</t>
  </si>
  <si>
    <t>ГПБ Т2-03Д</t>
  </si>
  <si>
    <t>ГПБ Т2-04Д [МБ ФР: Т+: Облигации (расч.в USD)]</t>
  </si>
  <si>
    <t>4-04-00354-B-002P</t>
  </si>
  <si>
    <t>RU000A103K38</t>
  </si>
  <si>
    <t>ГПБ Т2-04Д</t>
  </si>
  <si>
    <t>ГТЛК 1P-11 [МБ ФР: Т+: Облигации (расч.в USD)]</t>
  </si>
  <si>
    <t>4B02-11-32432-H-001P</t>
  </si>
  <si>
    <t>RU000A0ZZAL5</t>
  </si>
  <si>
    <t>ГТЛК 1P-11</t>
  </si>
  <si>
    <t>ГазКЗ-27Д [МБ ФР: Т+: Облигации (расч.в USD)]</t>
  </si>
  <si>
    <t>4-07-36400-R</t>
  </si>
  <si>
    <t>RU000A1056U0</t>
  </si>
  <si>
    <t>ГазКЗ-27Д</t>
  </si>
  <si>
    <t>ГазКЗ-28Е [МБ ФР: Т+: Облигации (расч.в USD)]</t>
  </si>
  <si>
    <t>4-03-36400-R-003P</t>
  </si>
  <si>
    <t>RU000A105BY1</t>
  </si>
  <si>
    <t>ГазКЗ-28Е</t>
  </si>
  <si>
    <t>ГазКЗ-34Д [МБ ФР: Т+: Облигации (расч.в USD)]</t>
  </si>
  <si>
    <t>4-01-36400-R-003P</t>
  </si>
  <si>
    <t>RU000A105A95</t>
  </si>
  <si>
    <t>ГазКЗ-34Д</t>
  </si>
  <si>
    <t>ЕАБР П3-03 [МБ ФР: Т+: Облигации (расч.в USD)]</t>
  </si>
  <si>
    <t>RU000A1057B8</t>
  </si>
  <si>
    <t>ЕАБР П3-03</t>
  </si>
  <si>
    <t>МетИнвБ С1 [МБ ФР: Т+: Облигации (расч.в USD)]</t>
  </si>
  <si>
    <t>4-02-02440-B</t>
  </si>
  <si>
    <t>RU000A103JK8</t>
  </si>
  <si>
    <t>МетИнвБ С1</t>
  </si>
  <si>
    <t>ПИК К 1P5 [МБ ФР: Т+: Облигации (расч.в USD)]</t>
  </si>
  <si>
    <t>4B02-05-00464-R-001P</t>
  </si>
  <si>
    <t>RU000A105146</t>
  </si>
  <si>
    <t>ПИК К 1P5</t>
  </si>
  <si>
    <t>РСХБ 11В1 [МБ ФР: Т+: Облигации (расч.в USD)]</t>
  </si>
  <si>
    <t>44903349B</t>
  </si>
  <si>
    <t>RU000A0ZZY59</t>
  </si>
  <si>
    <t>РСХБ 11В1</t>
  </si>
  <si>
    <t>РСЭКСМБ1Р1 [МБ ФР: Т+: Облигации (расч.в USD)]</t>
  </si>
  <si>
    <t>4B020102790B001P</t>
  </si>
  <si>
    <t>RU000A0JX2M2</t>
  </si>
  <si>
    <t>РСЭКСМБ1Р1</t>
  </si>
  <si>
    <t>СибурХБО07 [МБ ФР: Т+: Облигации (расч.в USD)]</t>
  </si>
  <si>
    <t>4B02-07-65134-D</t>
  </si>
  <si>
    <t>RU000A103T62</t>
  </si>
  <si>
    <t>СибурХБО07</t>
  </si>
  <si>
    <t>СибурХБО08 [МБ ФР: Т+: Облигации (расч.в USD)]</t>
  </si>
  <si>
    <t>4B02-08-65134-D</t>
  </si>
  <si>
    <t>RU000A103T70</t>
  </si>
  <si>
    <t>СибурХБО08</t>
  </si>
  <si>
    <t>СибурХБО09 [МБ ФР: Т+: Облигации (расч.в USD)]</t>
  </si>
  <si>
    <t>4B02-09-65134-D</t>
  </si>
  <si>
    <t>RU000A103T96</t>
  </si>
  <si>
    <t>СибурХБО09</t>
  </si>
  <si>
    <t>СибурХБО10 [МБ ФР: Т+: Облигации (расч.в USD)]</t>
  </si>
  <si>
    <t>4B02-10-65134-D</t>
  </si>
  <si>
    <t>RU000A103TA8</t>
  </si>
  <si>
    <t>СибурХБО10</t>
  </si>
  <si>
    <t>СибурХБО11 [МБ ФР: Т+: Облигации (расч.в USD)]</t>
  </si>
  <si>
    <t>4B02-11-65134-D</t>
  </si>
  <si>
    <t>RU000A103TC4</t>
  </si>
  <si>
    <t>СибурХБО11</t>
  </si>
  <si>
    <t>СибурХБО12 [МБ ФР: Т+: Облигации (расч.в USD)]</t>
  </si>
  <si>
    <t>4B02-12-65134-D</t>
  </si>
  <si>
    <t>RU000A103TB6</t>
  </si>
  <si>
    <t>СибурХБО12</t>
  </si>
  <si>
    <t>СибурХБО13 [МБ ФР: Т+: Облигации (расч.в USD)]</t>
  </si>
  <si>
    <t>4B02-13-65134-D</t>
  </si>
  <si>
    <t>RU000A103T88</t>
  </si>
  <si>
    <t>СибурХБО13</t>
  </si>
  <si>
    <t>СибурХБО14 [МБ ФР: Т+: Облигации (расч.в USD)]</t>
  </si>
  <si>
    <t>4B02-14-65134-D</t>
  </si>
  <si>
    <t>RU000A103T54</t>
  </si>
  <si>
    <t>СибурХБО14</t>
  </si>
  <si>
    <t>Совком 1В2 [МБ ФР: Т+: Облигации (расч.в USD)]</t>
  </si>
  <si>
    <t>41000963B</t>
  </si>
  <si>
    <t>RU000A0ZYX28</t>
  </si>
  <si>
    <t>Совком 1В2</t>
  </si>
  <si>
    <t>Совком 2В3 [МБ ФР: Т+: Облигации (расч.в USD)]</t>
  </si>
  <si>
    <t>41400963B</t>
  </si>
  <si>
    <t>RU000A0ZYWZ2</t>
  </si>
  <si>
    <t>Совком 2В3</t>
  </si>
  <si>
    <t>ЦифрБро1П2 [МБ ФР: Т+: Облигации (расч.в USD)]</t>
  </si>
  <si>
    <t>4B02-02-00430-R-001P</t>
  </si>
  <si>
    <t>RU000A1040E8</t>
  </si>
  <si>
    <t>ЦифрБро1П2</t>
  </si>
  <si>
    <t>Экспо02ВК [МБ ФР: Т+: Облигации (расч.в USD)]</t>
  </si>
  <si>
    <t>4-05-02998-B</t>
  </si>
  <si>
    <t>RU000A1037P0</t>
  </si>
  <si>
    <t>Экспо02ВК</t>
  </si>
  <si>
    <t>2х Акции [МБ ФР: Т+: Паи]</t>
  </si>
  <si>
    <t>6545-СД</t>
  </si>
  <si>
    <t>RU000A109R27</t>
  </si>
  <si>
    <t>2х Акции</t>
  </si>
  <si>
    <t>интр.ПИФ</t>
  </si>
  <si>
    <t>TQIF</t>
  </si>
  <si>
    <t>МБ ФР: Т+: Паи</t>
  </si>
  <si>
    <t>Пай интервального ПИФа</t>
  </si>
  <si>
    <t>2хОФЗ [МБ ФР: Т+: Паи]</t>
  </si>
  <si>
    <t>6323-СД</t>
  </si>
  <si>
    <t>RU000A108ZB2</t>
  </si>
  <si>
    <t>2хОФЗ</t>
  </si>
  <si>
    <t>iпре-АйПиО [МБ ФР: Т+: Паи]</t>
  </si>
  <si>
    <t>3638</t>
  </si>
  <si>
    <t>RU000A1000Y0</t>
  </si>
  <si>
    <t>iпре-АйПиО</t>
  </si>
  <si>
    <t>ААА Золото [МБ ФР: Т+: Паи]</t>
  </si>
  <si>
    <t>5096</t>
  </si>
  <si>
    <t>RU000A109QR5</t>
  </si>
  <si>
    <t>ААА Золото</t>
  </si>
  <si>
    <t>откр.ПИФ</t>
  </si>
  <si>
    <t>АкБрс-Инв [МБ ФР: Т+: Паи]</t>
  </si>
  <si>
    <t>1076-58229138</t>
  </si>
  <si>
    <t>RU000A0JPZL7</t>
  </si>
  <si>
    <t>АкБрс-Инв</t>
  </si>
  <si>
    <t>АкБрс-Прсп [МБ ФР: Т+: Паи]</t>
  </si>
  <si>
    <t>0792-75407676</t>
  </si>
  <si>
    <t>RU000A0JPZP8</t>
  </si>
  <si>
    <t>АкБрс-Прсп</t>
  </si>
  <si>
    <t>Аннапурна [МБ ФР: Т+: Паи]</t>
  </si>
  <si>
    <t>4826-СД</t>
  </si>
  <si>
    <t>RU000A105R70</t>
  </si>
  <si>
    <t>Аннапурна</t>
  </si>
  <si>
    <t>АрсКР1.55 [МБ ФР: Т+: Паи]</t>
  </si>
  <si>
    <t>2721</t>
  </si>
  <si>
    <t>RU000A0JXWF0</t>
  </si>
  <si>
    <t>АрсКР1.55</t>
  </si>
  <si>
    <t>АрсагераФА [МБ ФР: Т+: Паи]</t>
  </si>
  <si>
    <t>0363-75409054</t>
  </si>
  <si>
    <t>RU000A0HGNG6</t>
  </si>
  <si>
    <t>АрсагераФА</t>
  </si>
  <si>
    <t>БКС Миррес [МБ ФР: Т+: Паи]</t>
  </si>
  <si>
    <t>4284</t>
  </si>
  <si>
    <t>RU000A102Q33</t>
  </si>
  <si>
    <t>БКС Миррес</t>
  </si>
  <si>
    <t>БКС РосАкц [МБ ФР: Т+: Паи]</t>
  </si>
  <si>
    <t>0278-58233720</t>
  </si>
  <si>
    <t>RU000A0JP773</t>
  </si>
  <si>
    <t>БКС РосАкц</t>
  </si>
  <si>
    <t>БКС РосЕвр [МБ ФР: Т+: Паи]</t>
  </si>
  <si>
    <t>3665</t>
  </si>
  <si>
    <t>RU000A100EQ2</t>
  </si>
  <si>
    <t>БКС РосЕвр</t>
  </si>
  <si>
    <t>БКС РосОбл [МБ ФР: Т+: Паи]</t>
  </si>
  <si>
    <t>0140-58233625</t>
  </si>
  <si>
    <t>RU000A0JP799</t>
  </si>
  <si>
    <t>БКС РосОбл</t>
  </si>
  <si>
    <t>БКСДивАкци [МБ ФР: Т+: Паи]</t>
  </si>
  <si>
    <t>6266</t>
  </si>
  <si>
    <t>RU000A108TT7</t>
  </si>
  <si>
    <t>БКСДивАкци</t>
  </si>
  <si>
    <t>БКСДрагМет [МБ ФР: Т+: Паи]</t>
  </si>
  <si>
    <t>2515</t>
  </si>
  <si>
    <t>RU000A0JVJ29</t>
  </si>
  <si>
    <t>БКСДрагМет</t>
  </si>
  <si>
    <t>БКСИмперия [МБ ФР: Т+: Паи]</t>
  </si>
  <si>
    <t>2135-94173117</t>
  </si>
  <si>
    <t>RU000A0JVHY6</t>
  </si>
  <si>
    <t>БКСИмперия</t>
  </si>
  <si>
    <t>БКСКапитал [МБ ФР: Т+: Паи]</t>
  </si>
  <si>
    <t>5270</t>
  </si>
  <si>
    <t>RU000A105TU1</t>
  </si>
  <si>
    <t>БКСКапитал</t>
  </si>
  <si>
    <t>БКСФундВыб [МБ ФР: Т+: Паи]</t>
  </si>
  <si>
    <t>3666</t>
  </si>
  <si>
    <t>RU000A1007R9</t>
  </si>
  <si>
    <t>БКСФундВыб</t>
  </si>
  <si>
    <t>ГПБУАЕОбИП [МБ ФР: Т+: Паи]</t>
  </si>
  <si>
    <t>3447</t>
  </si>
  <si>
    <t>RU000A0ZZVH9</t>
  </si>
  <si>
    <t>ГПБУАЕОбИП</t>
  </si>
  <si>
    <t>Гиперион [МБ ФР: Т+: Паи]</t>
  </si>
  <si>
    <t>3977</t>
  </si>
  <si>
    <t>RU000A104FB3</t>
  </si>
  <si>
    <t>Гиперион</t>
  </si>
  <si>
    <t>ЗПИФ АКЦ 1 [МБ ФР: Т+: Паи]</t>
  </si>
  <si>
    <t>3508</t>
  </si>
  <si>
    <t>RU000A0ZZAU6</t>
  </si>
  <si>
    <t>ЗПИФ АКЦ 1</t>
  </si>
  <si>
    <t>ЗПИФ Рубин [МБ ФР: Т+: Паи]</t>
  </si>
  <si>
    <t>4843-СД</t>
  </si>
  <si>
    <t>RU000A1075T2</t>
  </si>
  <si>
    <t>ЗПИФ Рубин</t>
  </si>
  <si>
    <t>ЗПИФ ФПР [МБ ФР: Т+: Паи]</t>
  </si>
  <si>
    <t>3964</t>
  </si>
  <si>
    <t>RU000A101NK4</t>
  </si>
  <si>
    <t>ЗПИФ ФПР</t>
  </si>
  <si>
    <t>ЗПИФДОМ.РФ [МБ ФР: Т+: Паи]</t>
  </si>
  <si>
    <t>3164</t>
  </si>
  <si>
    <t>RU000A0JXP78</t>
  </si>
  <si>
    <t>ЗПИФДОМ.РФ</t>
  </si>
  <si>
    <t>ЗПИФКомНед [МБ ФР: Т+: Паи]</t>
  </si>
  <si>
    <t>4857-СД</t>
  </si>
  <si>
    <t>RU000A104YX8</t>
  </si>
  <si>
    <t>ЗПИФКомНед</t>
  </si>
  <si>
    <t>ЗПИФЛофтин [МБ ФР: Т+: Паи]</t>
  </si>
  <si>
    <t>0521-75409008</t>
  </si>
  <si>
    <t>RU000A0JUYB1</t>
  </si>
  <si>
    <t>ЗПИФЛофтин</t>
  </si>
  <si>
    <t>ЗПИФПервСп [МБ ФР: Т+: Паи]</t>
  </si>
  <si>
    <t>5036-СД</t>
  </si>
  <si>
    <t>RU000A105GY0</t>
  </si>
  <si>
    <t>ЗПИФПервСп</t>
  </si>
  <si>
    <t>ЗПИФПромИн [МБ ФР: Т+: Паи]</t>
  </si>
  <si>
    <t>2968</t>
  </si>
  <si>
    <t>RU000A0JVGP6</t>
  </si>
  <si>
    <t>ЗПИФПромИн</t>
  </si>
  <si>
    <t>ЗПИФРД [МБ ФР: Т+: Паи]</t>
  </si>
  <si>
    <t>3891</t>
  </si>
  <si>
    <t>RU000A102N77</t>
  </si>
  <si>
    <t>ЗПИФРД</t>
  </si>
  <si>
    <t>ЗПИФРД2 [МБ ФР: Т+: Паи]</t>
  </si>
  <si>
    <t>4508</t>
  </si>
  <si>
    <t>RU000A103HD7</t>
  </si>
  <si>
    <t>ЗПИФРД2</t>
  </si>
  <si>
    <t>ЗПИФСовр 6 [МБ ФР: Т+: Паи]</t>
  </si>
  <si>
    <t>4171</t>
  </si>
  <si>
    <t>RU000A102AH5</t>
  </si>
  <si>
    <t>ЗПИФСовр 6</t>
  </si>
  <si>
    <t>ЗПИФСовр 9 [МБ ФР: Т+: Паи]</t>
  </si>
  <si>
    <t>6412</t>
  </si>
  <si>
    <t>RU000A1099U0</t>
  </si>
  <si>
    <t>ЗПИФСовр 9</t>
  </si>
  <si>
    <t>ИПИФМирИнв [МБ ФР: Т+: Паи]</t>
  </si>
  <si>
    <t>3483</t>
  </si>
  <si>
    <t>RU000A0ZZCD8</t>
  </si>
  <si>
    <t>ИПИФМирИнв</t>
  </si>
  <si>
    <t>НакопРез [МБ ФР: Т+: Паи]</t>
  </si>
  <si>
    <t>0202-72729965</t>
  </si>
  <si>
    <t>RU000A0JT4S1</t>
  </si>
  <si>
    <t>НакопРез</t>
  </si>
  <si>
    <t>ОПИФ MM [МБ ФР: Т+: Паи]</t>
  </si>
  <si>
    <t>4073</t>
  </si>
  <si>
    <t>RU000A101UY0</t>
  </si>
  <si>
    <t>ОПИФ MM</t>
  </si>
  <si>
    <t>ПАРУС-ДВН [МБ ФР: Т+: Паи]</t>
  </si>
  <si>
    <t>4434-СД</t>
  </si>
  <si>
    <t>RU000A1068X9</t>
  </si>
  <si>
    <t>ПАРУС-ДВН</t>
  </si>
  <si>
    <t>ПАРУС-ЛОГ [МБ ФР: Т+: Паи]</t>
  </si>
  <si>
    <t>4604-СД</t>
  </si>
  <si>
    <t>RU000A105328</t>
  </si>
  <si>
    <t>ПАРУС-ЛОГ</t>
  </si>
  <si>
    <t>ПАРУС-МАКС [МБ ФР: Т+: Паи]</t>
  </si>
  <si>
    <t>6219-СД</t>
  </si>
  <si>
    <t>RU000A108VR7</t>
  </si>
  <si>
    <t>ПАРУС-МАКС</t>
  </si>
  <si>
    <t>ПАРУС-НОРД [МБ ФР: Т+: Паи]</t>
  </si>
  <si>
    <t>4570-СД</t>
  </si>
  <si>
    <t>RU000A104KU3</t>
  </si>
  <si>
    <t>ПАРУС-НОРД</t>
  </si>
  <si>
    <t>ПАРУС-ОЗН [МБ ФР: Т+: Паи]</t>
  </si>
  <si>
    <t>4095-СД</t>
  </si>
  <si>
    <t>RU000A1022Z1</t>
  </si>
  <si>
    <t>ПАРУС-ОЗН</t>
  </si>
  <si>
    <t>ПАРУС-СБЛ [МБ ФР: Т+: Паи]</t>
  </si>
  <si>
    <t>4559-СД</t>
  </si>
  <si>
    <t>RU000A104172</t>
  </si>
  <si>
    <t>ПАРУС-СБЛ</t>
  </si>
  <si>
    <t>ПИФ АТРИУМ [МБ ФР: Т+: Паи]</t>
  </si>
  <si>
    <t>1899-94168527</t>
  </si>
  <si>
    <t>RU000A0JRHC0</t>
  </si>
  <si>
    <t>ПИФ АТРИУМ</t>
  </si>
  <si>
    <t>ПИФ Аленка [МБ ФР: Т+: Паи]</t>
  </si>
  <si>
    <t>3343</t>
  </si>
  <si>
    <t>RU000A104M43</t>
  </si>
  <si>
    <t>ПИФ Аленка</t>
  </si>
  <si>
    <t>ПИФ КОНСЕР [МБ ФР: Т+: Паи]</t>
  </si>
  <si>
    <t>2006-94172747</t>
  </si>
  <si>
    <t>RU000A0JUR61</t>
  </si>
  <si>
    <t>ПИФ КОНСЕР</t>
  </si>
  <si>
    <t>ПИФ СЖилН [МБ ФР: Т+: Паи]</t>
  </si>
  <si>
    <t>5948</t>
  </si>
  <si>
    <t>RU000A107J37</t>
  </si>
  <si>
    <t>ПИФ СЖилН</t>
  </si>
  <si>
    <t>ПИФ СкладК [МБ ФР: Т+: Паи]</t>
  </si>
  <si>
    <t>6002</t>
  </si>
  <si>
    <t>RU000A107RE5</t>
  </si>
  <si>
    <t>ПИФ СкладК</t>
  </si>
  <si>
    <t>ПИФАКТИВ20 [МБ ФР: Т+: Паи]</t>
  </si>
  <si>
    <t>6211</t>
  </si>
  <si>
    <t>RU000A1092L4</t>
  </si>
  <si>
    <t>ПИФАКТИВ20</t>
  </si>
  <si>
    <t>ПИФАкции [МБ ФР: Т+: Паи]</t>
  </si>
  <si>
    <t>0968-94131582</t>
  </si>
  <si>
    <t>RU000A0JR282</t>
  </si>
  <si>
    <t>ПИФАкции</t>
  </si>
  <si>
    <t>ПИФАльфАП2 [МБ ФР: Т+: Паи]</t>
  </si>
  <si>
    <t>4093</t>
  </si>
  <si>
    <t>RU000A101YY2</t>
  </si>
  <si>
    <t>ПИФАльфАП2</t>
  </si>
  <si>
    <t>ПИФАльфаАП [МБ ФР: Т+: Паи]</t>
  </si>
  <si>
    <t>3936</t>
  </si>
  <si>
    <t>RU000A101HY7</t>
  </si>
  <si>
    <t>ПИФАльфаАП</t>
  </si>
  <si>
    <t>ПИФАльфаФФ [МБ ФР: Т+: Паи]</t>
  </si>
  <si>
    <t>4265</t>
  </si>
  <si>
    <t>RU000A102PN1</t>
  </si>
  <si>
    <t>ПИФАльфаФФ</t>
  </si>
  <si>
    <t>ПИФАрс6.4 [МБ ФР: Т+: Паи]</t>
  </si>
  <si>
    <t>0439-75408664</t>
  </si>
  <si>
    <t>RU000A0JPMD2</t>
  </si>
  <si>
    <t>ПИФАрс6.4</t>
  </si>
  <si>
    <t>ПИФАрсСИ [МБ ФР: Т+: Паи]</t>
  </si>
  <si>
    <t>0364-75409132</t>
  </si>
  <si>
    <t>RU000A0HGNH4</t>
  </si>
  <si>
    <t>ПИФАрсСИ</t>
  </si>
  <si>
    <t>ПИФВариант [МБ ФР: Т+: Паи]</t>
  </si>
  <si>
    <t>2844</t>
  </si>
  <si>
    <t>RU000A0JUTH8</t>
  </si>
  <si>
    <t>ПИФВариант</t>
  </si>
  <si>
    <t>ПИФГРИНФЛО [МБ ФР: Т+: Паи]</t>
  </si>
  <si>
    <t>6234-СД</t>
  </si>
  <si>
    <t>RU000A109G79</t>
  </si>
  <si>
    <t>ПИФГРИНФЛО</t>
  </si>
  <si>
    <t>ПИФЗалЗайм [МБ ФР: Т+: Паи]</t>
  </si>
  <si>
    <t>6147-СД</t>
  </si>
  <si>
    <t>RU000A108RS3</t>
  </si>
  <si>
    <t>ПИФЗалЗайм</t>
  </si>
  <si>
    <t>ПИФИнМосБр [МБ ФР: Т+: Паи]</t>
  </si>
  <si>
    <t>0177-71671092</t>
  </si>
  <si>
    <t>RU000A0JR290</t>
  </si>
  <si>
    <t>ПИФИнМосБр</t>
  </si>
  <si>
    <t>ПИФКазна [МБ ФР: Т+: Паи]</t>
  </si>
  <si>
    <t>0089-59893097</t>
  </si>
  <si>
    <t>RU000A0JR2C1</t>
  </si>
  <si>
    <t>ПИФКазна</t>
  </si>
  <si>
    <t>ПИФКапИнвб [МБ ФР: Т+: Паи]</t>
  </si>
  <si>
    <t>0645-94120472</t>
  </si>
  <si>
    <t>RU000A0JP4U1</t>
  </si>
  <si>
    <t>ПИФКапИнвб</t>
  </si>
  <si>
    <t>ПИФКоммИнв [МБ ФР: Т+: Паи]</t>
  </si>
  <si>
    <t>2321</t>
  </si>
  <si>
    <t>RU000A0JS991</t>
  </si>
  <si>
    <t>ПИФКоммИнв</t>
  </si>
  <si>
    <t>ПИФНевский [МБ ФР: Т+: Паи]</t>
  </si>
  <si>
    <t>1890-94169573</t>
  </si>
  <si>
    <t>RU000A0JTVY1</t>
  </si>
  <si>
    <t>ПИФНевский</t>
  </si>
  <si>
    <t>ПИФПромПар [МБ ФР: Т+: Паи]</t>
  </si>
  <si>
    <t>6101-СД</t>
  </si>
  <si>
    <t>RU000A108751</t>
  </si>
  <si>
    <t>ПИФПромПар</t>
  </si>
  <si>
    <t>ПИФСбалан [МБ ФР: Т+: Паи]</t>
  </si>
  <si>
    <t>0962-94131346</t>
  </si>
  <si>
    <t>RU000A0JR2A5</t>
  </si>
  <si>
    <t>ПИФСбалан</t>
  </si>
  <si>
    <t>ПИФСбер-КН [МБ ФР: Т+: Паи]</t>
  </si>
  <si>
    <t>0252-74113866</t>
  </si>
  <si>
    <t>RU000A0ERGA7</t>
  </si>
  <si>
    <t>ПИФСбер-КН</t>
  </si>
  <si>
    <t>ПервыйИПИФ [МБ ФР: Т+: Паи]</t>
  </si>
  <si>
    <t>0017-46538911</t>
  </si>
  <si>
    <t>RU000A0JNK00</t>
  </si>
  <si>
    <t>ПервыйИПИФ</t>
  </si>
  <si>
    <t>Перловский [МБ ФР: Т+: Паи]</t>
  </si>
  <si>
    <t>2423</t>
  </si>
  <si>
    <t>RU000A0JWCE7</t>
  </si>
  <si>
    <t>Перловский</t>
  </si>
  <si>
    <t>РСХБ Акции [МБ ФР: Т+: Паи]</t>
  </si>
  <si>
    <t>2568</t>
  </si>
  <si>
    <t>RU000A0ZZMN6</t>
  </si>
  <si>
    <t>РСХБ Акции</t>
  </si>
  <si>
    <t>РСХБ Облиг [МБ ФР: Т+: Паи]</t>
  </si>
  <si>
    <t>2567</t>
  </si>
  <si>
    <t>RU000A0ZZMD7</t>
  </si>
  <si>
    <t>РСХБ Облиг</t>
  </si>
  <si>
    <t>РСХБ Сбал [МБ ФР: Т+: Паи]</t>
  </si>
  <si>
    <t>2566</t>
  </si>
  <si>
    <t>RU000A0ZZML0</t>
  </si>
  <si>
    <t>РСХБ Сбал</t>
  </si>
  <si>
    <t>РСХБДолРын [МБ ФР: Т+: Паи]</t>
  </si>
  <si>
    <t>4140</t>
  </si>
  <si>
    <t>RU000A105RJ8</t>
  </si>
  <si>
    <t>РСХБДолРын</t>
  </si>
  <si>
    <t>РенДохПРО [МБ ФР: Т+: Паи]</t>
  </si>
  <si>
    <t>4455-СД</t>
  </si>
  <si>
    <t>RU000A103B62</t>
  </si>
  <si>
    <t>РенДохПРО</t>
  </si>
  <si>
    <t>Рентал ПРО [МБ ФР: Т+: Паи]</t>
  </si>
  <si>
    <t>6069-СД</t>
  </si>
  <si>
    <t>RU000A108157</t>
  </si>
  <si>
    <t>Рентал ПРО</t>
  </si>
  <si>
    <t>СФНАрБизн [МБ ФР: Т+: Паи]</t>
  </si>
  <si>
    <t>3120</t>
  </si>
  <si>
    <t>RU000A0JWAW3</t>
  </si>
  <si>
    <t>СФНАрБизн</t>
  </si>
  <si>
    <t>СоврАрБиз2 [МБ ФР: Т+: Паи]</t>
  </si>
  <si>
    <t>3219</t>
  </si>
  <si>
    <t>RU000A0ZYC64</t>
  </si>
  <si>
    <t>СоврАрБиз2</t>
  </si>
  <si>
    <t>СоврАрБиз3 [МБ ФР: Т+: Паи]</t>
  </si>
  <si>
    <t>3445</t>
  </si>
  <si>
    <t>RU000A0ZZ5R2</t>
  </si>
  <si>
    <t>СоврАрБиз3</t>
  </si>
  <si>
    <t>ТКБИП Сбал [МБ ФР: Т+: Паи]</t>
  </si>
  <si>
    <t>0078-58234010</t>
  </si>
  <si>
    <t>RU000A0JRUQ3</t>
  </si>
  <si>
    <t>ТКБИП Сбал</t>
  </si>
  <si>
    <t>ТКЗамещОбл [МБ ФР: Т+: Паи]</t>
  </si>
  <si>
    <t>5435-СД</t>
  </si>
  <si>
    <t>RU000A106G80</t>
  </si>
  <si>
    <t>ТКЗамещОбл</t>
  </si>
  <si>
    <t>УниверИПИФ [МБ ФР: Т+: Паи]</t>
  </si>
  <si>
    <t>0055-56612034</t>
  </si>
  <si>
    <t>RU000A0JNK34</t>
  </si>
  <si>
    <t>УниверИПИФ</t>
  </si>
  <si>
    <t>ФондКонс [МБ ФР: Т+: Паи]</t>
  </si>
  <si>
    <t>0056-56658088</t>
  </si>
  <si>
    <t>RU0006922010</t>
  </si>
  <si>
    <t>ФондКонс</t>
  </si>
  <si>
    <t>ФондПервый [МБ ФР: Т+: Паи]</t>
  </si>
  <si>
    <t>0029-18610555</t>
  </si>
  <si>
    <t>RU0005418747</t>
  </si>
  <si>
    <t>ФондПервый</t>
  </si>
  <si>
    <t>ФондПроф [МБ ФР: Т+: Паи]</t>
  </si>
  <si>
    <t>0053-56612554</t>
  </si>
  <si>
    <t>RU0006922044</t>
  </si>
  <si>
    <t>ФондПроф</t>
  </si>
  <si>
    <t>ФондСубРуб [МБ ФР: Т+: Паи]</t>
  </si>
  <si>
    <t>4283-СД</t>
  </si>
  <si>
    <t>RU000A102PQ4</t>
  </si>
  <si>
    <t>ФондСубРуб</t>
  </si>
  <si>
    <t>ФондсубEUR [МБ ФР: Т+: Паи]</t>
  </si>
  <si>
    <t>4281-СД</t>
  </si>
  <si>
    <t>RU000A102PF7</t>
  </si>
  <si>
    <t>ФондсубEUR</t>
  </si>
  <si>
    <t>ФондсубUSD [МБ ФР: Т+: Паи]</t>
  </si>
  <si>
    <t>4280-СД</t>
  </si>
  <si>
    <t>RU000A102PE0</t>
  </si>
  <si>
    <t>ФондсубUSD</t>
  </si>
  <si>
    <t>ХеджФондА+ [МБ ФР: Т+: Паи]</t>
  </si>
  <si>
    <t>6157-СД</t>
  </si>
  <si>
    <t>RU000A108KP4</t>
  </si>
  <si>
    <t>ХеджФондА+</t>
  </si>
  <si>
    <t>ХеджФондД1 [МБ ФР: Т+: Паи]</t>
  </si>
  <si>
    <t>5493-СД</t>
  </si>
  <si>
    <t>RU000A1079J5</t>
  </si>
  <si>
    <t>ХеджФондД1</t>
  </si>
  <si>
    <t>ХеджФондД5 [МБ ФР: Т+: Паи]</t>
  </si>
  <si>
    <t>5314-СД</t>
  </si>
  <si>
    <t>RU000A106MG3</t>
  </si>
  <si>
    <t>ХеджФондД5</t>
  </si>
  <si>
    <t>ХеджФондР5 [МБ ФР: Т+: Паи]</t>
  </si>
  <si>
    <t>4853-СД</t>
  </si>
  <si>
    <t>RU000A105153</t>
  </si>
  <si>
    <t>ХеджФондР5</t>
  </si>
  <si>
    <t>ХеджФондЮ5 [МБ ФР: Т+: Паи]</t>
  </si>
  <si>
    <t>5313-СД</t>
  </si>
  <si>
    <t>RU000A107860</t>
  </si>
  <si>
    <t>ХеджФондЮ5</t>
  </si>
  <si>
    <t>Kviku1P1 [МБ ФР: Т+: Повышенный инвестиционный риск (Облигации)]</t>
  </si>
  <si>
    <t>4-01-00623-R-001P</t>
  </si>
  <si>
    <t>RU000A1043L7</t>
  </si>
  <si>
    <t>Kviku1P1</t>
  </si>
  <si>
    <t>TQIR</t>
  </si>
  <si>
    <t>МБ ФР: Т+: Повышенный инвестиционный риск (Облигации)</t>
  </si>
  <si>
    <t>АРАГОН об [МБ ФР: Т+: Повышенный инвестиционный риск (Облигации)]</t>
  </si>
  <si>
    <t>4-01-00350-R</t>
  </si>
  <si>
    <t>RU000A0JXQQ9</t>
  </si>
  <si>
    <t>АРАГОН об</t>
  </si>
  <si>
    <t>Азимут 01 [МБ ФР: Т+: Повышенный инвестиционный риск (Облигации)]</t>
  </si>
  <si>
    <t>4-01-00594-R</t>
  </si>
  <si>
    <t>RU000A102ZC3</t>
  </si>
  <si>
    <t>Азимут 01</t>
  </si>
  <si>
    <t>БДеньг-2P2 [МБ ФР: Т+: Повышенный инвестиционный риск (Облигации)]</t>
  </si>
  <si>
    <t>4B02-02-00487-R-002P</t>
  </si>
  <si>
    <t>RU000A106B51</t>
  </si>
  <si>
    <t>БДеньг-2P2</t>
  </si>
  <si>
    <t>БДеньг-2P3 [МБ ФР: Т+: Повышенный инвестиционный риск (Облигации)]</t>
  </si>
  <si>
    <t>4B02-03-00487-R-002P</t>
  </si>
  <si>
    <t>RU000A1070G0</t>
  </si>
  <si>
    <t>БДеньг-2P3</t>
  </si>
  <si>
    <t>БДеньг-2P4 [МБ ФР: Т+: Повышенный инвестиционный риск (Облигации)]</t>
  </si>
  <si>
    <t>4B02-04-00487-R-002P</t>
  </si>
  <si>
    <t>RU000A107GU4</t>
  </si>
  <si>
    <t>БДеньг-2P4</t>
  </si>
  <si>
    <t>БДеньг-2P5 [МБ ФР: Т+: Повышенный инвестиционный риск (Облигации)]</t>
  </si>
  <si>
    <t>4B02-05-00487-R-002P</t>
  </si>
  <si>
    <t>RU000A107PW1</t>
  </si>
  <si>
    <t>БДеньг-2P5</t>
  </si>
  <si>
    <t>БДеньг-2P6 [МБ ФР: Т+: Повышенный инвестиционный риск (Облигации)]</t>
  </si>
  <si>
    <t>4B02-06-00487-R-002P</t>
  </si>
  <si>
    <t>RU000A108F63</t>
  </si>
  <si>
    <t>БДеньг-2P6</t>
  </si>
  <si>
    <t>БДеньг-2P7 [МБ ФР: Т+: Повышенный инвестиционный риск (Облигации)]</t>
  </si>
  <si>
    <t>4B02-07-00487-R-002P</t>
  </si>
  <si>
    <t>RU000A1099P0</t>
  </si>
  <si>
    <t>БДеньг-2P7</t>
  </si>
  <si>
    <t>БДеньг-Ю01 [МБ ФР: Т+: Повышенный инвестиционный риск (Облигации)]</t>
  </si>
  <si>
    <t>4B02-01-00487-R-002P</t>
  </si>
  <si>
    <t>RU000A105N25</t>
  </si>
  <si>
    <t>БДеньг-Ю01</t>
  </si>
  <si>
    <t>БДеньги-03 [МБ ФР: Т+: Повышенный инвестиционный риск (Облигации)]</t>
  </si>
  <si>
    <t>4-01-00487-R-001P</t>
  </si>
  <si>
    <t>RU000A104SJ9</t>
  </si>
  <si>
    <t>БДеньги-03</t>
  </si>
  <si>
    <t>БЭЛТИ БОП3 [МБ ФР: Т+: Повышенный инвестиционный риск (Облигации)]</t>
  </si>
  <si>
    <t>4B02-03-00417-R-001P</t>
  </si>
  <si>
    <t>RU000A102GC3</t>
  </si>
  <si>
    <t>БЭЛТИ БОП3</t>
  </si>
  <si>
    <t>БЭЛТИ БОП4 [МБ ФР: Т+: Повышенный инвестиционный риск (Облигации)]</t>
  </si>
  <si>
    <t>4B02-04-00417-R-001P</t>
  </si>
  <si>
    <t>RU000A103DY2</t>
  </si>
  <si>
    <t>БЭЛТИ БОП4</t>
  </si>
  <si>
    <t>БЭЛТИ БОП5 [МБ ФР: Т+: Повышенный инвестиционный риск (Облигации)]</t>
  </si>
  <si>
    <t>4B02-05-00417-R-001P</t>
  </si>
  <si>
    <t>RU000A105427</t>
  </si>
  <si>
    <t>БЭЛТИ БОП5</t>
  </si>
  <si>
    <t>БЭЛТИ БОП6 [МБ ФР: Т+: Повышенный инвестиционный риск (Облигации)]</t>
  </si>
  <si>
    <t>4B02-06-00417-R-001P</t>
  </si>
  <si>
    <t>RU000A1076A0</t>
  </si>
  <si>
    <t>БЭЛТИ БОП6</t>
  </si>
  <si>
    <t>ВЭББНКР 01 [МБ ФР: Т+: Повышенный инвестиционный риск (Облигации)]</t>
  </si>
  <si>
    <t>4-01-00606-R</t>
  </si>
  <si>
    <t>RU000A103F43</t>
  </si>
  <si>
    <t>ВЭББНКР 01</t>
  </si>
  <si>
    <t>ВЭББНКР 02 [МБ ФР: Т+: Повышенный инвестиционный риск (Облигации)]</t>
  </si>
  <si>
    <t>4B02-01-00606-R-001P</t>
  </si>
  <si>
    <t>RU000A104VW6</t>
  </si>
  <si>
    <t>ВЭББНКР 02</t>
  </si>
  <si>
    <t>ВЭББНКР 03 [МБ ФР: Т+: Повышенный инвестиционный риск (Облигации)]</t>
  </si>
  <si>
    <t>4B02-02-00606-R-001P</t>
  </si>
  <si>
    <t>RU000A105575</t>
  </si>
  <si>
    <t>ВЭББНКР 03</t>
  </si>
  <si>
    <t>ВЭББНКР 04 [МБ ФР: Т+: Повышенный инвестиционный риск (Облигации)]</t>
  </si>
  <si>
    <t>4B02-03-00606-R-001P</t>
  </si>
  <si>
    <t>RU000A106Y88</t>
  </si>
  <si>
    <t>ВЭББНКР 04</t>
  </si>
  <si>
    <t>ВЭББНКР 05 [МБ ФР: Т+: Повышенный инвестиционный риск (Облигации)]</t>
  </si>
  <si>
    <t>4B02-04-00606-R-001P</t>
  </si>
  <si>
    <t>RU000A107U65</t>
  </si>
  <si>
    <t>ВЭББНКР 05</t>
  </si>
  <si>
    <t>ВЭББНКР 06 [МБ ФР: Т+: Повышенный инвестиционный риск (Облигации)]</t>
  </si>
  <si>
    <t>4B02-05-00606-R-001P</t>
  </si>
  <si>
    <t>RU000A1082K7</t>
  </si>
  <si>
    <t>ВЭББНКР 06</t>
  </si>
  <si>
    <t>ВЭББНКР 07 [МБ ФР: Т+: Повышенный инвестиционный риск (Облигации)]</t>
  </si>
  <si>
    <t>4B02-06-00606-R-001P</t>
  </si>
  <si>
    <t>RU000A109890</t>
  </si>
  <si>
    <t>ВЭББНКР 07</t>
  </si>
  <si>
    <t>ГлобалФ1P1 [МБ ФР: Т+: Повышенный инвестиционный риск (Облигации)]</t>
  </si>
  <si>
    <t>4B02-01-00381-R-001P</t>
  </si>
  <si>
    <t>RU000A105JN7</t>
  </si>
  <si>
    <t>ГлобалФ1P1</t>
  </si>
  <si>
    <t>ГлобалФ1P2 [МБ ФР: Т+: Повышенный инвестиционный риск (Облигации)]</t>
  </si>
  <si>
    <t>4B02-02-00381-R-001P</t>
  </si>
  <si>
    <t>RU000A1060U2</t>
  </si>
  <si>
    <t>ГлобалФ1P2</t>
  </si>
  <si>
    <t>ГлобалФ1P3 [МБ ФР: Т+: Повышенный инвестиционный риск (Облигации)]</t>
  </si>
  <si>
    <t>4B02-03-00381-R-001P</t>
  </si>
  <si>
    <t>RU000A106LS0</t>
  </si>
  <si>
    <t>ГлобалФ1P3</t>
  </si>
  <si>
    <t>ГлобалФ1P4 [МБ ФР: Т+: Повышенный инвестиционный риск (Облигации)]</t>
  </si>
  <si>
    <t>4B02-04-00381-R-001P</t>
  </si>
  <si>
    <t>RU000A107CJ6</t>
  </si>
  <si>
    <t>ГлобалФ1P4</t>
  </si>
  <si>
    <t>ГлобалФ1P5 [МБ ФР: Т+: Повышенный инвестиционный риск (Облигации)]</t>
  </si>
  <si>
    <t>4B02-05-00381-R-001P</t>
  </si>
  <si>
    <t>RU000A108VZ0</t>
  </si>
  <si>
    <t>ГлобалФ1P5</t>
  </si>
  <si>
    <t>ГрупПро1P2 [МБ ФР: Т+: Повышенный инвестиционный риск (Облигации)]</t>
  </si>
  <si>
    <t>4B02-02-00013-L-001P</t>
  </si>
  <si>
    <t>RU000A105EP3</t>
  </si>
  <si>
    <t>ГрупПро1P2</t>
  </si>
  <si>
    <t>ГрупПро1P3 [МБ ФР: Т+: Повышенный инвестиционный риск (Облигации)]</t>
  </si>
  <si>
    <t>4B02-03-00013-L-001P</t>
  </si>
  <si>
    <t>RU000A106YN4</t>
  </si>
  <si>
    <t>ГрупПро1P3</t>
  </si>
  <si>
    <t>ДжетЛ БО-1 [МБ ФР: Т+: Повышенный инвестиционный риск (Облигации)]</t>
  </si>
  <si>
    <t>4B02-01-00129-L</t>
  </si>
  <si>
    <t>RU000A107G63</t>
  </si>
  <si>
    <t>ДжетЛ БО-1</t>
  </si>
  <si>
    <t>Джой 1P1 [МБ ФР: Т+: Повышенный инвестиционный риск (Облигации)]</t>
  </si>
  <si>
    <t>4B02-01-00122-L-001P</t>
  </si>
  <si>
    <t>RU000A107EW5</t>
  </si>
  <si>
    <t>Джой 1P1</t>
  </si>
  <si>
    <t>Джой 1P2 [МБ ФР: Т+: Повышенный инвестиционный риск (Облигации)]</t>
  </si>
  <si>
    <t>4B02-02-00122-L-001P</t>
  </si>
  <si>
    <t>RU000A108462</t>
  </si>
  <si>
    <t>Джой 1P2</t>
  </si>
  <si>
    <t>Интерскол2 [МБ ФР: Т+: Повышенный инвестиционный риск (Облигации)]</t>
  </si>
  <si>
    <t>4B02-02-00068-L-001P</t>
  </si>
  <si>
    <t>RU000A105QL6</t>
  </si>
  <si>
    <t>Интерскол2</t>
  </si>
  <si>
    <t>КИВИФ 1Р02 [МБ ФР: Т+: Повышенный инвестиционный риск (Облигации)]</t>
  </si>
  <si>
    <t>4B02-02-00011-L-001P</t>
  </si>
  <si>
    <t>RU000A107548</t>
  </si>
  <si>
    <t>КИВИФ 1Р02</t>
  </si>
  <si>
    <t>КЛВЗ 1Р01 [МБ ФР: Т+: Повышенный инвестиционный риск (Облигации)]</t>
  </si>
  <si>
    <t>4B02-01-00093-L-001P</t>
  </si>
  <si>
    <t>RU000A105Y14</t>
  </si>
  <si>
    <t>КЛВЗ 1Р01</t>
  </si>
  <si>
    <t>КарМани 02 [МБ ФР: Т+: Повышенный инвестиционный риск (Облигации)]</t>
  </si>
  <si>
    <t>4-02-00321-R</t>
  </si>
  <si>
    <t>RU000A1058U6</t>
  </si>
  <si>
    <t>КарМани 02</t>
  </si>
  <si>
    <t>КарМани2Р1 [МБ ФР: Т+: Повышенный инвестиционный риск (Облигации)]</t>
  </si>
  <si>
    <t>4B02-01-00321-R-002P</t>
  </si>
  <si>
    <t>RU000A1087G4</t>
  </si>
  <si>
    <t>КарМани2Р1</t>
  </si>
  <si>
    <t>КруизБО-01 [МБ ФР: Т+: Повышенный инвестиционный риск (Облигации)]</t>
  </si>
  <si>
    <t>4B02-01-00563-R</t>
  </si>
  <si>
    <t>RU000A103C04</t>
  </si>
  <si>
    <t>КруизБО-01</t>
  </si>
  <si>
    <t>Кузина1P02 [МБ ФР: Т+: Повышенный инвестиционный риск (Облигации)]</t>
  </si>
  <si>
    <t>4B02-02-00480-R-001P</t>
  </si>
  <si>
    <t>RU000A1065H8</t>
  </si>
  <si>
    <t>Кузина1P02</t>
  </si>
  <si>
    <t>ЛаймЗайм01 [МБ ФР: Т+: Повышенный инвестиционный риск (Облигации)]</t>
  </si>
  <si>
    <t>4-01-00533-R</t>
  </si>
  <si>
    <t>RU000A104AX8</t>
  </si>
  <si>
    <t>ЛаймЗайм01</t>
  </si>
  <si>
    <t>ЛаймЗайм02 [МБ ФР: Т+: Повышенный инвестиционный риск (Облигации)]</t>
  </si>
  <si>
    <t>4B02-01-00533-R-001P</t>
  </si>
  <si>
    <t>RU000A105AJ4</t>
  </si>
  <si>
    <t>ЛаймЗайм02</t>
  </si>
  <si>
    <t>ЛаймЗайм03 [МБ ФР: Т+: Повышенный инвестиционный риск (Облигации)]</t>
  </si>
  <si>
    <t>4B02-02-00533-R-001P</t>
  </si>
  <si>
    <t>RU000A106CJ8</t>
  </si>
  <si>
    <t>ЛаймЗайм03</t>
  </si>
  <si>
    <t>ЛаймЗайм04 [МБ ФР: Т+: Повышенный инвестиционный риск (Облигации)]</t>
  </si>
  <si>
    <t>4B02-03-00533-R-001P</t>
  </si>
  <si>
    <t>RU000A107795</t>
  </si>
  <si>
    <t>ЛаймЗайм04</t>
  </si>
  <si>
    <t>МЛФТ БО-01 [МБ ФР: Т+: Повышенный инвестиционный риск (Облигации)]</t>
  </si>
  <si>
    <t>4B02-01-00097-L</t>
  </si>
  <si>
    <t>RU000A105RU5</t>
  </si>
  <si>
    <t>МЛФТ БО-01</t>
  </si>
  <si>
    <t>МЛФТ БО-02 [МБ ФР: Т+: Повышенный инвестиционный риск (Облигации)]</t>
  </si>
  <si>
    <t>4B02-02-00097-L</t>
  </si>
  <si>
    <t>RU000A106DJ6</t>
  </si>
  <si>
    <t>МЛФТ БО-02</t>
  </si>
  <si>
    <t>МаниКап1Р1 [МБ ФР: Т+: Повышенный инвестиционный риск (Облигации)]</t>
  </si>
  <si>
    <t>4B02-01-05736-P-001P</t>
  </si>
  <si>
    <t>RU000A1074F4</t>
  </si>
  <si>
    <t>МаниКап1Р1</t>
  </si>
  <si>
    <t>МаниКап1Р2 [МБ ФР: Т+: Повышенный инвестиционный риск (Облигации)]</t>
  </si>
  <si>
    <t>4B02-02-05736-P-001P</t>
  </si>
  <si>
    <t>RU000A1079G1</t>
  </si>
  <si>
    <t>МаниКап1Р2</t>
  </si>
  <si>
    <t>МаниКап1Р3 [МБ ФР: Т+: Повышенный инвестиционный риск (Облигации)]</t>
  </si>
  <si>
    <t>4B02-03-05736-P-001P</t>
  </si>
  <si>
    <t>RU000A107WD7</t>
  </si>
  <si>
    <t>МаниКап1Р3</t>
  </si>
  <si>
    <t>МаэстроБ1 [МБ ФР: Т+: Повышенный инвестиционный риск (Облигации)]</t>
  </si>
  <si>
    <t>4B02-01-00114-L-001P</t>
  </si>
  <si>
    <t>RU000A107001</t>
  </si>
  <si>
    <t>МаэстроБ1</t>
  </si>
  <si>
    <t>МигКр 02 [МБ ФР: Т+: Повышенный инвестиционный риск (Облигации)]</t>
  </si>
  <si>
    <t>4B02-01-00340-R-002P</t>
  </si>
  <si>
    <t>RU000A106KT0</t>
  </si>
  <si>
    <t>МигКр 02</t>
  </si>
  <si>
    <t>МигКр 03 [МБ ФР: Т+: Повышенный инвестиционный риск (Облигации)]</t>
  </si>
  <si>
    <t>4B02-02-00340-R-002P</t>
  </si>
  <si>
    <t>RU000A106UK8</t>
  </si>
  <si>
    <t>МигКр 03</t>
  </si>
  <si>
    <t>МигКр 04 [МБ ФР: Т+: Повышенный инвестиционный риск (Облигации)]</t>
  </si>
  <si>
    <t>4B02-03-00340-R-002P</t>
  </si>
  <si>
    <t>RU000A107KR2</t>
  </si>
  <si>
    <t>МигКр 04</t>
  </si>
  <si>
    <t>НафттрнБО3 [МБ ФР: Т+: Повышенный инвестиционный риск (Облигации)]</t>
  </si>
  <si>
    <t>4B02-03-00318-R</t>
  </si>
  <si>
    <t>RU000A102V51</t>
  </si>
  <si>
    <t>НафттрнБО3</t>
  </si>
  <si>
    <t>НафттрнБО4 [МБ ФР: Т+: Повышенный инвестиционный риск (Облигации)]</t>
  </si>
  <si>
    <t>4B02-04-00318-R</t>
  </si>
  <si>
    <t>RU000A105CF8</t>
  </si>
  <si>
    <t>НафттрнБО4</t>
  </si>
  <si>
    <t>НафттрнБО5 [МБ ФР: Т+: Повышенный инвестиционный риск (Облигации)]</t>
  </si>
  <si>
    <t>4B02-05-00318-R</t>
  </si>
  <si>
    <t>RU000A106Y21</t>
  </si>
  <si>
    <t>НафттрнБО5</t>
  </si>
  <si>
    <t>ОйлРесур01 [МБ ФР: Т+: Повышенный инвестиционный риск (Облигации)]</t>
  </si>
  <si>
    <t>4B02-01-00146-L</t>
  </si>
  <si>
    <t>RU000A108B83</t>
  </si>
  <si>
    <t>ОйлРесур01</t>
  </si>
  <si>
    <t>ПЮДМ БО-П2 [МБ ФР: Т+: Повышенный инвестиционный риск (Облигации)]</t>
  </si>
  <si>
    <t>4B02-02-00361-R-001P</t>
  </si>
  <si>
    <t>RU000A1020K7</t>
  </si>
  <si>
    <t>ПЮДМ БО-П2</t>
  </si>
  <si>
    <t>РКК БО-01 [МБ ФР: Т+: Повышенный инвестиционный риск (Облигации)]</t>
  </si>
  <si>
    <t>4B02-01-85008-H</t>
  </si>
  <si>
    <t>RU000A105VP7</t>
  </si>
  <si>
    <t>РКК БО-01</t>
  </si>
  <si>
    <t>РКК БО-02 [МБ ФР: Т+: Повышенный инвестиционный риск (Облигации)]</t>
  </si>
  <si>
    <t>4B02-02-85008-H</t>
  </si>
  <si>
    <t>RU000A105ZW4</t>
  </si>
  <si>
    <t>РКК БО-02</t>
  </si>
  <si>
    <t>РКК БО-03 [МБ ФР: Т+: Повышенный инвестиционный риск (Облигации)]</t>
  </si>
  <si>
    <t>4B02-03-85008-H</t>
  </si>
  <si>
    <t>RU000A106GZ5</t>
  </si>
  <si>
    <t>РКК БО-03</t>
  </si>
  <si>
    <t>РСГ-ФинБ01 [МБ ФР: Т+: Повышенный инвестиционный риск (Облигации)]</t>
  </si>
  <si>
    <t>4B02-01-36399-R</t>
  </si>
  <si>
    <t>RU000A0JUAG0</t>
  </si>
  <si>
    <t>РСГ-ФинБ01</t>
  </si>
  <si>
    <t>РУССОЙЛ-01 [МБ ФР: Т+: Повышенный инвестиционный риск (Облигации)]</t>
  </si>
  <si>
    <t>4B02-01-00112-L</t>
  </si>
  <si>
    <t>RU000A1074E7</t>
  </si>
  <si>
    <t>РУССОЙЛ-01</t>
  </si>
  <si>
    <t>Рекорд01 [МБ ФР: Т+: Повышенный инвестиционный риск (Облигации)]</t>
  </si>
  <si>
    <t>4B02-01-00136-L</t>
  </si>
  <si>
    <t>RU000A1082M3</t>
  </si>
  <si>
    <t>Рекорд01</t>
  </si>
  <si>
    <t>РоялКапБ1 [МБ ФР: Т+: Повышенный инвестиционный риск (Облигации)]</t>
  </si>
  <si>
    <t>4B02-01-00382-R</t>
  </si>
  <si>
    <t>RU000A10A6V6</t>
  </si>
  <si>
    <t>РоялКапБ1</t>
  </si>
  <si>
    <t>РоялКапБ10 [МБ ФР: Т+: Повышенный инвестиционный риск (Облигации)]</t>
  </si>
  <si>
    <t>4B02-10-00382-R-001P</t>
  </si>
  <si>
    <t>RU000A1079H9</t>
  </si>
  <si>
    <t>РоялКапБ10</t>
  </si>
  <si>
    <t>РоялКапБО6 [МБ ФР: Т+: Повышенный инвестиционный риск (Облигации)]</t>
  </si>
  <si>
    <t>4B02-06-00382-R-001P</t>
  </si>
  <si>
    <t>RU000A104CE4</t>
  </si>
  <si>
    <t>РоялКапБО6</t>
  </si>
  <si>
    <t>РоялКапБО7 [МБ ФР: Т+: Повышенный инвестиционный риск (Облигации)]</t>
  </si>
  <si>
    <t>4B02-07-00382-R-001P</t>
  </si>
  <si>
    <t>RU000A104UF3</t>
  </si>
  <si>
    <t>РоялКапБО7</t>
  </si>
  <si>
    <t>РоялКапБО8 [МБ ФР: Т+: Повышенный инвестиционный риск (Облигации)]</t>
  </si>
  <si>
    <t>4B02-08-00382-R-001P</t>
  </si>
  <si>
    <t>RU000A1056Q8</t>
  </si>
  <si>
    <t>РоялКапБО8</t>
  </si>
  <si>
    <t>РоялКапБО9 [МБ ФР: Т+: Повышенный инвестиционный риск (Облигации)]</t>
  </si>
  <si>
    <t>4B02-09-00382-R-001P</t>
  </si>
  <si>
    <t>RU000A106JC8</t>
  </si>
  <si>
    <t>РоялКапБО9</t>
  </si>
  <si>
    <t>СИЛ 1P03 [МБ ФР: Т+: Повышенный инвестиционный риск (Облигации)]</t>
  </si>
  <si>
    <t>4B02-03-00489-R-001P</t>
  </si>
  <si>
    <t>RU000A1037E4</t>
  </si>
  <si>
    <t>СИЛ 1P03</t>
  </si>
  <si>
    <t>СНХТ БО-02 [МБ ФР: Т+: Повышенный инвестиционный риск (Облигации)]</t>
  </si>
  <si>
    <t>4B02-02-00010-L-001P</t>
  </si>
  <si>
    <t>RU000A104DZ7</t>
  </si>
  <si>
    <t>СНХТ БО-02</t>
  </si>
  <si>
    <t>СНХТ БО-03 [МБ ФР: Т+: Повышенный инвестиционный риск (Облигации)]</t>
  </si>
  <si>
    <t>4B02-01-00010-L</t>
  </si>
  <si>
    <t>RU000A107A93</t>
  </si>
  <si>
    <t>СНХТ БО-03</t>
  </si>
  <si>
    <t>Саммит 1P1 [МБ ФР: Т+: Повышенный инвестиционный риск (Облигации)]</t>
  </si>
  <si>
    <t>4B02-01-00098-L-001P</t>
  </si>
  <si>
    <t>RU000A105UZ8</t>
  </si>
  <si>
    <t>Саммит 1P1</t>
  </si>
  <si>
    <t>Саммит 1P2 [МБ ФР: Т+: Повышенный инвестиционный риск (Облигации)]</t>
  </si>
  <si>
    <t>4B02-02-00098-L-001P</t>
  </si>
  <si>
    <t>RU000A107AZ6</t>
  </si>
  <si>
    <t>Саммит 1P2</t>
  </si>
  <si>
    <t>Саммит 1P3 [МБ ФР: Т+: Повышенный инвестиционный риск (Облигации)]</t>
  </si>
  <si>
    <t>4B02-03-00098-L-001P</t>
  </si>
  <si>
    <t>RU000A107S85</t>
  </si>
  <si>
    <t>Саммит 1P3</t>
  </si>
  <si>
    <t>СейфФин1P1 [МБ ФР: Т+: Повышенный инвестиционный риск (Облигации)]</t>
  </si>
  <si>
    <t>4-01-00609-R-001P</t>
  </si>
  <si>
    <t>RU000A105WM2</t>
  </si>
  <si>
    <t>СейфФин1P1</t>
  </si>
  <si>
    <t>СитимЮгра1 [МБ ФР: Т+: Повышенный инвестиционный риск (Облигации)]</t>
  </si>
  <si>
    <t>4-01-00428-R</t>
  </si>
  <si>
    <t>RU000A0ZZYS0</t>
  </si>
  <si>
    <t>СитимЮгра1</t>
  </si>
  <si>
    <t>Ситимат01 [МБ ФР: Т+: Повышенный инвестиционный риск (Облигации)]</t>
  </si>
  <si>
    <t>4-01-76600-H</t>
  </si>
  <si>
    <t>RU000A0JU9K4</t>
  </si>
  <si>
    <t>Ситимат01</t>
  </si>
  <si>
    <t>Ситимат02 [МБ ФР: Т+: Повышенный инвестиционный риск (Облигации)]</t>
  </si>
  <si>
    <t>4-02-76600-H</t>
  </si>
  <si>
    <t>RU000A0JV0T3</t>
  </si>
  <si>
    <t>Ситимат02</t>
  </si>
  <si>
    <t>СитиматБ1 [МБ ФР: Т+: Повышенный инвестиционный риск (Облигации)]</t>
  </si>
  <si>
    <t>4B02-01-76600-H</t>
  </si>
  <si>
    <t>RU000A0JWJF9</t>
  </si>
  <si>
    <t>СитиматБ1</t>
  </si>
  <si>
    <t>СитиматБ2 [МБ ФР: Т+: Повышенный инвестиционный риск (Облигации)]</t>
  </si>
  <si>
    <t>4B02-02-76600-H</t>
  </si>
  <si>
    <t>RU000A0ZZ2W9</t>
  </si>
  <si>
    <t>СитиматБ2</t>
  </si>
  <si>
    <t>СитиматНН [МБ ФР: Т+: Повышенный инвестиционный риск (Облигации)]</t>
  </si>
  <si>
    <t>4-01-20453-P</t>
  </si>
  <si>
    <t>RU000A0JS9X1</t>
  </si>
  <si>
    <t>СитиматНН</t>
  </si>
  <si>
    <t>СолЛиз БО1 [МБ ФР: Т+: Повышенный инвестиционный риск (Облигации)]</t>
  </si>
  <si>
    <t>4B02-01-00330-R</t>
  </si>
  <si>
    <t>RU000A106W49</t>
  </si>
  <si>
    <t>СолЛиз БО1</t>
  </si>
  <si>
    <t>СолЛиз БО2 [МБ ФР: Т+: Повышенный инвестиционный риск (Облигации)]</t>
  </si>
  <si>
    <t>4B02-02-00330-R</t>
  </si>
  <si>
    <t>RU000A107W71</t>
  </si>
  <si>
    <t>СолЛиз БО2</t>
  </si>
  <si>
    <t>СолЛиз01 [МБ ФР: Т+: Повышенный инвестиционный риск (Облигации)]</t>
  </si>
  <si>
    <t>4-01-00330-R</t>
  </si>
  <si>
    <t>RU000A104CF1</t>
  </si>
  <si>
    <t>СолЛиз01</t>
  </si>
  <si>
    <t>СолЛизБО07 [МБ ФР: Т+: Повышенный инвестиционный риск (Облигации)]</t>
  </si>
  <si>
    <t>4B02-07-00330-R-001P</t>
  </si>
  <si>
    <t>RU000A105P07</t>
  </si>
  <si>
    <t>СолЛизБО07</t>
  </si>
  <si>
    <t>ТП Кир 1P1 [МБ ФР: Т+: Повышенный инвестиционный риск (Облигации)]</t>
  </si>
  <si>
    <t>4B02-01-00407-R-001P</t>
  </si>
  <si>
    <t>RU000A1014U9</t>
  </si>
  <si>
    <t>ТП Кир 1P1</t>
  </si>
  <si>
    <t>Техпорт01 [МБ ФР: Т+: Повышенный инвестиционный риск (Облигации)]</t>
  </si>
  <si>
    <t>4B02-01-00104-L</t>
  </si>
  <si>
    <t>RU000A106KY0</t>
  </si>
  <si>
    <t>Техпорт01</t>
  </si>
  <si>
    <t>Техпорт02 [МБ ФР: Т+: Повышенный инвестиционный риск (Облигации)]</t>
  </si>
  <si>
    <t>4B02-02-00104-L</t>
  </si>
  <si>
    <t>RU000A106X30</t>
  </si>
  <si>
    <t>Техпорт02</t>
  </si>
  <si>
    <t>Техпорт03 [МБ ФР: Т+: Повышенный инвестиционный риск (Облигации)]</t>
  </si>
  <si>
    <t>4B02-03-00104-L</t>
  </si>
  <si>
    <t>RU000A1083C2</t>
  </si>
  <si>
    <t>Техпорт03</t>
  </si>
  <si>
    <t>УрожайБО03 [МБ ФР: Т+: Повышенный инвестиционный риск (Облигации)]</t>
  </si>
  <si>
    <t>4B02-03-00007-L</t>
  </si>
  <si>
    <t>RU000A106J04</t>
  </si>
  <si>
    <t>УрожайБО03</t>
  </si>
  <si>
    <t>УрожайБО04 [МБ ФР: Т+: Повышенный инвестиционный риск (Облигации)]</t>
  </si>
  <si>
    <t>4B02-04-00007-L</t>
  </si>
  <si>
    <t>RU000A108FE8</t>
  </si>
  <si>
    <t>УрожайБО04</t>
  </si>
  <si>
    <t>УрожайБО05 [МБ ФР: Т+: Повышенный инвестиционный риск (Облигации)]</t>
  </si>
  <si>
    <t>4B02-05-00007-L</t>
  </si>
  <si>
    <t>RU000A108U49</t>
  </si>
  <si>
    <t>УрожайБО05</t>
  </si>
  <si>
    <t>ФКОНС П02 [МБ ФР: Т+: Повышенный инвестиционный риск (Облигации)]</t>
  </si>
  <si>
    <t>4B02-02-00342-R-001P</t>
  </si>
  <si>
    <t>RU000A0ZYSE5</t>
  </si>
  <si>
    <t>ФКОНС П02</t>
  </si>
  <si>
    <t>Феррони01 [МБ ФР: Т+: Повышенный инвестиционный риск (Облигации)]</t>
  </si>
  <si>
    <t>4B02-01-00626-R</t>
  </si>
  <si>
    <t>RU000A1053R3</t>
  </si>
  <si>
    <t>Феррони01</t>
  </si>
  <si>
    <t>Феррони02 [МБ ФР: Т+: Повышенный инвестиционный риск (Облигации)]</t>
  </si>
  <si>
    <t>4B02-02-00626-R</t>
  </si>
  <si>
    <t>RU000A105P64</t>
  </si>
  <si>
    <t>Феррони02</t>
  </si>
  <si>
    <t>Феррони1P1 [МБ ФР: Т+: Повышенный инвестиционный риск (Облигации)]</t>
  </si>
  <si>
    <t>4B02-01-00626-R-001P</t>
  </si>
  <si>
    <t>RU000A103XP8</t>
  </si>
  <si>
    <t>Феррони1P1</t>
  </si>
  <si>
    <t>Фордевинд1 [МБ ФР: Т+: Повышенный инвестиционный риск (Облигации)]</t>
  </si>
  <si>
    <t>4-01-00616-R</t>
  </si>
  <si>
    <t>RU000A105849</t>
  </si>
  <si>
    <t>Фордевинд1</t>
  </si>
  <si>
    <t>Фордевинд2 [МБ ФР: Т+: Повышенный инвестиционный риск (Облигации)]</t>
  </si>
  <si>
    <t>4B02-01-00616-R-001P</t>
  </si>
  <si>
    <t>RU000A106DK4</t>
  </si>
  <si>
    <t>Фордевинд2</t>
  </si>
  <si>
    <t>Фордевинд3 [МБ ФР: Т+: Повышенный инвестиционный риск (Облигации)]</t>
  </si>
  <si>
    <t>4B02-02-00616-R-001P</t>
  </si>
  <si>
    <t>RU000A106Q47</t>
  </si>
  <si>
    <t>Фордевинд3</t>
  </si>
  <si>
    <t>Фордевинд4 [МБ ФР: Т+: Повышенный инвестиционный риск (Облигации)]</t>
  </si>
  <si>
    <t>4B02-03-00616-R-001P</t>
  </si>
  <si>
    <t>RU000A106SE5</t>
  </si>
  <si>
    <t>Фордевинд4</t>
  </si>
  <si>
    <t>Фордевинд5 [МБ ФР: Т+: Повышенный инвестиционный риск (Облигации)]</t>
  </si>
  <si>
    <t>4B02-04-00616-R-001P</t>
  </si>
  <si>
    <t>RU000A108AK6</t>
  </si>
  <si>
    <t>Фордевинд5</t>
  </si>
  <si>
    <t>Фордевинд6 [МБ ФР: Т+: Повышенный инвестиционный риск (Облигации)]</t>
  </si>
  <si>
    <t>4B02-05-00616-R-001P</t>
  </si>
  <si>
    <t>RU000A108WV7</t>
  </si>
  <si>
    <t>Фордевинд6</t>
  </si>
  <si>
    <t>Шевченк1Р2 [МБ ФР: Т+: Повышенный инвестиционный риск (Облигации)]</t>
  </si>
  <si>
    <t>4B02-02-34127-E-001P</t>
  </si>
  <si>
    <t>RU000A101P92</t>
  </si>
  <si>
    <t>Шевченк1Р2</t>
  </si>
  <si>
    <t>Шевченк1Р3 [МБ ФР: Т+: Повышенный инвестиционный риск (Облигации)]</t>
  </si>
  <si>
    <t>4B02-03-34127-E-001P</t>
  </si>
  <si>
    <t>RU000A104Z89</t>
  </si>
  <si>
    <t>Шевченк1Р3</t>
  </si>
  <si>
    <t>Шевченк1Р4 [МБ ФР: Т+: Повышенный инвестиционный риск (Облигации)]</t>
  </si>
  <si>
    <t>4B02-04-34127-E-001P</t>
  </si>
  <si>
    <t>RU000A104ZU1</t>
  </si>
  <si>
    <t>Шевченк1Р4</t>
  </si>
  <si>
    <t>ЮниМетр01 [МБ ФР: Т+: Повышенный инвестиционный риск (Облигации)]</t>
  </si>
  <si>
    <t>4-01-00402-R</t>
  </si>
  <si>
    <t>RU000A100T81</t>
  </si>
  <si>
    <t>ЮниМетр01</t>
  </si>
  <si>
    <t>БДеньг-Ю01 [МБ ФР: Т+: Повышенный инвестиционный риск (Облигации) (расч.в CNY)]</t>
  </si>
  <si>
    <t>TQIY</t>
  </si>
  <si>
    <t>МБ ФР: Т+: Повышенный инвестиционный риск (Облигации) (расч.в CNY)</t>
  </si>
  <si>
    <t>AAG-01 [МБ ФР: Т+: Корпоративные облигации]</t>
  </si>
  <si>
    <t>4-01-00627-R</t>
  </si>
  <si>
    <t>RU000A104FX7</t>
  </si>
  <si>
    <t>AAG-01</t>
  </si>
  <si>
    <t>TQCB</t>
  </si>
  <si>
    <t>AGROFRGT01 [МБ ФР: Т+: Корпоративные облигации]</t>
  </si>
  <si>
    <t>4B02-01-00150-L</t>
  </si>
  <si>
    <t>RU000A108FG3</t>
  </si>
  <si>
    <t>AGROFRGT01</t>
  </si>
  <si>
    <t>ANTERRA-02 [МБ ФР: Т+: Корпоративные облигации]</t>
  </si>
  <si>
    <t>4B02-01-00074-L</t>
  </si>
  <si>
    <t>RU000A108FS8</t>
  </si>
  <si>
    <t>ANTERRA-02</t>
  </si>
  <si>
    <t>BLR-27 [МБ ФР: Т+: Корпоративные облигации]</t>
  </si>
  <si>
    <t>BLR-30 [МБ ФР: Т+: Корпоративные облигации]</t>
  </si>
  <si>
    <t>BLR-31 [МБ ФР: Т+: Корпоративные облигации]</t>
  </si>
  <si>
    <t>CTRLлиз1Р1 [МБ ФР: Т+: Корпоративные облигации]</t>
  </si>
  <si>
    <t>4B02-01-00051-L-001P</t>
  </si>
  <si>
    <t>RU000A106T85</t>
  </si>
  <si>
    <t>CTRLлиз1Р1</t>
  </si>
  <si>
    <t>CTRLлиз1Р2 [МБ ФР: Т+: Корпоративные облигации]</t>
  </si>
  <si>
    <t>4B02-02-00051-L-001P</t>
  </si>
  <si>
    <t>RU000A1086N2</t>
  </si>
  <si>
    <t>CTRLлиз1Р2</t>
  </si>
  <si>
    <t>MTRCSPR001 [МБ ФР: Т+: Корпоративные облигации]</t>
  </si>
  <si>
    <t>4B02-01-00119-L</t>
  </si>
  <si>
    <t>RU000A1071Q7</t>
  </si>
  <si>
    <t>MTRCSPR001</t>
  </si>
  <si>
    <t>NSKATD-01 [МБ ФР: Т+: Корпоративные облигации]</t>
  </si>
  <si>
    <t>4B02-01-10744-F</t>
  </si>
  <si>
    <t>RU000A108UJ6</t>
  </si>
  <si>
    <t>NSKATD-01</t>
  </si>
  <si>
    <t>PLAZA BO01 [МБ ФР: Т+: Корпоративные облигации]</t>
  </si>
  <si>
    <t>4B02-01-00116-L</t>
  </si>
  <si>
    <t>RU000A106YD5</t>
  </si>
  <si>
    <t>PLAZA BO01</t>
  </si>
  <si>
    <t>PLAZABO-02 [МБ ФР: Т+: Корпоративные облигации]</t>
  </si>
  <si>
    <t>4B02-02-00116-L</t>
  </si>
  <si>
    <t>RU000A108E80</t>
  </si>
  <si>
    <t>PLAZABO-02</t>
  </si>
  <si>
    <t>PolyusZL1 [МБ ФР: Т+: Корпоративные облигации]</t>
  </si>
  <si>
    <t>4-01-55192-E-001P</t>
  </si>
  <si>
    <t>RU000A107PA7</t>
  </si>
  <si>
    <t>PolyusZL1</t>
  </si>
  <si>
    <t>R-Vision 1 [МБ ФР: Т+: Корпоративные облигации]</t>
  </si>
  <si>
    <t>4B02-01-00177-L-001P</t>
  </si>
  <si>
    <t>RU000A109T41</t>
  </si>
  <si>
    <t>R-Vision 1</t>
  </si>
  <si>
    <t>RUS-25 EUR [МБ ФР: Т+: Корпоративные облигации]</t>
  </si>
  <si>
    <t>RUS-26 [МБ ФР: Т+: Корпоративные облигации]</t>
  </si>
  <si>
    <t>RUS-27 [МБ ФР: Т+: Корпоративные облигации]</t>
  </si>
  <si>
    <t>RUS-27 EUR [МБ ФР: Т+: Корпоративные облигации]</t>
  </si>
  <si>
    <t>RUS-28 [МБ ФР: Т+: Корпоративные облигации]</t>
  </si>
  <si>
    <t>RUS-29 [МБ ФР: Т+: Корпоративные облигации]</t>
  </si>
  <si>
    <t>RUS-30 [МБ ФР: Т+: Корпоративные облигации]</t>
  </si>
  <si>
    <t>RUS-32 EUR [МБ ФР: Т+: Корпоративные облигации]</t>
  </si>
  <si>
    <t>RUS-35 [МБ ФР: Т+: Корпоративные облигации]</t>
  </si>
  <si>
    <t>RUS-36 EUR [МБ ФР: Т+: Корпоративные облигации]</t>
  </si>
  <si>
    <t>RUS-42 [МБ ФР: Т+: Корпоративные облигации]</t>
  </si>
  <si>
    <t>RUS-43 [МБ ФР: Т+: Корпоративные облигации]</t>
  </si>
  <si>
    <t>RUS-47 [МБ ФР: Т+: Корпоративные облигации]</t>
  </si>
  <si>
    <t>RZD-27 EUR [МБ ФР: Т+: Корпоративные облигации]</t>
  </si>
  <si>
    <t>Rolls-Royc [МБ ФР: Т+: Корпоративные облигации]</t>
  </si>
  <si>
    <t>SELGOLD001 [МБ ФР: Т+: Корпоративные облигации]</t>
  </si>
  <si>
    <t>4-01-32694-F-001P</t>
  </si>
  <si>
    <t>RU000A1062M5</t>
  </si>
  <si>
    <t>SELGOLD001</t>
  </si>
  <si>
    <t>SELGOLD002 [МБ ФР: Т+: Корпоративные облигации]</t>
  </si>
  <si>
    <t>4-02-32694-F-001P</t>
  </si>
  <si>
    <t>RU000A106XD7</t>
  </si>
  <si>
    <t>SELGOLD002</t>
  </si>
  <si>
    <t>SELGOLD003 [МБ ФР: Т+: Корпоративные облигации]</t>
  </si>
  <si>
    <t>4-03-32694-F-001P</t>
  </si>
  <si>
    <t>RU000A108RQ7</t>
  </si>
  <si>
    <t>SELGOLD003</t>
  </si>
  <si>
    <t>SUEK-26 [МБ ФР: Т+: Корпоративные облигации]</t>
  </si>
  <si>
    <t>TCS perp1 [МБ ФР: Т+: Корпоративные облигации]</t>
  </si>
  <si>
    <t>4-03-02673-B</t>
  </si>
  <si>
    <t>RU000A107738</t>
  </si>
  <si>
    <t>TCS perp1</t>
  </si>
  <si>
    <t>TCS perp2 [МБ ФР: Т+: Корпоративные облигации]</t>
  </si>
  <si>
    <t>4-04-02673-B</t>
  </si>
  <si>
    <t>RU000A107746</t>
  </si>
  <si>
    <t>TCS perp2</t>
  </si>
  <si>
    <t>VEB FIN-25 [МБ ФР: Т+: Корпоративные облигации]</t>
  </si>
  <si>
    <t>iMT_FREE01 [МБ ФР: Т+: Корпоративные облигации]</t>
  </si>
  <si>
    <t>4B02-01-53817-H-001P</t>
  </si>
  <si>
    <t>RU000A101XD8</t>
  </si>
  <si>
    <t>iMT_FREE01</t>
  </si>
  <si>
    <t>iВУШ 1P1 [МБ ФР: Т+: Корпоративные облигации]</t>
  </si>
  <si>
    <t>4B02-01-00075-L-001P</t>
  </si>
  <si>
    <t>RU000A104WS2</t>
  </si>
  <si>
    <t>iВУШ 1P1</t>
  </si>
  <si>
    <t>iВУШ 1P2 [МБ ФР: Т+: Корпоративные облигации]</t>
  </si>
  <si>
    <t>4B02-02-00075-L-001P</t>
  </si>
  <si>
    <t>RU000A106HB4</t>
  </si>
  <si>
    <t>iВУШ 1P2</t>
  </si>
  <si>
    <t>iВУШ 1P3 [МБ ФР: Т+: Корпоративные облигации]</t>
  </si>
  <si>
    <t>4B02-03-00075-L-001P</t>
  </si>
  <si>
    <t>RU000A109HX2</t>
  </si>
  <si>
    <t>iВУШ 1P3</t>
  </si>
  <si>
    <t>iКарРус1P1 [МБ ФР: Т+: Корпоративные облигации]</t>
  </si>
  <si>
    <t>4B02-01-00078-L-001P</t>
  </si>
  <si>
    <t>RU000A1052T1</t>
  </si>
  <si>
    <t>iКарРус1P1</t>
  </si>
  <si>
    <t>iКарРус1P2 [МБ ФР: Т+: Корпоративные облигации]</t>
  </si>
  <si>
    <t>4B02-02-00078-L-001P</t>
  </si>
  <si>
    <t>RU000A106A86</t>
  </si>
  <si>
    <t>iКарРус1P2</t>
  </si>
  <si>
    <t>iКарРус1P3 [МБ ФР: Т+: Корпоративные облигации]</t>
  </si>
  <si>
    <t>4B02-03-00078-L-001P</t>
  </si>
  <si>
    <t>RU000A106UW3</t>
  </si>
  <si>
    <t>iКарРус1P3</t>
  </si>
  <si>
    <t>iКарРус1P4 [МБ ФР: Т+: Корпоративные облигации]</t>
  </si>
  <si>
    <t>4B02-04-16750-A-001P</t>
  </si>
  <si>
    <t>RU000A109TG2</t>
  </si>
  <si>
    <t>iКарРус1P4</t>
  </si>
  <si>
    <t>iПМЕДДМ1Р3 [МБ ФР: Т+: Корпоративные облигации]</t>
  </si>
  <si>
    <t>4B02-03-00560-R-001P</t>
  </si>
  <si>
    <t>RU000A1053T9</t>
  </si>
  <si>
    <t>iПМЕДДМ1Р3</t>
  </si>
  <si>
    <t>iПМЕДДМ2Р1 [МБ ФР: Т+: Корпоративные облигации]</t>
  </si>
  <si>
    <t>4B02-01-00560-R-002P</t>
  </si>
  <si>
    <t>RU000A1061A2</t>
  </si>
  <si>
    <t>iПМЕДДМ2Р1</t>
  </si>
  <si>
    <t>iПозитивР1 [МБ ФР: Т+: Корпоративные облигации]</t>
  </si>
  <si>
    <t>4B02-01-85307-H-001P</t>
  </si>
  <si>
    <t>RU000A109098</t>
  </si>
  <si>
    <t>iПозитивР1</t>
  </si>
  <si>
    <t>iСелкт1Р2R [МБ ФР: Т+: Корпоративные облигации]</t>
  </si>
  <si>
    <t>4B02-02-00575-R-001P</t>
  </si>
  <si>
    <t>RU000A105FS4</t>
  </si>
  <si>
    <t>iСелкт1Р2R</t>
  </si>
  <si>
    <t>iСелкт1Р3R [МБ ФР: Т+: Корпоративные облигации]</t>
  </si>
  <si>
    <t>4B02-03-00575-R-001P</t>
  </si>
  <si>
    <t>RU000A106R95</t>
  </si>
  <si>
    <t>iСелкт1Р3R</t>
  </si>
  <si>
    <t>iСелкт1Р4R [МБ ФР: Т+: Корпоративные облигации]</t>
  </si>
  <si>
    <t>4B02-04-00575-R-001P</t>
  </si>
  <si>
    <t>RU000A1089J4</t>
  </si>
  <si>
    <t>iСелкт1Р4R</t>
  </si>
  <si>
    <t>iСелктл1Р5 [МБ ФР: Т+: Корпоративные облигации]</t>
  </si>
  <si>
    <t>4B02-05-16765-A-001P</t>
  </si>
  <si>
    <t>RU000A10A7S0</t>
  </si>
  <si>
    <t>iСелктл1Р5</t>
  </si>
  <si>
    <t>iУОМЗ Б-4 [МБ ФР: Т+: Корпоративные облигации]</t>
  </si>
  <si>
    <t>4B02-04-55470-E</t>
  </si>
  <si>
    <t>RU000A104US6</t>
  </si>
  <si>
    <t>iУОМЗ Б-4</t>
  </si>
  <si>
    <t>iУОМЗ Б-5 [МБ ФР: Т+: Корпоративные облигации]</t>
  </si>
  <si>
    <t>4B02-05-55470-E</t>
  </si>
  <si>
    <t>RU000A106CL4</t>
  </si>
  <si>
    <t>iУОМЗ Б-5</t>
  </si>
  <si>
    <t>iУОМЗ Б-П1 [МБ ФР: Т+: Корпоративные облигации]</t>
  </si>
  <si>
    <t>4B02-01-55470-E-001P</t>
  </si>
  <si>
    <t>RU000A100EV2</t>
  </si>
  <si>
    <t>iУОМЗ Б-П1</t>
  </si>
  <si>
    <t>iУОМЗ Б-П2 [МБ ФР: Т+: Корпоративные облигации]</t>
  </si>
  <si>
    <t>4B02-02-55470-E-001P</t>
  </si>
  <si>
    <t>RU000A102HU3</t>
  </si>
  <si>
    <t>iУОМЗ Б-П2</t>
  </si>
  <si>
    <t>iХРОМОС Б1 [МБ ФР: Т+: Корпоративные облигации]</t>
  </si>
  <si>
    <t>4B02-01-00138-L</t>
  </si>
  <si>
    <t>RU000A108405</t>
  </si>
  <si>
    <t>iХРОМОС Б1</t>
  </si>
  <si>
    <t>sАтомэнп01 [МБ ФР: Т+: Корпоративные облигации]</t>
  </si>
  <si>
    <t>4B02-01-55319-E-001P</t>
  </si>
  <si>
    <t>RU000A103AT8</t>
  </si>
  <si>
    <t>sАтомэнп01</t>
  </si>
  <si>
    <t>sАтомэнп02 [МБ ФР: Т+: Корпоративные облигации]</t>
  </si>
  <si>
    <t>4B02-02-55319-E-001P</t>
  </si>
  <si>
    <t>RU000A105K85</t>
  </si>
  <si>
    <t>sАтомэнп02</t>
  </si>
  <si>
    <t>sБанкДОМP1 [МБ ФР: Т+: Корпоративные облигации]</t>
  </si>
  <si>
    <t>4B02-01-02312-B-001P</t>
  </si>
  <si>
    <t>RU000A105VR3</t>
  </si>
  <si>
    <t>sБанкДОМP1</t>
  </si>
  <si>
    <t>sВЭБ2P-33 [МБ ФР: Т+: Корпоративные облигации]</t>
  </si>
  <si>
    <t>4B02-02-00004-T-002P</t>
  </si>
  <si>
    <t>RU000A104Z48</t>
  </si>
  <si>
    <t>sВЭБ2P-33</t>
  </si>
  <si>
    <t>sВЭБP-39 [МБ ФР: Т+: Корпоративные облигации]</t>
  </si>
  <si>
    <t>4B02-12-00004-T-002P</t>
  </si>
  <si>
    <t>RU000A107AU7</t>
  </si>
  <si>
    <t>sВЭБP-39</t>
  </si>
  <si>
    <t>sГПБ005P1P [МБ ФР: Т+: Корпоративные облигации]</t>
  </si>
  <si>
    <t>4B02-01-00354-B-005P</t>
  </si>
  <si>
    <t>RU000A107A28</t>
  </si>
  <si>
    <t>sГПБ005P1P</t>
  </si>
  <si>
    <t>sЕвТран2P1 [МБ ФР: Т+: Корпоративные облигации]</t>
  </si>
  <si>
    <t>4-01-80110-H-001P</t>
  </si>
  <si>
    <t>RU000A1082G5</t>
  </si>
  <si>
    <t>sЕвТран2P1</t>
  </si>
  <si>
    <t>sЕвТрнс2P2 [МБ ФР: Т+: Корпоративные облигации]</t>
  </si>
  <si>
    <t>4-02-80110-H-001P</t>
  </si>
  <si>
    <t>RU000A108D81</t>
  </si>
  <si>
    <t>sЕвТрнс2P2</t>
  </si>
  <si>
    <t>sИАДОМ1P19 [МБ ФР: Т+: Корпоративные облигации]</t>
  </si>
  <si>
    <t>4B02-19-00307-R-001P</t>
  </si>
  <si>
    <t>RU000A104X32</t>
  </si>
  <si>
    <t>sИАДОМ1P19</t>
  </si>
  <si>
    <t>sИАДОМ1P26 [МБ ФР: Т+: Корпоративные облигации]</t>
  </si>
  <si>
    <t>4B02-26-00307-R-001P</t>
  </si>
  <si>
    <t>RU000A105JF3</t>
  </si>
  <si>
    <t>sИАДОМ1P26</t>
  </si>
  <si>
    <t>sИАДОМ1P37 [МБ ФР: Т+: Корпоративные облигации]</t>
  </si>
  <si>
    <t>4B02-36-00307-R-001P</t>
  </si>
  <si>
    <t>RU000A106YR5</t>
  </si>
  <si>
    <t>sИАДОМ1P37</t>
  </si>
  <si>
    <t>sКапиталР1 [МБ ФР: Т+: Корпоративные облигации]</t>
  </si>
  <si>
    <t>4B02-01-43073-N-001P</t>
  </si>
  <si>
    <t>RU000A104A39</t>
  </si>
  <si>
    <t>sКапиталР1</t>
  </si>
  <si>
    <t>sЛЕГЕНД2P1 [МБ ФР: Т+: Корпоративные облигации]</t>
  </si>
  <si>
    <t>4B02-01-00368-R-002P</t>
  </si>
  <si>
    <t>RU000A1067H4</t>
  </si>
  <si>
    <t>sЛЕГЕНД2P1</t>
  </si>
  <si>
    <t>sМГор74-об [МБ ФР: Т+: Корпоративные облигации]</t>
  </si>
  <si>
    <t>RU26074MOS0</t>
  </si>
  <si>
    <t>RU000A1033Z8</t>
  </si>
  <si>
    <t>sМГор74-об</t>
  </si>
  <si>
    <t>суб.РФ</t>
  </si>
  <si>
    <t>Региональная облигация</t>
  </si>
  <si>
    <t>sРосбнк3P1 [МБ ФР: Т+: Корпоративные облигации]</t>
  </si>
  <si>
    <t>4B02-01-02272-B-003P</t>
  </si>
  <si>
    <t>RU000A1062L7</t>
  </si>
  <si>
    <t>sРосбнк3P1</t>
  </si>
  <si>
    <t>sРостл1P6R [МБ ФР: Т+: Корпоративные облигации]</t>
  </si>
  <si>
    <t>4B02-06-00124-A-001P</t>
  </si>
  <si>
    <t>RU000A105LC6</t>
  </si>
  <si>
    <t>sРостл1P6R</t>
  </si>
  <si>
    <t>sРуСол клА [МБ ФР: Т+: Корпоративные облигации]</t>
  </si>
  <si>
    <t>6-01-00514-R</t>
  </si>
  <si>
    <t>RU000A101DA6</t>
  </si>
  <si>
    <t>sРуСол клА</t>
  </si>
  <si>
    <t>sРуСол клБ [МБ ФР: Т+: Корпоративные облигации]</t>
  </si>
  <si>
    <t>6-02-00514-R</t>
  </si>
  <si>
    <t>RU000A101DB4</t>
  </si>
  <si>
    <t>sРуСол клБ</t>
  </si>
  <si>
    <t>sРуСол клВ [МБ ФР: Т+: Корпоративные облигации]</t>
  </si>
  <si>
    <t>6-03-00514-R</t>
  </si>
  <si>
    <t>RU000A101D96</t>
  </si>
  <si>
    <t>sРуСол клВ</t>
  </si>
  <si>
    <t>sСОПФДОМ10 [МБ ФР: Т+: Корпоративные облигации]</t>
  </si>
  <si>
    <t>4-10-00598-R-001P</t>
  </si>
  <si>
    <t>RU000A109N54</t>
  </si>
  <si>
    <t>sСОПФДОМ10</t>
  </si>
  <si>
    <t>sСОПФДОМ3 [МБ ФР: Т+: Корпоративные облигации]</t>
  </si>
  <si>
    <t>4-03-00598-R-001P</t>
  </si>
  <si>
    <t>RU000A105B03</t>
  </si>
  <si>
    <t>sСОПФДОМ3</t>
  </si>
  <si>
    <t>sСОПФДОМ4 [МБ ФР: Т+: Корпоративные облигации]</t>
  </si>
  <si>
    <t>4-04-00598-R-001P</t>
  </si>
  <si>
    <t>RU000A105LY0</t>
  </si>
  <si>
    <t>sСОПФДОМ4</t>
  </si>
  <si>
    <t>sСОПФДОМ5 [МБ ФР: Т+: Корпоративные облигации]</t>
  </si>
  <si>
    <t>4-05-00598-R-001P</t>
  </si>
  <si>
    <t>RU000A1068T7</t>
  </si>
  <si>
    <t>sСОПФДОМ5</t>
  </si>
  <si>
    <t>sСОПФДОМ6 [МБ ФР: Т+: Корпоративные облигации]</t>
  </si>
  <si>
    <t>4-06-00598-R-001P</t>
  </si>
  <si>
    <t>RU000A106P97</t>
  </si>
  <si>
    <t>sСОПФДОМ6</t>
  </si>
  <si>
    <t>sСОПФДОМ8 [МБ ФР: Т+: Корпоративные облигации]</t>
  </si>
  <si>
    <t>4-08-00598-R-001P</t>
  </si>
  <si>
    <t>RU000A107TK8</t>
  </si>
  <si>
    <t>sСОПФДОМ8</t>
  </si>
  <si>
    <t>sСОПФДОМ9 [МБ ФР: Т+: Корпоративные облигации]</t>
  </si>
  <si>
    <t>4-09-00598-R-001P</t>
  </si>
  <si>
    <t>RU000A107TL6</t>
  </si>
  <si>
    <t>sСОПФДОМ9</t>
  </si>
  <si>
    <t>sСТМ 1P2 [МБ ФР: Т+: Корпоративные облигации]</t>
  </si>
  <si>
    <t>4B02-02-55323-E-001P</t>
  </si>
  <si>
    <t>RU000A103G00</t>
  </si>
  <si>
    <t>sСТМ 1P2</t>
  </si>
  <si>
    <t>sСоц.раз01 [МБ ФР: Т+: Корпоративные облигации]</t>
  </si>
  <si>
    <t>4-01-00550-R</t>
  </si>
  <si>
    <t>RU000A101UU8</t>
  </si>
  <si>
    <t>sСоц.раз01</t>
  </si>
  <si>
    <t>sСоц.раз02 [МБ ФР: Т+: Корпоративные облигации]</t>
  </si>
  <si>
    <t>4-02-00550-R</t>
  </si>
  <si>
    <t>RU000A101UW4</t>
  </si>
  <si>
    <t>sСоц.раз02</t>
  </si>
  <si>
    <t>sТКК кл.А1 [МБ ФР: Т+: Корпоративные облигации]</t>
  </si>
  <si>
    <t>4-01-36523-R</t>
  </si>
  <si>
    <t>RU000A0JWU31</t>
  </si>
  <si>
    <t>sТКК кл.А1</t>
  </si>
  <si>
    <t>sТКК кл.А2 [МБ ФР: Т+: Корпоративные облигации]</t>
  </si>
  <si>
    <t>4-03-36523-R</t>
  </si>
  <si>
    <t>RU000A0ZYBA9</t>
  </si>
  <si>
    <t>sТКК кл.А2</t>
  </si>
  <si>
    <t>sТКК кл.А3 [МБ ФР: Т+: Корпоративные облигации]</t>
  </si>
  <si>
    <t>4-04-36523-R</t>
  </si>
  <si>
    <t>RU000A0ZYGF7</t>
  </si>
  <si>
    <t>sТКК кл.А3</t>
  </si>
  <si>
    <t>sТКК кл.А4 [МБ ФР: Т+: Корпоративные облигации]</t>
  </si>
  <si>
    <t>4-05-36523-R</t>
  </si>
  <si>
    <t>RU000A0ZYGG5</t>
  </si>
  <si>
    <t>sТКК кл.А4</t>
  </si>
  <si>
    <t>sТКК кл.Б [МБ ФР: Т+: Корпоративные облигации]</t>
  </si>
  <si>
    <t>4-02-36523-R</t>
  </si>
  <si>
    <t>RU000A0JWU23</t>
  </si>
  <si>
    <t>sТКК кл.Б</t>
  </si>
  <si>
    <t>А101 1P01 [МБ ФР: Т+: Корпоративные облигации]</t>
  </si>
  <si>
    <t>4B02-01-00143-L-001P</t>
  </si>
  <si>
    <t>RU000A108KU4</t>
  </si>
  <si>
    <t>А101 1P01</t>
  </si>
  <si>
    <t>АБЗ-1 1Р03 [МБ ФР: Т+: Корпоративные облигации]</t>
  </si>
  <si>
    <t>4B02-03-01671-D-001P</t>
  </si>
  <si>
    <t>RU000A105SX7</t>
  </si>
  <si>
    <t>АБЗ-1 1Р03</t>
  </si>
  <si>
    <t>АБЗ-1 1Р04 [МБ ФР: Т+: Корпоративные облигации]</t>
  </si>
  <si>
    <t>4B02-04-01671-D-001P</t>
  </si>
  <si>
    <t>RU000A1065B1</t>
  </si>
  <si>
    <t>АБЗ-1 1Р04</t>
  </si>
  <si>
    <t>АБЗ-1 1Р05 [МБ ФР: Т+: Корпоративные облигации]</t>
  </si>
  <si>
    <t>4B02-05-01671-D-001P</t>
  </si>
  <si>
    <t>RU000A1070X5</t>
  </si>
  <si>
    <t>АБЗ-1 1Р05</t>
  </si>
  <si>
    <t>АБЗ-1 2Р01 [МБ ФР: Т+: Корпоративные облигации]</t>
  </si>
  <si>
    <t>4B02-01-01671-D-002P</t>
  </si>
  <si>
    <t>RU000A109PP1</t>
  </si>
  <si>
    <t>АБЗ-1 2Р01</t>
  </si>
  <si>
    <t>АВНГРДБ1P2 [МБ ФР: Т+: Корпоративные облигации]</t>
  </si>
  <si>
    <t>4B020202879B001P</t>
  </si>
  <si>
    <t>RU000A1007Q1</t>
  </si>
  <si>
    <t>АВНГРДБ1P2</t>
  </si>
  <si>
    <t>АВТОБФ БП3 [МБ ФР: Т+: Корпоративные облигации]</t>
  </si>
  <si>
    <t>4B02-03-82416-H-001P</t>
  </si>
  <si>
    <t>RU000A103PC2</t>
  </si>
  <si>
    <t>АВТОБФ БП3</t>
  </si>
  <si>
    <t>АВТОБФ БП4 [МБ ФР: Т+: Корпоративные облигации]</t>
  </si>
  <si>
    <t>4B02-04-82416-H-001P</t>
  </si>
  <si>
    <t>RU000A106K35</t>
  </si>
  <si>
    <t>АВТОБФ БП4</t>
  </si>
  <si>
    <t>АВТОБФ БП5 [МБ ФР: Т+: Корпоративные облигации]</t>
  </si>
  <si>
    <t>4B02-05-82416-H-001P</t>
  </si>
  <si>
    <t>RU000A108JC4</t>
  </si>
  <si>
    <t>АВТОБФ БП5</t>
  </si>
  <si>
    <t>АВТОБФ БП6 [МБ ФР: Т+: Корпоративные облигации]</t>
  </si>
  <si>
    <t>4B02-06-82416-H-001P</t>
  </si>
  <si>
    <t>RU000A108JD2</t>
  </si>
  <si>
    <t>АВТОБФ БП6</t>
  </si>
  <si>
    <t>АВТОДОМ1Р1 [МБ ФР: Т+: Корпоративные облигации]</t>
  </si>
  <si>
    <t>4B02-01-12586-A-001P</t>
  </si>
  <si>
    <t>RU000A104CJ3</t>
  </si>
  <si>
    <t>АВТОДОМ1Р1</t>
  </si>
  <si>
    <t>АВТОДОМ1Р2 [МБ ФР: Т+: Корпоративные облигации]</t>
  </si>
  <si>
    <t>4B02-02-12586-A-001P</t>
  </si>
  <si>
    <t>RU000A107T76</t>
  </si>
  <si>
    <t>АВТОДОМ1Р2</t>
  </si>
  <si>
    <t>АГТК БО-01 [МБ ФР: Т+: Корпоративные облигации]</t>
  </si>
  <si>
    <t>4B02-01-00094-L</t>
  </si>
  <si>
    <t>RU000A105QZ6</t>
  </si>
  <si>
    <t>АГТК БО-01</t>
  </si>
  <si>
    <t>АГТК БО-02 [МБ ФР: Т+: Корпоративные облигации]</t>
  </si>
  <si>
    <t>4B02-02-00094-L</t>
  </si>
  <si>
    <t>RU000A1065Y3</t>
  </si>
  <si>
    <t>АГТК БО-02</t>
  </si>
  <si>
    <t>АГТК БО-03 [МБ ФР: Т+: Корпоративные облигации]</t>
  </si>
  <si>
    <t>4B02-03-00094-L</t>
  </si>
  <si>
    <t>RU000A106YL8</t>
  </si>
  <si>
    <t>АГТК БО-03</t>
  </si>
  <si>
    <t>АГТК БО-04 [МБ ФР: Т+: Корпоративные облигации]</t>
  </si>
  <si>
    <t>4B02-04-00094-L</t>
  </si>
  <si>
    <t>RU000A1083X8</t>
  </si>
  <si>
    <t>АГТК БО-04</t>
  </si>
  <si>
    <t>АГТК БО-05 [МБ ФР: Т+: Корпоративные облигации]</t>
  </si>
  <si>
    <t>4B02-05-00094-L</t>
  </si>
  <si>
    <t>RU000A1083V2</t>
  </si>
  <si>
    <t>АГТК БО-05</t>
  </si>
  <si>
    <t>АЗБУКАВКП1 [МБ ФР: Т+: Корпоративные облигации]</t>
  </si>
  <si>
    <t>4B02-01-36155-R-001P</t>
  </si>
  <si>
    <t>RU000A100HE1</t>
  </si>
  <si>
    <t>АЗБУКАВКП1</t>
  </si>
  <si>
    <t>АЗБУКАВКП2 [МБ ФР: Т+: Корпоративные облигации]</t>
  </si>
  <si>
    <t>4B02-02-36155-R-001P</t>
  </si>
  <si>
    <t>RU000A105WR1</t>
  </si>
  <si>
    <t>АЗБУКАВКП2</t>
  </si>
  <si>
    <t>АЗБУКАВКП3 [МБ ФР: Т+: Корпоративные облигации]</t>
  </si>
  <si>
    <t>4B02-03-36155-R-001P</t>
  </si>
  <si>
    <t>RU000A109825</t>
  </si>
  <si>
    <t>АЗБУКАВКП3</t>
  </si>
  <si>
    <t>АИЖК14-2А3 [МБ ФР: Т+: Корпоративные облигации]</t>
  </si>
  <si>
    <t>4-04-82888-H</t>
  </si>
  <si>
    <t>RU000A0JV755</t>
  </si>
  <si>
    <t>АИЖК14-2А3</t>
  </si>
  <si>
    <t>АЙГЕНИС-01 [МБ ФР: Т+: Корпоративные облигации]</t>
  </si>
  <si>
    <t>4B02-01-00103-L</t>
  </si>
  <si>
    <t>RU000A1098U2</t>
  </si>
  <si>
    <t>АЙГЕНИС-01</t>
  </si>
  <si>
    <t>АЛРОCЗ027Д [МБ ФР: Т+: Корпоративные облигации]</t>
  </si>
  <si>
    <t>4-24-40046-N</t>
  </si>
  <si>
    <t>RU000A108TV3</t>
  </si>
  <si>
    <t>АЛРОCЗ027Д</t>
  </si>
  <si>
    <t>АЛРОСА Б03 [МБ ФР: Т+: Корпоративные облигации]</t>
  </si>
  <si>
    <t>4B02-03-40046-N</t>
  </si>
  <si>
    <t>RU000A101PG7</t>
  </si>
  <si>
    <t>АЛРОСА Б03</t>
  </si>
  <si>
    <t>АЛРОСА Б04 [МБ ФР: Т+: Корпоративные облигации]</t>
  </si>
  <si>
    <t>4B02-04-40046-N</t>
  </si>
  <si>
    <t>RU000A101PF9</t>
  </si>
  <si>
    <t>АЛРОСА Б04</t>
  </si>
  <si>
    <t>АЛРОСА Б05 [МБ ФР: Т+: Корпоративные облигации]</t>
  </si>
  <si>
    <t>4B02-05-40046-N</t>
  </si>
  <si>
    <t>RU000A101PD4</t>
  </si>
  <si>
    <t>АЛРОСА Б05</t>
  </si>
  <si>
    <t>АЛРОСА Б06 [МБ ФР: Т+: Корпоративные облигации]</t>
  </si>
  <si>
    <t>4B02-06-40046-N</t>
  </si>
  <si>
    <t>RU000A101PB8</t>
  </si>
  <si>
    <t>АЛРОСА Б06</t>
  </si>
  <si>
    <t>АЛРОСА Б07 [МБ ФР: Т+: Корпоративные облигации]</t>
  </si>
  <si>
    <t>4B02-07-40046-N</t>
  </si>
  <si>
    <t>RU000A101PC6</t>
  </si>
  <si>
    <t>АЛРОСА Б07</t>
  </si>
  <si>
    <t>АЛРОСА1Р1 [МБ ФР: Т+: Корпоративные облигации]</t>
  </si>
  <si>
    <t>4B02-01-40046-N-001P</t>
  </si>
  <si>
    <t>RU000A109L49</t>
  </si>
  <si>
    <t>АЛРОСА1Р1</t>
  </si>
  <si>
    <t>АЛРОСА1Р2 [МБ ФР: Т+: Корпоративные облигации]</t>
  </si>
  <si>
    <t>4B02-02-40046-N-001P</t>
  </si>
  <si>
    <t>RU000A109SH2</t>
  </si>
  <si>
    <t>АЛРОСА1Р2</t>
  </si>
  <si>
    <t>АЛЬФА БО39 [МБ ФР: Т+: Корпоративные облигации]</t>
  </si>
  <si>
    <t>4B023901326B</t>
  </si>
  <si>
    <t>RU000A0ZYWB3</t>
  </si>
  <si>
    <t>АЛЬФА БО39</t>
  </si>
  <si>
    <t>АЛЬФА БО40 [МБ ФР: Т+: Корпоративные облигации]</t>
  </si>
  <si>
    <t>4B024001326B</t>
  </si>
  <si>
    <t>RU000A0ZYU21</t>
  </si>
  <si>
    <t>АЛЬФА БО40</t>
  </si>
  <si>
    <t>АЛЬФА-БС01 [МБ ФР: Т+: Корпоративные облигации]</t>
  </si>
  <si>
    <t>40101326B001P</t>
  </si>
  <si>
    <t>RU000A100GW5</t>
  </si>
  <si>
    <t>АЛЬФА-БС01</t>
  </si>
  <si>
    <t>АЛЬФАБ ЗО1 [МБ ФР: Т+: Корпоративные облигации]</t>
  </si>
  <si>
    <t>4-08-01326-B</t>
  </si>
  <si>
    <t>RU000A107670</t>
  </si>
  <si>
    <t>АЛЬФАБ ЗО1</t>
  </si>
  <si>
    <t>АЛЬФАБ ЗО2 [МБ ФР: Т+: Корпоративные облигации]</t>
  </si>
  <si>
    <t>4-09-01326-B</t>
  </si>
  <si>
    <t>RU000A107A69</t>
  </si>
  <si>
    <t>АЛЬФАБ ЗО2</t>
  </si>
  <si>
    <t>АЛЬФАБ1Р04 [МБ ФР: Т+: Корпоративные облигации]</t>
  </si>
  <si>
    <t>4B02-04-01326-B-001P</t>
  </si>
  <si>
    <t>RU000A106E33</t>
  </si>
  <si>
    <t>АЛЬФАБ1Р04</t>
  </si>
  <si>
    <t>АЛЬФАБ1Р11 [МБ ФР: Т+: Корпоративные облигации]</t>
  </si>
  <si>
    <t>4B02-11-01326-B-001P</t>
  </si>
  <si>
    <t>RU000A107JV6</t>
  </si>
  <si>
    <t>АЛЬФАБ1Р11</t>
  </si>
  <si>
    <t>АЛЬФАБ1Р13 [МБ ФР: Т+: Корпоративные облигации]</t>
  </si>
  <si>
    <t>4B02-13-01326-B-001P</t>
  </si>
  <si>
    <t>RU000A1083F5</t>
  </si>
  <si>
    <t>АЛЬФАБ1Р13</t>
  </si>
  <si>
    <t>АЛЬФАБ1Р14 [МБ ФР: Т+: Корпоративные облигации]</t>
  </si>
  <si>
    <t>4B02-14-01326-B-001P</t>
  </si>
  <si>
    <t>RU000A109K81</t>
  </si>
  <si>
    <t>АЛЬФАБ1Р14</t>
  </si>
  <si>
    <t>АЛЬФАБ1Р15 [МБ ФР: Т+: Корпоративные облигации]</t>
  </si>
  <si>
    <t>4B02-15-01326-B-001P</t>
  </si>
  <si>
    <t>RU000A109RW3</t>
  </si>
  <si>
    <t>АЛЬФАБ1Р15</t>
  </si>
  <si>
    <t>АЛЬФАБ1Р16 [МБ ФР: Т+: Корпоративные облигации]</t>
  </si>
  <si>
    <t>4B02-16-01326-B-001P</t>
  </si>
  <si>
    <t>RU000A109WZ6</t>
  </si>
  <si>
    <t>АЛЬФАБ1Р16</t>
  </si>
  <si>
    <t>АЛЬФАБ1Р17 [МБ ФР: Т+: Корпоративные облигации]</t>
  </si>
  <si>
    <t>4B02-17-01326-B-001P</t>
  </si>
  <si>
    <t>RU000A109YT5</t>
  </si>
  <si>
    <t>АЛЬФАБ1Р17</t>
  </si>
  <si>
    <t>АЛЬФАБ1Р18 [МБ ФР: Т+: Корпоративные облигации]</t>
  </si>
  <si>
    <t>4B02-18-01326-B-001P</t>
  </si>
  <si>
    <t>RU000A10A0R7</t>
  </si>
  <si>
    <t>АЛЬФАБ1Р18</t>
  </si>
  <si>
    <t>АЛЬФАБ1Р19 [МБ ФР: Т+: Корпоративные облигации]</t>
  </si>
  <si>
    <t>4B02-19-01326-B-001P</t>
  </si>
  <si>
    <t>RU000A10A6P8</t>
  </si>
  <si>
    <t>АЛЬФАБ1Р19</t>
  </si>
  <si>
    <t>АЛЬФАБ1Р5 [МБ ФР: Т+: Корпоративные облигации]</t>
  </si>
  <si>
    <t>4B02-05-01326-B-001P</t>
  </si>
  <si>
    <t>RU000A106VQ3</t>
  </si>
  <si>
    <t>АЛЬФАБ1Р5</t>
  </si>
  <si>
    <t>АЛЬФАБ1Р6 [МБ ФР: Т+: Корпоративные облигации]</t>
  </si>
  <si>
    <t>4B02-06-01326-B-001P</t>
  </si>
  <si>
    <t>RU000A106VS9</t>
  </si>
  <si>
    <t>АЛЬФАБ1Р6</t>
  </si>
  <si>
    <t>АЛЬФАБ1Р9 [МБ ФР: Т+: Корпоративные облигации]</t>
  </si>
  <si>
    <t>4B02-09-01326-B-001P</t>
  </si>
  <si>
    <t>RU000A1074T5</t>
  </si>
  <si>
    <t>АЛЬФАБ1Р9</t>
  </si>
  <si>
    <t>АЛЬФАБ2Р13 [МБ ФР: Т+: Корпоративные облигации]</t>
  </si>
  <si>
    <t>4B02-13-01326-B-002P</t>
  </si>
  <si>
    <t>RU000A1037F1</t>
  </si>
  <si>
    <t>АЛЬФАБ2Р13</t>
  </si>
  <si>
    <t>АЛЬФАБ2Р17 [МБ ФР: Т+: Корпоративные облигации]</t>
  </si>
  <si>
    <t>4B02-17-01326-B-002P</t>
  </si>
  <si>
    <t>RU000A104HY1</t>
  </si>
  <si>
    <t>АЛЬФАБ2Р17</t>
  </si>
  <si>
    <t>АЛЬФАБ2Р21 [МБ ФР: Т+: Корпоративные облигации]</t>
  </si>
  <si>
    <t>4B02-21-01326-B-002P</t>
  </si>
  <si>
    <t>RU000A105UW5</t>
  </si>
  <si>
    <t>АЛЬФАБ2Р21</t>
  </si>
  <si>
    <t>АЛЬФАБ2Р22 [МБ ФР: Т+: Корпоративные облигации]</t>
  </si>
  <si>
    <t>4B02-22-01326-B-002P</t>
  </si>
  <si>
    <t>RU000A106268</t>
  </si>
  <si>
    <t>АЛЬФАБ2Р22</t>
  </si>
  <si>
    <t>АЛЬФАБ2Р23 [МБ ФР: Т+: Корпоративные облигации]</t>
  </si>
  <si>
    <t>4B02-23-01326-B-002P</t>
  </si>
  <si>
    <t>RU000A106AJ2</t>
  </si>
  <si>
    <t>АЛЬФАБ2Р23</t>
  </si>
  <si>
    <t>АЛЬФАБ2Р24 [МБ ФР: Т+: Корпоративные облигации]</t>
  </si>
  <si>
    <t>4B02-24-01326-B-002P</t>
  </si>
  <si>
    <t>RU000A106KV6</t>
  </si>
  <si>
    <t>АЛЬФАБ2Р24</t>
  </si>
  <si>
    <t>АЛЬФАБ2Р25 [МБ ФР: Т+: Корпоративные облигации]</t>
  </si>
  <si>
    <t>4B02-25-01326-B-002P</t>
  </si>
  <si>
    <t>RU000A107AM4</t>
  </si>
  <si>
    <t>АЛЬФАБ2Р25</t>
  </si>
  <si>
    <t>АЛЬФАБ2Р26 [МБ ФР: Т+: Корпоративные облигации]</t>
  </si>
  <si>
    <t>4B02-26-01326-B-002P</t>
  </si>
  <si>
    <t>RU000A107TH4</t>
  </si>
  <si>
    <t>АЛЬФАБ2Р26</t>
  </si>
  <si>
    <t>АЛЬФАБ2Р29 [МБ ФР: Т+: Корпоративные облигации]</t>
  </si>
  <si>
    <t>4B02-29-01326-B-002P</t>
  </si>
  <si>
    <t>RU000A108BB3</t>
  </si>
  <si>
    <t>АЛЬФАБ2Р29</t>
  </si>
  <si>
    <t>АЛЬФАДОН01 [МБ ФР: Т+: Корпоративные облигации]</t>
  </si>
  <si>
    <t>4B02-01-00652-R-001P</t>
  </si>
  <si>
    <t>RU000A106Y70</t>
  </si>
  <si>
    <t>АЛЬФАДОН01</t>
  </si>
  <si>
    <t>АЛЬФАЗО350 [МБ ФР: Т+: Корпоративные облигации]</t>
  </si>
  <si>
    <t>4-11-01326-B</t>
  </si>
  <si>
    <t>RU000A108JQ4</t>
  </si>
  <si>
    <t>АЛЬФАЗО350</t>
  </si>
  <si>
    <t>АЛЬФАЗО400 [МБ ФР: Т+: Корпоративные облигации]</t>
  </si>
  <si>
    <t>4-10-01326-B</t>
  </si>
  <si>
    <t>RU000A108BD9</t>
  </si>
  <si>
    <t>АЛЬФАЗО400</t>
  </si>
  <si>
    <t>АЛЬФАЗО500 [МБ ФР: Т+: Корпоративные облигации]</t>
  </si>
  <si>
    <t>4-12-01326-B</t>
  </si>
  <si>
    <t>RU000A108N55</t>
  </si>
  <si>
    <t>АЛЬФАЗО500</t>
  </si>
  <si>
    <t>АЛЬФАЗО850 [МБ ФР: Т+: Корпоративные облигации]</t>
  </si>
  <si>
    <t>4-13-01326-B</t>
  </si>
  <si>
    <t>RU000A108Q29</t>
  </si>
  <si>
    <t>АЛЬФАЗО850</t>
  </si>
  <si>
    <t>АЛЬЯНС 1P1 [МБ ФР: Т+: Корпоративные облигации]</t>
  </si>
  <si>
    <t>4B02-01-59083-H-001P</t>
  </si>
  <si>
    <t>RU000A105YQ9</t>
  </si>
  <si>
    <t>АЛЬЯНС 1P1</t>
  </si>
  <si>
    <t>АЛЬЯНС 1P2 [МБ ФР: Т+: Корпоративные облигации]</t>
  </si>
  <si>
    <t>4B02-02-59083-H-001P</t>
  </si>
  <si>
    <t>RU000A106XJ4</t>
  </si>
  <si>
    <t>АЛЬЯНС 1P2</t>
  </si>
  <si>
    <t>АЛЬЯНС 1P3 [МБ ФР: Т+: Корпоративные облигации]</t>
  </si>
  <si>
    <t>4B02-03-59083-H-001P</t>
  </si>
  <si>
    <t>RU000A107QL2</t>
  </si>
  <si>
    <t>АЛЬЯНС 1P3</t>
  </si>
  <si>
    <t>АЛЬЯНС 1P4 [МБ ФР: Т+: Корпоративные облигации]</t>
  </si>
  <si>
    <t>4B02-04-59083-H-001P</t>
  </si>
  <si>
    <t>RU000A107QM0</t>
  </si>
  <si>
    <t>АЛЬЯНС 1P4</t>
  </si>
  <si>
    <t>АЛЬЯНС 1P5 [МБ ФР: Т+: Корпоративные облигации]</t>
  </si>
  <si>
    <t>4B02-05-59083-H-001P</t>
  </si>
  <si>
    <t>RU000A108GM9</t>
  </si>
  <si>
    <t>АЛЬЯНС 1P5</t>
  </si>
  <si>
    <t>АЛЬЯНС 1P6 [МБ ФР: Т+: Корпоративные облигации]</t>
  </si>
  <si>
    <t>4B02-06-59083-H-001P</t>
  </si>
  <si>
    <t>RU000A109B82</t>
  </si>
  <si>
    <t>АЛЬЯНС 1P6</t>
  </si>
  <si>
    <t>АЛЬЯНС 1P7 [МБ ФР: Т+: Корпоративные облигации]</t>
  </si>
  <si>
    <t>4B02-07-59083-H-001P</t>
  </si>
  <si>
    <t>RU000A109NR2</t>
  </si>
  <si>
    <t>АЛЬЯНС 1P7</t>
  </si>
  <si>
    <t>АНТЕРРА-03 [МБ ФР: Т+: Корпоративные облигации]</t>
  </si>
  <si>
    <t>4B02-02-00074-L</t>
  </si>
  <si>
    <t>RU000A10A3Q3</t>
  </si>
  <si>
    <t>АНТЕРРА-03</t>
  </si>
  <si>
    <t>АПРИ 05 [МБ ФР: Т+: Корпоративные облигации]</t>
  </si>
  <si>
    <t>4-02-12464-K</t>
  </si>
  <si>
    <t>RU000A103N19</t>
  </si>
  <si>
    <t>АПРИ 05</t>
  </si>
  <si>
    <t>АПРИ 2Р1 [МБ ФР: Т+: Корпоративные облигации]</t>
  </si>
  <si>
    <t>4B02-01-12464-K-002P</t>
  </si>
  <si>
    <t>RU000A105DS9</t>
  </si>
  <si>
    <t>АПРИ 2Р1</t>
  </si>
  <si>
    <t>АПРИ 2Р2 [МБ ФР: Т+: Корпоративные облигации]</t>
  </si>
  <si>
    <t>4B02-02-12464-K-002P</t>
  </si>
  <si>
    <t>RU000A106631</t>
  </si>
  <si>
    <t>АПРИ 2Р2</t>
  </si>
  <si>
    <t>АПРИ 2Р3 [МБ ФР: Т+: Корпоративные облигации]</t>
  </si>
  <si>
    <t>4B02-03-12464-K-002P</t>
  </si>
  <si>
    <t>RU000A106WZ2</t>
  </si>
  <si>
    <t>АПРИ 2Р3</t>
  </si>
  <si>
    <t>АПРИ 2Р4 [МБ ФР: Т+: Корпоративные облигации]</t>
  </si>
  <si>
    <t>4B02-04-12464-K-002P</t>
  </si>
  <si>
    <t>RU000A107FZ5</t>
  </si>
  <si>
    <t>АПРИ 2Р4</t>
  </si>
  <si>
    <t>АПРИ 2Р5 [МБ ФР: Т+: Корпоративные облигации]</t>
  </si>
  <si>
    <t>4B02-05-12464-K-002P</t>
  </si>
  <si>
    <t>RU000A10A1P9</t>
  </si>
  <si>
    <t>АПРИ 2Р5</t>
  </si>
  <si>
    <t>АПРИ 2Р6 [МБ ФР: Т+: Корпоративные облигации]</t>
  </si>
  <si>
    <t>4B02-06-12464-K-002P</t>
  </si>
  <si>
    <t>RU000A10A554</t>
  </si>
  <si>
    <t>АПРИ 2Р6</t>
  </si>
  <si>
    <t>АПРИ БП5 [МБ ФР: Т+: Корпоративные облигации]</t>
  </si>
  <si>
    <t>4B02-05-12464-K-001P</t>
  </si>
  <si>
    <t>RU000A104WA0</t>
  </si>
  <si>
    <t>АПРИ БП5</t>
  </si>
  <si>
    <t>АРАГОН БП1 [МБ ФР: Т+: Корпоративные облигации]</t>
  </si>
  <si>
    <t>4B02-01-00350-R-001P</t>
  </si>
  <si>
    <t>RU000A1007U3</t>
  </si>
  <si>
    <t>АРАГОН БП1</t>
  </si>
  <si>
    <t>АРАГОН БП2 [МБ ФР: Т+: Корпоративные облигации]</t>
  </si>
  <si>
    <t>4B02-02-00350-R-001P</t>
  </si>
  <si>
    <t>RU000A100ME1</t>
  </si>
  <si>
    <t>АРАГОН БП2</t>
  </si>
  <si>
    <t>АРЕНЗА1Р01 [МБ ФР: Т+: Корпоративные облигации]</t>
  </si>
  <si>
    <t>4B02-01-00433-R-001P</t>
  </si>
  <si>
    <t>RU000A105TR7</t>
  </si>
  <si>
    <t>АРЕНЗА1Р01</t>
  </si>
  <si>
    <t>АРЕНЗА1Р02 [МБ ФР: Т+: Корпоративные облигации]</t>
  </si>
  <si>
    <t>4B02-02-00433-R-001P</t>
  </si>
  <si>
    <t>RU000A106GC4</t>
  </si>
  <si>
    <t>АРЕНЗА1Р02</t>
  </si>
  <si>
    <t>АРЕНЗА1Р03 [МБ ФР: Т+: Корпоративные облигации]</t>
  </si>
  <si>
    <t>4B02-03-00433-R-001P</t>
  </si>
  <si>
    <t>RU000A107217</t>
  </si>
  <si>
    <t>АРЕНЗА1Р03</t>
  </si>
  <si>
    <t>АРЕНЗА1Р04 [МБ ФР: Т+: Корпоративные облигации]</t>
  </si>
  <si>
    <t>4B02-04-00433-R-001P</t>
  </si>
  <si>
    <t>RU000A107ST1</t>
  </si>
  <si>
    <t>АРЕНЗА1Р04</t>
  </si>
  <si>
    <t>АРЕНЗА1Р05 [МБ ФР: Т+: Корпоративные облигации]</t>
  </si>
  <si>
    <t>4B02-05-00433-R-001P</t>
  </si>
  <si>
    <t>RU000A1097C2</t>
  </si>
  <si>
    <t>АРЕНЗА1Р05</t>
  </si>
  <si>
    <t>АРЕНЗА1Р06 [МБ ФР: Т+: Корпоративные облигации]</t>
  </si>
  <si>
    <t>4B02-06-00433-R-001P</t>
  </si>
  <si>
    <t>RU000A10A026</t>
  </si>
  <si>
    <t>АРЕНЗА1Р06</t>
  </si>
  <si>
    <t>АРЕНЗАПРО1 [МБ ФР: Т+: Корпоративные облигации]</t>
  </si>
  <si>
    <t>4B02-01-00433-R</t>
  </si>
  <si>
    <t>RU000A104C78</t>
  </si>
  <si>
    <t>АРЕНЗАПРО1</t>
  </si>
  <si>
    <t>АСВ 1Р01 [МБ ФР: Т+: Корпоративные облигации]</t>
  </si>
  <si>
    <t>4B02-01-00048-L-001P</t>
  </si>
  <si>
    <t>RU000A106RB3</t>
  </si>
  <si>
    <t>АСВ 1Р01</t>
  </si>
  <si>
    <t>АСВ 1Р02 [МБ ФР: Т+: Корпоративные облигации]</t>
  </si>
  <si>
    <t>4B02-02-00048-L-001P</t>
  </si>
  <si>
    <t>RU000A1089L0</t>
  </si>
  <si>
    <t>АСВ 1Р02</t>
  </si>
  <si>
    <t>АСВ 1Р03 [МБ ФР: Т+: Корпоративные облигации]</t>
  </si>
  <si>
    <t>4B02-03-00048-L-001P</t>
  </si>
  <si>
    <t>RU000A109TF4</t>
  </si>
  <si>
    <t>АСВ 1Р03</t>
  </si>
  <si>
    <t>АСПЭКДом01 [МБ ФР: Т+: Корпоративные облигации]</t>
  </si>
  <si>
    <t>4-01-00634-R</t>
  </si>
  <si>
    <t>RU000A104B53</t>
  </si>
  <si>
    <t>АСПЭКДом01</t>
  </si>
  <si>
    <t>АСПЭКДом02 [МБ ФР: Т+: Корпоративные облигации]</t>
  </si>
  <si>
    <t>4B02-01-00634-R-001P</t>
  </si>
  <si>
    <t>RU000A109F05</t>
  </si>
  <si>
    <t>АСПЭКДом02</t>
  </si>
  <si>
    <t>АСпэйс 1Р1 [МБ ФР: Т+: Корпоративные облигации]</t>
  </si>
  <si>
    <t>4B02-01-00144-L-001P</t>
  </si>
  <si>
    <t>RU000A1089A3</t>
  </si>
  <si>
    <t>АСпэйс 1Р1</t>
  </si>
  <si>
    <t>АТОМ БП01 [МБ ФР: Т+: Корпоративные облигации]</t>
  </si>
  <si>
    <t>4B02-01-00313-R-001P</t>
  </si>
  <si>
    <t>RU000A102VY6</t>
  </si>
  <si>
    <t>АТОМ БП01</t>
  </si>
  <si>
    <t>АФАНСБО-01 [МБ ФР: Т+: Корпоративные облигации]</t>
  </si>
  <si>
    <t>4B02-01-00312-R</t>
  </si>
  <si>
    <t>RU000A107225</t>
  </si>
  <si>
    <t>АФАНСБО-01</t>
  </si>
  <si>
    <t>АФБАНК1Р10 [МБ ФР: Т+: Корпоративные облигации]</t>
  </si>
  <si>
    <t>4B02-10-00170-B-001P</t>
  </si>
  <si>
    <t>RU000A105HN1</t>
  </si>
  <si>
    <t>АФБАНК1Р10</t>
  </si>
  <si>
    <t>АФБАНК1Р11 [МБ ФР: Т+: Корпоративные облигации]</t>
  </si>
  <si>
    <t>4B02-11-00170-B-001P</t>
  </si>
  <si>
    <t>RU000A107HR8</t>
  </si>
  <si>
    <t>АФБАНК1Р11</t>
  </si>
  <si>
    <t>АФБАНК1Р12 [МБ ФР: Т+: Корпоративные облигации]</t>
  </si>
  <si>
    <t>4B02-12-00170-B-001P</t>
  </si>
  <si>
    <t>RU000A108RP9</t>
  </si>
  <si>
    <t>АФБАНК1Р12</t>
  </si>
  <si>
    <t>АФБАНК1Р13 [МБ ФР: Т+: Корпоративные облигации]</t>
  </si>
  <si>
    <t>4B02-13-00170-B-001P</t>
  </si>
  <si>
    <t>RU000A109KY4</t>
  </si>
  <si>
    <t>АФБАНК1Р13</t>
  </si>
  <si>
    <t>АвАгроБ1P3 [МБ ФР: Т+: Корпоративные облигации]</t>
  </si>
  <si>
    <t>4B02-03-42849-A-001P</t>
  </si>
  <si>
    <t>RU000A105AS5</t>
  </si>
  <si>
    <t>АвАгроБ1P3</t>
  </si>
  <si>
    <t>Автодор 03 [МБ ФР: Т+: Корпоративные облигации]</t>
  </si>
  <si>
    <t>4-02-00011-T</t>
  </si>
  <si>
    <t>RU000A0JVD66</t>
  </si>
  <si>
    <t>Автодор 03</t>
  </si>
  <si>
    <t>Автодор 04 [МБ ФР: Т+: Корпоративные облигации]</t>
  </si>
  <si>
    <t>4-03-00011-T</t>
  </si>
  <si>
    <t>RU000A0JXZC0</t>
  </si>
  <si>
    <t>Автодор 04</t>
  </si>
  <si>
    <t>Автодор2Р1 [МБ ФР: Т+: Корпоративные облигации]</t>
  </si>
  <si>
    <t>4B02-01-00011-T-002P</t>
  </si>
  <si>
    <t>RU000A100030</t>
  </si>
  <si>
    <t>Автодор2Р1</t>
  </si>
  <si>
    <t>Автодор2Р5 [МБ ФР: Т+: Корпоративные облигации]</t>
  </si>
  <si>
    <t>4B02-05-00011-T-002P</t>
  </si>
  <si>
    <t>RU000A1017H9</t>
  </si>
  <si>
    <t>Автодор2Р5</t>
  </si>
  <si>
    <t>Автодор3Р1 [МБ ФР: Т+: Корпоративные облигации]</t>
  </si>
  <si>
    <t>4B02-01-00011-T-003P</t>
  </si>
  <si>
    <t>RU000A102H91</t>
  </si>
  <si>
    <t>Автодор3Р1</t>
  </si>
  <si>
    <t>Автодор3Р2 [МБ ФР: Т+: Корпоративные облигации]</t>
  </si>
  <si>
    <t>4B02-02-00011-T-003P</t>
  </si>
  <si>
    <t>RU000A104XR2</t>
  </si>
  <si>
    <t>Автодор3Р2</t>
  </si>
  <si>
    <t>Автодор3Р3 [МБ ФР: Т+: Корпоративные облигации]</t>
  </si>
  <si>
    <t>4B02-03-00011-T-003P</t>
  </si>
  <si>
    <t>RU000A105V82</t>
  </si>
  <si>
    <t>Автодор3Р3</t>
  </si>
  <si>
    <t>Автодор4Р1 [МБ ФР: Т+: Корпоративные облигации]</t>
  </si>
  <si>
    <t>4B02-01-00011-T-004P</t>
  </si>
  <si>
    <t>RU000A103NU9</t>
  </si>
  <si>
    <t>Автодор4Р1</t>
  </si>
  <si>
    <t>Автодор4Р4 [МБ ФР: Т+: Корпоративные облигации]</t>
  </si>
  <si>
    <t>4B02-04-00011-T-004P</t>
  </si>
  <si>
    <t>RU000A106C92</t>
  </si>
  <si>
    <t>Автодор4Р4</t>
  </si>
  <si>
    <t>Автодор5Р1 [МБ ФР: Т+: Корпоративные облигации]</t>
  </si>
  <si>
    <t>4B02-01-00011-T-005P</t>
  </si>
  <si>
    <t>RU000A106FR4</t>
  </si>
  <si>
    <t>Автодор5Р1</t>
  </si>
  <si>
    <t>Автодор5Р2 [МБ ФР: Т+: Корпоративные облигации]</t>
  </si>
  <si>
    <t>4B02-02-00011-T-005P</t>
  </si>
  <si>
    <t>RU000A106J20</t>
  </si>
  <si>
    <t>Автодор5Р2</t>
  </si>
  <si>
    <t>Автодор5Р3 [МБ ФР: Т+: Корпоративные облигации]</t>
  </si>
  <si>
    <t>4B02-03-00011-T-005P</t>
  </si>
  <si>
    <t>RU000A106R53</t>
  </si>
  <si>
    <t>Автодор5Р3</t>
  </si>
  <si>
    <t>Автодор5Р4 [МБ ФР: Т+: Корпоративные облигации]</t>
  </si>
  <si>
    <t>4B02-04-00011-T-005P</t>
  </si>
  <si>
    <t>RU000A106XM8</t>
  </si>
  <si>
    <t>Автодор5Р4</t>
  </si>
  <si>
    <t>Автом01CNY [МБ ФР: Т+: Корпоративные облигации]</t>
  </si>
  <si>
    <t>4B02-01-00176-L</t>
  </si>
  <si>
    <t>RU000A10A794</t>
  </si>
  <si>
    <t>Автом01CNY</t>
  </si>
  <si>
    <t>Агродом01 [МБ ФР: Т+: Корпоративные облигации]</t>
  </si>
  <si>
    <t>4B02-01-00171-L</t>
  </si>
  <si>
    <t>RU000A109AU3</t>
  </si>
  <si>
    <t>Агродом01</t>
  </si>
  <si>
    <t>АйДиКол1Р2 [МБ ФР: Т+: Корпоративные облигации]</t>
  </si>
  <si>
    <t>4B02-02-00597-R-001P</t>
  </si>
  <si>
    <t>RU000A109T74</t>
  </si>
  <si>
    <t>АйДиКол1Р2</t>
  </si>
  <si>
    <t>АйДиКоле02 [МБ ФР: Т+: Корпоративные облигации]</t>
  </si>
  <si>
    <t>4-02-00597-R</t>
  </si>
  <si>
    <t>RU000A104JV3</t>
  </si>
  <si>
    <t>АйДиКоле02</t>
  </si>
  <si>
    <t>АйДиКоле03 [МБ ФР: Т+: Корпоративные облигации]</t>
  </si>
  <si>
    <t>4B02-01-00597-R</t>
  </si>
  <si>
    <t>RU000A1065M8</t>
  </si>
  <si>
    <t>АйДиКоле03</t>
  </si>
  <si>
    <t>АйДиКоле04 [МБ ФР: Т+: Корпоративные облигации]</t>
  </si>
  <si>
    <t>4B02-02-00597-R</t>
  </si>
  <si>
    <t>RU000A106XT3</t>
  </si>
  <si>
    <t>АйДиКоле04</t>
  </si>
  <si>
    <t>АйДиКоле05 [МБ ФР: Т+: Корпоративные облигации]</t>
  </si>
  <si>
    <t>4B02-03-00597-R</t>
  </si>
  <si>
    <t>RU000A1071Z8</t>
  </si>
  <si>
    <t>АйДиКоле05</t>
  </si>
  <si>
    <t>АйДиКоле06 [МБ ФР: Т+: Корпоративные облигации]</t>
  </si>
  <si>
    <t>4B02-04-00597-R</t>
  </si>
  <si>
    <t>RU000A107C34</t>
  </si>
  <si>
    <t>АйДиКоле06</t>
  </si>
  <si>
    <t>АйДиКоле07 [МБ ФР: Т+: Корпоративные облигации]</t>
  </si>
  <si>
    <t>4B02-05-00597-R</t>
  </si>
  <si>
    <t>RU000A108L65</t>
  </si>
  <si>
    <t>АйДиКоле07</t>
  </si>
  <si>
    <t>АквилонЛP2 [МБ ФР: Т+: Корпоративные облигации]</t>
  </si>
  <si>
    <t>4B02-02-00057-L-001P</t>
  </si>
  <si>
    <t>RU000A1063Y8</t>
  </si>
  <si>
    <t>АквилонЛP2</t>
  </si>
  <si>
    <t>АквилонЛP3 [МБ ФР: Т+: Корпоративные облигации]</t>
  </si>
  <si>
    <t>4B02-03-00057-L-001P</t>
  </si>
  <si>
    <t>RU000A107M32</t>
  </si>
  <si>
    <t>АквилонЛP3</t>
  </si>
  <si>
    <t>Акрон Б1P1 [МБ ФР: Т+: Корпоративные облигации]</t>
  </si>
  <si>
    <t>4B02-01-00207-A-001P</t>
  </si>
  <si>
    <t>RU000A0JWV89</t>
  </si>
  <si>
    <t>Акрон Б1P1</t>
  </si>
  <si>
    <t>Акрон Б1P2 [МБ ФР: Т+: Корпоративные облигации]</t>
  </si>
  <si>
    <t>4B02-02-00207-A-001P</t>
  </si>
  <si>
    <t>RU000A0JXSS1</t>
  </si>
  <si>
    <t>Акрон Б1P2</t>
  </si>
  <si>
    <t>Акрон Б1P4 [МБ ФР: Т+: Корпоративные облигации]</t>
  </si>
  <si>
    <t>Акрон Б1P5 [МБ ФР: Т+: Корпоративные облигации]</t>
  </si>
  <si>
    <t>4B02-05-00207-A-001P</t>
  </si>
  <si>
    <t>RU000A109XR1</t>
  </si>
  <si>
    <t>Акрон Б1P5</t>
  </si>
  <si>
    <t>Альта [МБ ФР: Т+: Корпоративные облигации]</t>
  </si>
  <si>
    <t>4-01-00678-R</t>
  </si>
  <si>
    <t>RU000A105BZ8</t>
  </si>
  <si>
    <t>Альта</t>
  </si>
  <si>
    <t>АльфаБО-15 [МБ ФР: Т+: Корпоративные облигации]</t>
  </si>
  <si>
    <t>4B021501326B</t>
  </si>
  <si>
    <t>RU000A0JV0U1</t>
  </si>
  <si>
    <t>АльфаБО-15</t>
  </si>
  <si>
    <t>АльфаБО-18 [МБ ФР: Т+: Корпоративные облигации]</t>
  </si>
  <si>
    <t>4B021801326B</t>
  </si>
  <si>
    <t>RU000A0JX5W4</t>
  </si>
  <si>
    <t>АльфаБО-18</t>
  </si>
  <si>
    <t>АльфаБО-21 [МБ ФР: Т+: Корпоративные облигации]</t>
  </si>
  <si>
    <t>4B022101326B</t>
  </si>
  <si>
    <t>RU000A0ZYBM4</t>
  </si>
  <si>
    <t>АльфаБО-21</t>
  </si>
  <si>
    <t>АльфаЛБ02 [МБ ФР: Т+: Корпоративные облигации]</t>
  </si>
  <si>
    <t>4B02-02-00578-R</t>
  </si>
  <si>
    <t>RU000A10A1N4</t>
  </si>
  <si>
    <t>АльфаЛБ02</t>
  </si>
  <si>
    <t>Апт36,61P1 [МБ ФР: Т+: Корпоративные облигации]</t>
  </si>
  <si>
    <t>4B02-01-07335-A-001P</t>
  </si>
  <si>
    <t>RU000A1015T8</t>
  </si>
  <si>
    <t>Апт36,61P1</t>
  </si>
  <si>
    <t>Апт36,62P1 [МБ ФР: Т+: Корпоративные облигации]</t>
  </si>
  <si>
    <t>4B02-01-07335-A-002P</t>
  </si>
  <si>
    <t>RU000A101T72</t>
  </si>
  <si>
    <t>Апт36,62P1</t>
  </si>
  <si>
    <t>АрлифтБО01 [МБ ФР: Т+: Корпоративные облигации]</t>
  </si>
  <si>
    <t>4B02-01-00148-L</t>
  </si>
  <si>
    <t>RU000A108DP9</t>
  </si>
  <si>
    <t>АрлифтБО01</t>
  </si>
  <si>
    <t>Артгн БО01 [МБ ФР: Т+: Корпоративные облигации]</t>
  </si>
  <si>
    <t>4B02-01-08902-A</t>
  </si>
  <si>
    <t>RU000A103DT2</t>
  </si>
  <si>
    <t>Артгн БО01</t>
  </si>
  <si>
    <t>Атомэнпр03 [МБ ФР: Т+: Корпоративные облигации]</t>
  </si>
  <si>
    <t>4B02-03-55319-E-001P</t>
  </si>
  <si>
    <t>RU000A109UD7</t>
  </si>
  <si>
    <t>Атомэнпр03</t>
  </si>
  <si>
    <t>Аэрофл БО1 [МБ ФР: Т+: Корпоративные облигации]</t>
  </si>
  <si>
    <t>4B02-01-00010-A-001P</t>
  </si>
  <si>
    <t>RU000A103943</t>
  </si>
  <si>
    <t>Аэрофл БО1</t>
  </si>
  <si>
    <t>Аэрфью2Р02 [МБ ФР: Т+: Корпоративные облигации]</t>
  </si>
  <si>
    <t>4B02-02-29449-H-002P</t>
  </si>
  <si>
    <t>RU000A107AW3</t>
  </si>
  <si>
    <t>Аэрфью2Р02</t>
  </si>
  <si>
    <t>Аэрфью2Р03 [МБ ФР: Т+: Корпоративные облигации]</t>
  </si>
  <si>
    <t>4B02-03-29449-H-002P</t>
  </si>
  <si>
    <t>RU000A1090N4</t>
  </si>
  <si>
    <t>Аэрфью2Р03</t>
  </si>
  <si>
    <t>БИАНКА-01 [МБ ФР: Т+: Корпоративные облигации]</t>
  </si>
  <si>
    <t>4B02-01-00166-L</t>
  </si>
  <si>
    <t>RU000A1097X8</t>
  </si>
  <si>
    <t>БИАНКА-01</t>
  </si>
  <si>
    <t>БИЗНЕС01 [МБ ФР: Т+: Корпоративные облигации]</t>
  </si>
  <si>
    <t>4B02-01-00157-L</t>
  </si>
  <si>
    <t>RU000A108WJ2</t>
  </si>
  <si>
    <t>БИЗНЕС01</t>
  </si>
  <si>
    <t>БКСБ1Р-02 [МБ ФР: Т+: Корпоративные облигации]</t>
  </si>
  <si>
    <t>4B02-02-00101-B-001P</t>
  </si>
  <si>
    <t>RU000A104G90</t>
  </si>
  <si>
    <t>БКСБ1Р-02</t>
  </si>
  <si>
    <t>БКСБ1Р-03 [МБ ФР: Т+: Корпоративные облигации]</t>
  </si>
  <si>
    <t>4B02-03-00101-B-001P</t>
  </si>
  <si>
    <t>RU000A104JB5</t>
  </si>
  <si>
    <t>БКСБ1Р-03</t>
  </si>
  <si>
    <t>БКСБ1Р-05 [МБ ФР: Т+: Корпоративные облигации]</t>
  </si>
  <si>
    <t>4B02-05-00101-B-001P</t>
  </si>
  <si>
    <t>RU000A104NF8</t>
  </si>
  <si>
    <t>БКСБ1Р-05</t>
  </si>
  <si>
    <t>БКСБ1Р-06 [МБ ФР: Т+: Корпоративные облигации]</t>
  </si>
  <si>
    <t>4B02-06-00101-B-001P</t>
  </si>
  <si>
    <t>RU000A1052Z8</t>
  </si>
  <si>
    <t>БКСБ1Р-06</t>
  </si>
  <si>
    <t>БКСБ1Р-07 [МБ ФР: Т+: Корпоративные облигации]</t>
  </si>
  <si>
    <t>4B02-07-00101-B-001P</t>
  </si>
  <si>
    <t>RU000A105302</t>
  </si>
  <si>
    <t>БКСБ1Р-07</t>
  </si>
  <si>
    <t>БКСБ1Р-08 [МБ ФР: Т+: Корпоративные облигации]</t>
  </si>
  <si>
    <t>4B02-08-00101-B-001P</t>
  </si>
  <si>
    <t>RU000A1054U5</t>
  </si>
  <si>
    <t>БКСБ1Р-08</t>
  </si>
  <si>
    <t>БКСБ1Р-09 [МБ ФР: Т+: Корпоративные облигации]</t>
  </si>
  <si>
    <t>4B02-09-00101-B-001P</t>
  </si>
  <si>
    <t>RU000A1059T6</t>
  </si>
  <si>
    <t>БКСБ1Р-09</t>
  </si>
  <si>
    <t>БСК 1Р-02 [МБ ФР: Т+: Корпоративные облигации]</t>
  </si>
  <si>
    <t>4B02-02-01068-K-001P</t>
  </si>
  <si>
    <t>RU000A101UR4</t>
  </si>
  <si>
    <t>БСК 1Р-02</t>
  </si>
  <si>
    <t>БСК 1Р-03 [МБ ФР: Т+: Корпоративные облигации]</t>
  </si>
  <si>
    <t>4B02-03-01068-K-001P</t>
  </si>
  <si>
    <t>RU000A106JZ9</t>
  </si>
  <si>
    <t>БСК 1Р-03</t>
  </si>
  <si>
    <t>Байсэл 1Р1 [МБ ФР: Т+: Корпоративные облигации]</t>
  </si>
  <si>
    <t>4B02-01-00162-L-001P</t>
  </si>
  <si>
    <t>RU000A1094U1</t>
  </si>
  <si>
    <t>Байсэл 1Р1</t>
  </si>
  <si>
    <t>Байсэл 1Р2 [МБ ФР: Т+: Корпоративные облигации]</t>
  </si>
  <si>
    <t>4B02-02-00162-L-001P</t>
  </si>
  <si>
    <t>RU000A109SM2</t>
  </si>
  <si>
    <t>Байсэл 1Р2</t>
  </si>
  <si>
    <t>БалтЛизБП6 [МБ ФР: Т+: Корпоративные облигации]</t>
  </si>
  <si>
    <t>4B02-06-36442-R-001P</t>
  </si>
  <si>
    <t>RU000A1058M3</t>
  </si>
  <si>
    <t>БалтЛизБП6</t>
  </si>
  <si>
    <t>БалтЛизБП7 [МБ ФР: Т+: Корпоративные облигации]</t>
  </si>
  <si>
    <t>4B02-07-36442-R-001P</t>
  </si>
  <si>
    <t>RU000A106144</t>
  </si>
  <si>
    <t>БалтЛизБП7</t>
  </si>
  <si>
    <t>БалтЛизБП8 [МБ ФР: Т+: Корпоративные облигации]</t>
  </si>
  <si>
    <t>4B02-08-36442-R-001P</t>
  </si>
  <si>
    <t>RU000A106EM8</t>
  </si>
  <si>
    <t>БалтЛизБП8</t>
  </si>
  <si>
    <t>БалтЛизБП9 [МБ ФР: Т+: Корпоративные облигации]</t>
  </si>
  <si>
    <t>4B02-09-36442-R-001P</t>
  </si>
  <si>
    <t>RU000A107CD9</t>
  </si>
  <si>
    <t>БалтЛизБП9</t>
  </si>
  <si>
    <t>БалтЛизП10 [МБ ФР: Т+: Корпоративные облигации]</t>
  </si>
  <si>
    <t>4B02-10-36442-R-001P</t>
  </si>
  <si>
    <t>RU000A108777</t>
  </si>
  <si>
    <t>БалтЛизП10</t>
  </si>
  <si>
    <t>БалтЛизП11 [МБ ФР: Т+: Корпоративные облигации]</t>
  </si>
  <si>
    <t>4B02-11-36442-R-001P</t>
  </si>
  <si>
    <t>RU000A108P46</t>
  </si>
  <si>
    <t>БалтЛизП11</t>
  </si>
  <si>
    <t>БалтЛизП12 [МБ ФР: Т+: Корпоративные облигации]</t>
  </si>
  <si>
    <t>4B02-12-36442-R-001P</t>
  </si>
  <si>
    <t>RU000A109551</t>
  </si>
  <si>
    <t>БалтЛизП12</t>
  </si>
  <si>
    <t>БалтЛизП14 [МБ ФР: Т+: Корпоративные облигации]</t>
  </si>
  <si>
    <t>4B02-14-36442-R-001P</t>
  </si>
  <si>
    <t>RU000A10A3W1</t>
  </si>
  <si>
    <t>БалтЛизП14</t>
  </si>
  <si>
    <t>Башкорт20 [МБ ФР: Т+: Корпоративные облигации]</t>
  </si>
  <si>
    <t>RU34011BAS0</t>
  </si>
  <si>
    <t>RU000A1026B3</t>
  </si>
  <si>
    <t>Башкорт20</t>
  </si>
  <si>
    <t>Башкорт21 [МБ ФР: Т+: Корпоративные облигации]</t>
  </si>
  <si>
    <t>RU34012BAS0</t>
  </si>
  <si>
    <t>RU000A103DN5</t>
  </si>
  <si>
    <t>Башкорт21</t>
  </si>
  <si>
    <t>Башкорт23 [МБ ФР: Т+: Корпоративные облигации]</t>
  </si>
  <si>
    <t>RU34013BAS0</t>
  </si>
  <si>
    <t>RU000A106FT0</t>
  </si>
  <si>
    <t>Башкорт23</t>
  </si>
  <si>
    <t>БашнфБ1P1R [МБ ФР: Т+: Корпоративные облигации]</t>
  </si>
  <si>
    <t>4B02-01-00013-A-001P</t>
  </si>
  <si>
    <t>RU000A0JX2P5</t>
  </si>
  <si>
    <t>БашнфБ1P1R</t>
  </si>
  <si>
    <t>БашнфтБО10 [МБ ФР: Т+: Корпоративные облигации]</t>
  </si>
  <si>
    <t>4B02-10-00013-A</t>
  </si>
  <si>
    <t>RU000A0JX2Q3</t>
  </si>
  <si>
    <t>БашнфтБО10</t>
  </si>
  <si>
    <t>БашнфтБО2 [МБ ФР: Т+: Корпоративные облигации]</t>
  </si>
  <si>
    <t>4B02-02-00013-A</t>
  </si>
  <si>
    <t>RU000A0JWH87</t>
  </si>
  <si>
    <t>БашнфтБО2</t>
  </si>
  <si>
    <t>БашнфтБО3 [МБ ФР: Т+: Корпоративные облигации]</t>
  </si>
  <si>
    <t>4B02-03-00013-A</t>
  </si>
  <si>
    <t>RU000A0JVEQ9</t>
  </si>
  <si>
    <t>БашнфтБО3</t>
  </si>
  <si>
    <t>БашнфтБО4 [МБ ФР: Т+: Корпоративные облигации]</t>
  </si>
  <si>
    <t>4B02-04-00013-A</t>
  </si>
  <si>
    <t>RU000A0JVFD4</t>
  </si>
  <si>
    <t>БашнфтБО4</t>
  </si>
  <si>
    <t>БашнфтБО7 [МБ ФР: Т+: Корпоративные облигации]</t>
  </si>
  <si>
    <t>4B02-07-00013-A</t>
  </si>
  <si>
    <t>RU000A0JVHF5</t>
  </si>
  <si>
    <t>БашнфтБО7</t>
  </si>
  <si>
    <t>БашнфтБО8 [МБ ФР: Т+: Корпоративные облигации]</t>
  </si>
  <si>
    <t>4B02-08-00013-A</t>
  </si>
  <si>
    <t>RU000A0JWGD0</t>
  </si>
  <si>
    <t>БашнфтБО8</t>
  </si>
  <si>
    <t>БашнфтБО9 [МБ ФР: Т+: Корпоративные облигации]</t>
  </si>
  <si>
    <t>4B02-09-00013-A</t>
  </si>
  <si>
    <t>RU000A0JWX04</t>
  </si>
  <si>
    <t>БашнфтБО9</t>
  </si>
  <si>
    <t>БелОб34014 [МБ ФР: Т+: Корпоративные облигации]</t>
  </si>
  <si>
    <t>RU34014BEL0</t>
  </si>
  <si>
    <t>RU000A101PA0</t>
  </si>
  <si>
    <t>БелОб34014</t>
  </si>
  <si>
    <t>БелОб34015 [МБ ФР: Т+: Корпоративные облигации]</t>
  </si>
  <si>
    <t>RU34015BEL0</t>
  </si>
  <si>
    <t>RU000A101RB4</t>
  </si>
  <si>
    <t>БелОб34015</t>
  </si>
  <si>
    <t>БелОб34016 [МБ ФР: Т+: Корпоративные облигации]</t>
  </si>
  <si>
    <t>RU34016BEL0</t>
  </si>
  <si>
    <t>RU000A1025F6</t>
  </si>
  <si>
    <t>БелОб34016</t>
  </si>
  <si>
    <t>Беларусь07 [МБ ФР: Т+: Корпоративные облигации]</t>
  </si>
  <si>
    <t>RU000A100D89</t>
  </si>
  <si>
    <t>Беларусь07</t>
  </si>
  <si>
    <t>БизНед 1Р2 [МБ ФР: Т+: Корпоративные облигации]</t>
  </si>
  <si>
    <t>4B02-02-81010-H-001P</t>
  </si>
  <si>
    <t>RU000A104BY4</t>
  </si>
  <si>
    <t>БизНед 1Р2</t>
  </si>
  <si>
    <t>БинФарм1P1 [МБ ФР: Т+: Корпоративные облигации]</t>
  </si>
  <si>
    <t>4B02-01-00054-L-001P</t>
  </si>
  <si>
    <t>RU000A1043Z7</t>
  </si>
  <si>
    <t>БинФарм1P1</t>
  </si>
  <si>
    <t>БинФарм1P2 [МБ ФР: Т+: Корпоративные облигации]</t>
  </si>
  <si>
    <t>4B02-02-00054-L-001P</t>
  </si>
  <si>
    <t>RU000A104Z71</t>
  </si>
  <si>
    <t>БинФарм1P2</t>
  </si>
  <si>
    <t>БинФарм1P3 [МБ ФР: Т+: Корпоративные облигации]</t>
  </si>
  <si>
    <t>4B02-03-00054-L-001P</t>
  </si>
  <si>
    <t>RU000A107E81</t>
  </si>
  <si>
    <t>БинФарм1P3</t>
  </si>
  <si>
    <t>БорецК1Р01 [МБ ФР: Т+: Корпоративные облигации]</t>
  </si>
  <si>
    <t>4B02-01-00676-R-001P</t>
  </si>
  <si>
    <t>RU000A105ZX2</t>
  </si>
  <si>
    <t>БорецК1Р01</t>
  </si>
  <si>
    <t>БорецК1Р02 [МБ ФР: Т+: Корпоративные облигации]</t>
  </si>
  <si>
    <t>4B02-02-00676-R-001P</t>
  </si>
  <si>
    <t>RU000A107BR1</t>
  </si>
  <si>
    <t>БорецК1Р02</t>
  </si>
  <si>
    <t>БорецКЗО26 [МБ ФР: Т+: Корпоративные облигации]</t>
  </si>
  <si>
    <t>4-01-00676-R</t>
  </si>
  <si>
    <t>RU000A105GN3</t>
  </si>
  <si>
    <t>БорецКЗО26</t>
  </si>
  <si>
    <t>Боржоми1Р2 [МБ ФР: Т+: Корпоративные облигации]</t>
  </si>
  <si>
    <t>4B02-02-00561-R-001P</t>
  </si>
  <si>
    <t>RU000A107TB7</t>
  </si>
  <si>
    <t>Боржоми1Р2</t>
  </si>
  <si>
    <t>БрайтФ БП1 [МБ ФР: Т+: Корпоративные облигации]</t>
  </si>
  <si>
    <t>4B02-01-00403-R-001P</t>
  </si>
  <si>
    <t>RU000A100725</t>
  </si>
  <si>
    <t>БрайтФ БП1</t>
  </si>
  <si>
    <t>Брус 2P01 [МБ ФР: Т+: Корпоративные облигации]</t>
  </si>
  <si>
    <t>4B02-01-00492-R-002P</t>
  </si>
  <si>
    <t>RU000A1048A9</t>
  </si>
  <si>
    <t>Брус 2P01</t>
  </si>
  <si>
    <t>Брус 2P02 [МБ ФР: Т+: Корпоративные облигации]</t>
  </si>
  <si>
    <t>4B02-02-00492-R-002P</t>
  </si>
  <si>
    <t>RU000A107UU5</t>
  </si>
  <si>
    <t>Брус 2P02</t>
  </si>
  <si>
    <t>Брус 2P03 [МБ ФР: Т+: Корпоративные облигации]</t>
  </si>
  <si>
    <t>4B02-03-00492-R-002P</t>
  </si>
  <si>
    <t>RU000A10A3C3</t>
  </si>
  <si>
    <t>Брус 2P03</t>
  </si>
  <si>
    <t>ВБРР 1P-04 [МБ ФР: Т+: Корпоративные облигации]</t>
  </si>
  <si>
    <t>4B02-04-03287-B-001P</t>
  </si>
  <si>
    <t>RU000A101NQ1</t>
  </si>
  <si>
    <t>ВБРР 1P-04</t>
  </si>
  <si>
    <t>ВБРР 1P-05 [МБ ФР: Т+: Корпоративные облигации]</t>
  </si>
  <si>
    <t>4B02-05-03287-B-001P</t>
  </si>
  <si>
    <t>RU000A1025H2</t>
  </si>
  <si>
    <t>ВБРР 1P-05</t>
  </si>
  <si>
    <t>ВЕРАТЕК-01 [МБ ФР: Т+: Корпоративные облигации]</t>
  </si>
  <si>
    <t>4B02-01-42172-H</t>
  </si>
  <si>
    <t>RU000A10A0H8</t>
  </si>
  <si>
    <t>ВЕРАТЕК-01</t>
  </si>
  <si>
    <t>ВЗВТ-01 [МБ ФР: Т+: Корпоративные облигации]</t>
  </si>
  <si>
    <t>4B02-01-00202-L</t>
  </si>
  <si>
    <t>RU000A10A7A8</t>
  </si>
  <si>
    <t>ВЗВТ-01</t>
  </si>
  <si>
    <t>ВИС Ф БП01 [МБ ФР: Т+: Корпоративные облигации]</t>
  </si>
  <si>
    <t>4B02-01-00554-R-001P</t>
  </si>
  <si>
    <t>RU000A102952</t>
  </si>
  <si>
    <t>ВИС Ф БП01</t>
  </si>
  <si>
    <t>ВИС Ф БП03 [МБ ФР: Т+: Корпоративные облигации]</t>
  </si>
  <si>
    <t>4B02-03-00554-R-001P</t>
  </si>
  <si>
    <t>RU000A1060Y4</t>
  </si>
  <si>
    <t>ВИС Ф БП03</t>
  </si>
  <si>
    <t>ВИС Ф БП04 [МБ ФР: Т+: Корпоративные облигации]</t>
  </si>
  <si>
    <t>4B02-04-00554-R-001P</t>
  </si>
  <si>
    <t>RU000A106EZ0</t>
  </si>
  <si>
    <t>ВИС Ф БП04</t>
  </si>
  <si>
    <t>ВИС Ф БП05 [МБ ФР: Т+: Корпоративные облигации]</t>
  </si>
  <si>
    <t>4B02-05-00554-R-001P</t>
  </si>
  <si>
    <t>RU000A107D33</t>
  </si>
  <si>
    <t>ВИС Ф БП05</t>
  </si>
  <si>
    <t>ВИС Ф БП06 [МБ ФР: Т+: Корпоративные облигации]</t>
  </si>
  <si>
    <t>4B02-06-00554-R-001P</t>
  </si>
  <si>
    <t>RU000A109KX6</t>
  </si>
  <si>
    <t>ВИС Ф БП06</t>
  </si>
  <si>
    <t>ВСК 1P-01R [МБ ФР: Т+: Корпоративные облигации]</t>
  </si>
  <si>
    <t>4B02-01-36527-R-001P</t>
  </si>
  <si>
    <t>RU000A102G50</t>
  </si>
  <si>
    <t>ВСК 1P-01R</t>
  </si>
  <si>
    <t>ВСК 1P-02R [МБ ФР: Т+: Корпоративные облигации]</t>
  </si>
  <si>
    <t>4B02-02-36527-R-001P</t>
  </si>
  <si>
    <t>RU000A104362</t>
  </si>
  <si>
    <t>ВСК 1P-02R</t>
  </si>
  <si>
    <t>ВСК 1P-03R [МБ ФР: Т+: Корпоративные облигации]</t>
  </si>
  <si>
    <t>4B02-03-36527-R-001P</t>
  </si>
  <si>
    <t>RU000A105KR6</t>
  </si>
  <si>
    <t>ВСК 1P-03R</t>
  </si>
  <si>
    <t>ВСК 1P-04R [МБ ФР: Т+: Корпоративные облигации]</t>
  </si>
  <si>
    <t>4B02-04-36527-R-001P</t>
  </si>
  <si>
    <t>RU000A106P06</t>
  </si>
  <si>
    <t>ВСК 1P-04R</t>
  </si>
  <si>
    <t>ВТБ Б-1-65 [МБ ФР: Т+: Корпоративные облигации]</t>
  </si>
  <si>
    <t>4B02-62-01000-B-001P</t>
  </si>
  <si>
    <t>RU000A101KE3</t>
  </si>
  <si>
    <t>ВТБ Б-1-65</t>
  </si>
  <si>
    <t>ВТБ Б-1-66 [МБ ФР: Т+: Корпоративные облигации]</t>
  </si>
  <si>
    <t>4B02-66-01000-B-001P</t>
  </si>
  <si>
    <t>RU000A101MW1</t>
  </si>
  <si>
    <t>ВТБ Б-1-66</t>
  </si>
  <si>
    <t>ВТБ Б-1-68 [МБ ФР: Т+: Корпоративные облигации]</t>
  </si>
  <si>
    <t>4B02-68-01000-B-001P</t>
  </si>
  <si>
    <t>RU000A101NX7</t>
  </si>
  <si>
    <t>ВТБ Б-1-68</t>
  </si>
  <si>
    <t>ВТБ Б-1-69 [МБ ФР: Т+: Корпоративные облигации]</t>
  </si>
  <si>
    <t>4B02-69-01000-B-001P</t>
  </si>
  <si>
    <t>RU000A101P01</t>
  </si>
  <si>
    <t>ВТБ Б-1-69</t>
  </si>
  <si>
    <t>ВТБ Б-1-71 [МБ ФР: Т+: Корпоративные облигации]</t>
  </si>
  <si>
    <t>4B02-71-01000-B-001P</t>
  </si>
  <si>
    <t>RU000A101PS2</t>
  </si>
  <si>
    <t>ВТБ Б-1-71</t>
  </si>
  <si>
    <t>ВТБ Б-1-79 [МБ ФР: Т+: Корпоративные облигации]</t>
  </si>
  <si>
    <t>4B02-79-01000-B-001P</t>
  </si>
  <si>
    <t>RU000A101SN7</t>
  </si>
  <si>
    <t>ВТБ Б-1-79</t>
  </si>
  <si>
    <t>ВТБ Б1-137 [МБ ФР: Т+: Корпоративные облигации]</t>
  </si>
  <si>
    <t>4B02-137-01000-B-001P</t>
  </si>
  <si>
    <t>RU000A1027F2</t>
  </si>
  <si>
    <t>ВТБ Б1-137</t>
  </si>
  <si>
    <t>ВТБ Б1-138 [МБ ФР: Т+: Корпоративные облигации]</t>
  </si>
  <si>
    <t>4B02-138-01000-B-001P</t>
  </si>
  <si>
    <t>RU000A1027G0</t>
  </si>
  <si>
    <t>ВТБ Б1-138</t>
  </si>
  <si>
    <t>ВТБ Б1-141 [МБ ФР: Т+: Корпоративные облигации]</t>
  </si>
  <si>
    <t>4B02-141-01000-B-001P</t>
  </si>
  <si>
    <t>RU000A1027K2</t>
  </si>
  <si>
    <t>ВТБ Б1-141</t>
  </si>
  <si>
    <t>ВТБ Б1-142 [МБ ФР: Т+: Корпоративные облигации]</t>
  </si>
  <si>
    <t>4B02-142-01000-B-001P</t>
  </si>
  <si>
    <t>RU000A1027L0</t>
  </si>
  <si>
    <t>ВТБ Б1-142</t>
  </si>
  <si>
    <t>ВТБ Б1-153 [МБ ФР: Т+: Корпоративные облигации]</t>
  </si>
  <si>
    <t>4B02-153-01000-B-001P</t>
  </si>
  <si>
    <t>RU000A102EH7</t>
  </si>
  <si>
    <t>ВТБ Б1-153</t>
  </si>
  <si>
    <t>ВТБ Б1-184 [МБ ФР: Т+: Корпоративные облигации]</t>
  </si>
  <si>
    <t>4B02-184-01000-B-001P</t>
  </si>
  <si>
    <t>RU000A0NNE69</t>
  </si>
  <si>
    <t>ВТБ Б1-184</t>
  </si>
  <si>
    <t>ВТБ Б1-187 [МБ ФР: Т+: Корпоративные облигации]</t>
  </si>
  <si>
    <t>4B02-187-01000-B-001P</t>
  </si>
  <si>
    <t>RU000A0NNE93</t>
  </si>
  <si>
    <t>ВТБ Б1-187</t>
  </si>
  <si>
    <t>ВТБ Б1-188 [МБ ФР: Т+: Корпоративные облигации]</t>
  </si>
  <si>
    <t>4B02-188-01000-B-001P</t>
  </si>
  <si>
    <t>RU000A0NNEA2</t>
  </si>
  <si>
    <t>ВТБ Б1-188</t>
  </si>
  <si>
    <t>ВТБ Б1-216 [МБ ФР: Т+: Корпоративные облигации]</t>
  </si>
  <si>
    <t>4B02-216-01000-B-001P</t>
  </si>
  <si>
    <t>RU000A103166</t>
  </si>
  <si>
    <t>ВТБ Б1-216</t>
  </si>
  <si>
    <t>ВТБ Б1-217 [МБ ФР: Т+: Корпоративные облигации]</t>
  </si>
  <si>
    <t>4B02-217-01000-B-001P</t>
  </si>
  <si>
    <t>RU000A103174</t>
  </si>
  <si>
    <t>ВТБ Б1-217</t>
  </si>
  <si>
    <t>ВТБ Б1-227 [МБ ФР: Т+: Корпоративные облигации]</t>
  </si>
  <si>
    <t>4B02-227-01000-B-001P</t>
  </si>
  <si>
    <t>RU000A1034H4</t>
  </si>
  <si>
    <t>ВТБ Б1-227</t>
  </si>
  <si>
    <t>ВТБ Б1-241 [МБ ФР: Т+: Корпоративные облигации]</t>
  </si>
  <si>
    <t>4B02-241-01000-B-001P</t>
  </si>
  <si>
    <t>RU000A103TW2</t>
  </si>
  <si>
    <t>ВТБ Б1-241</t>
  </si>
  <si>
    <t>ВТБ Б1-242 [МБ ФР: Т+: Корпоративные облигации]</t>
  </si>
  <si>
    <t>4B02-242-01000-B-001P</t>
  </si>
  <si>
    <t>RU000A103TX0</t>
  </si>
  <si>
    <t>ВТБ Б1-242</t>
  </si>
  <si>
    <t>ВТБ Б1-243 [МБ ФР: Т+: Корпоративные облигации]</t>
  </si>
  <si>
    <t>4B02-243-01000-B-001P</t>
  </si>
  <si>
    <t>RU000A103TY8</t>
  </si>
  <si>
    <t>ВТБ Б1-243</t>
  </si>
  <si>
    <t>ВТБ Б1-244 [МБ ФР: Т+: Корпоративные облигации]</t>
  </si>
  <si>
    <t>4B02-244-01000-B-001P</t>
  </si>
  <si>
    <t>RU000A103TZ5</t>
  </si>
  <si>
    <t>ВТБ Б1-244</t>
  </si>
  <si>
    <t>ВТБ Б1-245 [МБ ФР: Т+: Корпоративные облигации]</t>
  </si>
  <si>
    <t>4B02-245-01000-B-001P</t>
  </si>
  <si>
    <t>RU000A103U02</t>
  </si>
  <si>
    <t>ВТБ Б1-245</t>
  </si>
  <si>
    <t>ВТБ Б1-246 [МБ ФР: Т+: Корпоративные облигации]</t>
  </si>
  <si>
    <t>4B02-246-01000-B-001P</t>
  </si>
  <si>
    <t>RU000A103U10</t>
  </si>
  <si>
    <t>ВТБ Б1-246</t>
  </si>
  <si>
    <t>ВТБ Б1-247 [МБ ФР: Т+: Корпоративные облигации]</t>
  </si>
  <si>
    <t>4B02-247-01000-B-001P</t>
  </si>
  <si>
    <t>RU000A103U28</t>
  </si>
  <si>
    <t>ВТБ Б1-247</t>
  </si>
  <si>
    <t>ВТБ Б1-248 [МБ ФР: Т+: Корпоративные облигации]</t>
  </si>
  <si>
    <t>4B02-248-01000-B-001P</t>
  </si>
  <si>
    <t>RU000A103U36</t>
  </si>
  <si>
    <t>ВТБ Б1-248</t>
  </si>
  <si>
    <t>ВТБ Б1-249 [МБ ФР: Т+: Корпоративные облигации]</t>
  </si>
  <si>
    <t>4B02-249-01000-B-001P</t>
  </si>
  <si>
    <t>RU000A103U44</t>
  </si>
  <si>
    <t>ВТБ Б1-249</t>
  </si>
  <si>
    <t>ВТБ Б1-250 [МБ ФР: Т+: Корпоративные облигации]</t>
  </si>
  <si>
    <t>4B02-250-01000-B-001P</t>
  </si>
  <si>
    <t>RU000A103U51</t>
  </si>
  <si>
    <t>ВТБ Б1-250</t>
  </si>
  <si>
    <t>ВТБ Б1-254 [МБ ФР: Т+: Корпоративные облигации]</t>
  </si>
  <si>
    <t>4B02-254-01000-B-001P</t>
  </si>
  <si>
    <t>RU000A103XS2</t>
  </si>
  <si>
    <t>ВТБ Б1-254</t>
  </si>
  <si>
    <t>ВТБ Б1-255 [МБ ФР: Т+: Корпоративные облигации]</t>
  </si>
  <si>
    <t>4B02-255-01000-B-001P</t>
  </si>
  <si>
    <t>RU000A103XT0</t>
  </si>
  <si>
    <t>ВТБ Б1-255</t>
  </si>
  <si>
    <t>ВТБ Б1-256 [МБ ФР: Т+: Корпоративные облигации]</t>
  </si>
  <si>
    <t>4B02-256-01000-B-001P</t>
  </si>
  <si>
    <t>RU000A103XU8</t>
  </si>
  <si>
    <t>ВТБ Б1-256</t>
  </si>
  <si>
    <t>ВТБ Б1-261 [МБ ФР: Т+: Корпоративные облигации]</t>
  </si>
  <si>
    <t>4B02-261-01000-B-001P</t>
  </si>
  <si>
    <t>RU000A103XZ7</t>
  </si>
  <si>
    <t>ВТБ Б1-261</t>
  </si>
  <si>
    <t>ВТБ Б1-262 [МБ ФР: Т+: Корпоративные облигации]</t>
  </si>
  <si>
    <t>4B02-262-01000-B-001P</t>
  </si>
  <si>
    <t>RU000A103XH5</t>
  </si>
  <si>
    <t>ВТБ Б1-262</t>
  </si>
  <si>
    <t>ВТБ Б1-263 [МБ ФР: Т+: Корпоративные облигации]</t>
  </si>
  <si>
    <t>4B02-263-01000-B-001P</t>
  </si>
  <si>
    <t>RU000A103XJ1</t>
  </si>
  <si>
    <t>ВТБ Б1-263</t>
  </si>
  <si>
    <t>ВТБ Б1-264 [МБ ФР: Т+: Корпоративные облигации]</t>
  </si>
  <si>
    <t>4B02-264-01000-B-001P</t>
  </si>
  <si>
    <t>RU000A103XK9</t>
  </si>
  <si>
    <t>ВТБ Б1-264</t>
  </si>
  <si>
    <t>ВТБ Б1-265 [МБ ФР: Т+: Корпоративные облигации]</t>
  </si>
  <si>
    <t>4B02-265-01000-B-001P</t>
  </si>
  <si>
    <t>RU000A103XL7</t>
  </si>
  <si>
    <t>ВТБ Б1-265</t>
  </si>
  <si>
    <t>ВТБ Б1-266 [МБ ФР: Т+: Корпоративные облигации]</t>
  </si>
  <si>
    <t>4B02-266-01000-B-001P</t>
  </si>
  <si>
    <t>RU000A103XM5</t>
  </si>
  <si>
    <t>ВТБ Б1-266</t>
  </si>
  <si>
    <t>ВТБ Б1-267 [МБ ФР: Т+: Корпоративные облигации]</t>
  </si>
  <si>
    <t>4B02-267-01000-B-001P</t>
  </si>
  <si>
    <t>RU000A103XN3</t>
  </si>
  <si>
    <t>ВТБ Б1-267</t>
  </si>
  <si>
    <t>ВТБ Б1-268 [МБ ФР: Т+: Корпоративные облигации]</t>
  </si>
  <si>
    <t>4B02-268-01000-B-001P</t>
  </si>
  <si>
    <t>RU000A103XQ6</t>
  </si>
  <si>
    <t>ВТБ Б1-268</t>
  </si>
  <si>
    <t>ВТБ Б1-274 [МБ ФР: Т+: Корпоративные облигации]</t>
  </si>
  <si>
    <t>4B02-274-01000-B-001P</t>
  </si>
  <si>
    <t>RU000A1043P8</t>
  </si>
  <si>
    <t>ВТБ Б1-274</t>
  </si>
  <si>
    <t>ВТБ Б1-275 [МБ ФР: Т+: Корпоративные облигации]</t>
  </si>
  <si>
    <t>4B02-275-01000-B-001P</t>
  </si>
  <si>
    <t>RU000A104545</t>
  </si>
  <si>
    <t>ВТБ Б1-275</t>
  </si>
  <si>
    <t>ВТБ Б1-276 [МБ ФР: Т+: Корпоративные облигации]</t>
  </si>
  <si>
    <t>4B02-276-01000-B-001P</t>
  </si>
  <si>
    <t>RU000A104552</t>
  </si>
  <si>
    <t>ВТБ Б1-276</t>
  </si>
  <si>
    <t>ВТБ Б1-278 [МБ ФР: Т+: Корпоративные облигации]</t>
  </si>
  <si>
    <t>4B02-278-01000-B-001P</t>
  </si>
  <si>
    <t>RU000A104578</t>
  </si>
  <si>
    <t>ВТБ Б1-278</t>
  </si>
  <si>
    <t>ВТБ Б1-279 [МБ ФР: Т+: Корпоративные облигации]</t>
  </si>
  <si>
    <t>4B02-279-01000-B-001P</t>
  </si>
  <si>
    <t>RU000A104586</t>
  </si>
  <si>
    <t>ВТБ Б1-279</t>
  </si>
  <si>
    <t>ВТБ Б1-280 [МБ ФР: Т+: Корпоративные облигации]</t>
  </si>
  <si>
    <t>4B02-280-01000-B-001P</t>
  </si>
  <si>
    <t>RU000A104594</t>
  </si>
  <si>
    <t>ВТБ Б1-280</t>
  </si>
  <si>
    <t>ВТБ Б1-281 [МБ ФР: Т+: Корпоративные облигации]</t>
  </si>
  <si>
    <t>4B02-281-01000-B-001P</t>
  </si>
  <si>
    <t>RU000A1045A5</t>
  </si>
  <si>
    <t>ВТБ Б1-281</t>
  </si>
  <si>
    <t>ВТБ Б1-282 [МБ ФР: Т+: Корпоративные облигации]</t>
  </si>
  <si>
    <t>4B02-282-01000-B-001P</t>
  </si>
  <si>
    <t>RU000A1045B3</t>
  </si>
  <si>
    <t>ВТБ Б1-282</t>
  </si>
  <si>
    <t>ВТБ Б1-283 [МБ ФР: Т+: Корпоративные облигации]</t>
  </si>
  <si>
    <t>4B02-283-01000-B-001P</t>
  </si>
  <si>
    <t>RU000A1045C1</t>
  </si>
  <si>
    <t>ВТБ Б1-283</t>
  </si>
  <si>
    <t>ВТБ Б1-284 [МБ ФР: Т+: Корпоративные облигации]</t>
  </si>
  <si>
    <t>4B02-284-01000-B-001P</t>
  </si>
  <si>
    <t>RU000A1045D9</t>
  </si>
  <si>
    <t>ВТБ Б1-284</t>
  </si>
  <si>
    <t>ВТБ Б1-287 [МБ ФР: Т+: Корпоративные облигации]</t>
  </si>
  <si>
    <t>4B02-287-01000-B-001P</t>
  </si>
  <si>
    <t>RU000A104D69</t>
  </si>
  <si>
    <t>ВТБ Б1-287</t>
  </si>
  <si>
    <t>ВТБ Б1-288 [МБ ФР: Т+: Корпоративные облигации]</t>
  </si>
  <si>
    <t>4B02-288-01000-B-001P</t>
  </si>
  <si>
    <t>RU000A104D77</t>
  </si>
  <si>
    <t>ВТБ Б1-288</t>
  </si>
  <si>
    <t>ВТБ Б1-292 [МБ ФР: Т+: Корпоративные облигации]</t>
  </si>
  <si>
    <t>4B02-292-01000-B-001P</t>
  </si>
  <si>
    <t>RU000A104DB8</t>
  </si>
  <si>
    <t>ВТБ Б1-292</t>
  </si>
  <si>
    <t>ВТБ Б1-293 [МБ ФР: Т+: Корпоративные облигации]</t>
  </si>
  <si>
    <t>4B02-293-01000-B-001P</t>
  </si>
  <si>
    <t>RU000A104DC6</t>
  </si>
  <si>
    <t>ВТБ Б1-293</t>
  </si>
  <si>
    <t>ВТБ Б1-294 [МБ ФР: Т+: Корпоративные облигации]</t>
  </si>
  <si>
    <t>4B02-294-01000-B-001P</t>
  </si>
  <si>
    <t>RU000A104DD4</t>
  </si>
  <si>
    <t>ВТБ Б1-294</t>
  </si>
  <si>
    <t>ВТБ Б1-314 [МБ ФР: Т+: Корпоративные облигации]</t>
  </si>
  <si>
    <t>4B02-314-01000-B-001P</t>
  </si>
  <si>
    <t>RU000A1055Z1</t>
  </si>
  <si>
    <t>ВТБ Б1-314</t>
  </si>
  <si>
    <t>ВТБ Б1-315 [МБ ФР: Т+: Корпоративные облигации]</t>
  </si>
  <si>
    <t>4B02-315-01000-B-001P</t>
  </si>
  <si>
    <t>RU000A1057Q6</t>
  </si>
  <si>
    <t>ВТБ Б1-315</t>
  </si>
  <si>
    <t>ВТБ Б1-321 [МБ ФР: Т+: Корпоративные облигации]</t>
  </si>
  <si>
    <t>4B02-321-01000-B-001P</t>
  </si>
  <si>
    <t>RU000A105RQ3</t>
  </si>
  <si>
    <t>ВТБ Б1-321</t>
  </si>
  <si>
    <t>ВТБ Б1-322 [МБ ФР: Т+: Корпоративные облигации]</t>
  </si>
  <si>
    <t>4B02-322-01000-B-001P</t>
  </si>
  <si>
    <t>RU000A106045</t>
  </si>
  <si>
    <t>ВТБ Б1-322</t>
  </si>
  <si>
    <t>ВТБ Б1-323 [МБ ФР: Т+: Корпоративные облигации]</t>
  </si>
  <si>
    <t>4B02-323-01000-B-001P</t>
  </si>
  <si>
    <t>RU000A106A94</t>
  </si>
  <si>
    <t>ВТБ Б1-323</t>
  </si>
  <si>
    <t>ВТБ Б1-324 [МБ ФР: Т+: Корпоративные облигации]</t>
  </si>
  <si>
    <t>4B02-324-01000-B-001P</t>
  </si>
  <si>
    <t>RU000A105PY1</t>
  </si>
  <si>
    <t>ВТБ Б1-324</t>
  </si>
  <si>
    <t>ВТБ Б1-325 [МБ ФР: Т+: Корпоративные облигации]</t>
  </si>
  <si>
    <t>4B02-325-01000-B-001P</t>
  </si>
  <si>
    <t>RU000A105Z70</t>
  </si>
  <si>
    <t>ВТБ Б1-325</t>
  </si>
  <si>
    <t>ВТБ Б1-326 [МБ ФР: Т+: Корпоративные облигации]</t>
  </si>
  <si>
    <t>4B02-326-01000-B-001P</t>
  </si>
  <si>
    <t>RU000A1067N2</t>
  </si>
  <si>
    <t>ВТБ Б1-326</t>
  </si>
  <si>
    <t>ВТБ Б1-327 [МБ ФР: Т+: Корпоративные облигации]</t>
  </si>
  <si>
    <t>4B02-327-01000-B-001P</t>
  </si>
  <si>
    <t>RU000A106FQ6</t>
  </si>
  <si>
    <t>ВТБ Б1-327</t>
  </si>
  <si>
    <t>ВТБ Б1-329 [МБ ФР: Т+: Корпоративные облигации]</t>
  </si>
  <si>
    <t>4B02-329-01000-B-001P</t>
  </si>
  <si>
    <t>RU000A106M41</t>
  </si>
  <si>
    <t>ВТБ Б1-329</t>
  </si>
  <si>
    <t>ВТБ Б1-330 [МБ ФР: Т+: Корпоративные облигации]</t>
  </si>
  <si>
    <t>4B02-330-01000-B-001P</t>
  </si>
  <si>
    <t>RU000A106MQ2</t>
  </si>
  <si>
    <t>ВТБ Б1-330</t>
  </si>
  <si>
    <t>ВТБ Б1-338 [МБ ФР: Т+: Корпоративные облигации]</t>
  </si>
  <si>
    <t>4B02-338-01000-B-001P</t>
  </si>
  <si>
    <t>RU000A106U33</t>
  </si>
  <si>
    <t>ВТБ Б1-338</t>
  </si>
  <si>
    <t>ВТБ Б1-339 [МБ ФР: Т+: Корпоративные облигации]</t>
  </si>
  <si>
    <t>4B02-339-01000-B-001P</t>
  </si>
  <si>
    <t>RU000A106U41</t>
  </si>
  <si>
    <t>ВТБ Б1-339</t>
  </si>
  <si>
    <t>ВТБ Б1-341 [МБ ФР: Т+: Корпоративные облигации]</t>
  </si>
  <si>
    <t>4B02-341-01000-B-001P</t>
  </si>
  <si>
    <t>RU000A108PD9</t>
  </si>
  <si>
    <t>ВТБ Б1-341</t>
  </si>
  <si>
    <t>ВТБ Б1-343 [МБ ФР: Т+: Корпоративные облигации]</t>
  </si>
  <si>
    <t>4B02-342-01000-B-001P</t>
  </si>
  <si>
    <t>RU000A106TM6</t>
  </si>
  <si>
    <t>ВТБ Б1-343</t>
  </si>
  <si>
    <t>ВТБ Б1-346 [МБ ФР: Т+: Корпоративные облигации]</t>
  </si>
  <si>
    <t>4B02-346-01000-B-001P</t>
  </si>
  <si>
    <t>RU000A107B35</t>
  </si>
  <si>
    <t>ВТБ Б1-346</t>
  </si>
  <si>
    <t>ВТБ Б1-347 [МБ ФР: Т+: Корпоративные облигации]</t>
  </si>
  <si>
    <t>4B02-347-01000-B-001P</t>
  </si>
  <si>
    <t>RU000A107JK9</t>
  </si>
  <si>
    <t>ВТБ Б1-347</t>
  </si>
  <si>
    <t>ВТБ Б1-349 [МБ ФР: Т+: Корпоративные облигации]</t>
  </si>
  <si>
    <t>4B02-349-01000-B-001P</t>
  </si>
  <si>
    <t>RU000A107BE9</t>
  </si>
  <si>
    <t>ВТБ Б1-349</t>
  </si>
  <si>
    <t>ВТБ Б1-351 [МБ ФР: Т+: Корпоративные облигации]</t>
  </si>
  <si>
    <t>4B02-351-01000-B-001P</t>
  </si>
  <si>
    <t>RU000A107W55</t>
  </si>
  <si>
    <t>ВТБ Б1-351</t>
  </si>
  <si>
    <t>ВТБ Б1-352 [МБ ФР: Т+: Корпоративные облигации]</t>
  </si>
  <si>
    <t>4B02-352-01000-B-001P</t>
  </si>
  <si>
    <t>RU000A108DM6</t>
  </si>
  <si>
    <t>ВТБ Б1-352</t>
  </si>
  <si>
    <t>ВТБ Б1-354 [МБ ФР: Т+: Корпоративные облигации]</t>
  </si>
  <si>
    <t>4B02-354-01000-B-001P</t>
  </si>
  <si>
    <t>RU000A108PE7</t>
  </si>
  <si>
    <t>ВТБ Б1-354</t>
  </si>
  <si>
    <t>ВТБ Б1-356 [МБ ФР: Т+: Корпоративные облигации]</t>
  </si>
  <si>
    <t>4B02-356-01000-B-001P</t>
  </si>
  <si>
    <t>RU000A1094R7</t>
  </si>
  <si>
    <t>ВТБ Б1-356</t>
  </si>
  <si>
    <t>ВТБ Б1-357 [МБ ФР: Т+: Корпоративные облигации]</t>
  </si>
  <si>
    <t>4B02-357-01000-B-001P</t>
  </si>
  <si>
    <t>RU000A1094V9</t>
  </si>
  <si>
    <t>ВТБ Б1-357</t>
  </si>
  <si>
    <t>ВТБ Б1-358 [МБ ФР: Т+: Корпоративные облигации]</t>
  </si>
  <si>
    <t>4B02-358-01000-B-001P</t>
  </si>
  <si>
    <t>RU000A109KF3</t>
  </si>
  <si>
    <t>ВТБ Б1-358</t>
  </si>
  <si>
    <t>ВТБ Б1-359 [МБ ФР: Т+: Корпоративные облигации]</t>
  </si>
  <si>
    <t>4B02-359-01000-B-001P</t>
  </si>
  <si>
    <t>RU000A109KL1</t>
  </si>
  <si>
    <t>ВТБ Б1-359</t>
  </si>
  <si>
    <t>ВТБ Б1-360 [МБ ФР: Т+: Корпоративные облигации]</t>
  </si>
  <si>
    <t>4B02-360-01000-B-001P</t>
  </si>
  <si>
    <t>RU000A1095M5</t>
  </si>
  <si>
    <t>ВТБ Б1-360</t>
  </si>
  <si>
    <t>ВТБ Б1-361 [МБ ФР: Т+: Корпоративные облигации]</t>
  </si>
  <si>
    <t>4B02-361-01000-B-001P</t>
  </si>
  <si>
    <t>RU000A109N96</t>
  </si>
  <si>
    <t>ВТБ Б1-361</t>
  </si>
  <si>
    <t>ВТБ Б1-362 [МБ ФР: Т+: Корпоративные облигации]</t>
  </si>
  <si>
    <t>4B02-362-01000-B-001P</t>
  </si>
  <si>
    <t>RU000A109KJ5</t>
  </si>
  <si>
    <t>ВТБ Б1-362</t>
  </si>
  <si>
    <t>ВТБ Б1-363 [МБ ФР: Т+: Корпоративные облигации]</t>
  </si>
  <si>
    <t>4B02-363-01000-B-001P</t>
  </si>
  <si>
    <t>RU000A109ZJ3</t>
  </si>
  <si>
    <t>ВТБ Б1-363</t>
  </si>
  <si>
    <t>ВТБ Б1-364 [МБ ФР: Т+: Корпоративные облигации]</t>
  </si>
  <si>
    <t>4B02-364-01000-B-001P</t>
  </si>
  <si>
    <t>RU000A109ZK1</t>
  </si>
  <si>
    <t>ВТБ Б1-364</t>
  </si>
  <si>
    <t>ВТБ Б1-96 [МБ ФР: Т+: Корпоративные облигации]</t>
  </si>
  <si>
    <t>4B02-96-01000-B-001P</t>
  </si>
  <si>
    <t>RU000A101VF7</t>
  </si>
  <si>
    <t>ВТБ Б1-96</t>
  </si>
  <si>
    <t>ВТБ Б1-97 [МБ ФР: Т+: Корпоративные облигации]</t>
  </si>
  <si>
    <t>4B02-97-01000-B-001P</t>
  </si>
  <si>
    <t>RU000A101VG5</t>
  </si>
  <si>
    <t>ВТБ Б1-97</t>
  </si>
  <si>
    <t>ВТБ БО-30 [МБ ФР: Т+: Корпоративные облигации]</t>
  </si>
  <si>
    <t>4B023001000B</t>
  </si>
  <si>
    <t>RU000A0JV3Q3</t>
  </si>
  <si>
    <t>ВТБ БО-30</t>
  </si>
  <si>
    <t>ВТБ ЗО-35 [МБ ФР: Т+: Корпоративные облигации]</t>
  </si>
  <si>
    <t>4-13-01000-B</t>
  </si>
  <si>
    <t>RU000A1082P6</t>
  </si>
  <si>
    <t>ВТБ ЗО-35</t>
  </si>
  <si>
    <t>ВТБ ЗО-Т1 [МБ ФР: Т+: Корпоративные облигации]</t>
  </si>
  <si>
    <t>4-12-01000-B</t>
  </si>
  <si>
    <t>RU000A1082Q4</t>
  </si>
  <si>
    <t>ВТБ ЗО-Т1</t>
  </si>
  <si>
    <t>ВТБ С1-252 [МБ ФР: Т+: Корпоративные облигации]</t>
  </si>
  <si>
    <t>6-252-01000-B-001P</t>
  </si>
  <si>
    <t>RU000A0NNHL2</t>
  </si>
  <si>
    <t>ВТБ С1-252</t>
  </si>
  <si>
    <t>ВТБ С1-475 [МБ ФР: Т+: Корпоративные облигации]</t>
  </si>
  <si>
    <t>6-475-01000-B-001P</t>
  </si>
  <si>
    <t>RU000A0UD6J8</t>
  </si>
  <si>
    <t>ВТБ С1-475</t>
  </si>
  <si>
    <t>ВТБ С1-518 [МБ ФР: Т+: Корпоративные облигации]</t>
  </si>
  <si>
    <t>6-518-01000-B-001P</t>
  </si>
  <si>
    <t>RU000A1069H0</t>
  </si>
  <si>
    <t>ВТБ С1-518</t>
  </si>
  <si>
    <t>ВТБ С1-519 [МБ ФР: Т+: Корпоративные облигации]</t>
  </si>
  <si>
    <t>6-519-01000-B-001P</t>
  </si>
  <si>
    <t>RU000A1069J6</t>
  </si>
  <si>
    <t>ВТБ С1-519</t>
  </si>
  <si>
    <t>ВТБ С1-627 [МБ ФР: Т+: Корпоративные облигации]</t>
  </si>
  <si>
    <t>6-627-01000-B-001P</t>
  </si>
  <si>
    <t>RU000A0NRCD1</t>
  </si>
  <si>
    <t>ВТБ С1-627</t>
  </si>
  <si>
    <t>ВТБ С1-713 [МБ ФР: Т+: Корпоративные облигации]</t>
  </si>
  <si>
    <t>6-713-01000-B-001P</t>
  </si>
  <si>
    <t>RU000A0NTYA7</t>
  </si>
  <si>
    <t>ВТБ С1-713</t>
  </si>
  <si>
    <t>ВТБ С1-714 [МБ ФР: Т+: Корпоративные облигации]</t>
  </si>
  <si>
    <t>6-714-01000-B-001P</t>
  </si>
  <si>
    <t>RU000A0NTYB5</t>
  </si>
  <si>
    <t>ВТБ С1-714</t>
  </si>
  <si>
    <t>ВТБ С1-733 [МБ ФР: Т+: Корпоративные облигации]</t>
  </si>
  <si>
    <t>6-733-01000-B-001P</t>
  </si>
  <si>
    <t>RU000A0NX2N4</t>
  </si>
  <si>
    <t>ВТБ С1-733</t>
  </si>
  <si>
    <t>ВТБ С1-800 [МБ ФР: Т+: Корпоративные облигации]</t>
  </si>
  <si>
    <t>6-800-01000-B-001P</t>
  </si>
  <si>
    <t>RU000A107407</t>
  </si>
  <si>
    <t>ВТБ С1-800</t>
  </si>
  <si>
    <t>ВТБ Т2-3 [МБ ФР: Т+: Корпоративные облигации]</t>
  </si>
  <si>
    <t>40901000B</t>
  </si>
  <si>
    <t>RU000A1014J2</t>
  </si>
  <si>
    <t>ВТБ Т2-3</t>
  </si>
  <si>
    <t>ВТБЛИЗ 1Р1 [МБ ФР: Т+: Корпоративные облигации]</t>
  </si>
  <si>
    <t>4B02-01-50040-A-001P</t>
  </si>
  <si>
    <t>RU000A108Z93</t>
  </si>
  <si>
    <t>ВТБЛИЗ 1Р1</t>
  </si>
  <si>
    <t>ВТБЛИЗ 1Р2 [МБ ФР: Т+: Корпоративные облигации]</t>
  </si>
  <si>
    <t>4B02-02-50040-A-001P</t>
  </si>
  <si>
    <t>RU000A109X45</t>
  </si>
  <si>
    <t>ВТБЛИЗ 1Р2</t>
  </si>
  <si>
    <t>ВТБРКС01 [МБ ФР: Т+: Корпоративные облигации]</t>
  </si>
  <si>
    <t>4-01-00586-R</t>
  </si>
  <si>
    <t>RU000A1032P1</t>
  </si>
  <si>
    <t>ВТБРКС01</t>
  </si>
  <si>
    <t>ВТБС1-1340 [МБ ФР: Т+: Корпоративные облигации]</t>
  </si>
  <si>
    <t>6-1340-01000-B-001P</t>
  </si>
  <si>
    <t>RU000A109P52</t>
  </si>
  <si>
    <t>ВТБС1-1340</t>
  </si>
  <si>
    <t>ВТБСУБ1-10 [МБ ФР: Т+: Корпоративные облигации]</t>
  </si>
  <si>
    <t>4-10-01000-B-001P</t>
  </si>
  <si>
    <t>RU000A103SA0</t>
  </si>
  <si>
    <t>ВТБСУБ1-10</t>
  </si>
  <si>
    <t>ВТБСУБ1-11 [МБ ФР: Т+: Корпоративные облигации]</t>
  </si>
  <si>
    <t>4-11-01000-B-001P</t>
  </si>
  <si>
    <t>RU000A103SB8</t>
  </si>
  <si>
    <t>ВТБСУБ1-11</t>
  </si>
  <si>
    <t>ВТБСУБ1-12 [МБ ФР: Т+: Корпоративные облигации]</t>
  </si>
  <si>
    <t>4-12-01000-B-001P</t>
  </si>
  <si>
    <t>RU000A103SC6</t>
  </si>
  <si>
    <t>ВТБСУБ1-12</t>
  </si>
  <si>
    <t>ВТБСУБ1-13 [МБ ФР: Т+: Корпоративные облигации]</t>
  </si>
  <si>
    <t>4-13-01000-B-001P</t>
  </si>
  <si>
    <t>RU000A104JW1</t>
  </si>
  <si>
    <t>ВТБСУБ1-13</t>
  </si>
  <si>
    <t>ВТБСУБ1-8 [МБ ФР: Т+: Корпоративные облигации]</t>
  </si>
  <si>
    <t>4-08-01000-B-001P</t>
  </si>
  <si>
    <t>RU000A103S89</t>
  </si>
  <si>
    <t>ВТБСУБ1-8</t>
  </si>
  <si>
    <t>ВТБСУБ1-9 [МБ ФР: Т+: Корпоративные облигации]</t>
  </si>
  <si>
    <t>4-09-01000-B-001P</t>
  </si>
  <si>
    <t>RU000A103S97</t>
  </si>
  <si>
    <t>ВТБСУБ1-9</t>
  </si>
  <si>
    <t>ВТБСУБТ1-1 [МБ ФР: Т+: Корпоративные облигации]</t>
  </si>
  <si>
    <t>4-01-01000-B-001P</t>
  </si>
  <si>
    <t>RU000A102QJ7</t>
  </si>
  <si>
    <t>ВТБСУБТ1-1</t>
  </si>
  <si>
    <t>ВТБСУБТ1-2 [МБ ФР: Т+: Корпоративные облигации]</t>
  </si>
  <si>
    <t>4-02-01000-B-001P</t>
  </si>
  <si>
    <t>RU000A102QL3</t>
  </si>
  <si>
    <t>ВТБСУБТ1-2</t>
  </si>
  <si>
    <t>ВТБСУБТ1-3 [МБ ФР: Т+: Корпоративные облигации]</t>
  </si>
  <si>
    <t>4-03-01000-B-001P</t>
  </si>
  <si>
    <t>RU000A102QM1</t>
  </si>
  <si>
    <t>ВТБСУБТ1-3</t>
  </si>
  <si>
    <t>ВТБСУБТ1-4 [МБ ФР: Т+: Корпоративные облигации]</t>
  </si>
  <si>
    <t>4-04-01000-B-001P</t>
  </si>
  <si>
    <t>RU000A102QN9</t>
  </si>
  <si>
    <t>ВТБСУБТ1-4</t>
  </si>
  <si>
    <t>ВТБСУБТ1-5 [МБ ФР: Т+: Корпоративные облигации]</t>
  </si>
  <si>
    <t>4-05-01000-B-001P</t>
  </si>
  <si>
    <t>RU000A1034P7</t>
  </si>
  <si>
    <t>ВТБСУБТ1-5</t>
  </si>
  <si>
    <t>ВТБСУБТ1-6 [МБ ФР: Т+: Корпоративные облигации]</t>
  </si>
  <si>
    <t>4-06-01000-B-001P</t>
  </si>
  <si>
    <t>RU000A1034Q5</t>
  </si>
  <si>
    <t>ВТБСУБТ1-6</t>
  </si>
  <si>
    <t>ВТБСУБТ2-1 [МБ ФР: Т+: Корпоративные облигации]</t>
  </si>
  <si>
    <t>4-01-01000-B-002P</t>
  </si>
  <si>
    <t>RU000A102879</t>
  </si>
  <si>
    <t>ВТБСУБТ2-1</t>
  </si>
  <si>
    <t>ВТБСУБТ2-2 [МБ ФР: Т+: Корпоративные облигации]</t>
  </si>
  <si>
    <t>4-02-01000-B-002P</t>
  </si>
  <si>
    <t>RU000A102887</t>
  </si>
  <si>
    <t>ВТБСУБТ2-2</t>
  </si>
  <si>
    <t>ВЦЗ 1P1R [МБ ФР: Т+: Корпоративные облигации]</t>
  </si>
  <si>
    <t>4B02-01-31296-E-001P</t>
  </si>
  <si>
    <t>RU000A0ZYLK7</t>
  </si>
  <si>
    <t>ВЦЗ 1P1R</t>
  </si>
  <si>
    <t>ВЭБ 1P-19 [МБ ФР: Т+: Корпоративные облигации]</t>
  </si>
  <si>
    <t>4B02-290-00004-T-001P</t>
  </si>
  <si>
    <t>RU000A101TB0</t>
  </si>
  <si>
    <t>ВЭБ 1P-19</t>
  </si>
  <si>
    <t>ВЭБ ПБО1Р1 [МБ ФР: Т+: Корпоративные облигации]</t>
  </si>
  <si>
    <t>4B02-01-00004-T-001P</t>
  </si>
  <si>
    <t>RU000A0JW6P7</t>
  </si>
  <si>
    <t>ВЭБ ПБО1Р1</t>
  </si>
  <si>
    <t>ВЭБ.РФ 18 [МБ ФР: Т+: Корпоративные облигации]</t>
  </si>
  <si>
    <t>4-23-00004-T</t>
  </si>
  <si>
    <t>RU000A0JT403</t>
  </si>
  <si>
    <t>ВЭБ.РФ 18</t>
  </si>
  <si>
    <t>ВЭБ.РФ 19 [МБ ФР: Т+: Корпоративные облигации]</t>
  </si>
  <si>
    <t>4-24-00004-T</t>
  </si>
  <si>
    <t>RU000A0JT6B2</t>
  </si>
  <si>
    <t>ВЭБ.РФ 19</t>
  </si>
  <si>
    <t>ВЭБ.РФ 21 [МБ ФР: Т+: Корпоративные облигации]</t>
  </si>
  <si>
    <t>4-26-00004-T</t>
  </si>
  <si>
    <t>RU000A0JS4Z7</t>
  </si>
  <si>
    <t>ВЭБ.РФ 21</t>
  </si>
  <si>
    <t>ВЭБ1P-18 [МБ ФР: Т+: Корпоративные облигации]</t>
  </si>
  <si>
    <t>4B02-227-00004-T-001P</t>
  </si>
  <si>
    <t>RU000A1013P1</t>
  </si>
  <si>
    <t>ВЭБ1P-18</t>
  </si>
  <si>
    <t>ВЭБ1P-20 [МБ ФР: Т+: Корпоративные облигации]</t>
  </si>
  <si>
    <t>4B02-291-00004-T-001P</t>
  </si>
  <si>
    <t>RU000A101WE8</t>
  </si>
  <si>
    <t>ВЭБ1P-20</t>
  </si>
  <si>
    <t>ВЭБ1P-23В [МБ ФР: Т+: Корпоративные облигации]</t>
  </si>
  <si>
    <t>ВЭБ1P-24 [МБ ФР: Т+: Корпоративные облигации]</t>
  </si>
  <si>
    <t>4B02-332-00004-T-001P</t>
  </si>
  <si>
    <t>RU000A1031S7</t>
  </si>
  <si>
    <t>ВЭБ1P-24</t>
  </si>
  <si>
    <t>ВЭБ1P-25 [МБ ФР: Т+: Корпоративные облигации]</t>
  </si>
  <si>
    <t>4B02-333-00004-T-001P</t>
  </si>
  <si>
    <t>RU000A1031T5</t>
  </si>
  <si>
    <t>ВЭБ1P-25</t>
  </si>
  <si>
    <t>ВЭБ1P-26 [МБ ФР: Т+: Корпоративные облигации]</t>
  </si>
  <si>
    <t>4B02-334-00004-T-001P</t>
  </si>
  <si>
    <t>RU000A1031U3</t>
  </si>
  <si>
    <t>ВЭБ1P-26</t>
  </si>
  <si>
    <t>ВЭБ1P-28 [МБ ФР: Т+: Корпоративные облигации]</t>
  </si>
  <si>
    <t>4B02-336-00004-T-001P</t>
  </si>
  <si>
    <t>RU000A1031Y5</t>
  </si>
  <si>
    <t>ВЭБ1P-28</t>
  </si>
  <si>
    <t>ВЭБ1P-29 [МБ ФР: Т+: Корпоративные облигации]</t>
  </si>
  <si>
    <t>4B02-337-00004-T-001P</t>
  </si>
  <si>
    <t>RU000A1031Z2</t>
  </si>
  <si>
    <t>ВЭБ1P-29</t>
  </si>
  <si>
    <t>ВЭБ1P-30В [МБ ФР: Т+: Корпоративные облигации]</t>
  </si>
  <si>
    <t>ВЭБ1P-32 [МБ ФР: Т+: Корпоративные облигации]</t>
  </si>
  <si>
    <t>4B02-431-00004-T-001P</t>
  </si>
  <si>
    <t>RU000A104Z63</t>
  </si>
  <si>
    <t>ВЭБ1P-32</t>
  </si>
  <si>
    <t>ВЭБ1P-35 [МБ ФР: Т+: Корпоративные облигации]</t>
  </si>
  <si>
    <t>4B02-440-00004-T-001P</t>
  </si>
  <si>
    <t>RU000A105M83</t>
  </si>
  <si>
    <t>ВЭБ1P-35</t>
  </si>
  <si>
    <t>ВЭБ1P-К441 [МБ ФР: Т+: Корпоративные облигации]</t>
  </si>
  <si>
    <t>4B02-474-00004-T-001P</t>
  </si>
  <si>
    <t>RU000A0NX423</t>
  </si>
  <si>
    <t>ВЭБ1P-К441</t>
  </si>
  <si>
    <t>ВЭБ1P-К443 [МБ ФР: Т+: Корпоративные облигации]</t>
  </si>
  <si>
    <t>4B02-476-00004-T-001P</t>
  </si>
  <si>
    <t>RU000A0NX449</t>
  </si>
  <si>
    <t>ВЭБ1P-К443</t>
  </si>
  <si>
    <t>ВЭБ2P-К503 [МБ ФР: Т+: Корпоративные облигации]</t>
  </si>
  <si>
    <t>4B02-52-00004-T-002P</t>
  </si>
  <si>
    <t>RU000A107XF0</t>
  </si>
  <si>
    <t>ВЭБ2P-К503</t>
  </si>
  <si>
    <t>ВЭБ2P-К541 [МБ ФР: Т+: Корпоративные облигации]</t>
  </si>
  <si>
    <t>4B02-91-00004-T-002P</t>
  </si>
  <si>
    <t>RU000A109437</t>
  </si>
  <si>
    <t>ВЭБ2P-К541</t>
  </si>
  <si>
    <t>ВЭБ2P-К552 [МБ ФР: Т+: Корпоративные облигации]</t>
  </si>
  <si>
    <t>4B02-102-00004-T-002P</t>
  </si>
  <si>
    <t>RU000A109XU5</t>
  </si>
  <si>
    <t>ВЭБ2P-К552</t>
  </si>
  <si>
    <t>ВЭБ2P-К555 [МБ ФР: Т+: Корпоративные облигации]</t>
  </si>
  <si>
    <t>4B02-105-00004-T-002P</t>
  </si>
  <si>
    <t>RU000A109XX9</t>
  </si>
  <si>
    <t>ВЭБ2P-К555</t>
  </si>
  <si>
    <t>ВЭБ2P-К556 [МБ ФР: Т+: Корпоративные облигации]</t>
  </si>
  <si>
    <t>4B02-106-00004-T-002P</t>
  </si>
  <si>
    <t>RU000A109XY7</t>
  </si>
  <si>
    <t>ВЭБ2P-К556</t>
  </si>
  <si>
    <t>ВЭБ2P-К557 [МБ ФР: Т+: Корпоративные облигации]</t>
  </si>
  <si>
    <t>4B02-107-00004-T-002P</t>
  </si>
  <si>
    <t>RU000A109XZ4</t>
  </si>
  <si>
    <t>ВЭБ2P-К557</t>
  </si>
  <si>
    <t>ВЭБ2P-К558 [МБ ФР: Т+: Корпоративные облигации]</t>
  </si>
  <si>
    <t>4B02-108-00004-T-002P</t>
  </si>
  <si>
    <t>RU000A109Y02</t>
  </si>
  <si>
    <t>ВЭБ2P-К558</t>
  </si>
  <si>
    <t>ВЭБ2P-К560 [МБ ФР: Т+: Корпоративные облигации]</t>
  </si>
  <si>
    <t>4B02-110-00004-T-002P</t>
  </si>
  <si>
    <t>RU000A109Y28</t>
  </si>
  <si>
    <t>ВЭБ2P-К560</t>
  </si>
  <si>
    <t>ВЭБP-31 [МБ ФР: Т+: Корпоративные облигации]</t>
  </si>
  <si>
    <t>4B02-01-00004-T-002P</t>
  </si>
  <si>
    <t>RU000A1042W6</t>
  </si>
  <si>
    <t>ВЭБP-31</t>
  </si>
  <si>
    <t>ВЭБP-36 [МБ ФР: Т+: Корпоративные облигации]</t>
  </si>
  <si>
    <t>4B02-03-00004-T-002P</t>
  </si>
  <si>
    <t>RU000A105YH8</t>
  </si>
  <si>
    <t>ВЭБP-36</t>
  </si>
  <si>
    <t>ВЭБP-37 [МБ ФР: Т+: Корпоративные облигации]</t>
  </si>
  <si>
    <t>4B02-04-00004-T-002P</t>
  </si>
  <si>
    <t>RU000A106LL5</t>
  </si>
  <si>
    <t>ВЭБP-37</t>
  </si>
  <si>
    <t>ВЭБP-38 [МБ ФР: Т+: Корпоративные облигации]</t>
  </si>
  <si>
    <t>4B02-05-00004-T-002P</t>
  </si>
  <si>
    <t>RU000A106WW9</t>
  </si>
  <si>
    <t>ВЭБP-38</t>
  </si>
  <si>
    <t>ВЭБP-40 [МБ ФР: Т+: Корпоративные облигации]</t>
  </si>
  <si>
    <t>4B02-46-00004-T-002P</t>
  </si>
  <si>
    <t>RU000A107X96</t>
  </si>
  <si>
    <t>ВЭБP-40</t>
  </si>
  <si>
    <t>ВЭБP-41 [МБ ФР: Т+: Корпоративные облигации]</t>
  </si>
  <si>
    <t>4B02-47-00004-T-002P</t>
  </si>
  <si>
    <t>RU000A107XA1</t>
  </si>
  <si>
    <t>ВЭБP-41</t>
  </si>
  <si>
    <t>ВЭБP-42 [МБ ФР: Т+: Корпоративные облигации]</t>
  </si>
  <si>
    <t>4B02-48-00004-T-002P</t>
  </si>
  <si>
    <t>RU000A107XB9</t>
  </si>
  <si>
    <t>ВЭБP-42</t>
  </si>
  <si>
    <t>ВЭБP-43 [МБ ФР: Т+: Корпоративные облигации]</t>
  </si>
  <si>
    <t>4B02-49-00004-T-002P</t>
  </si>
  <si>
    <t>RU000A107XC7</t>
  </si>
  <si>
    <t>ВЭБP-43</t>
  </si>
  <si>
    <t>ВЭБP-47 [МБ ФР: Т+: Корпоративные облигации]</t>
  </si>
  <si>
    <t>4B02-120-00004-T-002P</t>
  </si>
  <si>
    <t>RU000A10A7F7</t>
  </si>
  <si>
    <t>ВЭБP-47</t>
  </si>
  <si>
    <t>ВЭБUSD1P-1 [МБ ФР: Т+: Корпоративные облигации]</t>
  </si>
  <si>
    <t>ВЭБлизБ04 [МБ ФР: Т+: Корпоративные облигации]</t>
  </si>
  <si>
    <t>4B02-04-43801-H</t>
  </si>
  <si>
    <t>RU000A0JV8D0</t>
  </si>
  <si>
    <t>ВЭБлизБ04</t>
  </si>
  <si>
    <t>ВЭБлизБ05 [МБ ФР: Т+: Корпоративные облигации]</t>
  </si>
  <si>
    <t>4B02-05-43801-H</t>
  </si>
  <si>
    <t>RU000A0JV8G3</t>
  </si>
  <si>
    <t>ВЭБлизБ05</t>
  </si>
  <si>
    <t>ВЭБлизБ06 [МБ ФР: Т+: Корпоративные облигации]</t>
  </si>
  <si>
    <t>4B02-06-43801-H</t>
  </si>
  <si>
    <t>RU000A0JV9D8</t>
  </si>
  <si>
    <t>ВЭБлизБ06</t>
  </si>
  <si>
    <t>ВЭБлизБ07 [МБ ФР: Т+: Корпоративные облигации]</t>
  </si>
  <si>
    <t>4B02-07-43801-H</t>
  </si>
  <si>
    <t>RU000A0JV9H9</t>
  </si>
  <si>
    <t>ВЭБлизБ07</t>
  </si>
  <si>
    <t>ВертолетБ1 [МБ ФР: Т+: Корпоративные облигации]</t>
  </si>
  <si>
    <t>4B02-01-12310-A</t>
  </si>
  <si>
    <t>RU000A0JW3A6</t>
  </si>
  <si>
    <t>ВертолетБ1</t>
  </si>
  <si>
    <t>ВертолетБ3 [МБ ФР: Т+: Корпоративные облигации]</t>
  </si>
  <si>
    <t>4B02-03-12310-A</t>
  </si>
  <si>
    <t>RU000A0ZYMN9</t>
  </si>
  <si>
    <t>ВертолетБ3</t>
  </si>
  <si>
    <t>ВертолетБ4 [МБ ФР: Т+: Корпоративные облигации]</t>
  </si>
  <si>
    <t>4B02-04-12310-A</t>
  </si>
  <si>
    <t>RU000A0ZYMM1</t>
  </si>
  <si>
    <t>ВертолетБ4</t>
  </si>
  <si>
    <t>Виллин1P1 [МБ ФР: Т+: Корпоративные облигации]</t>
  </si>
  <si>
    <t>4B02-01-00191-L-001P</t>
  </si>
  <si>
    <t>RU000A10A505</t>
  </si>
  <si>
    <t>Виллин1P1</t>
  </si>
  <si>
    <t>ВитаЛ 1Р02 [МБ ФР: Т+: Корпоративные облигации]</t>
  </si>
  <si>
    <t>4B02-02-00510-R-001P</t>
  </si>
  <si>
    <t>RU000A102B97</t>
  </si>
  <si>
    <t>ВитаЛ 1Р02</t>
  </si>
  <si>
    <t>ВитаЛ 1Р03 [МБ ФР: Т+: Корпоративные облигации]</t>
  </si>
  <si>
    <t>4B02-03-00510-R-001P</t>
  </si>
  <si>
    <t>RU000A1036X6</t>
  </si>
  <si>
    <t>ВитаЛ 1Р03</t>
  </si>
  <si>
    <t>ВсИнстр1Р1 [МБ ФР: Т+: Корпоративные облигации]</t>
  </si>
  <si>
    <t>4B02-01-00410-R-001P</t>
  </si>
  <si>
    <t>RU000A107GJ7</t>
  </si>
  <si>
    <t>ВсИнстр1Р1</t>
  </si>
  <si>
    <t>ВсИнстр1Р2 [МБ ФР: Т+: Корпоративные облигации]</t>
  </si>
  <si>
    <t>4B02-02-00410-R-001P</t>
  </si>
  <si>
    <t>RU000A109VJ2</t>
  </si>
  <si>
    <t>ВсИнстр1Р2</t>
  </si>
  <si>
    <t>ВсИнстр1Р3 [МБ ФР: Т+: Корпоративные облигации]</t>
  </si>
  <si>
    <t>4B02-03-00410-R-001P</t>
  </si>
  <si>
    <t>RU000A109VK0</t>
  </si>
  <si>
    <t>ВсИнстр1Р3</t>
  </si>
  <si>
    <t>ВымпелК1Р1 [МБ ФР: Т+: Корпоративные облигации]</t>
  </si>
  <si>
    <t>4B02-02-00027-A-001P</t>
  </si>
  <si>
    <t>RU000A105WC3</t>
  </si>
  <si>
    <t>ВымпелК1Р1</t>
  </si>
  <si>
    <t>ВымпелК1Р2 [МБ ФР: Т+: Корпоративные облигации]</t>
  </si>
  <si>
    <t>4B02-01-00027-A-001P</t>
  </si>
  <si>
    <t>RU000A105XE7</t>
  </si>
  <si>
    <t>ВымпелК1Р2</t>
  </si>
  <si>
    <t>ВымпелК1Р3 [МБ ФР: Т+: Корпоративные облигации]</t>
  </si>
  <si>
    <t>4B02-03-00027-A-001P</t>
  </si>
  <si>
    <t>RU000A105YK2</t>
  </si>
  <si>
    <t>ВымпелК1Р3</t>
  </si>
  <si>
    <t>ВымпелК1Р4 [МБ ФР: Т+: Корпоративные облигации]</t>
  </si>
  <si>
    <t>4B02-04-00027-A-001P</t>
  </si>
  <si>
    <t>RU000A105WK6</t>
  </si>
  <si>
    <t>ВымпелК1Р4</t>
  </si>
  <si>
    <t>ВымпелК1Р5 [МБ ФР: Т+: Корпоративные облигации]</t>
  </si>
  <si>
    <t>4B02-05-00027-A-001P</t>
  </si>
  <si>
    <t>RU000A105W81</t>
  </si>
  <si>
    <t>ВымпелК1Р5</t>
  </si>
  <si>
    <t>ВымпелК1Р6 [МБ ФР: Т+: Корпоративные облигации]</t>
  </si>
  <si>
    <t>4B02-06-00027-A-001P</t>
  </si>
  <si>
    <t>RU000A105TY3</t>
  </si>
  <si>
    <t>ВымпелК1Р6</t>
  </si>
  <si>
    <t>ВымпелК1Р7 [МБ ФР: Т+: Корпоративные облигации]</t>
  </si>
  <si>
    <t>4B02-07-00027-A-001P</t>
  </si>
  <si>
    <t>RU000A105WP5</t>
  </si>
  <si>
    <t>ВымпелК1Р7</t>
  </si>
  <si>
    <t>ВымпелК1Р8 [МБ ФР: Т+: Корпоративные облигации]</t>
  </si>
  <si>
    <t>4B02-08-00027-A-001P</t>
  </si>
  <si>
    <t>RU000A105X80</t>
  </si>
  <si>
    <t>ВымпелК1Р8</t>
  </si>
  <si>
    <t>ВымпелК1Р9 [МБ ФР: Т+: Корпоративные облигации]</t>
  </si>
  <si>
    <t>4B02-09-00027-A-001P</t>
  </si>
  <si>
    <t>RU000A105YV9</t>
  </si>
  <si>
    <t>ВымпелК1Р9</t>
  </si>
  <si>
    <t>ВымпелК2Р1 [МБ ФР: Т+: Корпоративные облигации]</t>
  </si>
  <si>
    <t>4B02-01-00027-A-002P</t>
  </si>
  <si>
    <t>RU000A106TN4</t>
  </si>
  <si>
    <t>ВымпелК2Р1</t>
  </si>
  <si>
    <t>ВымпелК2Р3 [МБ ФР: Т+: Корпоративные облигации]</t>
  </si>
  <si>
    <t>4B02-03-00027-A-002P</t>
  </si>
  <si>
    <t>RU000A106TQ7</t>
  </si>
  <si>
    <t>ВымпелК2Р3</t>
  </si>
  <si>
    <t>ВымпелК3Р2 [МБ ФР: Т+: Корпоративные облигации]</t>
  </si>
  <si>
    <t>4B02-02-00027-A-003P</t>
  </si>
  <si>
    <t>RU000A106TS3</t>
  </si>
  <si>
    <t>ВымпелК3Р2</t>
  </si>
  <si>
    <t>ВымпелК3Р3 [МБ ФР: Т+: Корпоративные облигации]</t>
  </si>
  <si>
    <t>4B02-03-00027-A-003P</t>
  </si>
  <si>
    <t>RU000A106TR5</t>
  </si>
  <si>
    <t>ВымпелК3Р3</t>
  </si>
  <si>
    <t>ВымпелК3Р4 [МБ ФР: Т+: Корпоративные облигации]</t>
  </si>
  <si>
    <t>4B02-04-00027-A-003P</t>
  </si>
  <si>
    <t>RU000A106TV7</t>
  </si>
  <si>
    <t>ВымпелК3Р4</t>
  </si>
  <si>
    <t>ВымпелКБО2 [МБ ФР: Т+: Корпоративные облигации]</t>
  </si>
  <si>
    <t>4B02-02-00027-A</t>
  </si>
  <si>
    <t>RU000A0JVUN2</t>
  </si>
  <si>
    <t>ВымпелКБО2</t>
  </si>
  <si>
    <t>ВымпелКБО3 [МБ ФР: Т+: Корпоративные облигации]</t>
  </si>
  <si>
    <t>4B02-03-00027-A</t>
  </si>
  <si>
    <t>RU000A0JVUP7</t>
  </si>
  <si>
    <t>ВымпелКБО3</t>
  </si>
  <si>
    <t>ГЕНЕТИКБ01 [МБ ФР: Т+: Корпоративные облигации]</t>
  </si>
  <si>
    <t>4B02-01-00549-R</t>
  </si>
  <si>
    <t>RU000A101UL7</t>
  </si>
  <si>
    <t>ГЕНЕТИКБ01</t>
  </si>
  <si>
    <t>ГИДРОМАШ01 [МБ ФР: Т+: Корпоративные облигации]</t>
  </si>
  <si>
    <t>4B02-01-17174-H-001P</t>
  </si>
  <si>
    <t>RU000A105Q89</t>
  </si>
  <si>
    <t>ГИДРОМАШ01</t>
  </si>
  <si>
    <t>ГИДРОМАШ02 [МБ ФР: Т+: Корпоративные облигации]</t>
  </si>
  <si>
    <t>4B02-02-17174-H-001P</t>
  </si>
  <si>
    <t>RU000A1089G0</t>
  </si>
  <si>
    <t>ГИДРОМАШ02</t>
  </si>
  <si>
    <t>ГИДРОМАШБ3 [МБ ФР: Т+: Корпоративные облигации]</t>
  </si>
  <si>
    <t>4B02-03-17174-H</t>
  </si>
  <si>
    <t>RU000A1026H0</t>
  </si>
  <si>
    <t>ГИДРОМАШБ3</t>
  </si>
  <si>
    <t>ГК ЕКС БО1 [МБ ФР: Т+: Корпоративные облигации]</t>
  </si>
  <si>
    <t>4B02-01-02800-A</t>
  </si>
  <si>
    <t>RU000A104BU2</t>
  </si>
  <si>
    <t>ГК ЕКС БО1</t>
  </si>
  <si>
    <t>ГЛОРАКС 01 [МБ ФР: Т+: Корпоративные облигации]</t>
  </si>
  <si>
    <t>4B02-01-00060-L</t>
  </si>
  <si>
    <t>RU000A1053W3</t>
  </si>
  <si>
    <t>ГЛОРАКС 01</t>
  </si>
  <si>
    <t>ГЛОРАКС1Р1 [МБ ФР: Т+: Корпоративные облигации]</t>
  </si>
  <si>
    <t>4B02-01-00060-L-001P</t>
  </si>
  <si>
    <t>RU000A105XF4</t>
  </si>
  <si>
    <t>ГЛОРАКС1Р1</t>
  </si>
  <si>
    <t>ГЛОРАКС1Р2 [МБ ФР: Т+: Корпоративные облигации]</t>
  </si>
  <si>
    <t>4B02-02-00060-L-001P</t>
  </si>
  <si>
    <t>RU000A108132</t>
  </si>
  <si>
    <t>ГЛОРАКС1Р2</t>
  </si>
  <si>
    <t>ГПБ 01-АТ1 [МБ ФР: Т+: Корпоративные облигации]</t>
  </si>
  <si>
    <t>41900354B</t>
  </si>
  <si>
    <t>RU000A0ZZFZ4</t>
  </si>
  <si>
    <t>ГПБ 01-АТ1</t>
  </si>
  <si>
    <t>ГПБ Т2-02Е [МБ ФР: Т+: Корпоративные облигации]</t>
  </si>
  <si>
    <t>ГПБ Т2-03Д [МБ ФР: Т+: Корпоративные облигации]</t>
  </si>
  <si>
    <t>ГПБ Т2-04Д [МБ ФР: Т+: Корпоративные облигации]</t>
  </si>
  <si>
    <t>ГПБ-КИ-05 [МБ ФР: Т+: Корпоративные облигации]</t>
  </si>
  <si>
    <t>4-27-00354-B</t>
  </si>
  <si>
    <t>RU000A104YB4</t>
  </si>
  <si>
    <t>ГПБ-КИ-05</t>
  </si>
  <si>
    <t>ГПБ-КИ-06 [МБ ФР: Т+: Корпоративные облигации]</t>
  </si>
  <si>
    <t>4-28-00354-B</t>
  </si>
  <si>
    <t>RU000A104YC2</t>
  </si>
  <si>
    <t>ГПБ-КИ-06</t>
  </si>
  <si>
    <t>ГПБ-КИ-07 [МБ ФР: Т+: Корпоративные облигации]</t>
  </si>
  <si>
    <t>4-29-00354-B</t>
  </si>
  <si>
    <t>RU000A104YD0</t>
  </si>
  <si>
    <t>ГПБ-КИ-07</t>
  </si>
  <si>
    <t>ГПБ-КИ-08 [МБ ФР: Т+: Корпоративные облигации]</t>
  </si>
  <si>
    <t>4-30-00354-B</t>
  </si>
  <si>
    <t>RU000A104YE8</t>
  </si>
  <si>
    <t>ГПБ-КИ-08</t>
  </si>
  <si>
    <t>ГПБ-КИ-09 [МБ ФР: Т+: Корпоративные облигации]</t>
  </si>
  <si>
    <t>4-31-00354-B</t>
  </si>
  <si>
    <t>RU000A104YF5</t>
  </si>
  <si>
    <t>ГПБ-КИ-09</t>
  </si>
  <si>
    <t>ГПБ-КИ-10 [МБ ФР: Т+: Корпоративные облигации]</t>
  </si>
  <si>
    <t>4-32-00354-B</t>
  </si>
  <si>
    <t>RU000A104YG3</t>
  </si>
  <si>
    <t>ГПБ-КИ-10</t>
  </si>
  <si>
    <t>ГПБ-КИ-12 [МБ ФР: Т+: Корпоративные облигации]</t>
  </si>
  <si>
    <t>4-34-00354-B</t>
  </si>
  <si>
    <t>RU000A104YJ7</t>
  </si>
  <si>
    <t>ГПБ-КИ-12</t>
  </si>
  <si>
    <t>ГПБ-Т2-05Р [МБ ФР: Т+: Корпоративные облигации]</t>
  </si>
  <si>
    <t>4-01-00354-B-004P</t>
  </si>
  <si>
    <t>RU000A106ZK7</t>
  </si>
  <si>
    <t>ГПБ-Т2-05Р</t>
  </si>
  <si>
    <t>ГПБ001P12P [МБ ФР: Т+: Корпоративные облигации]</t>
  </si>
  <si>
    <t>4B021200354B001P</t>
  </si>
  <si>
    <t>RU000A100JB3</t>
  </si>
  <si>
    <t>ГПБ001P12P</t>
  </si>
  <si>
    <t>ГПБ001P17P [МБ ФР: Т+: Корпоративные облигации]</t>
  </si>
  <si>
    <t>4B02-16-00354-B-001P</t>
  </si>
  <si>
    <t>RU000A101Z74</t>
  </si>
  <si>
    <t>ГПБ001P17P</t>
  </si>
  <si>
    <t>ГПБ001P18P [МБ ФР: Т+: Корпоративные облигации]</t>
  </si>
  <si>
    <t>4B02-17-00354-B-001P</t>
  </si>
  <si>
    <t>RU000A102DB2</t>
  </si>
  <si>
    <t>ГПБ001P18P</t>
  </si>
  <si>
    <t>ГПБ001P19P [МБ ФР: Т+: Корпоративные облигации]</t>
  </si>
  <si>
    <t>4B02-18-00354-B-001P</t>
  </si>
  <si>
    <t>RU000A102GJ8</t>
  </si>
  <si>
    <t>ГПБ001P19P</t>
  </si>
  <si>
    <t>ГПБ001P20P [МБ ФР: Т+: Корпоративные облигации]</t>
  </si>
  <si>
    <t>4B02-19-00354-B-001P</t>
  </si>
  <si>
    <t>RU000A102LU5</t>
  </si>
  <si>
    <t>ГПБ001P20P</t>
  </si>
  <si>
    <t>ГПБ001P21P [МБ ФР: Т+: Корпоративные облигации]</t>
  </si>
  <si>
    <t>4B02-20-00354-B-001P</t>
  </si>
  <si>
    <t>RU000A104B46</t>
  </si>
  <si>
    <t>ГПБ001P21P</t>
  </si>
  <si>
    <t>ГПБ001P22P [МБ ФР: Т+: Корпоративные облигации]</t>
  </si>
  <si>
    <t>4B02-21-00354-B-001P</t>
  </si>
  <si>
    <t>RU000A105GW4</t>
  </si>
  <si>
    <t>ГПБ001P22P</t>
  </si>
  <si>
    <t>ГПБ001P26P [МБ ФР: Т+: Корпоративные облигации]</t>
  </si>
  <si>
    <t>4B02-25-00354-B-001P</t>
  </si>
  <si>
    <t>RU000A1064G3</t>
  </si>
  <si>
    <t>ГПБ001P26P</t>
  </si>
  <si>
    <t>ГПБ003P01P [МБ ФР: Т+: Корпоративные облигации]</t>
  </si>
  <si>
    <t>4B02-01-00354-B-003P</t>
  </si>
  <si>
    <t>RU000A106YH6</t>
  </si>
  <si>
    <t>ГПБ003P01P</t>
  </si>
  <si>
    <t>ГПБ004Р01 [МБ ФР: Т+: Корпоративные облигации]</t>
  </si>
  <si>
    <t>4B02-01-00354-B-004P</t>
  </si>
  <si>
    <t>RU000A107AS1</t>
  </si>
  <si>
    <t>ГПБ004Р01</t>
  </si>
  <si>
    <t>ГПБ004Р02 [МБ ФР: Т+: Корпоративные облигации]</t>
  </si>
  <si>
    <t>4B02-02-00354-B-004P</t>
  </si>
  <si>
    <t>RU000A107GG3</t>
  </si>
  <si>
    <t>ГПБ004Р02</t>
  </si>
  <si>
    <t>ГПБ004Р03 [МБ ФР: Т+: Корпоративные облигации]</t>
  </si>
  <si>
    <t>4B02-03-00354-B-004P</t>
  </si>
  <si>
    <t>RU000A107Q95</t>
  </si>
  <si>
    <t>ГПБ004Р03</t>
  </si>
  <si>
    <t>ГПБ004Р04 [МБ ФР: Т+: Корпоративные облигации]</t>
  </si>
  <si>
    <t>4B02-04-00354-B-004P</t>
  </si>
  <si>
    <t>RU000A107VZ2</t>
  </si>
  <si>
    <t>ГПБ004Р04</t>
  </si>
  <si>
    <t>ГПБ004Р05 [МБ ФР: Т+: Корпоративные облигации]</t>
  </si>
  <si>
    <t>4B02-05-00354-B-004P</t>
  </si>
  <si>
    <t>RU000A1084F3</t>
  </si>
  <si>
    <t>ГПБ004Р05</t>
  </si>
  <si>
    <t>ГПБ004Р06 [МБ ФР: Т+: Корпоративные облигации]</t>
  </si>
  <si>
    <t>4B02-06-00354-B-004P</t>
  </si>
  <si>
    <t>RU000A108CG0</t>
  </si>
  <si>
    <t>ГПБ004Р06</t>
  </si>
  <si>
    <t>ГПБ004Р07 [МБ ФР: Т+: Корпоративные облигации]</t>
  </si>
  <si>
    <t>4B02-07-00354-B-004P</t>
  </si>
  <si>
    <t>RU000A108CH8</t>
  </si>
  <si>
    <t>ГПБ004Р07</t>
  </si>
  <si>
    <t>ГПБ004Р08 [МБ ФР: Т+: Корпоративные облигации]</t>
  </si>
  <si>
    <t>4B02-08-00354-B-004P</t>
  </si>
  <si>
    <t>RU000A108LS6</t>
  </si>
  <si>
    <t>ГПБ004Р08</t>
  </si>
  <si>
    <t>ГПБ004Р09 [МБ ФР: Т+: Корпоративные облигации]</t>
  </si>
  <si>
    <t>4B02-09-00354-B-004P</t>
  </si>
  <si>
    <t>RU000A108UM0</t>
  </si>
  <si>
    <t>ГПБ004Р09</t>
  </si>
  <si>
    <t>ГПБ004Р10 [МБ ФР: Т+: Корпоративные облигации]</t>
  </si>
  <si>
    <t>4B02-10-00354-B-004P</t>
  </si>
  <si>
    <t>RU000A1094P1</t>
  </si>
  <si>
    <t>ГПБ004Р10</t>
  </si>
  <si>
    <t>ГПБ004Р11 [МБ ФР: Т+: Корпоративные облигации]</t>
  </si>
  <si>
    <t>4B02-11-00354-B-004P</t>
  </si>
  <si>
    <t>RU000A109DK8</t>
  </si>
  <si>
    <t>ГПБ004Р11</t>
  </si>
  <si>
    <t>ГПБ004Р12 [МБ ФР: Т+: Корпоративные облигации]</t>
  </si>
  <si>
    <t>4B02-12-00354-B-004P</t>
  </si>
  <si>
    <t>RU000A109EG4</t>
  </si>
  <si>
    <t>ГПБ004Р12</t>
  </si>
  <si>
    <t>ГПБ004Р13 [МБ ФР: Т+: Корпоративные облигации]</t>
  </si>
  <si>
    <t>4B02-13-00354-B-004P</t>
  </si>
  <si>
    <t>RU000A109YM0</t>
  </si>
  <si>
    <t>ГПБ004Р13</t>
  </si>
  <si>
    <t>ГПБ005P02P [МБ ФР: Т+: Корпоративные облигации]</t>
  </si>
  <si>
    <t>4B02-02-00354-B-005P</t>
  </si>
  <si>
    <t>RU000A107F49</t>
  </si>
  <si>
    <t>ГПБ005P02P</t>
  </si>
  <si>
    <t>ГПБ005P03P [МБ ФР: Т+: Корпоративные облигации]</t>
  </si>
  <si>
    <t>4B02-03-00354-B-005P</t>
  </si>
  <si>
    <t>RU000A107UA7</t>
  </si>
  <si>
    <t>ГПБ005P03P</t>
  </si>
  <si>
    <t>ГПБ005P04P [МБ ФР: Т+: Корпоративные облигации]</t>
  </si>
  <si>
    <t>4B02-04-00354-B-005P</t>
  </si>
  <si>
    <t>RU000A1097S8</t>
  </si>
  <si>
    <t>ГПБ005P04P</t>
  </si>
  <si>
    <t>ГПБ005P12P [МБ ФР: Т+: Корпоративные облигации]</t>
  </si>
  <si>
    <t>4B02-12-00354-B-005P</t>
  </si>
  <si>
    <t>RU000A108VL0</t>
  </si>
  <si>
    <t>ГПБ005P12P</t>
  </si>
  <si>
    <t>ГПБ3P6CNY [МБ ФР: Т+: Корпоративные облигации]</t>
  </si>
  <si>
    <t>ГПБФин1Р2 [МБ ФР: Т+: Корпоративные облигации]</t>
  </si>
  <si>
    <t>4B02-02-00158-L-001P</t>
  </si>
  <si>
    <t>RU000A109R19</t>
  </si>
  <si>
    <t>ГПБФин1Р2</t>
  </si>
  <si>
    <t>ГТЛК 1P-01 [МБ ФР: Т+: Корпоративные облигации]</t>
  </si>
  <si>
    <t>4B02-01-32432-H-001P</t>
  </si>
  <si>
    <t>RU000A0JWTV5</t>
  </si>
  <si>
    <t>ГТЛК 1P-01</t>
  </si>
  <si>
    <t>ГТЛК 1P-02 [МБ ФР: Т+: Корпоративные облигации]</t>
  </si>
  <si>
    <t>4B02-02-32432-H-001P</t>
  </si>
  <si>
    <t>RU000A0JX199</t>
  </si>
  <si>
    <t>ГТЛК 1P-02</t>
  </si>
  <si>
    <t>ГТЛК 1P-03 [МБ ФР: Т+: Корпоративные облигации]</t>
  </si>
  <si>
    <t>4B02-03-32432-H-001P</t>
  </si>
  <si>
    <t>RU000A0JXE06</t>
  </si>
  <si>
    <t>ГТЛК 1P-03</t>
  </si>
  <si>
    <t>ГТЛК 1P-04 [МБ ФР: Т+: Корпоративные облигации]</t>
  </si>
  <si>
    <t>4B02-04-32432-H-001P</t>
  </si>
  <si>
    <t>RU000A0JXPG2</t>
  </si>
  <si>
    <t>ГТЛК 1P-04</t>
  </si>
  <si>
    <t>ГТЛК 1P-06 [МБ ФР: Т+: Корпоративные облигации]</t>
  </si>
  <si>
    <t>4B02-06-32432-H-001P</t>
  </si>
  <si>
    <t>RU000A0ZYAP9</t>
  </si>
  <si>
    <t>ГТЛК 1P-06</t>
  </si>
  <si>
    <t>ГТЛК 1P-07 [МБ ФР: Т+: Корпоративные облигации]</t>
  </si>
  <si>
    <t>4B02-07-32432-H-001P</t>
  </si>
  <si>
    <t>RU000A0ZYNY4</t>
  </si>
  <si>
    <t>ГТЛК 1P-07</t>
  </si>
  <si>
    <t>ГТЛК 1P-08 [МБ ФР: Т+: Корпоративные облигации]</t>
  </si>
  <si>
    <t>4B02-08-32432-H-001P</t>
  </si>
  <si>
    <t>RU000A0ZYR91</t>
  </si>
  <si>
    <t>ГТЛК 1P-08</t>
  </si>
  <si>
    <t>ГТЛК 1P-09 [МБ ФР: Т+: Корпоративные облигации]</t>
  </si>
  <si>
    <t>4B02-09-32432-H-001P</t>
  </si>
  <si>
    <t>RU000A0ZZ1J8</t>
  </si>
  <si>
    <t>ГТЛК 1P-09</t>
  </si>
  <si>
    <t>ГТЛК 1P-10 [МБ ФР: Т+: Корпоративные облигации]</t>
  </si>
  <si>
    <t>4B02-10-32432-H-001P</t>
  </si>
  <si>
    <t>RU000A0ZZ984</t>
  </si>
  <si>
    <t>ГТЛК 1P-10</t>
  </si>
  <si>
    <t>ГТЛК 1P-12 [МБ ФР: Т+: Корпоративные облигации]</t>
  </si>
  <si>
    <t>4B02-12-32432-H-001P</t>
  </si>
  <si>
    <t>RU000A0ZZV11</t>
  </si>
  <si>
    <t>ГТЛК 1P-12</t>
  </si>
  <si>
    <t>ГТЛК 1P-13 [МБ ФР: Т+: Корпоративные облигации]</t>
  </si>
  <si>
    <t>4B02-13-32432-H-001P</t>
  </si>
  <si>
    <t>RU000A1003A4</t>
  </si>
  <si>
    <t>ГТЛК 1P-13</t>
  </si>
  <si>
    <t>ГТЛК 1P-14 [МБ ФР: Т+: Корпоративные облигации]</t>
  </si>
  <si>
    <t>4B02-14-32432-H-001P</t>
  </si>
  <si>
    <t>RU000A100FE5</t>
  </si>
  <si>
    <t>ГТЛК 1P-14</t>
  </si>
  <si>
    <t>ГТЛК 1P-15 [МБ ФР: Т+: Корпоративные облигации]</t>
  </si>
  <si>
    <t>4B02-15-32432-H-001P</t>
  </si>
  <si>
    <t>RU000A100Z91</t>
  </si>
  <si>
    <t>ГТЛК 1P-15</t>
  </si>
  <si>
    <t>ГТЛК 1P-16 [МБ ФР: Т+: Корпоративные облигации]</t>
  </si>
  <si>
    <t>4B02-16-32432-H-001P</t>
  </si>
  <si>
    <t>RU000A101GD3</t>
  </si>
  <si>
    <t>ГТЛК 1P-16</t>
  </si>
  <si>
    <t>ГТЛК 1P-17 [МБ ФР: Т+: Корпоративные облигации]</t>
  </si>
  <si>
    <t>4B02-17-32432-H-001P</t>
  </si>
  <si>
    <t>RU000A101QL5</t>
  </si>
  <si>
    <t>ГТЛК 1P-17</t>
  </si>
  <si>
    <t>ГТЛК 1P-18 [МБ ФР: Т+: Корпоративные облигации]</t>
  </si>
  <si>
    <t>4B02-18-32432-H-001P</t>
  </si>
  <si>
    <t>RU000A101SC0</t>
  </si>
  <si>
    <t>ГТЛК 1P-18</t>
  </si>
  <si>
    <t>ГТЛК 1P-19 [МБ ФР: Т+: Корпоративные облигации]</t>
  </si>
  <si>
    <t>4B02-19-32432-H-001P</t>
  </si>
  <si>
    <t>RU000A101SD8</t>
  </si>
  <si>
    <t>ГТЛК 1P-19</t>
  </si>
  <si>
    <t>ГТЛК 1P-20 [МБ ФР: Т+: Корпоративные облигации]</t>
  </si>
  <si>
    <t>4B02-20-32432-H-001P</t>
  </si>
  <si>
    <t>RU000A1038M5</t>
  </si>
  <si>
    <t>ГТЛК 1P-20</t>
  </si>
  <si>
    <t>ГТЛК 1P-21 [МБ ФР: Т+: Корпоративные облигации]</t>
  </si>
  <si>
    <t>4B02-21-32432-H-001P</t>
  </si>
  <si>
    <t>RU000A108DE3</t>
  </si>
  <si>
    <t>ГТЛК 1P-21</t>
  </si>
  <si>
    <t>ГТЛК 2P-01 [МБ ФР: Т+: Корпоративные облигации]</t>
  </si>
  <si>
    <t>4B02-01-32432-H-002P</t>
  </si>
  <si>
    <t>RU000A102VR0</t>
  </si>
  <si>
    <t>ГТЛК 2P-01</t>
  </si>
  <si>
    <t>ГТЛК 2P-02 [МБ ФР: Т+: Корпоративные облигации]</t>
  </si>
  <si>
    <t>4B02-02-32432-H-002P</t>
  </si>
  <si>
    <t>RU000A105KB0</t>
  </si>
  <si>
    <t>ГТЛК 2P-02</t>
  </si>
  <si>
    <t>ГТЛК 2P-03 [МБ ФР: Т+: Корпоративные облигации]</t>
  </si>
  <si>
    <t>4B02-03-32432-H-002P</t>
  </si>
  <si>
    <t>RU000A107TT9</t>
  </si>
  <si>
    <t>ГТЛК 2P-03</t>
  </si>
  <si>
    <t>ГТЛК 2P-04 [МБ ФР: Т+: Корпоративные облигации]</t>
  </si>
  <si>
    <t>4B02-04-32432-H-002P</t>
  </si>
  <si>
    <t>RU000A10A3Z4</t>
  </si>
  <si>
    <t>ГТЛК 2P-04</t>
  </si>
  <si>
    <t>ГТЛК 2P-05 [МБ ФР: Т+: Корпоративные облигации]</t>
  </si>
  <si>
    <t>ГТЛК 2P-06 [МБ ФР: Т+: Корпоративные облигации]</t>
  </si>
  <si>
    <t>4B02-06-32432-H-002P</t>
  </si>
  <si>
    <t>RU000A10A5H7</t>
  </si>
  <si>
    <t>ГТЛК 2P-06</t>
  </si>
  <si>
    <t>ГТЛК БО-03 [МБ ФР: Т+: Корпоративные облигации]</t>
  </si>
  <si>
    <t>4B02-03-32432-H</t>
  </si>
  <si>
    <t>RU000A0JV375</t>
  </si>
  <si>
    <t>ГТЛК БО-03</t>
  </si>
  <si>
    <t>ГТЛК БО-04 [МБ ФР: Т+: Корпоративные облигации]</t>
  </si>
  <si>
    <t>4B02-04-32432-H</t>
  </si>
  <si>
    <t>RU000A0JVA10</t>
  </si>
  <si>
    <t>ГТЛК БО-04</t>
  </si>
  <si>
    <t>ГТЛК БО-05 [МБ ФР: Т+: Корпоративные облигации]</t>
  </si>
  <si>
    <t>4B02-05-32432-H</t>
  </si>
  <si>
    <t>RU000A0JVWD9</t>
  </si>
  <si>
    <t>ГТЛК БО-05</t>
  </si>
  <si>
    <t>ГТЛК БО-06 [МБ ФР: Т+: Корпоративные облигации]</t>
  </si>
  <si>
    <t>4B02-06-32432-H</t>
  </si>
  <si>
    <t>RU000A0JVWJ6</t>
  </si>
  <si>
    <t>ГТЛК БО-06</t>
  </si>
  <si>
    <t>ГТЛК БО-07 [МБ ФР: Т+: Корпоративные облигации]</t>
  </si>
  <si>
    <t>4B02-07-32432-H</t>
  </si>
  <si>
    <t>RU000A0JW1P8</t>
  </si>
  <si>
    <t>ГТЛК БО-07</t>
  </si>
  <si>
    <t>ГТЛК БО-08 [МБ ФР: Т+: Корпоративные облигации]</t>
  </si>
  <si>
    <t>4B02-08-32432-H</t>
  </si>
  <si>
    <t>RU000A0JWST1</t>
  </si>
  <si>
    <t>ГТЛК БО-08</t>
  </si>
  <si>
    <t>ГТЛК ЗО25Д [МБ ФР: Т+: Корпоративные облигации]</t>
  </si>
  <si>
    <t>4-04-32432-H</t>
  </si>
  <si>
    <t>RU000A1078V2</t>
  </si>
  <si>
    <t>ГТЛК ЗО25Д</t>
  </si>
  <si>
    <t>ГТЛК ЗО26Д [МБ ФР: Т+: Корпоративные облигации]</t>
  </si>
  <si>
    <t>4-05-32432-H</t>
  </si>
  <si>
    <t>RU000A107AQ5</t>
  </si>
  <si>
    <t>ГТЛК ЗО26Д</t>
  </si>
  <si>
    <t>ГТЛК ЗО27Д [МБ ФР: Т+: Корпоративные облигации]</t>
  </si>
  <si>
    <t>4-06-32432-H</t>
  </si>
  <si>
    <t>RU000A107B43</t>
  </si>
  <si>
    <t>ГТЛК ЗО27Д</t>
  </si>
  <si>
    <t>ГТЛК ЗО28Д [МБ ФР: Т+: Корпоративные облигации]</t>
  </si>
  <si>
    <t>4-07-32432-H</t>
  </si>
  <si>
    <t>RU000A107CX7</t>
  </si>
  <si>
    <t>ГТЛК ЗО28Д</t>
  </si>
  <si>
    <t>ГТЛК ЗО29Д [МБ ФР: Т+: Корпоративные облигации]</t>
  </si>
  <si>
    <t>4-08-32432-H</t>
  </si>
  <si>
    <t>RU000A107D58</t>
  </si>
  <si>
    <t>ГТЛК ЗО29Д</t>
  </si>
  <si>
    <t>ГТЛК1520 2 [МБ ФР: Т+: Корпоративные облигации]</t>
  </si>
  <si>
    <t>4B02-02-00443-R-001P</t>
  </si>
  <si>
    <t>RU000A101D54</t>
  </si>
  <si>
    <t>ГТЛК1520 2</t>
  </si>
  <si>
    <t>ГТС БО-01 [МБ ФР: Т+: Корпоративные облигации]</t>
  </si>
  <si>
    <t>4B02-01-00702-R</t>
  </si>
  <si>
    <t>RU000A109RX1</t>
  </si>
  <si>
    <t>ГТС БО-01</t>
  </si>
  <si>
    <t>ГазК 2Б-01 [МБ ФР: Т+: Корпоративные облигации]</t>
  </si>
  <si>
    <t>4-01-36400-R-002P</t>
  </si>
  <si>
    <t>RU000A106MS8</t>
  </si>
  <si>
    <t>ГазК 2Б-01</t>
  </si>
  <si>
    <t>ГазКБЗО26Д [МБ ФР: Т+: Корпоративные облигации]</t>
  </si>
  <si>
    <t>4-09-36400-R</t>
  </si>
  <si>
    <t>RU000A105QW3</t>
  </si>
  <si>
    <t>ГазКБЗО26Д</t>
  </si>
  <si>
    <t>ГазКЗ-25Е [МБ ФР: Т+: Корпоративные облигации]</t>
  </si>
  <si>
    <t>4-14-36400-R-003P</t>
  </si>
  <si>
    <t>RU000A105VL6</t>
  </si>
  <si>
    <t>ГазКЗ-25Е</t>
  </si>
  <si>
    <t>ГазКЗ-25Е2 [МБ ФР: Т+: Корпоративные облигации]</t>
  </si>
  <si>
    <t>4-16-36400-R-003P</t>
  </si>
  <si>
    <t>RU000A105WJ8</t>
  </si>
  <si>
    <t>ГазКЗ-25Е2</t>
  </si>
  <si>
    <t>ГазКЗ-26Д [МБ ФР: Т+: Корпоративные облигации]</t>
  </si>
  <si>
    <t>4-09-36400-R-003P</t>
  </si>
  <si>
    <t>RU000A105RG4</t>
  </si>
  <si>
    <t>ГазКЗ-26Д</t>
  </si>
  <si>
    <t>ГазКЗ-26Е [МБ ФР: Т+: Корпоративные облигации]</t>
  </si>
  <si>
    <t>4-15-36400-R-003P</t>
  </si>
  <si>
    <t>RU000A105WH2</t>
  </si>
  <si>
    <t>ГазКЗ-26Е</t>
  </si>
  <si>
    <t>ГазКЗ-27Д [МБ ФР: Т+: Корпоративные облигации]</t>
  </si>
  <si>
    <t>ГазКЗ-27Д2 [МБ ФР: Т+: Корпоративные облигации]</t>
  </si>
  <si>
    <t>4-06-36400-R-003P</t>
  </si>
  <si>
    <t>ГазКЗ-27Е [МБ ФР: Т+: Корпоративные облигации]</t>
  </si>
  <si>
    <t>4-12-36400-R-003P</t>
  </si>
  <si>
    <t>RU000A105RZ4</t>
  </si>
  <si>
    <t>ГазКЗ-27Е</t>
  </si>
  <si>
    <t>ГазКЗ-27Ф [МБ ФР: Т+: Корпоративные облигации]</t>
  </si>
  <si>
    <t>4-17-36400-R-003P</t>
  </si>
  <si>
    <t>RU000A105XA5</t>
  </si>
  <si>
    <t>ГазКЗ-27Ф</t>
  </si>
  <si>
    <t>CHF</t>
  </si>
  <si>
    <t>ГазКЗ-28Д [МБ ФР: Т+: Корпоративные облигации]</t>
  </si>
  <si>
    <t>4-10-36400-R-003P</t>
  </si>
  <si>
    <t>RU000A105R62</t>
  </si>
  <si>
    <t>ГазКЗ-28Д</t>
  </si>
  <si>
    <t>ГазКЗ-28Е [МБ ФР: Т+: Корпоративные облигации]</t>
  </si>
  <si>
    <t>ГазКЗ-29Д [МБ ФР: Т+: Корпоративные облигации]</t>
  </si>
  <si>
    <t>4-07-36400-R-003P</t>
  </si>
  <si>
    <t>RU000A105KU0</t>
  </si>
  <si>
    <t>ГазКЗ-29Д</t>
  </si>
  <si>
    <t>ГазКЗ-30Д [МБ ФР: Т+: Корпоративные облигации]</t>
  </si>
  <si>
    <t>4-13-36400-R-003P</t>
  </si>
  <si>
    <t>RU000A105SG2</t>
  </si>
  <si>
    <t>ГазКЗ-30Д</t>
  </si>
  <si>
    <t>ГазКЗ-31Д [МБ ФР: Т+: Корпоративные облигации]</t>
  </si>
  <si>
    <t>4-08-36400-R-003P</t>
  </si>
  <si>
    <t>RU000A105JT4</t>
  </si>
  <si>
    <t>ГазКЗ-31Д</t>
  </si>
  <si>
    <t>ГазКЗ-34Д [МБ ФР: Т+: Корпоративные облигации]</t>
  </si>
  <si>
    <t>ГазКЗ-37Д [МБ ФР: Т+: Корпоративные облигации]</t>
  </si>
  <si>
    <t>4-11-36400-R-003P</t>
  </si>
  <si>
    <t>RU000A105RH2</t>
  </si>
  <si>
    <t>ГазКЗ-37Д</t>
  </si>
  <si>
    <t>ГазКЗ-Б26Е [МБ ФР: Т+: Корпоративные облигации]</t>
  </si>
  <si>
    <t>4-10-36400-R</t>
  </si>
  <si>
    <t>RU000A105QX1</t>
  </si>
  <si>
    <t>ГазКЗ-Б26Е</t>
  </si>
  <si>
    <t>ГазКап2P10 [МБ ФР: Т+: Корпоративные облигации]</t>
  </si>
  <si>
    <t>4B02-10-36400-R-002P</t>
  </si>
  <si>
    <t>RU000A107084</t>
  </si>
  <si>
    <t>ГазКап2P10</t>
  </si>
  <si>
    <t>ГазКап2P11 [МБ ФР: Т+: Корпоративные облигации]</t>
  </si>
  <si>
    <t>4B02-11-36400-R-002P</t>
  </si>
  <si>
    <t>RU000A107ET1</t>
  </si>
  <si>
    <t>ГазКап2P11</t>
  </si>
  <si>
    <t>ГазКап2P12 [МБ ФР: Т+: Корпоративные облигации]</t>
  </si>
  <si>
    <t>4B02-12-36400-R-002P</t>
  </si>
  <si>
    <t>RU000A107T27</t>
  </si>
  <si>
    <t>ГазКап2P12</t>
  </si>
  <si>
    <t>ГазКап2P14 [МБ ФР: Т+: Корпоративные облигации]</t>
  </si>
  <si>
    <t>4B02-14-36400-R-002P</t>
  </si>
  <si>
    <t>RU000A1087J8</t>
  </si>
  <si>
    <t>ГазКап2P14</t>
  </si>
  <si>
    <t>ГазКап2P15 [МБ ФР: Т+: Корпоративные облигации]</t>
  </si>
  <si>
    <t>4B02-15-36400-R-002P</t>
  </si>
  <si>
    <t>RU000A109080</t>
  </si>
  <si>
    <t>ГазКап2P15</t>
  </si>
  <si>
    <t>ГазКап2P16 [МБ ФР: Т+: Корпоративные облигации]</t>
  </si>
  <si>
    <t>4B02-16-36400-R-002P</t>
  </si>
  <si>
    <t>RU000A1094X5</t>
  </si>
  <si>
    <t>ГазКап2P16</t>
  </si>
  <si>
    <t>ГазТранс01 [МБ ФР: Т+: Корпоративные облигации]</t>
  </si>
  <si>
    <t>4B02-01-00702-R-001P</t>
  </si>
  <si>
    <t>RU000A1075D6</t>
  </si>
  <si>
    <t>ГазТранс01</t>
  </si>
  <si>
    <t>ГазпКап2P1 [МБ ФР: Т+: Корпоративные облигации]</t>
  </si>
  <si>
    <t>4B02-01-36400-R-002P</t>
  </si>
  <si>
    <t>RU000A106RR9</t>
  </si>
  <si>
    <t>ГазпКап2P1</t>
  </si>
  <si>
    <t>ГазпКап2P2 [МБ ФР: Т+: Корпоративные облигации]</t>
  </si>
  <si>
    <t>4B02-02-36400-R-002P</t>
  </si>
  <si>
    <t>RU000A106RS7</t>
  </si>
  <si>
    <t>ГазпКап2P2</t>
  </si>
  <si>
    <t>ГазпКап2P3 [МБ ФР: Т+: Корпоративные облигации]</t>
  </si>
  <si>
    <t>4B02-03-36400-R-002P</t>
  </si>
  <si>
    <t>RU000A106RT5</t>
  </si>
  <si>
    <t>ГазпКап2P3</t>
  </si>
  <si>
    <t>ГазпКап2P4 [МБ ФР: Т+: Корпоративные облигации]</t>
  </si>
  <si>
    <t>4B02-04-36400-R-002P</t>
  </si>
  <si>
    <t>RU000A106S29</t>
  </si>
  <si>
    <t>ГазпКап2P4</t>
  </si>
  <si>
    <t>ГазпКап2P5 [МБ ФР: Т+: Корпоративные облигации]</t>
  </si>
  <si>
    <t>4B02-05-36400-R-002P</t>
  </si>
  <si>
    <t>RU000A106S37</t>
  </si>
  <si>
    <t>ГазпКап2P5</t>
  </si>
  <si>
    <t>ГазпКап2P6 [МБ ФР: Т+: Корпоративные облигации]</t>
  </si>
  <si>
    <t>4B02-06-36400-R-002P</t>
  </si>
  <si>
    <t>RU000A106S52</t>
  </si>
  <si>
    <t>ГазпКап2P6</t>
  </si>
  <si>
    <t>ГазпКап2P7 [МБ ФР: Т+: Корпоративные облигации]</t>
  </si>
  <si>
    <t>4B02-07-36400-R-002P</t>
  </si>
  <si>
    <t>RU000A106SM8</t>
  </si>
  <si>
    <t>ГазпКап2P7</t>
  </si>
  <si>
    <t>ГазпКап2P8 [МБ ФР: Т+: Корпоративные облигации]</t>
  </si>
  <si>
    <t>4B02-08-36400-R-002P</t>
  </si>
  <si>
    <t>RU000A106SQ9</t>
  </si>
  <si>
    <t>ГазпКап2P8</t>
  </si>
  <si>
    <t>ГазпКап2P9 [МБ ФР: Т+: Корпоративные облигации]</t>
  </si>
  <si>
    <t>4B02-09-36400-R-002P</t>
  </si>
  <si>
    <t>RU000A107050</t>
  </si>
  <si>
    <t>ГазпКап2P9</t>
  </si>
  <si>
    <t>ГазпКап3P1 [МБ ФР: Т+: Корпоративные облигации]</t>
  </si>
  <si>
    <t>4B02-01-36400-R-003P</t>
  </si>
  <si>
    <t>RU000A108BN8</t>
  </si>
  <si>
    <t>ГазпКап3P1</t>
  </si>
  <si>
    <t>ГазпКап3P2 [МБ ФР: Т+: Корпоративные облигации]</t>
  </si>
  <si>
    <t>4B02-02-36400-R-003P</t>
  </si>
  <si>
    <t>RU000A108JV4</t>
  </si>
  <si>
    <t>ГазпКап3P2</t>
  </si>
  <si>
    <t>ГазпКап3P3 [МБ ФР: Т+: Корпоративные облигации]</t>
  </si>
  <si>
    <t>4B02-03-36400-R-003P</t>
  </si>
  <si>
    <t>RU000A108MZ9</t>
  </si>
  <si>
    <t>ГазпКап3P3</t>
  </si>
  <si>
    <t>ГазпКап3P4 [МБ ФР: Т+: Корпоративные облигации]</t>
  </si>
  <si>
    <t>4B02-04-36400-R-003P</t>
  </si>
  <si>
    <t>RU000A109K65</t>
  </si>
  <si>
    <t>ГазпКап3P4</t>
  </si>
  <si>
    <t>ГазпКап3P5 [МБ ФР: Т+: Корпоративные облигации]</t>
  </si>
  <si>
    <t>4B02-05-36400-R-003P</t>
  </si>
  <si>
    <t>RU000A10A166</t>
  </si>
  <si>
    <t>ГазпКап3P5</t>
  </si>
  <si>
    <t>ГазпКап3P8 [МБ ФР: Т+: Корпоративные облигации]</t>
  </si>
  <si>
    <t>4B02-08-36400-R-003P</t>
  </si>
  <si>
    <t>RU000A10A158</t>
  </si>
  <si>
    <t>ГазпКап3P8</t>
  </si>
  <si>
    <t>ГазпКап3Б1 [МБ ФР: Т+: Корпоративные облигации]</t>
  </si>
  <si>
    <t>4-01-36400-R-004P</t>
  </si>
  <si>
    <t>RU000A107C26</t>
  </si>
  <si>
    <t>ГазпКап3Б1</t>
  </si>
  <si>
    <t>ГазпКап3Б2 [МБ ФР: Т+: Корпоративные облигации]</t>
  </si>
  <si>
    <t>4-02-36400-R-004P</t>
  </si>
  <si>
    <t>RU000A107HQ0</t>
  </si>
  <si>
    <t>ГазпКап3Б2</t>
  </si>
  <si>
    <t>Газпн3P10R [МБ ФР: Т+: Корпоративные облигации]</t>
  </si>
  <si>
    <t>4B02-10-00146-A-003P</t>
  </si>
  <si>
    <t>RU000A107UW1</t>
  </si>
  <si>
    <t>Газпн3P10R</t>
  </si>
  <si>
    <t>Газпн3P11R [МБ ФР: Т+: Корпоративные облигации]</t>
  </si>
  <si>
    <t>4B02-11-00146-A-003P</t>
  </si>
  <si>
    <t>RU000A107UX9</t>
  </si>
  <si>
    <t>Газпн3P11R</t>
  </si>
  <si>
    <t>Газпн3P12R [МБ ФР: Т+: Корпоративные облигации]</t>
  </si>
  <si>
    <t>Газпн3P13R [МБ ФР: Т+: Корпоративные облигации]</t>
  </si>
  <si>
    <t>4B02-13-00146-A-003P</t>
  </si>
  <si>
    <t>RU000A109B33</t>
  </si>
  <si>
    <t>Газпн3P13R</t>
  </si>
  <si>
    <t>Газпнф1P4R [МБ ФР: Т+: Корпоративные облигации]</t>
  </si>
  <si>
    <t>4B02-04-00146-A-001P</t>
  </si>
  <si>
    <t>RU000A0ZYLC4</t>
  </si>
  <si>
    <t>Газпнф1P4R</t>
  </si>
  <si>
    <t>Газпнф1P5R [МБ ФР: Т+: Корпоративные облигации]</t>
  </si>
  <si>
    <t>4B02-05-00146-A-001P</t>
  </si>
  <si>
    <t>RU000A0ZYLQ4</t>
  </si>
  <si>
    <t>Газпнф1P5R</t>
  </si>
  <si>
    <t>Газпнф3P2R [МБ ФР: Т+: Корпоративные облигации]</t>
  </si>
  <si>
    <t>4B02-02-00146-A-003P</t>
  </si>
  <si>
    <t>RU000A1017J5</t>
  </si>
  <si>
    <t>Газпнф3P2R</t>
  </si>
  <si>
    <t>Газпнф3P3R [МБ ФР: Т+: Корпоративные облигации]</t>
  </si>
  <si>
    <t>4B02-03-00146-A-003P</t>
  </si>
  <si>
    <t>RU000A101GJ0</t>
  </si>
  <si>
    <t>Газпнф3P3R</t>
  </si>
  <si>
    <t>Газпнф3P5R [МБ ФР: Т+: Корпоративные облигации]</t>
  </si>
  <si>
    <t>4B02-05-00146-A-003P</t>
  </si>
  <si>
    <t>RU000A105KP0</t>
  </si>
  <si>
    <t>Газпнф3P5R</t>
  </si>
  <si>
    <t>Газпнф3P6R [МБ ФР: Т+: Корпоративные облигации]</t>
  </si>
  <si>
    <t>4B02-06-00146-A-003P</t>
  </si>
  <si>
    <t>RU000A106565</t>
  </si>
  <si>
    <t>Газпнф3P6R</t>
  </si>
  <si>
    <t>Газпнф3P7R [МБ ФР: Т+: Корпоративные облигации]</t>
  </si>
  <si>
    <t>4B02-07-00146-A-003P</t>
  </si>
  <si>
    <t>RU000A107605</t>
  </si>
  <si>
    <t>Газпнф3P7R</t>
  </si>
  <si>
    <t>Газпнф3P8R [МБ ФР: Т+: Корпоративные облигации]</t>
  </si>
  <si>
    <t>4B02-08-00146-A-003P</t>
  </si>
  <si>
    <t>RU000A107HG1</t>
  </si>
  <si>
    <t>Газпнф3P8R</t>
  </si>
  <si>
    <t>Газпнф3P9R [МБ ФР: Т+: Корпоративные облигации]</t>
  </si>
  <si>
    <t>4B02-09-00146-A-003P</t>
  </si>
  <si>
    <t>RU000A107HH9</t>
  </si>
  <si>
    <t>Газпнф3P9R</t>
  </si>
  <si>
    <t>ГазпромБ19 [МБ ФР: Т+: Корпоративные облигации]</t>
  </si>
  <si>
    <t>4B02-19-00028-A</t>
  </si>
  <si>
    <t>RU000A0JUAN6</t>
  </si>
  <si>
    <t>ГазпромБ19</t>
  </si>
  <si>
    <t>ГазпромБ20 [МБ ФР: Т+: Корпоративные облигации]</t>
  </si>
  <si>
    <t>4B02-20-00028-A</t>
  </si>
  <si>
    <t>RU000A0JUAP1</t>
  </si>
  <si>
    <t>ГазпромБ20</t>
  </si>
  <si>
    <t>ГазпромБ22 [МБ ФР: Т+: Корпоративные облигации]</t>
  </si>
  <si>
    <t>4B02-22-00028-A</t>
  </si>
  <si>
    <t>RU000A0ZZES2</t>
  </si>
  <si>
    <t>ГазпромБ22</t>
  </si>
  <si>
    <t>ГазпромБ23 [МБ ФР: Т+: Корпоративные облигации]</t>
  </si>
  <si>
    <t>4B02-23-00028-A</t>
  </si>
  <si>
    <t>RU000A0ZZET0</t>
  </si>
  <si>
    <t>ГазпромБ23</t>
  </si>
  <si>
    <t>ГазпромБО7 [МБ ФР: Т+: Корпоративные облигации]</t>
  </si>
  <si>
    <t>4B02-07-00028-A</t>
  </si>
  <si>
    <t>RU000A0ZZER4</t>
  </si>
  <si>
    <t>ГазпромБО7</t>
  </si>
  <si>
    <t>ГазпромК 2 [МБ ФР: Т+: Корпоративные облигации]</t>
  </si>
  <si>
    <t>4-02-36400-R-001P</t>
  </si>
  <si>
    <t>RU000A1039A8</t>
  </si>
  <si>
    <t>ГазпромК 2</t>
  </si>
  <si>
    <t>ГазпромК 3 [МБ ФР: Т+: Корпоративные облигации]</t>
  </si>
  <si>
    <t>4-03-36400-R-001P</t>
  </si>
  <si>
    <t>RU000A103QN7</t>
  </si>
  <si>
    <t>ГазпромК 3</t>
  </si>
  <si>
    <t>ГазпромК07 [МБ ФР: Т+: Корпоративные облигации]</t>
  </si>
  <si>
    <t>4-11-36400-R</t>
  </si>
  <si>
    <t>RU000A106375</t>
  </si>
  <si>
    <t>ГазпромК07</t>
  </si>
  <si>
    <t>ГазпромКP3 [МБ ФР: Т+: Корпоративные облигации]</t>
  </si>
  <si>
    <t>4B02-03-36400-R-001P</t>
  </si>
  <si>
    <t>RU000A101QM3</t>
  </si>
  <si>
    <t>ГазпромКP3</t>
  </si>
  <si>
    <t>ГазпромКP4 [МБ ФР: Т+: Корпоративные облигации]</t>
  </si>
  <si>
    <t>4B02-04-36400-R-001P</t>
  </si>
  <si>
    <t>RU000A101QN1</t>
  </si>
  <si>
    <t>ГазпромКP4</t>
  </si>
  <si>
    <t>ГазпромКP5 [МБ ФР: Т+: Корпоративные облигации]</t>
  </si>
  <si>
    <t>4B02-05-36400-R-001P</t>
  </si>
  <si>
    <t>RU000A106672</t>
  </si>
  <si>
    <t>ГазпромКP5</t>
  </si>
  <si>
    <t>ГазпромКP6 [МБ ФР: Т+: Корпоративные облигации]</t>
  </si>
  <si>
    <t>4B02-06-36400-R-001P</t>
  </si>
  <si>
    <t>RU000A106AT1</t>
  </si>
  <si>
    <t>ГазпромКP6</t>
  </si>
  <si>
    <t>ГазпромКP7 [МБ ФР: Т+: Корпоративные облигации]</t>
  </si>
  <si>
    <t>4B02-07-36400-R-001P</t>
  </si>
  <si>
    <t>RU000A105GE2</t>
  </si>
  <si>
    <t>ГазпромКP7</t>
  </si>
  <si>
    <t>ГазпромКP8 [МБ ФР: Т+: Корпоративные облигации]</t>
  </si>
  <si>
    <t>4B02-08-36400-R-001P</t>
  </si>
  <si>
    <t>RU000A105U00</t>
  </si>
  <si>
    <t>ГазпромКP8</t>
  </si>
  <si>
    <t>ГазпромКБ1 [МБ ФР: Т+: Корпоративные облигации]</t>
  </si>
  <si>
    <t>4B02-01-36400-R</t>
  </si>
  <si>
    <t>RU000A0ZYUV5</t>
  </si>
  <si>
    <t>ГазпромКБ1</t>
  </si>
  <si>
    <t>ГазпромКБ2 [МБ ФР: Т+: Корпоративные облигации]</t>
  </si>
  <si>
    <t>4B02-02-36400-R</t>
  </si>
  <si>
    <t>RU000A0ZYUW3</t>
  </si>
  <si>
    <t>ГазпромКБ2</t>
  </si>
  <si>
    <t>ГазпромКБ3 [МБ ФР: Т+: Корпоративные облигации]</t>
  </si>
  <si>
    <t>4B02-03-36400-R</t>
  </si>
  <si>
    <t>RU000A0ZYUY9</t>
  </si>
  <si>
    <t>ГазпромКБ3</t>
  </si>
  <si>
    <t>ГазпромКБ4 [МБ ФР: Т+: Корпоративные облигации]</t>
  </si>
  <si>
    <t>4B02-04-36400-R</t>
  </si>
  <si>
    <t>RU000A0ZYV04</t>
  </si>
  <si>
    <t>ГазпромКБ4</t>
  </si>
  <si>
    <t>ГарИнв2P05 [МБ ФР: Т+: Корпоративные облигации]</t>
  </si>
  <si>
    <t>4B02-05-71794-H-002P</t>
  </si>
  <si>
    <t>RU000A105GV6</t>
  </si>
  <si>
    <t>ГарИнв2P05</t>
  </si>
  <si>
    <t>ГарИнв2P06 [МБ ФР: Т+: Корпоративные облигации]</t>
  </si>
  <si>
    <t>4B02-06-71794-H-002P</t>
  </si>
  <si>
    <t>RU000A106862</t>
  </si>
  <si>
    <t>ГарИнв2P06</t>
  </si>
  <si>
    <t>ГарИнв2P07 [МБ ФР: Т+: Корпоративные облигации]</t>
  </si>
  <si>
    <t>4B02-07-71794-H-002P</t>
  </si>
  <si>
    <t>RU000A106SK2</t>
  </si>
  <si>
    <t>ГарИнв2P07</t>
  </si>
  <si>
    <t>ГарИнв2P08 [МБ ФР: Т+: Корпоративные облигации]</t>
  </si>
  <si>
    <t>4B02-08-71794-H-002P</t>
  </si>
  <si>
    <t>RU000A107TR3</t>
  </si>
  <si>
    <t>ГарИнв2P08</t>
  </si>
  <si>
    <t>ГарИнв2P09 [МБ ФР: Т+: Корпоративные облигации]</t>
  </si>
  <si>
    <t>4B02-09-71794-H-002P</t>
  </si>
  <si>
    <t>RU000A108G88</t>
  </si>
  <si>
    <t>ГарИнв2P09</t>
  </si>
  <si>
    <t>ГарИнв2P10 [МБ ФР: Т+: Корпоративные облигации]</t>
  </si>
  <si>
    <t>4B02-10-71794-H-002P</t>
  </si>
  <si>
    <t>RU000A109791</t>
  </si>
  <si>
    <t>ГарИнв2P10</t>
  </si>
  <si>
    <t>ГлДорога 3 [МБ ФР: Т+: Корпоративные облигации]</t>
  </si>
  <si>
    <t>4-03-12755-A</t>
  </si>
  <si>
    <t>RU000A0JR4U9</t>
  </si>
  <si>
    <t>ГлДорога 3</t>
  </si>
  <si>
    <t>ГлДорога 6 [МБ ФР: Т+: Корпоративные облигации]</t>
  </si>
  <si>
    <t>4-06-12755-A</t>
  </si>
  <si>
    <t>RU000A0JTFB2</t>
  </si>
  <si>
    <t>ГлДорога 6</t>
  </si>
  <si>
    <t>ГлДорога 7 [МБ ФР: Т+: Корпоративные облигации]</t>
  </si>
  <si>
    <t>4-07-12755-A</t>
  </si>
  <si>
    <t>RU000A0JTB96</t>
  </si>
  <si>
    <t>ГлДорога 7</t>
  </si>
  <si>
    <t>ДАРСДев1Р1 [МБ ФР: Т+: Корпоративные облигации]</t>
  </si>
  <si>
    <t>4B02-01-00109-L-001P</t>
  </si>
  <si>
    <t>RU000A106UM4</t>
  </si>
  <si>
    <t>ДАРСДев1Р1</t>
  </si>
  <si>
    <t>ДАРСДев1Р2 [МБ ФР: Т+: Корпоративные облигации]</t>
  </si>
  <si>
    <t>4B02-02-00109-L-001P</t>
  </si>
  <si>
    <t>RU000A108AS9</t>
  </si>
  <si>
    <t>ДАРСДев1Р2</t>
  </si>
  <si>
    <t>ДОМ 1P-12R [МБ ФР: Т+: Корпоративные облигации]</t>
  </si>
  <si>
    <t>4B02-12-00739-A-001P</t>
  </si>
  <si>
    <t>RU000A1055Q0</t>
  </si>
  <si>
    <t>ДОМ 1P-12R</t>
  </si>
  <si>
    <t>ДОМ 1P-13R [МБ ФР: Т+: Корпоративные облигации]</t>
  </si>
  <si>
    <t>4B02-13-00739-A-001P</t>
  </si>
  <si>
    <t>RU000A105G81</t>
  </si>
  <si>
    <t>ДОМ 1P-13R</t>
  </si>
  <si>
    <t>ДОМ 1P-15R [МБ ФР: Т+: Корпоративные облигации]</t>
  </si>
  <si>
    <t>4B02-15-00739-A-001P</t>
  </si>
  <si>
    <t>RU000A1065K2</t>
  </si>
  <si>
    <t>ДОМ 1P-15R</t>
  </si>
  <si>
    <t>ДОМ 1P-16R [МБ ФР: Т+: Корпоративные облигации]</t>
  </si>
  <si>
    <t>4B02-16-00739-A-001P</t>
  </si>
  <si>
    <t>RU000A106CN0</t>
  </si>
  <si>
    <t>ДОМ 1P-16R</t>
  </si>
  <si>
    <t>ДОМ 1P-18R [МБ ФР: Т+: Корпоративные облигации]</t>
  </si>
  <si>
    <t>4B02-18-00739-A-001P</t>
  </si>
  <si>
    <t>RU000A1098W8</t>
  </si>
  <si>
    <t>ДОМ 1P-18R</t>
  </si>
  <si>
    <t>ДОМ 1P-3R [МБ ФР: Т+: Корпоративные облигации]</t>
  </si>
  <si>
    <t>4B02-03-00739-A-001P</t>
  </si>
  <si>
    <t>RU000A0ZZ1N0</t>
  </si>
  <si>
    <t>ДОМ 1P-3R</t>
  </si>
  <si>
    <t>ДОМ 1P-4R [МБ ФР: Т+: Корпоративные облигации]</t>
  </si>
  <si>
    <t>4B02-04-00739-A-001P</t>
  </si>
  <si>
    <t>RU000A0ZZ7C0</t>
  </si>
  <si>
    <t>ДОМ 1P-4R</t>
  </si>
  <si>
    <t>ДОМ 1P-5R [МБ ФР: Т+: Корпоративные облигации]</t>
  </si>
  <si>
    <t>4B02-05-00739-A-001P</t>
  </si>
  <si>
    <t>RU000A1004W6</t>
  </si>
  <si>
    <t>ДОМ 1P-5R</t>
  </si>
  <si>
    <t>ДОМ 1P-6R [МБ ФР: Т+: Корпоративные облигации]</t>
  </si>
  <si>
    <t>4B02-06-00739-A-001P</t>
  </si>
  <si>
    <t>RU000A100ET6</t>
  </si>
  <si>
    <t>ДОМ 1P-6R</t>
  </si>
  <si>
    <t>ДОМ 1P-7R [МБ ФР: Т+: Корпоративные облигации]</t>
  </si>
  <si>
    <t>4B02-07-00739-A-001P</t>
  </si>
  <si>
    <t>RU000A101590</t>
  </si>
  <si>
    <t>ДОМ 1P-7R</t>
  </si>
  <si>
    <t>ДОМ 2P1 [МБ ФР: Т+: Корпоративные облигации]</t>
  </si>
  <si>
    <t>4B02-01-00739-A-002P</t>
  </si>
  <si>
    <t>RU000A105MN1</t>
  </si>
  <si>
    <t>ДОМ 2P1</t>
  </si>
  <si>
    <t>ДОМ 2P2 [МБ ФР: Т+: Корпоративные облигации]</t>
  </si>
  <si>
    <t>4B02-02-00739-A-002P</t>
  </si>
  <si>
    <t>RU000A107GB4</t>
  </si>
  <si>
    <t>ДОМ 2P2</t>
  </si>
  <si>
    <t>ДОМ 2P3 [МБ ФР: Т+: Корпоративные облигации]</t>
  </si>
  <si>
    <t>4B02-03-00739-A-002P</t>
  </si>
  <si>
    <t>RU000A107GC2</t>
  </si>
  <si>
    <t>ДОМ 2P3</t>
  </si>
  <si>
    <t>ДОМ 2P4 [МБ ФР: Т+: Корпоративные облигации]</t>
  </si>
  <si>
    <t>4B02-04-00739-A-002P</t>
  </si>
  <si>
    <t>RU000A108FC2</t>
  </si>
  <si>
    <t>ДОМ 2P4</t>
  </si>
  <si>
    <t>ДОМ 2P5 [МБ ФР: Т+: Корпоративные облигации]</t>
  </si>
  <si>
    <t>4B02-05-00739-A-002P</t>
  </si>
  <si>
    <t>RU000A109U97</t>
  </si>
  <si>
    <t>ДОМ 2P5</t>
  </si>
  <si>
    <t>ДОМ.РФ Б-5 [МБ ФР: Т+: Корпоративные облигации]</t>
  </si>
  <si>
    <t>4B02-05-00739-A</t>
  </si>
  <si>
    <t>RU000A0JX2R1</t>
  </si>
  <si>
    <t>ДОМ.РФ Б-5</t>
  </si>
  <si>
    <t>ДОМ.РФ Б-6 [МБ ФР: Т+: Корпоративные облигации]</t>
  </si>
  <si>
    <t>4B02-06-00739-A</t>
  </si>
  <si>
    <t>RU000A0ZYF20</t>
  </si>
  <si>
    <t>ДОМ.РФ Б-6</t>
  </si>
  <si>
    <t>ДОМ.РФ Б-7 [МБ ФР: Т+: Корпоративные облигации]</t>
  </si>
  <si>
    <t>4B02-07-00739-A</t>
  </si>
  <si>
    <t>RU000A0ZYF38</t>
  </si>
  <si>
    <t>ДОМ.РФ Б-7</t>
  </si>
  <si>
    <t>ДОМ.РФ Б-8 [МБ ФР: Т+: Корпоративные облигации]</t>
  </si>
  <si>
    <t>4B02-08-00739-A</t>
  </si>
  <si>
    <t>RU000A0ZYFM5</t>
  </si>
  <si>
    <t>ДОМ.РФ Б-8</t>
  </si>
  <si>
    <t>ДОМ.РФ Б10 [МБ ФР: Т+: Корпоративные облигации]</t>
  </si>
  <si>
    <t>4B02-10-00739-A</t>
  </si>
  <si>
    <t>RU000A0ZYFN3</t>
  </si>
  <si>
    <t>ДОМ.РФ Б10</t>
  </si>
  <si>
    <t>ДОМ.РФ15об [МБ ФР: Т+: Корпоративные облигации]</t>
  </si>
  <si>
    <t>4-15-00739-A</t>
  </si>
  <si>
    <t>RU000A0JQAM6</t>
  </si>
  <si>
    <t>ДОМ.РФ15об</t>
  </si>
  <si>
    <t>ДОМ.РФ1P1R [МБ ФР: Т+: Корпоративные облигации]</t>
  </si>
  <si>
    <t>4B02-01-00739-A-001P</t>
  </si>
  <si>
    <t>RU000A0ZYLU6</t>
  </si>
  <si>
    <t>ДОМ.РФ1P1R</t>
  </si>
  <si>
    <t>ДОМ.РФ1P2R [МБ ФР: Т+: Корпоративные облигации]</t>
  </si>
  <si>
    <t>4B02-02-00739-A-001P</t>
  </si>
  <si>
    <t>RU000A0ZYQU5</t>
  </si>
  <si>
    <t>ДОМ.РФ1P2R</t>
  </si>
  <si>
    <t>ДОМ.РФ25об [МБ ФР: Т+: Корпоративные облигации]</t>
  </si>
  <si>
    <t>4-25-00739-A</t>
  </si>
  <si>
    <t>RU000A0JTW83</t>
  </si>
  <si>
    <t>ДОМ.РФ25об</t>
  </si>
  <si>
    <t>ДОМ.РФ26об [МБ ФР: Т+: Корпоративные облигации]</t>
  </si>
  <si>
    <t>4-26-00739-A</t>
  </si>
  <si>
    <t>RU000A0JTZF1</t>
  </si>
  <si>
    <t>ДОМ.РФ26об</t>
  </si>
  <si>
    <t>ДОМ.РФ30об [МБ ФР: Т+: Корпоративные облигации]</t>
  </si>
  <si>
    <t>4-30-00739-A</t>
  </si>
  <si>
    <t>RU000A0JUKX4</t>
  </si>
  <si>
    <t>ДОМ.РФ30об</t>
  </si>
  <si>
    <t>ДОМ.РФ31об [МБ ФР: Т+: Корпоративные облигации]</t>
  </si>
  <si>
    <t>4-31-00739-A</t>
  </si>
  <si>
    <t>RU000A0JV4R9</t>
  </si>
  <si>
    <t>ДОМ.РФ31об</t>
  </si>
  <si>
    <t>ДОМРФИА 01 [МБ ФР: Т+: Корпоративные облигации]</t>
  </si>
  <si>
    <t>4-01-00307-R-002P</t>
  </si>
  <si>
    <t>RU000A0JXRM6</t>
  </si>
  <si>
    <t>ДОМРФИА 01</t>
  </si>
  <si>
    <t>ДОМРФИА 03 [МБ ФР: Т+: Корпоративные облигации]</t>
  </si>
  <si>
    <t>4-03-00307-R-001P</t>
  </si>
  <si>
    <t>RU000A0ZYLX0</t>
  </si>
  <si>
    <t>ДОМРФИА 03</t>
  </si>
  <si>
    <t>ДОМРФИА 04 [МБ ФР: Т+: Корпоративные облигации]</t>
  </si>
  <si>
    <t>4-03-00307-R-002P</t>
  </si>
  <si>
    <t>RU000A0ZYL89</t>
  </si>
  <si>
    <t>ДОМРФИА 04</t>
  </si>
  <si>
    <t>ДОМРФИА 1P [МБ ФР: Т+: Корпоративные облигации]</t>
  </si>
  <si>
    <t>4-01-00307-R-001P</t>
  </si>
  <si>
    <t>RU000A0JX3M0</t>
  </si>
  <si>
    <t>ДОМРФИА 1P</t>
  </si>
  <si>
    <t>ДОМРФИА 2P [МБ ФР: Т+: Корпоративные облигации]</t>
  </si>
  <si>
    <t>4-02-00307-R-002P</t>
  </si>
  <si>
    <t>RU000A0ZYJT2</t>
  </si>
  <si>
    <t>ДОМРФИА 2P</t>
  </si>
  <si>
    <t>ДОМСУБТ2-1 [МБ ФР: Т+: Корпоративные облигации]</t>
  </si>
  <si>
    <t>4-01-02312-B-001P</t>
  </si>
  <si>
    <t>RU000A105XG2</t>
  </si>
  <si>
    <t>ДОМСУБТ2-1</t>
  </si>
  <si>
    <t>ДОМСУБТ2-2 [МБ ФР: Т+: Корпоративные облигации]</t>
  </si>
  <si>
    <t>4-02-02312-B-001P</t>
  </si>
  <si>
    <t>RU000A10A539</t>
  </si>
  <si>
    <t>ДОМСУБТ2-2</t>
  </si>
  <si>
    <t>ДФФ 2Р-01 [МБ ФР: Т+: Корпоративные облигации]</t>
  </si>
  <si>
    <t>4B02-01-00356-R-002P</t>
  </si>
  <si>
    <t>RU000A105MP6</t>
  </si>
  <si>
    <t>ДФФ 2Р-01</t>
  </si>
  <si>
    <t>ДФФ ЗО28 [МБ ФР: Т+: Корпоративные облигации]</t>
  </si>
  <si>
    <t>4-01-00356-R</t>
  </si>
  <si>
    <t>RU000A108Y11</t>
  </si>
  <si>
    <t>ДФФ ЗО28</t>
  </si>
  <si>
    <t>ДелЛиз1Р1 [МБ ФР: Т+: Корпоративные облигации]</t>
  </si>
  <si>
    <t>4B02-01-00154-L-001P</t>
  </si>
  <si>
    <t>RU000A109U06</t>
  </si>
  <si>
    <t>ДелЛиз1Р1</t>
  </si>
  <si>
    <t>ДелПорт1P3 [МБ ФР: Т+: Корпоративные облигации]</t>
  </si>
  <si>
    <t>4B02-03-36485-R-001P</t>
  </si>
  <si>
    <t>RU000A105Q71</t>
  </si>
  <si>
    <t>ДелПорт1P3</t>
  </si>
  <si>
    <t>ДелоПортс1 [МБ ФР: Т+: Корпоративные облигации]</t>
  </si>
  <si>
    <t>4-01-36485-R</t>
  </si>
  <si>
    <t>RU000A0JVZB6</t>
  </si>
  <si>
    <t>ДелоПортс1</t>
  </si>
  <si>
    <t>Держава 03 [МБ ФР: Т+: Корпоративные облигации]</t>
  </si>
  <si>
    <t>40302738B</t>
  </si>
  <si>
    <t>RU000A0JWB59</t>
  </si>
  <si>
    <t>Держава 03</t>
  </si>
  <si>
    <t>Джи-гр 2Р3 [МБ ФР: Т+: Корпоративные облигации]</t>
  </si>
  <si>
    <t>4B02-03-10609-P-001P</t>
  </si>
  <si>
    <t>RU000A106Z38</t>
  </si>
  <si>
    <t>Джи-гр 2Р3</t>
  </si>
  <si>
    <t>Джи-гр 2Р4 [МБ ФР: Т+: Корпоративные облигации]</t>
  </si>
  <si>
    <t>4B02-04-10609-P-001P</t>
  </si>
  <si>
    <t>RU000A108TU5</t>
  </si>
  <si>
    <t>Джи-гр 2Р4</t>
  </si>
  <si>
    <t>Джи-гр 2Р5 [МБ ФР: Т+: Корпоративные облигации]</t>
  </si>
  <si>
    <t>4B02-05-10609-P-001P</t>
  </si>
  <si>
    <t>RU000A109981</t>
  </si>
  <si>
    <t>Джи-гр 2Р5</t>
  </si>
  <si>
    <t>ДрктЛиз1Р7 [МБ ФР: Т+: Корпоративные облигации]</t>
  </si>
  <si>
    <t>4B02-07-00308-R-001P</t>
  </si>
  <si>
    <t>RU000A103S30</t>
  </si>
  <si>
    <t>ДрктЛиз1Р7</t>
  </si>
  <si>
    <t>ДрктЛиз2Р1 [МБ ФР: Т+: Корпоративные облигации]</t>
  </si>
  <si>
    <t>4B02-01-00308-R-002P</t>
  </si>
  <si>
    <t>RU000A106GY8</t>
  </si>
  <si>
    <t>ДрктЛиз2Р1</t>
  </si>
  <si>
    <t>ДрктЛиз2Р2 [МБ ФР: Т+: Корпоративные облигации]</t>
  </si>
  <si>
    <t>4B02-02-00308-R-002P</t>
  </si>
  <si>
    <t>RU000A1078X8</t>
  </si>
  <si>
    <t>ДрктЛиз2Р2</t>
  </si>
  <si>
    <t>ДрктЛиз2Р3 [МБ ФР: Т+: Корпоративные облигации]</t>
  </si>
  <si>
    <t>4B02-03-00308-R-002P</t>
  </si>
  <si>
    <t>RU000A1094T3</t>
  </si>
  <si>
    <t>ДрктЛиз2Р3</t>
  </si>
  <si>
    <t>ЕАБР 1P-08 [МБ ФР: Т+: Корпоративные облигации]</t>
  </si>
  <si>
    <t>RU000A104TQ2</t>
  </si>
  <si>
    <t>ЕАБР 1P-08</t>
  </si>
  <si>
    <t>ЕАБР 1Р-01 [МБ ФР: Т+: Корпоративные облигации]</t>
  </si>
  <si>
    <t>RU000A0ZZDB0</t>
  </si>
  <si>
    <t>ЕАБР 1Р-01</t>
  </si>
  <si>
    <t>ЕАБР П3-01 [МБ ФР: Т+: Корпоративные облигации]</t>
  </si>
  <si>
    <t>RU000A1050H0</t>
  </si>
  <si>
    <t>ЕАБР П3-01</t>
  </si>
  <si>
    <t>ЕАБР П3-03 [МБ ФР: Т+: Корпоративные облигации]</t>
  </si>
  <si>
    <t>ЕАБР П3-04 [МБ ФР: Т+: Корпоративные облигации]</t>
  </si>
  <si>
    <t>ЕАБР П3-05 [МБ ФР: Т+: Корпоративные облигации]</t>
  </si>
  <si>
    <t>RU000A105KW6</t>
  </si>
  <si>
    <t>ЕАБР П3-05</t>
  </si>
  <si>
    <t>ЕАБР П3-07 [МБ ФР: Т+: Корпоративные облигации]</t>
  </si>
  <si>
    <t>RU000A1064L3</t>
  </si>
  <si>
    <t>ЕАБР П3-07</t>
  </si>
  <si>
    <t>ЕАБР П3-08 [МБ ФР: Т+: Корпоративные облигации]</t>
  </si>
  <si>
    <t>RU000A106JX4</t>
  </si>
  <si>
    <t>ЕАБР П3-08</t>
  </si>
  <si>
    <t>ЕАБР П3-09 [МБ ФР: Т+: Корпоративные облигации]</t>
  </si>
  <si>
    <t>RU000A107EA1</t>
  </si>
  <si>
    <t>ЕАБР П3-09</t>
  </si>
  <si>
    <t>ЕАБР П3-10 [МБ ФР: Т+: Корпоративные облигации]</t>
  </si>
  <si>
    <t>RU000A107W63</t>
  </si>
  <si>
    <t>ЕАБР П3-10</t>
  </si>
  <si>
    <t>ЕАБР11 [МБ ФР: Т+: Корпоративные облигации]</t>
  </si>
  <si>
    <t>RU000A0JS934</t>
  </si>
  <si>
    <t>ЕАБР11</t>
  </si>
  <si>
    <t>МФО обл.</t>
  </si>
  <si>
    <t>Облигация МФО</t>
  </si>
  <si>
    <t>ЕАБР3P-006 [МБ ФР: Т+: Корпоративные облигации]</t>
  </si>
  <si>
    <t>RU000A105V90</t>
  </si>
  <si>
    <t>ЕАБР3P-006</t>
  </si>
  <si>
    <t>ЕАС 1P1 [МБ ФР: Т+: Корпоративные облигации]</t>
  </si>
  <si>
    <t>4B02-01-13304-F-001P</t>
  </si>
  <si>
    <t>RU000A107R29</t>
  </si>
  <si>
    <t>ЕАС 1P1</t>
  </si>
  <si>
    <t>ЕВРОВЕНТ 1 [МБ ФР: Т+: Корпоративные облигации]</t>
  </si>
  <si>
    <t>4B02-01-00624-R-001P</t>
  </si>
  <si>
    <t>RU000A104BX6</t>
  </si>
  <si>
    <t>ЕВРОВЕНТ 1</t>
  </si>
  <si>
    <t>ЕДА-01 [МБ ФР: Т+: Корпоративные облигации]</t>
  </si>
  <si>
    <t>4B02-01-00167-L-001P</t>
  </si>
  <si>
    <t>RU000A1099W6</t>
  </si>
  <si>
    <t>ЕДА-01</t>
  </si>
  <si>
    <t>ЕСЭГ1PC5 [МБ ФР: Т+: Корпоративные облигации]</t>
  </si>
  <si>
    <t>ЕврХимБ1Р7 [МБ ФР: Т+: Корпоративные облигации]</t>
  </si>
  <si>
    <t>4B02-07-31153-H-001P</t>
  </si>
  <si>
    <t>RU000A101L96</t>
  </si>
  <si>
    <t>ЕврХимБ1Р7</t>
  </si>
  <si>
    <t>ЕврХимБ1Р8 [МБ ФР: Т+: Корпоративные облигации]</t>
  </si>
  <si>
    <t>4B02-08-31153-H-001P</t>
  </si>
  <si>
    <t>RU000A101LJ0</t>
  </si>
  <si>
    <t>ЕврХимБ1Р8</t>
  </si>
  <si>
    <t>ЕврХол3P01 [МБ ФР: Т+: Корпоративные облигации]</t>
  </si>
  <si>
    <t>4B02-01-36383-R-003P</t>
  </si>
  <si>
    <t>RU000A108G05</t>
  </si>
  <si>
    <t>ЕврХол3P01</t>
  </si>
  <si>
    <t>ЕвроТранс1 [МБ ФР: Т+: Корпоративные облигации]</t>
  </si>
  <si>
    <t>4B02-01-80110-H-001P</t>
  </si>
  <si>
    <t>RU000A105PP9</t>
  </si>
  <si>
    <t>ЕвроТранс1</t>
  </si>
  <si>
    <t>ЕвроТранс2 [МБ ФР: Т+: Корпоративные облигации]</t>
  </si>
  <si>
    <t>4B02-02-80110-H-001P</t>
  </si>
  <si>
    <t>RU000A105TS5</t>
  </si>
  <si>
    <t>ЕвроТранс2</t>
  </si>
  <si>
    <t>ЕвроТранс3 [МБ ФР: Т+: Корпоративные облигации]</t>
  </si>
  <si>
    <t>4B02-03-80110-H-001P</t>
  </si>
  <si>
    <t>RU000A1061K1</t>
  </si>
  <si>
    <t>ЕвроТранс3</t>
  </si>
  <si>
    <t>ЕвроТранс4 [МБ ФР: Т+: Корпоративные облигации]</t>
  </si>
  <si>
    <t>4B02-04-80110-H-001P</t>
  </si>
  <si>
    <t>RU000A10A133</t>
  </si>
  <si>
    <t>ЕвроТранс4</t>
  </si>
  <si>
    <t>ЕвроТранс5 [МБ ФР: Т+: Корпоративные облигации]</t>
  </si>
  <si>
    <t>4B02-05-80110-H-001P</t>
  </si>
  <si>
    <t>RU000A10A141</t>
  </si>
  <si>
    <t>ЕвроТранс5</t>
  </si>
  <si>
    <t>ЕвропланБ3 [МБ ФР: Т+: Корпоративные облигации]</t>
  </si>
  <si>
    <t>4B02-03-56453-P</t>
  </si>
  <si>
    <t>RU000A100W60</t>
  </si>
  <si>
    <t>ЕвропланБ3</t>
  </si>
  <si>
    <t>ЕвропланБ5 [МБ ФР: Т+: Корпоративные облигации]</t>
  </si>
  <si>
    <t>4B02-05-56453-P</t>
  </si>
  <si>
    <t>RU000A1004K1</t>
  </si>
  <si>
    <t>ЕвропланБ5</t>
  </si>
  <si>
    <t>ЕвропланБ6 [МБ ФР: Т+: Корпоративные облигации]</t>
  </si>
  <si>
    <t>4B02-06-56453-P</t>
  </si>
  <si>
    <t>RU000A100DG5</t>
  </si>
  <si>
    <t>ЕвропланБ6</t>
  </si>
  <si>
    <t>ЕвропланБ7 [МБ ФР: Т+: Корпоративные облигации]</t>
  </si>
  <si>
    <t>4B02-07-56453-P</t>
  </si>
  <si>
    <t>RU000A0JWVL2</t>
  </si>
  <si>
    <t>ЕвропланБ7</t>
  </si>
  <si>
    <t>ЕвропланБ8 [МБ ФР: Т+: Корпоративные облигации]</t>
  </si>
  <si>
    <t>4B02-08-56453-P</t>
  </si>
  <si>
    <t>RU000A0ZZBV2</t>
  </si>
  <si>
    <t>ЕвропланБ8</t>
  </si>
  <si>
    <t>Европлн1Р3 [МБ ФР: Т+: Корпоративные облигации]</t>
  </si>
  <si>
    <t>4B02-03-16419-A-001P</t>
  </si>
  <si>
    <t>RU000A103KJ8</t>
  </si>
  <si>
    <t>Европлн1Р3</t>
  </si>
  <si>
    <t>Европлн1Р4 [МБ ФР: Т+: Корпоративные облигации]</t>
  </si>
  <si>
    <t>4B02-04-16419-A-001P</t>
  </si>
  <si>
    <t>RU000A103S14</t>
  </si>
  <si>
    <t>Европлн1Р4</t>
  </si>
  <si>
    <t>Европлн1Р5 [МБ ФР: Т+: Корпоративные облигации]</t>
  </si>
  <si>
    <t>4B02-05-16419-A-001P</t>
  </si>
  <si>
    <t>RU000A105518</t>
  </si>
  <si>
    <t>Европлн1Р5</t>
  </si>
  <si>
    <t>Европлн1Р6 [МБ ФР: Т+: Корпоративные облигации]</t>
  </si>
  <si>
    <t>4B02-06-16419-A-001P</t>
  </si>
  <si>
    <t>Европлн1Р7 [МБ ФР: Т+: Корпоративные облигации]</t>
  </si>
  <si>
    <t>4B02-07-16419-A-001P</t>
  </si>
  <si>
    <t>RU000A108Y86</t>
  </si>
  <si>
    <t>Европлн1Р7</t>
  </si>
  <si>
    <t>Европлн1Р8 [МБ ФР: Т+: Корпоративные облигации]</t>
  </si>
  <si>
    <t>4B02-08-16419-A-001P</t>
  </si>
  <si>
    <t>RU000A10A7C4</t>
  </si>
  <si>
    <t>Европлн1Р8</t>
  </si>
  <si>
    <t>ЖКХРСЯ БО1 [МБ ФР: Т+: Корпоративные облигации]</t>
  </si>
  <si>
    <t>4B02-01-26004-R</t>
  </si>
  <si>
    <t>RU000A100PB0</t>
  </si>
  <si>
    <t>ЖКХРСЯ БО1</t>
  </si>
  <si>
    <t>ЗАСЛОН 1Р1 [МБ ФР: Т+: Корпоративные облигации]</t>
  </si>
  <si>
    <t>4B02-01-02289-D-001P</t>
  </si>
  <si>
    <t>RU000A1064X8</t>
  </si>
  <si>
    <t>ЗАСЛОН 1Р1</t>
  </si>
  <si>
    <t>ЗСД 01 [МБ ФР: Т+: Корпоративные облигации]</t>
  </si>
  <si>
    <t>4-01-00350-D</t>
  </si>
  <si>
    <t>RU000A0JRJB8</t>
  </si>
  <si>
    <t>ЗСД 01</t>
  </si>
  <si>
    <t>ЗСД 02 [МБ ФР: Т+: Корпоративные облигации]</t>
  </si>
  <si>
    <t>4-02-00350-D</t>
  </si>
  <si>
    <t>RU000A0JRJL7</t>
  </si>
  <si>
    <t>ЗСД 02</t>
  </si>
  <si>
    <t>ЗСД 03 [МБ ФР: Т+: Корпоративные облигации]</t>
  </si>
  <si>
    <t>4-03-00350-D</t>
  </si>
  <si>
    <t>RU000A0JS4J1</t>
  </si>
  <si>
    <t>ЗСД 03</t>
  </si>
  <si>
    <t>ЗСД 04 [МБ ФР: Т+: Корпоративные облигации]</t>
  </si>
  <si>
    <t>4-04-00350-D</t>
  </si>
  <si>
    <t>RU000A0JS4K9</t>
  </si>
  <si>
    <t>ЗСД 04</t>
  </si>
  <si>
    <t>ЗСД 05 [МБ ФР: Т+: Корпоративные облигации]</t>
  </si>
  <si>
    <t>4-05-00350-D</t>
  </si>
  <si>
    <t>RU000A0JS4L7</t>
  </si>
  <si>
    <t>ЗСД 05</t>
  </si>
  <si>
    <t>ЗенитБО-09 [МБ ФР: Т+: Корпоративные облигации]</t>
  </si>
  <si>
    <t>4B020903255B</t>
  </si>
  <si>
    <t>RU000A0JVBX1</t>
  </si>
  <si>
    <t>ЗенитБО-09</t>
  </si>
  <si>
    <t>ИА Абс5 01 [МБ ФР: Т+: Корпоративные облигации]</t>
  </si>
  <si>
    <t>4-01-00542-R</t>
  </si>
  <si>
    <t>RU000A101ZU7</t>
  </si>
  <si>
    <t>ИА Абс5 01</t>
  </si>
  <si>
    <t>ИА ДОМ 4P1 [МБ ФР: Т+: Корпоративные облигации]</t>
  </si>
  <si>
    <t>4-04-00307-R-001P</t>
  </si>
  <si>
    <t>RU000A1019A0</t>
  </si>
  <si>
    <t>ИА ДОМ 4P1</t>
  </si>
  <si>
    <t>ИА ДОМ 4P2 [МБ ФР: Т+: Корпоративные облигации]</t>
  </si>
  <si>
    <t>4-04-00307-R-002P</t>
  </si>
  <si>
    <t>RU000A0ZZNW5</t>
  </si>
  <si>
    <t>ИА ДОМ 4P2</t>
  </si>
  <si>
    <t>ИА ДОМ 5P1 [МБ ФР: Т+: Корпоративные облигации]</t>
  </si>
  <si>
    <t>4-05-00307-R-001P</t>
  </si>
  <si>
    <t>RU000A101JD7</t>
  </si>
  <si>
    <t>ИА ДОМ 5P1</t>
  </si>
  <si>
    <t>ИА ДОМ 5P2 [МБ ФР: Т+: Корпоративные облигации]</t>
  </si>
  <si>
    <t>4-05-00307-R-002P</t>
  </si>
  <si>
    <t>RU000A0ZZCH9</t>
  </si>
  <si>
    <t>ИА ДОМ 5P2</t>
  </si>
  <si>
    <t>ИА ДОМ 6P2 [МБ ФР: Т+: Корпоративные облигации]</t>
  </si>
  <si>
    <t>4-06-00307-R-002P</t>
  </si>
  <si>
    <t>RU000A0ZZV86</t>
  </si>
  <si>
    <t>ИА ДОМ 6P2</t>
  </si>
  <si>
    <t>ИА ДОМ 7P2 [МБ ФР: Т+: Корпоративные облигации]</t>
  </si>
  <si>
    <t>4-07-00307-R-002P</t>
  </si>
  <si>
    <t>RU000A0ZZZ58</t>
  </si>
  <si>
    <t>ИА ДОМ 7P2</t>
  </si>
  <si>
    <t>ИА ДОМ 8P2 [МБ ФР: Т+: Корпоративные облигации]</t>
  </si>
  <si>
    <t>4-08-00307-R-002P</t>
  </si>
  <si>
    <t>RU000A0ZZZ09</t>
  </si>
  <si>
    <t>ИА ДОМ 8P2</t>
  </si>
  <si>
    <t>ИА ДОМ 9P2 [МБ ФР: Т+: Корпоративные облигации]</t>
  </si>
  <si>
    <t>4-09-00307-R-002P</t>
  </si>
  <si>
    <t>RU000A100DQ4</t>
  </si>
  <si>
    <t>ИА ДОМ 9P2</t>
  </si>
  <si>
    <t>ИА ДОМ10P2 [МБ ФР: Т+: Корпоративные облигации]</t>
  </si>
  <si>
    <t>4-10-00307-R-002P</t>
  </si>
  <si>
    <t>RU000A100ZB9</t>
  </si>
  <si>
    <t>ИА ДОМ10P2</t>
  </si>
  <si>
    <t>ИА ДОМ11P2 [МБ ФР: Т+: Корпоративные облигации]</t>
  </si>
  <si>
    <t>4-11-00307-R-002P</t>
  </si>
  <si>
    <t>RU000A100YY4</t>
  </si>
  <si>
    <t>ИА ДОМ11P2</t>
  </si>
  <si>
    <t>ИА ДОМ12P2 [МБ ФР: Т+: Корпоративные облигации]</t>
  </si>
  <si>
    <t>4-12-00307-R-002P</t>
  </si>
  <si>
    <t>RU000A1016B4</t>
  </si>
  <si>
    <t>ИА ДОМ12P2</t>
  </si>
  <si>
    <t>ИА ДОМ13P2 [МБ ФР: Т+: Корпоративные облигации]</t>
  </si>
  <si>
    <t>4-13-00307-R-002P</t>
  </si>
  <si>
    <t>RU000A1018T2</t>
  </si>
  <si>
    <t>ИА ДОМ13P2</t>
  </si>
  <si>
    <t>ИА ДОМ14P2 [МБ ФР: Т+: Корпоративные облигации]</t>
  </si>
  <si>
    <t>4-14-00307-R-002P</t>
  </si>
  <si>
    <t>RU000A101U95</t>
  </si>
  <si>
    <t>ИА ДОМ14P2</t>
  </si>
  <si>
    <t>ИА ДОМ15P2 [МБ ФР: Т+: Корпоративные облигации]</t>
  </si>
  <si>
    <t>4-15-00307-R-002P</t>
  </si>
  <si>
    <t>RU000A101TD6</t>
  </si>
  <si>
    <t>ИА ДОМ15P2</t>
  </si>
  <si>
    <t>ИА ДОМ16P2 [МБ ФР: Т+: Корпоративные облигации]</t>
  </si>
  <si>
    <t>4-16-00307-R-002P</t>
  </si>
  <si>
    <t>RU000A101X01</t>
  </si>
  <si>
    <t>ИА ДОМ16P2</t>
  </si>
  <si>
    <t>ИА ДОМ17P2 [МБ ФР: Т+: Корпоративные облигации]</t>
  </si>
  <si>
    <t>4-17-00307-R-002P</t>
  </si>
  <si>
    <t>RU000A102AP8</t>
  </si>
  <si>
    <t>ИА ДОМ17P2</t>
  </si>
  <si>
    <t>ИА ДОМ18P2 [МБ ФР: Т+: Корпоративные облигации]</t>
  </si>
  <si>
    <t>4-18-00307-R-002P</t>
  </si>
  <si>
    <t>RU000A102D46</t>
  </si>
  <si>
    <t>ИА ДОМ18P2</t>
  </si>
  <si>
    <t>ИА ТБ1А [МБ ФР: Т+: Корпоративные облигации]</t>
  </si>
  <si>
    <t>4B02-01-00034-L</t>
  </si>
  <si>
    <t>RU000A103D37</t>
  </si>
  <si>
    <t>ИА ТБ1А</t>
  </si>
  <si>
    <t>ИА ТБ1Б [МБ ФР: Т+: Корпоративные облигации]</t>
  </si>
  <si>
    <t>4B02-02-00034-L</t>
  </si>
  <si>
    <t>RU000A103D45</t>
  </si>
  <si>
    <t>ИА ТБ1Б</t>
  </si>
  <si>
    <t>ИАДОМ 1P10 [МБ ФР: Т+: Корпоративные облигации]</t>
  </si>
  <si>
    <t>4B02-10-00307-R-001P</t>
  </si>
  <si>
    <t>RU000A103W42</t>
  </si>
  <si>
    <t>ИАДОМ 1P10</t>
  </si>
  <si>
    <t>ИАДОМ 1P11 [МБ ФР: Т+: Корпоративные облигации]</t>
  </si>
  <si>
    <t>4B02-11-00307-R-001P</t>
  </si>
  <si>
    <t>RU000A103YG5</t>
  </si>
  <si>
    <t>ИАДОМ 1P11</t>
  </si>
  <si>
    <t>ИАДОМ 1P12 [МБ ФР: Т+: Корпоративные облигации]</t>
  </si>
  <si>
    <t>4B02-12-00307-R-001P</t>
  </si>
  <si>
    <t>RU000A103YK7</t>
  </si>
  <si>
    <t>ИАДОМ 1P12</t>
  </si>
  <si>
    <t>ИАДОМ 1P13 [МБ ФР: Т+: Корпоративные облигации]</t>
  </si>
  <si>
    <t>4B02-13-00307-R-001P</t>
  </si>
  <si>
    <t>RU000A1041Q0</t>
  </si>
  <si>
    <t>ИАДОМ 1P13</t>
  </si>
  <si>
    <t>ИАДОМ 1P14 [МБ ФР: Т+: Корпоративные облигации]</t>
  </si>
  <si>
    <t>4B02-14-00307-R-001P</t>
  </si>
  <si>
    <t>RU000A104511</t>
  </si>
  <si>
    <t>ИАДОМ 1P14</t>
  </si>
  <si>
    <t>ИАДОМ 1P15 [МБ ФР: Т+: Корпоративные облигации]</t>
  </si>
  <si>
    <t>4B02-17-00307-R-001P</t>
  </si>
  <si>
    <t>RU000A104C45</t>
  </si>
  <si>
    <t>ИАДОМ 1P15</t>
  </si>
  <si>
    <t>ИАДОМ 1P16 [МБ ФР: Т+: Корпоративные облигации]</t>
  </si>
  <si>
    <t>4B02-15-00307-R-001P</t>
  </si>
  <si>
    <t>RU000A104B79</t>
  </si>
  <si>
    <t>ИАДОМ 1P16</t>
  </si>
  <si>
    <t>ИАДОМ 1P17 [МБ ФР: Т+: Корпоративные облигации]</t>
  </si>
  <si>
    <t>4B02-16-00307-R-001P</t>
  </si>
  <si>
    <t>RU000A104AM1</t>
  </si>
  <si>
    <t>ИАДОМ 1P17</t>
  </si>
  <si>
    <t>ИАДОМ 1P18 [МБ ФР: Т+: Корпоративные облигации]</t>
  </si>
  <si>
    <t>4B02-18-00307-R-001P</t>
  </si>
  <si>
    <t>RU000A104UV0</t>
  </si>
  <si>
    <t>ИАДОМ 1P18</t>
  </si>
  <si>
    <t>ИАДОМ 1P20 [МБ ФР: Т+: Корпоративные облигации]</t>
  </si>
  <si>
    <t>4B02-20-00307-R-001P</t>
  </si>
  <si>
    <t>RU000A105344</t>
  </si>
  <si>
    <t>ИАДОМ 1P20</t>
  </si>
  <si>
    <t>ИАДОМ 1P21 [МБ ФР: Т+: Корпоративные облигации]</t>
  </si>
  <si>
    <t>4B02-21-00307-R-001P</t>
  </si>
  <si>
    <t>RU000A105898</t>
  </si>
  <si>
    <t>ИАДОМ 1P21</t>
  </si>
  <si>
    <t>ИАДОМ 1P22 [МБ ФР: Т+: Корпоративные облигации]</t>
  </si>
  <si>
    <t>4B02-22-00307-R-001P</t>
  </si>
  <si>
    <t>RU000A1058R2</t>
  </si>
  <si>
    <t>ИАДОМ 1P22</t>
  </si>
  <si>
    <t>ИАДОМ 1P23 [МБ ФР: Т+: Корпоративные облигации]</t>
  </si>
  <si>
    <t>4B02-23-00307-R-001P</t>
  </si>
  <si>
    <t>RU000A105AV9</t>
  </si>
  <si>
    <t>ИАДОМ 1P23</t>
  </si>
  <si>
    <t>ИАДОМ 1P24 [МБ ФР: Т+: Корпоративные облигации]</t>
  </si>
  <si>
    <t>4B02-24-00307-R-001P</t>
  </si>
  <si>
    <t>RU000A105CB7</t>
  </si>
  <si>
    <t>ИАДОМ 1P24</t>
  </si>
  <si>
    <t>ИАДОМ 1P25 [МБ ФР: Т+: Корпоративные облигации]</t>
  </si>
  <si>
    <t>4B02-25-00307-R-001P</t>
  </si>
  <si>
    <t>RU000A105H23</t>
  </si>
  <si>
    <t>ИАДОМ 1P25</t>
  </si>
  <si>
    <t>ИАДОМ 1P27 [МБ ФР: Т+: Корпоративные облигации]</t>
  </si>
  <si>
    <t>4B02-27-00307-R-001P</t>
  </si>
  <si>
    <t>RU000A105LN3</t>
  </si>
  <si>
    <t>ИАДОМ 1P27</t>
  </si>
  <si>
    <t>ИАДОМ 1P28 [МБ ФР: Т+: Корпоративные облигации]</t>
  </si>
  <si>
    <t>4B02-32-00307-R-001P</t>
  </si>
  <si>
    <t>RU000A105P72</t>
  </si>
  <si>
    <t>ИАДОМ 1P28</t>
  </si>
  <si>
    <t>ИАДОМ 1P29 [МБ ФР: Т+: Корпоративные облигации]</t>
  </si>
  <si>
    <t>4B02-28-00307-R-001P</t>
  </si>
  <si>
    <t>RU000A105NN9</t>
  </si>
  <si>
    <t>ИАДОМ 1P29</t>
  </si>
  <si>
    <t>ИАДОМ 1P30 [МБ ФР: Т+: Корпоративные облигации]</t>
  </si>
  <si>
    <t>4B02-30-00307-R-001P</t>
  </si>
  <si>
    <t>RU000A105NP4</t>
  </si>
  <si>
    <t>ИАДОМ 1P30</t>
  </si>
  <si>
    <t>ИАДОМ 1P31 [МБ ФР: Т+: Корпоративные облигации]</t>
  </si>
  <si>
    <t>4B02-29-00307-R-001P</t>
  </si>
  <si>
    <t>RU000A105NY6</t>
  </si>
  <si>
    <t>ИАДОМ 1P31</t>
  </si>
  <si>
    <t>ИАДОМ 1P32 [МБ ФР: Т+: Корпоративные облигации]</t>
  </si>
  <si>
    <t>4B02-31-00307-R-001P</t>
  </si>
  <si>
    <t>RU000A105NZ3</t>
  </si>
  <si>
    <t>ИАДОМ 1P32</t>
  </si>
  <si>
    <t>ИАДОМ 1P33 [МБ ФР: Т+: Корпоративные облигации]</t>
  </si>
  <si>
    <t>4B02-33-00307-R-001P</t>
  </si>
  <si>
    <t>RU000A1065R7</t>
  </si>
  <si>
    <t>ИАДОМ 1P33</t>
  </si>
  <si>
    <t>ИАДОМ 1P34 [МБ ФР: Т+: Корпоративные облигации]</t>
  </si>
  <si>
    <t>4B02-34-00307-R-001P</t>
  </si>
  <si>
    <t>RU000A106FM5</t>
  </si>
  <si>
    <t>ИАДОМ 1P34</t>
  </si>
  <si>
    <t>ИАДОМ 1P36 [МБ ФР: Т+: Корпоративные облигации]</t>
  </si>
  <si>
    <t>4B02-35-00307-R-001P</t>
  </si>
  <si>
    <t>RU000A106HE8</t>
  </si>
  <si>
    <t>ИАДОМ 1P36</t>
  </si>
  <si>
    <t>ИАДОМ 1P38 [МБ ФР: Т+: Корпоративные облигации]</t>
  </si>
  <si>
    <t>4B02-37-00307-R-001P</t>
  </si>
  <si>
    <t>RU000A1074A5</t>
  </si>
  <si>
    <t>ИАДОМ 1P38</t>
  </si>
  <si>
    <t>ИАДОМ 1P39 [МБ ФР: Т+: Корпоративные облигации]</t>
  </si>
  <si>
    <t>4B02-38-00307-R-001P</t>
  </si>
  <si>
    <t>RU000A107G55</t>
  </si>
  <si>
    <t>ИАДОМ 1P39</t>
  </si>
  <si>
    <t>ИАДОМ 1P40 [МБ ФР: Т+: Корпоративные облигации]</t>
  </si>
  <si>
    <t>4B02-39-00307-R-001P</t>
  </si>
  <si>
    <t>RU000A107GL3</t>
  </si>
  <si>
    <t>ИАДОМ 1P40</t>
  </si>
  <si>
    <t>ИАДОМ 1P41 [МБ ФР: Т+: Корпоративные облигации]</t>
  </si>
  <si>
    <t>4B02-41-00307-R-001P</t>
  </si>
  <si>
    <t>RU000A107GM1</t>
  </si>
  <si>
    <t>ИАДОМ 1P41</t>
  </si>
  <si>
    <t>ИАДОМ 1P42 [МБ ФР: Т+: Корпоративные облигации]</t>
  </si>
  <si>
    <t>4B02-40-00307-R-001P</t>
  </si>
  <si>
    <t>RU000A107EQ7</t>
  </si>
  <si>
    <t>ИАДОМ 1P42</t>
  </si>
  <si>
    <t>ИАДОМ 1P43 [МБ ФР: Т+: Корпоративные облигации]</t>
  </si>
  <si>
    <t>4B02-42-00307-R-001P</t>
  </si>
  <si>
    <t>RU000A107SY1</t>
  </si>
  <si>
    <t>ИАДОМ 1P43</t>
  </si>
  <si>
    <t>ИАДОМ 1P44 [МБ ФР: Т+: Корпоративные облигации]</t>
  </si>
  <si>
    <t>4B02-43-00307-R-001P</t>
  </si>
  <si>
    <t>RU000A108GC0</t>
  </si>
  <si>
    <t>ИАДОМ 1P44</t>
  </si>
  <si>
    <t>ИАДОМ 1P45 [МБ ФР: Т+: Корпоративные облигации]</t>
  </si>
  <si>
    <t>4B02-45-00307-R-001P</t>
  </si>
  <si>
    <t>RU000A109L98</t>
  </si>
  <si>
    <t>ИАДОМ 1P45</t>
  </si>
  <si>
    <t>ИАДОМ 1P46 [МБ ФР: Т+: Корпоративные облигации]</t>
  </si>
  <si>
    <t>4B02-44-00307-R-001P</t>
  </si>
  <si>
    <t>RU000A1093G2</t>
  </si>
  <si>
    <t>ИАДОМ 1P46</t>
  </si>
  <si>
    <t>ИАДОМ 1P47 [МБ ФР: Т+: Корпоративные облигации]</t>
  </si>
  <si>
    <t>4B02-46-00307-R-001P</t>
  </si>
  <si>
    <t>RU000A109NH3</t>
  </si>
  <si>
    <t>ИАДОМ 1P47</t>
  </si>
  <si>
    <t>ИАДОМ 1P48 [МБ ФР: Т+: Корпоративные облигации]</t>
  </si>
  <si>
    <t>4B02-49-00307-R-001P</t>
  </si>
  <si>
    <t>RU000A109NJ9</t>
  </si>
  <si>
    <t>ИАДОМ 1P48</t>
  </si>
  <si>
    <t>ИАДОМ 1P49 [МБ ФР: Т+: Корпоративные облигации]</t>
  </si>
  <si>
    <t>4B02-48-00307-R-001P</t>
  </si>
  <si>
    <t>RU000A109NG5</t>
  </si>
  <si>
    <t>ИАДОМ 1P49</t>
  </si>
  <si>
    <t>ИАДОМ 1P50 [МБ ФР: Т+: Корпоративные облигации]</t>
  </si>
  <si>
    <t>4B02-47-00307-R-001P</t>
  </si>
  <si>
    <t>RU000A109MG7</t>
  </si>
  <si>
    <t>ИАДОМ 1P50</t>
  </si>
  <si>
    <t>ИАДОМ Б1P1 [МБ ФР: Т+: Корпоративные облигации]</t>
  </si>
  <si>
    <t>4B02-01-00307-R-001P</t>
  </si>
  <si>
    <t>RU000A102GV3</t>
  </si>
  <si>
    <t>ИАДОМ Б1P1</t>
  </si>
  <si>
    <t>ИАДОМ Б1P2 [МБ ФР: Т+: Корпоративные облигации]</t>
  </si>
  <si>
    <t>4B02-02-00307-R-001P</t>
  </si>
  <si>
    <t>RU000A102JB9</t>
  </si>
  <si>
    <t>ИАДОМ Б1P2</t>
  </si>
  <si>
    <t>ИАДОМ Б1P3 [МБ ФР: Т+: Корпоративные облигации]</t>
  </si>
  <si>
    <t>4B02-03-00307-R-001P</t>
  </si>
  <si>
    <t>RU000A102GD1</t>
  </si>
  <si>
    <t>ИАДОМ Б1P3</t>
  </si>
  <si>
    <t>ИАДОМ Б1P4 [МБ ФР: Т+: Корпоративные облигации]</t>
  </si>
  <si>
    <t>4B02-04-00307-R-001P</t>
  </si>
  <si>
    <t>RU000A102K13</t>
  </si>
  <si>
    <t>ИАДОМ Б1P4</t>
  </si>
  <si>
    <t>ИАДОМ Б1P5 [МБ ФР: Т+: Корпоративные облигации]</t>
  </si>
  <si>
    <t>4B02-05-00307-R-001P</t>
  </si>
  <si>
    <t>RU000A102L87</t>
  </si>
  <si>
    <t>ИАДОМ Б1P5</t>
  </si>
  <si>
    <t>ИАДОМ Б1P6 [МБ ФР: Т+: Корпоративные облигации]</t>
  </si>
  <si>
    <t>4B02-06-00307-R-001P</t>
  </si>
  <si>
    <t>RU000A102L53</t>
  </si>
  <si>
    <t>ИАДОМ Б1P6</t>
  </si>
  <si>
    <t>ИАДОМ Б1P7 [МБ ФР: Т+: Корпоративные облигации]</t>
  </si>
  <si>
    <t>4B02-07-00307-R-001P</t>
  </si>
  <si>
    <t>RU000A103125</t>
  </si>
  <si>
    <t>ИАДОМ Б1P7</t>
  </si>
  <si>
    <t>ИАДОМ Б1P8 [МБ ФР: Т+: Корпоративные облигации]</t>
  </si>
  <si>
    <t>4B02-08-00307-R-001P</t>
  </si>
  <si>
    <t>RU000A1031K4</t>
  </si>
  <si>
    <t>ИАДОМ Б1P8</t>
  </si>
  <si>
    <t>ИАДОМ Б1P9 [МБ ФР: Т+: Корпоративные облигации]</t>
  </si>
  <si>
    <t>4B02-09-00307-R-001P</t>
  </si>
  <si>
    <t>RU000A103N43</t>
  </si>
  <si>
    <t>ИАДОМ Б1P9</t>
  </si>
  <si>
    <t>ИКС5Фин2P2 [МБ ФР: Т+: Корпоративные облигации]</t>
  </si>
  <si>
    <t>4B02-02-36241-R-002P</t>
  </si>
  <si>
    <t>RU000A105JP2</t>
  </si>
  <si>
    <t>ИКС5Фин2P2</t>
  </si>
  <si>
    <t>ИКС5Фин2P3 [МБ ФР: Т+: Корпоративные облигации]</t>
  </si>
  <si>
    <t>4B02-03-36241-R-002P</t>
  </si>
  <si>
    <t>RU000A105NE8</t>
  </si>
  <si>
    <t>ИКС5Фин2P3</t>
  </si>
  <si>
    <t>ИКС5Фин3P1 [МБ ФР: Т+: Корпоративные облигации]</t>
  </si>
  <si>
    <t>4B02-01-36241-R-003P</t>
  </si>
  <si>
    <t>RU000A109JH1</t>
  </si>
  <si>
    <t>ИКС5Фин3P1</t>
  </si>
  <si>
    <t>ИКС5Фин3P2 [МБ ФР: Т+: Корпоративные облигации]</t>
  </si>
  <si>
    <t>4B02-02-36241-R-003P</t>
  </si>
  <si>
    <t>RU000A1075S4</t>
  </si>
  <si>
    <t>ИКС5Фин3P2</t>
  </si>
  <si>
    <t>ИКС5Фин3P3 [МБ ФР: Т+: Корпоративные облигации]</t>
  </si>
  <si>
    <t>4B02-03-36241-R-003P</t>
  </si>
  <si>
    <t>RU000A107AJ0</t>
  </si>
  <si>
    <t>ИКС5Фин3P3</t>
  </si>
  <si>
    <t>ИКС5Фин3P4 [МБ ФР: Т+: Корпоративные облигации]</t>
  </si>
  <si>
    <t>4B02-04-36241-R-003P</t>
  </si>
  <si>
    <t>RU000A107WL0</t>
  </si>
  <si>
    <t>ИКС5Фин3P4</t>
  </si>
  <si>
    <t>ИКС5Фин3P5 [МБ ФР: Т+: Корпоративные облигации]</t>
  </si>
  <si>
    <t>4B02-05-36241-R-003P</t>
  </si>
  <si>
    <t>RU000A108LU2</t>
  </si>
  <si>
    <t>ИКС5Фин3P5</t>
  </si>
  <si>
    <t>ИКС5ФинP12 [МБ ФР: Т+: Корпоративные облигации]</t>
  </si>
  <si>
    <t>4B02-12-36241-R-001P</t>
  </si>
  <si>
    <t>RU000A101UQ6</t>
  </si>
  <si>
    <t>ИКС5ФинP12</t>
  </si>
  <si>
    <t>ИЛСБО-1-1Р [МБ ФР: Т+: Корпоративные облигации]</t>
  </si>
  <si>
    <t>4B02-01-00118-L-001P</t>
  </si>
  <si>
    <t>RU000A107BH2</t>
  </si>
  <si>
    <t>ИЛСБО-1-1Р</t>
  </si>
  <si>
    <t>ИНГР Б1P1 [МБ ФР: Т+: Корпоративные облигации]</t>
  </si>
  <si>
    <t>4B02-01-50020-A-001P</t>
  </si>
  <si>
    <t>RU000A0ZYG37</t>
  </si>
  <si>
    <t>ИНГР Б1P1</t>
  </si>
  <si>
    <t>ИНГРАД 2P2 [МБ ФР: Т+: Корпоративные облигации]</t>
  </si>
  <si>
    <t>4B02-02-50020-A-002P</t>
  </si>
  <si>
    <t>RU000A101HP5</t>
  </si>
  <si>
    <t>ИНГРАД 2P2</t>
  </si>
  <si>
    <t>ИСТРСЫР 02 [МБ ФР: Т+: Корпоративные облигации]</t>
  </si>
  <si>
    <t>4B02-02-00100-L</t>
  </si>
  <si>
    <t>RU000A106SL0</t>
  </si>
  <si>
    <t>ИСТРСЫР 02</t>
  </si>
  <si>
    <t>ИСТРСЫР 03 [МБ ФР: Т+: Корпоративные облигации]</t>
  </si>
  <si>
    <t>4B02-03-00100-L</t>
  </si>
  <si>
    <t>RU000A107C00</t>
  </si>
  <si>
    <t>ИСТРСЫР 03</t>
  </si>
  <si>
    <t>ИЭКХолд1Р1 [МБ ФР: Т+: Корпоративные облигации]</t>
  </si>
  <si>
    <t>4B02-01-00085-L-001P</t>
  </si>
  <si>
    <t>RU000A105PR5</t>
  </si>
  <si>
    <t>ИЭКХолд1Р1</t>
  </si>
  <si>
    <t>ИЭКХолд1Р2 [МБ ФР: Т+: Корпоративные облигации]</t>
  </si>
  <si>
    <t>4B02-02-00085-L-001P</t>
  </si>
  <si>
    <t>RU000A107E08</t>
  </si>
  <si>
    <t>ИЭКХолд1Р2</t>
  </si>
  <si>
    <t>Инаркт2Р1 [МБ ФР: Т+: Корпоративные облигации]</t>
  </si>
  <si>
    <t>4B02-01-04461-D-002P</t>
  </si>
  <si>
    <t>RU000A107W48</t>
  </si>
  <si>
    <t>Инаркт2Р1</t>
  </si>
  <si>
    <t>ИнвОбл01 [МБ ФР: Т+: Корпоративные облигации]</t>
  </si>
  <si>
    <t>4-01-00756-R</t>
  </si>
  <si>
    <t>RU000A107C75</t>
  </si>
  <si>
    <t>ИнвОбл01</t>
  </si>
  <si>
    <t>ИнвОбл02 [МБ ФР: Т+: Корпоративные облигации]</t>
  </si>
  <si>
    <t>4-02-00756-R</t>
  </si>
  <si>
    <t>RU000A107Q12</t>
  </si>
  <si>
    <t>ИнвОбл02</t>
  </si>
  <si>
    <t>ИнвОбл03 [МБ ФР: Т+: Корпоративные облигации]</t>
  </si>
  <si>
    <t>4-03-00756-R</t>
  </si>
  <si>
    <t>RU000A107Q20</t>
  </si>
  <si>
    <t>ИнвОбл03</t>
  </si>
  <si>
    <t>ИнвОбл04 [МБ ФР: Т+: Корпоративные облигации]</t>
  </si>
  <si>
    <t>4-04-00756-R</t>
  </si>
  <si>
    <t>RU000A107Q38</t>
  </si>
  <si>
    <t>ИнвОбл04</t>
  </si>
  <si>
    <t>ИнвОбл05 [МБ ФР: Т+: Корпоративные облигации]</t>
  </si>
  <si>
    <t>4-05-00756-R</t>
  </si>
  <si>
    <t>RU000A108C33</t>
  </si>
  <si>
    <t>ИнвОбл05</t>
  </si>
  <si>
    <t>ИнвОбл06 [МБ ФР: Т+: Корпоративные облигации]</t>
  </si>
  <si>
    <t>4-06-00756-R</t>
  </si>
  <si>
    <t>RU000A108C41</t>
  </si>
  <si>
    <t>ИнвОбл06</t>
  </si>
  <si>
    <t>ИнвОбл07 [МБ ФР: Т+: Корпоративные облигации]</t>
  </si>
  <si>
    <t>4-07-00756-R</t>
  </si>
  <si>
    <t>RU000A108TD1</t>
  </si>
  <si>
    <t>ИнвОбл07</t>
  </si>
  <si>
    <t>ИнвОбл08 [МБ ФР: Т+: Корпоративные облигации]</t>
  </si>
  <si>
    <t>4-08-00756-R</t>
  </si>
  <si>
    <t>RU000A108TE9</t>
  </si>
  <si>
    <t>ИнвОбл08</t>
  </si>
  <si>
    <t>ИнвОбл09 [МБ ФР: Т+: Корпоративные облигации]</t>
  </si>
  <si>
    <t>4-09-00756-R</t>
  </si>
  <si>
    <t>RU000A1095B8</t>
  </si>
  <si>
    <t>ИнвОбл09</t>
  </si>
  <si>
    <t>ИнвОбл10 [МБ ФР: Т+: Корпоративные облигации]</t>
  </si>
  <si>
    <t>4-10-00756-R</t>
  </si>
  <si>
    <t>RU000A109775</t>
  </si>
  <si>
    <t>ИнвОбл10</t>
  </si>
  <si>
    <t>ИнвОбл11 [МБ ФР: Т+: Корпоративные облигации]</t>
  </si>
  <si>
    <t>4-11-00756-R</t>
  </si>
  <si>
    <t>RU000A109QT1</t>
  </si>
  <si>
    <t>ИнвОбл11</t>
  </si>
  <si>
    <t>ИнкабБО01 [МБ ФР: Т+: Корпоративные облигации]</t>
  </si>
  <si>
    <t>4B02-01-00064-L</t>
  </si>
  <si>
    <t>RU000A1049M2</t>
  </si>
  <si>
    <t>ИнкабБО01</t>
  </si>
  <si>
    <t>ИнтЛиз1Р04 [МБ ФР: Т+: Корпоративные облигации]</t>
  </si>
  <si>
    <t>4B02-04-00380-R-001P</t>
  </si>
  <si>
    <t>RU000A105FU0</t>
  </si>
  <si>
    <t>ИнтЛиз1Р04</t>
  </si>
  <si>
    <t>ИнтЛиз1Р05 [МБ ФР: Т+: Корпоративные облигации]</t>
  </si>
  <si>
    <t>4B02-05-00380-R-001P</t>
  </si>
  <si>
    <t>RU000A105Y30</t>
  </si>
  <si>
    <t>ИнтЛиз1Р05</t>
  </si>
  <si>
    <t>ИнтЛиз1Р06 [МБ ФР: Т+: Корпоративные облигации]</t>
  </si>
  <si>
    <t>4B02-06-00380-R-001P</t>
  </si>
  <si>
    <t>RU000A106SF2</t>
  </si>
  <si>
    <t>ИнтЛиз1Р06</t>
  </si>
  <si>
    <t>ИнтЛиз1Р07 [МБ ФР: Т+: Корпоративные облигации]</t>
  </si>
  <si>
    <t>4B02-07-00380-R-001P</t>
  </si>
  <si>
    <t>RU000A1077X0</t>
  </si>
  <si>
    <t>ИнтЛиз1Р07</t>
  </si>
  <si>
    <t>ИнтЛиз1Р08 [МБ ФР: Т+: Корпоративные облигации]</t>
  </si>
  <si>
    <t>4B02-08-00380-R-001P</t>
  </si>
  <si>
    <t>RU000A108AL4</t>
  </si>
  <si>
    <t>ИнтЛиз1Р08</t>
  </si>
  <si>
    <t>ИнтЛиз1Р09 [МБ ФР: Т+: Корпоративные облигации]</t>
  </si>
  <si>
    <t>4B02-09-00380-R-001P</t>
  </si>
  <si>
    <t>RU000A109DV5</t>
  </si>
  <si>
    <t>ИнтЛиз1Р09</t>
  </si>
  <si>
    <t>ИнтЛиз1Р10 [МБ ФР: Т+: Корпоративные облигации]</t>
  </si>
  <si>
    <t>4B02-10-00380-R-001P</t>
  </si>
  <si>
    <t>RU000A10A4N8</t>
  </si>
  <si>
    <t>ИнтЛиз1Р10</t>
  </si>
  <si>
    <t>Интерскол1 [МБ ФР: Т+: Корпоративные облигации]</t>
  </si>
  <si>
    <t>4B02-01-00068-L-001P</t>
  </si>
  <si>
    <t>RU000A104A05</t>
  </si>
  <si>
    <t>Интерскол1</t>
  </si>
  <si>
    <t>КАМАЗ 12 [МБ ФР: Т+: Корпоративные облигации]</t>
  </si>
  <si>
    <t>4-12-55010-D</t>
  </si>
  <si>
    <t>RU000A0JVP39</t>
  </si>
  <si>
    <t>КАМАЗ 12</t>
  </si>
  <si>
    <t>КАМАЗ БО-7 [МБ ФР: Т+: Корпоративные облигации]</t>
  </si>
  <si>
    <t>4-07-55010-D</t>
  </si>
  <si>
    <t>RU000A0ZZ7G1</t>
  </si>
  <si>
    <t>КАМАЗ БО-7</t>
  </si>
  <si>
    <t>КАМАЗ БО-8 [МБ ФР: Т+: Корпоративные облигации]</t>
  </si>
  <si>
    <t>4-08-55010-D</t>
  </si>
  <si>
    <t>RU000A0ZZ7H9</t>
  </si>
  <si>
    <t>КАМАЗ БО-8</t>
  </si>
  <si>
    <t>КАМАЗ БО-9 [МБ ФР: Т+: Корпоративные облигации]</t>
  </si>
  <si>
    <t>4-09-55010-D</t>
  </si>
  <si>
    <t>RU000A0ZZ885</t>
  </si>
  <si>
    <t>КАМАЗ БО-9</t>
  </si>
  <si>
    <t>КАМАЗ БО10 [МБ ФР: Т+: Корпоративные облигации]</t>
  </si>
  <si>
    <t>4-10-55010-D</t>
  </si>
  <si>
    <t>RU000A0ZZ877</t>
  </si>
  <si>
    <t>КАМАЗ БО10</t>
  </si>
  <si>
    <t>КАМАЗ БО11 [МБ ФР: Т+: Корпоративные облигации]</t>
  </si>
  <si>
    <t>4-11-55010-D</t>
  </si>
  <si>
    <t>RU000A0ZZ893</t>
  </si>
  <si>
    <t>КАМАЗ БО11</t>
  </si>
  <si>
    <t>КАМАЗ БО13 [МБ ФР: Т+: Корпоративные облигации]</t>
  </si>
  <si>
    <t>4-13-55010-D</t>
  </si>
  <si>
    <t>RU000A0JW126</t>
  </si>
  <si>
    <t>КАМАЗ БО13</t>
  </si>
  <si>
    <t>КАМАЗ БО14 [МБ ФР: Т+: Корпоративные облигации]</t>
  </si>
  <si>
    <t>4-14-55010-D</t>
  </si>
  <si>
    <t>RU000A0JX1C5</t>
  </si>
  <si>
    <t>КАМАЗ БО14</t>
  </si>
  <si>
    <t>КАМАЗ БО15 [МБ ФР: Т+: Корпоративные облигации]</t>
  </si>
  <si>
    <t>4-15-55010-D</t>
  </si>
  <si>
    <t>RU000A0JX2B5</t>
  </si>
  <si>
    <t>КАМАЗ БО15</t>
  </si>
  <si>
    <t>КАМАЗ БП10 [МБ ФР: Т+: Корпоративные облигации]</t>
  </si>
  <si>
    <t>4B02-10-55010-D-001P</t>
  </si>
  <si>
    <t>RU000A104ZC9</t>
  </si>
  <si>
    <t>КАМАЗ БП10</t>
  </si>
  <si>
    <t>КАМАЗ БП11 [МБ ФР: Т+: Корпоративные облигации]</t>
  </si>
  <si>
    <t>4B02-11-55010-D-001P</t>
  </si>
  <si>
    <t>RU000A107MM9</t>
  </si>
  <si>
    <t>КАМАЗ БП11</t>
  </si>
  <si>
    <t>КАМАЗ БП12 [МБ ФР: Т+: Корпоративные облигации]</t>
  </si>
  <si>
    <t>4B02-12-55010-D-001P</t>
  </si>
  <si>
    <t>RU000A109JW0</t>
  </si>
  <si>
    <t>КАМАЗ БП12</t>
  </si>
  <si>
    <t>КАМАЗ БП13 [МБ ФР: Т+: Корпоративные облигации]</t>
  </si>
  <si>
    <t>4B02-13-55010-D-001P</t>
  </si>
  <si>
    <t>RU000A109VM6</t>
  </si>
  <si>
    <t>КАМАЗ БП13</t>
  </si>
  <si>
    <t>КВС БО-01 [МБ ФР: Т+: Корпоративные облигации]</t>
  </si>
  <si>
    <t>4B02-01-00409-R</t>
  </si>
  <si>
    <t>RU000A1018G9</t>
  </si>
  <si>
    <t>КВС БО-01</t>
  </si>
  <si>
    <t>КВС об. 01 [МБ ФР: Т+: Корпоративные облигации]</t>
  </si>
  <si>
    <t>4-01-00409-R-001P</t>
  </si>
  <si>
    <t>RU000A0ZZWQ8</t>
  </si>
  <si>
    <t>КВС об. 01</t>
  </si>
  <si>
    <t>КИФА 1P1 [МБ ФР: Т+: Корпоративные облигации]</t>
  </si>
  <si>
    <t>4B02-01-80929-H-001P</t>
  </si>
  <si>
    <t>RU000A106EV9</t>
  </si>
  <si>
    <t>КИФА 1P1</t>
  </si>
  <si>
    <t>КОРПСАН 01 [МБ ФР: Т+: Корпоративные облигации]</t>
  </si>
  <si>
    <t>4B02-01-00583-R-001P</t>
  </si>
  <si>
    <t>RU000A107G22</t>
  </si>
  <si>
    <t>КОРПСАН 01</t>
  </si>
  <si>
    <t>КОРЯКЭН-01 [МБ ФР: Т+: Корпоративные облигации]</t>
  </si>
  <si>
    <t>4B02-01-32578-F</t>
  </si>
  <si>
    <t>RU000A109UL0</t>
  </si>
  <si>
    <t>КОРЯКЭН-01</t>
  </si>
  <si>
    <t>КРАУС Б1P1 [МБ ФР: Т+: Корпоративные облигации]</t>
  </si>
  <si>
    <t>4B02-01-33273-H-001P</t>
  </si>
  <si>
    <t>RU000A0JX2L4</t>
  </si>
  <si>
    <t>КРАУС Б1P1</t>
  </si>
  <si>
    <t>КЧР 2017 [МБ ФР: Т+: Корпоративные облигации]</t>
  </si>
  <si>
    <t>RU35001KRC0</t>
  </si>
  <si>
    <t>RU000A0ZYL22</t>
  </si>
  <si>
    <t>КЧР 2017</t>
  </si>
  <si>
    <t>Казахст05 [МБ ФР: Т+: Корпоративные облигации]</t>
  </si>
  <si>
    <t>RU000A101RT6</t>
  </si>
  <si>
    <t>Казахст05</t>
  </si>
  <si>
    <t>Казахст07 [МБ ФР: Т+: Корпоративные облигации]</t>
  </si>
  <si>
    <t>RU000A101RV2</t>
  </si>
  <si>
    <t>Казахст07</t>
  </si>
  <si>
    <t>Казахст08 [МБ ФР: Т+: Корпоративные облигации]</t>
  </si>
  <si>
    <t>RU000A101RW0</t>
  </si>
  <si>
    <t>Казахст08</t>
  </si>
  <si>
    <t>Казахст11 [МБ ФР: Т+: Корпоративные облигации]</t>
  </si>
  <si>
    <t>RU000A101RZ3</t>
  </si>
  <si>
    <t>Казахст11</t>
  </si>
  <si>
    <t>Казахст12 [МБ ФР: Т+: Корпоративные облигации]</t>
  </si>
  <si>
    <t>RU000A101S08</t>
  </si>
  <si>
    <t>Казахст12</t>
  </si>
  <si>
    <t>Казахст13 [МБ ФР: Т+: Корпоративные облигации]</t>
  </si>
  <si>
    <t>RU000A101S16</t>
  </si>
  <si>
    <t>Казахст13</t>
  </si>
  <si>
    <t>КалинОбл17 [МБ ФР: Т+: Корпоративные облигации]</t>
  </si>
  <si>
    <t>RU35002KLN0</t>
  </si>
  <si>
    <t>RU000A0ZYKU8</t>
  </si>
  <si>
    <t>КалинОбл17</t>
  </si>
  <si>
    <t>КалинОбл20 [МБ ФР: Т+: Корпоративные облигации]</t>
  </si>
  <si>
    <t>RU35003KLN0</t>
  </si>
  <si>
    <t>RU000A102KN2</t>
  </si>
  <si>
    <t>КалинОбл20</t>
  </si>
  <si>
    <t>КалинОбл21 [МБ ФР: Т+: Корпоративные облигации]</t>
  </si>
  <si>
    <t>RU35004KLN0</t>
  </si>
  <si>
    <t>RU000A104BC0</t>
  </si>
  <si>
    <t>КалинОбл21</t>
  </si>
  <si>
    <t>КалинОбл22 [МБ ФР: Т+: Корпоративные облигации]</t>
  </si>
  <si>
    <t>RU35007KLN0</t>
  </si>
  <si>
    <t>RU000A105ND0</t>
  </si>
  <si>
    <t>КалинОбл22</t>
  </si>
  <si>
    <t>Карелия 19 [МБ ФР: Т+: Корпоративные облигации]</t>
  </si>
  <si>
    <t>RU35019KAR0</t>
  </si>
  <si>
    <t>RU000A0ZZZV1</t>
  </si>
  <si>
    <t>Карелия 19</t>
  </si>
  <si>
    <t>Кеарли 1Р1 [МБ ФР: Т+: Корпоративные облигации]</t>
  </si>
  <si>
    <t>4B02-01-00151-L-001P</t>
  </si>
  <si>
    <t>RU000A108Q78</t>
  </si>
  <si>
    <t>Кеарли 1Р1</t>
  </si>
  <si>
    <t>Кириллица2 [МБ ФР: Т+: Корпоративные облигации]</t>
  </si>
  <si>
    <t>4B02-01-01566-G</t>
  </si>
  <si>
    <t>RU000A106L67</t>
  </si>
  <si>
    <t>Кириллица2</t>
  </si>
  <si>
    <t>Кириллица3 [МБ ФР: Т+: Корпоративные облигации]</t>
  </si>
  <si>
    <t>4B02-02-01566-G</t>
  </si>
  <si>
    <t>RU000A106UB7</t>
  </si>
  <si>
    <t>Кириллица3</t>
  </si>
  <si>
    <t>КировЗд1Р1 [МБ ФР: Т+: Корпоративные облигации]</t>
  </si>
  <si>
    <t>4-01-00046-A-001P</t>
  </si>
  <si>
    <t>RU000A101S99</t>
  </si>
  <si>
    <t>КировЗд1Р1</t>
  </si>
  <si>
    <t>КировЗд1Р2 [МБ ФР: Т+: Корпоративные облигации]</t>
  </si>
  <si>
    <t>4-02-00046-A-001P</t>
  </si>
  <si>
    <t>RU000A102UZ5</t>
  </si>
  <si>
    <t>КировЗд1Р2</t>
  </si>
  <si>
    <t>КировОбл01 [МБ ФР: Т+: Корпоративные облигации]</t>
  </si>
  <si>
    <t>RU35001KIR0</t>
  </si>
  <si>
    <t>RU000A0ZZXZ7</t>
  </si>
  <si>
    <t>КировОбл01</t>
  </si>
  <si>
    <t>КрасЯрКр15 [МБ ФР: Т+: Корпоративные облигации]</t>
  </si>
  <si>
    <t>RU35015KNA0</t>
  </si>
  <si>
    <t>RU000A0ZZC48</t>
  </si>
  <si>
    <t>КрасЯрКр15</t>
  </si>
  <si>
    <t>КрасЯрКр16 [МБ ФР: Т+: Корпоративные облигации]</t>
  </si>
  <si>
    <t>RU35016KNA0</t>
  </si>
  <si>
    <t>RU000A0ZZM87</t>
  </si>
  <si>
    <t>КрасЯрКр16</t>
  </si>
  <si>
    <t>КрасЯрск13 [МБ ФР: Т+: Корпоративные облигации]</t>
  </si>
  <si>
    <t>RU34013KRN1</t>
  </si>
  <si>
    <t>RU000A1029G6</t>
  </si>
  <si>
    <t>КрасЯрск13</t>
  </si>
  <si>
    <t>мун.обл.</t>
  </si>
  <si>
    <t>Муниципальная облигация</t>
  </si>
  <si>
    <t>Краснод 20 [МБ ФР: Т+: Корпоративные облигации]</t>
  </si>
  <si>
    <t>RU34003KRA1</t>
  </si>
  <si>
    <t>RU000A102KT9</t>
  </si>
  <si>
    <t>Краснод 20</t>
  </si>
  <si>
    <t>КраснодКр2 [МБ ФР: Т+: Корпоративные облигации]</t>
  </si>
  <si>
    <t>RU35002KND0</t>
  </si>
  <si>
    <t>RU000A0ZZ8X4</t>
  </si>
  <si>
    <t>КраснодКр2</t>
  </si>
  <si>
    <t>КраснодКр3 [МБ ФР: Т+: Корпоративные облигации]</t>
  </si>
  <si>
    <t>RU35003KND0</t>
  </si>
  <si>
    <t>RU000A1011B5</t>
  </si>
  <si>
    <t>КраснодКр3</t>
  </si>
  <si>
    <t>Курск35001 [МБ ФР: Т+: Корпоративные облигации]</t>
  </si>
  <si>
    <t>RU35001KUR0</t>
  </si>
  <si>
    <t>RU000A0ZYCD1</t>
  </si>
  <si>
    <t>Курск35001</t>
  </si>
  <si>
    <t>Кыргыз. 01 [МБ ФР: Т+: Корпоративные облигации]</t>
  </si>
  <si>
    <t>KG000A3LSC78</t>
  </si>
  <si>
    <t>Кыргыз. 01</t>
  </si>
  <si>
    <t>KGS</t>
  </si>
  <si>
    <t>Кыргыз. 02 [МБ ФР: Т+: Корпоративные облигации]</t>
  </si>
  <si>
    <t>KG000A3LSJ06</t>
  </si>
  <si>
    <t>Кыргыз. 02</t>
  </si>
  <si>
    <t>ЛАЗСИСТ-01 [МБ ФР: Т+: Корпоративные облигации]</t>
  </si>
  <si>
    <t>4B02-01-24647-J</t>
  </si>
  <si>
    <t>RU000A109JX8</t>
  </si>
  <si>
    <t>ЛАЗСИСТ-01</t>
  </si>
  <si>
    <t>ЛЕГЕНДА1P4 [МБ ФР: Т+: Корпоративные облигации]</t>
  </si>
  <si>
    <t>4B02-04-00368-R-001P</t>
  </si>
  <si>
    <t>RU000A102Y66</t>
  </si>
  <si>
    <t>ЛЕГЕНДА1P4</t>
  </si>
  <si>
    <t>ЛЕГЕНДА2P3 [МБ ФР: Т+: Корпоративные облигации]</t>
  </si>
  <si>
    <t>4B02-03-00368-R-002P</t>
  </si>
  <si>
    <t>RU000A108PC1</t>
  </si>
  <si>
    <t>ЛЕГЕНДА2P3</t>
  </si>
  <si>
    <t>ЛКМБ-РТ1P1 [МБ ФР: Т+: Корпоративные облигации]</t>
  </si>
  <si>
    <t>4B02-01-00065-L-001P</t>
  </si>
  <si>
    <t>RU000A104B61</t>
  </si>
  <si>
    <t>ЛКМБ-РТ1P1</t>
  </si>
  <si>
    <t>ЛКЭвол1Р01 [МБ ФР: Т+: Корпоративные облигации]</t>
  </si>
  <si>
    <t>4B02-01-00750-R-001P</t>
  </si>
  <si>
    <t>RU000A107GV2</t>
  </si>
  <si>
    <t>ЛКЭвол1Р01</t>
  </si>
  <si>
    <t>ЛСР БО 1Р6 [МБ ФР: Т+: Корпоративные облигации]</t>
  </si>
  <si>
    <t>4B02-06-55234-E-001P</t>
  </si>
  <si>
    <t>RU000A102T63</t>
  </si>
  <si>
    <t>ЛСР БО 1Р6</t>
  </si>
  <si>
    <t>ЛСР БО 1Р7 [МБ ФР: Т+: Корпоративные облигации]</t>
  </si>
  <si>
    <t>4B02-07-55234-E-001P</t>
  </si>
  <si>
    <t>RU000A103PX8</t>
  </si>
  <si>
    <t>ЛСР БО 1Р7</t>
  </si>
  <si>
    <t>ЛСР БО 1Р8 [МБ ФР: Т+: Корпоративные облигации]</t>
  </si>
  <si>
    <t>4B02-08-55234-E-001P</t>
  </si>
  <si>
    <t>RU000A106888</t>
  </si>
  <si>
    <t>ЛСР БО 1Р8</t>
  </si>
  <si>
    <t>ЛСР БО 1Р9 [МБ ФР: Т+: Корпоративные облигации]</t>
  </si>
  <si>
    <t>4B02-09-55234-E-001P</t>
  </si>
  <si>
    <t>RU000A1082X0</t>
  </si>
  <si>
    <t>ЛСР БО 1Р9</t>
  </si>
  <si>
    <t>ЛТрейд 1P3 [МБ ФР: Т+: Корпоративные облигации]</t>
  </si>
  <si>
    <t>4B02-03-00506-R-001P</t>
  </si>
  <si>
    <t>RU000A1034X1</t>
  </si>
  <si>
    <t>ЛТрейд 1P3</t>
  </si>
  <si>
    <t>ЛТрейд 1P4 [МБ ФР: Т+: Корпоративные облигации]</t>
  </si>
  <si>
    <t>4B02-04-00506-R-001P</t>
  </si>
  <si>
    <t>RU000A104XE0</t>
  </si>
  <si>
    <t>ЛТрейд 1P4</t>
  </si>
  <si>
    <t>ЛТрейд 1P5 [МБ ФР: Т+: Корпоративные облигации]</t>
  </si>
  <si>
    <t>4B02-05-00506-R-001P</t>
  </si>
  <si>
    <t>RU000A1053H4</t>
  </si>
  <si>
    <t>ЛТрейд 1P5</t>
  </si>
  <si>
    <t>ЛТрейд 1P6 [МБ ФР: Т+: Корпоративные облигации]</t>
  </si>
  <si>
    <t>4B02-06-00506-R-001P</t>
  </si>
  <si>
    <t>RU000A105RF6</t>
  </si>
  <si>
    <t>ЛТрейд 1P6</t>
  </si>
  <si>
    <t>ЛТрейд 1P7 [МБ ФР: Т+: Корпоративные облигации]</t>
  </si>
  <si>
    <t>4B02-07-00506-R-001P</t>
  </si>
  <si>
    <t>RU000A105WZ4</t>
  </si>
  <si>
    <t>ЛТрейд 1P7</t>
  </si>
  <si>
    <t>ЛТрейд 1P8 [МБ ФР: Т+: Корпоративные облигации]</t>
  </si>
  <si>
    <t>4B02-08-00506-R-001P</t>
  </si>
  <si>
    <t>RU000A106987</t>
  </si>
  <si>
    <t>ЛТрейд 1P8</t>
  </si>
  <si>
    <t>ЛТрейд 1P9 [МБ ФР: Т+: Корпоративные облигации]</t>
  </si>
  <si>
    <t>4B02-09-00506-R-001P</t>
  </si>
  <si>
    <t>RU000A106GB6</t>
  </si>
  <si>
    <t>ЛТрейд 1P9</t>
  </si>
  <si>
    <t>ЛТрейд1P10 [МБ ФР: Т+: Корпоративные облигации]</t>
  </si>
  <si>
    <t>4B02-10-00506-R-001P</t>
  </si>
  <si>
    <t>RU000A107480</t>
  </si>
  <si>
    <t>ЛТрейд1P10</t>
  </si>
  <si>
    <t>ЛТрейд1P11 [МБ ФР: Т+: Корпоративные облигации]</t>
  </si>
  <si>
    <t>4B02-11-00506-R-001P</t>
  </si>
  <si>
    <t>RU000A107NJ3</t>
  </si>
  <si>
    <t>ЛТрейд1P11</t>
  </si>
  <si>
    <t>ЛУКОЙЛ 26 [МБ ФР: Т+: Корпоративные облигации]</t>
  </si>
  <si>
    <t>4-17-00077-A</t>
  </si>
  <si>
    <t>RU000A1059N9</t>
  </si>
  <si>
    <t>ЛУКОЙЛ 26</t>
  </si>
  <si>
    <t>ЛУКОЙЛ 27 [МБ ФР: Т+: Корпоративные облигации]</t>
  </si>
  <si>
    <t>4-18-00077-A</t>
  </si>
  <si>
    <t>RU000A1059P4</t>
  </si>
  <si>
    <t>ЛУКОЙЛ 27</t>
  </si>
  <si>
    <t>ЛУКОЙЛ 30 [МБ ФР: Т+: Корпоративные облигации]</t>
  </si>
  <si>
    <t>4-19-00077-A</t>
  </si>
  <si>
    <t>RU000A1059Q2</t>
  </si>
  <si>
    <t>ЛУКОЙЛ 30</t>
  </si>
  <si>
    <t>ЛУКОЙЛ 31 [МБ ФР: Т+: Корпоративные облигации]</t>
  </si>
  <si>
    <t>4-20-00077-A</t>
  </si>
  <si>
    <t>RU000A1059R0</t>
  </si>
  <si>
    <t>ЛУКОЙЛ 31</t>
  </si>
  <si>
    <t>ЛайфСтр П2 [МБ ФР: Т+: Корпоративные облигации]</t>
  </si>
  <si>
    <t>4B02-02-00573-R-001P</t>
  </si>
  <si>
    <t>RU000A1068S9</t>
  </si>
  <si>
    <t>ЛайфСтр П2</t>
  </si>
  <si>
    <t>ЛевенгукБ1 [МБ ФР: Т+: Корпоративные облигации]</t>
  </si>
  <si>
    <t>4B02-01-04329-D</t>
  </si>
  <si>
    <t>RU000A0ZYHW0</t>
  </si>
  <si>
    <t>ЛевенгукБ1</t>
  </si>
  <si>
    <t>ЛипецкОб10 [МБ ФР: Т+: Корпоративные облигации]</t>
  </si>
  <si>
    <t>RU35010LIP0</t>
  </si>
  <si>
    <t>RU000A0ZZR33</t>
  </si>
  <si>
    <t>ЛипецкОб10</t>
  </si>
  <si>
    <t>ЛипецкОб12 [МБ ФР: Т+: Корпоративные облигации]</t>
  </si>
  <si>
    <t>RU34012LIP0</t>
  </si>
  <si>
    <t>RU000A102598</t>
  </si>
  <si>
    <t>ЛипецкОб12</t>
  </si>
  <si>
    <t>Локосерв 1 [МБ ФР: Т+: Корпоративные облигации]</t>
  </si>
  <si>
    <t>4-01-00314-R</t>
  </si>
  <si>
    <t>RU000A0JXLU2</t>
  </si>
  <si>
    <t>Локосерв 1</t>
  </si>
  <si>
    <t>МБЭС 1P-01 [МБ ФР: Т+: Корпоративные облигации]</t>
  </si>
  <si>
    <t>RU000A100VX2</t>
  </si>
  <si>
    <t>МБЭС 1P-01</t>
  </si>
  <si>
    <t>МБЭС 1P-02 [МБ ФР: Т+: Корпоративные облигации]</t>
  </si>
  <si>
    <t>RU000A101RJ7</t>
  </si>
  <si>
    <t>МБЭС 1P-02</t>
  </si>
  <si>
    <t>МБЭС 2P-01 [МБ ФР: Т+: Корпоративные облигации]</t>
  </si>
  <si>
    <t>RU000A106D59</t>
  </si>
  <si>
    <t>МБЭС 2P-01</t>
  </si>
  <si>
    <t>МБЭС 2P-02 [МБ ФР: Т+: Корпоративные облигации]</t>
  </si>
  <si>
    <t>RU000A107DS5</t>
  </si>
  <si>
    <t>МБЭС 2P-02</t>
  </si>
  <si>
    <t>МБЭС 2P-03 [МБ ФР: Т+: Корпоративные облигации]</t>
  </si>
  <si>
    <t>RU000A108Q03</t>
  </si>
  <si>
    <t>МБЭС 2P-03</t>
  </si>
  <si>
    <t>МВ ФИН 1Р3 [МБ ФР: Т+: Корпоративные облигации]</t>
  </si>
  <si>
    <t>4B02-03-00590-R-001P</t>
  </si>
  <si>
    <t>RU000A104ZK2</t>
  </si>
  <si>
    <t>МВ ФИН 1Р3</t>
  </si>
  <si>
    <t>МВ ФИН 1Р4 [МБ ФР: Т+: Корпоративные облигации]</t>
  </si>
  <si>
    <t>4B02-04-00590-R-001P</t>
  </si>
  <si>
    <t>RU000A106540</t>
  </si>
  <si>
    <t>МВ ФИН 1Р4</t>
  </si>
  <si>
    <t>МВ ФИН 1Р5 [МБ ФР: Т+: Корпоративные облигации]</t>
  </si>
  <si>
    <t>4B02-05-00590-R-001P</t>
  </si>
  <si>
    <t>RU000A109908</t>
  </si>
  <si>
    <t>МВ ФИН 1Р5</t>
  </si>
  <si>
    <t>МГКЛ 1P1 [МБ ФР: Т+: Корпоративные облигации]</t>
  </si>
  <si>
    <t>4B02-01-11915-A-001P</t>
  </si>
  <si>
    <t>RU000A104XJ9</t>
  </si>
  <si>
    <t>МГКЛ 1P1</t>
  </si>
  <si>
    <t>МГКЛ 1P2 [МБ ФР: Т+: Корпоративные облигации]</t>
  </si>
  <si>
    <t>4B02-02-11915-A-001P</t>
  </si>
  <si>
    <t>RU000A105PJ2</t>
  </si>
  <si>
    <t>МГКЛ 1P2</t>
  </si>
  <si>
    <t>МГКЛ 1P3 [МБ ФР: Т+: Корпоративные облигации]</t>
  </si>
  <si>
    <t>4B02-03-11915-A-001P</t>
  </si>
  <si>
    <t>RU000A106FW4</t>
  </si>
  <si>
    <t>МГКЛ 1P3</t>
  </si>
  <si>
    <t>МГКЛ 1P4 [МБ ФР: Т+: Корпоративные облигации]</t>
  </si>
  <si>
    <t>4B02-04-11915-A-001P</t>
  </si>
  <si>
    <t>RU000A106MV2</t>
  </si>
  <si>
    <t>МГКЛ 1P4</t>
  </si>
  <si>
    <t>МГКЛ 1P5 [МБ ФР: Т+: Корпоративные облигации]</t>
  </si>
  <si>
    <t>4B02-05-11915-A-001P</t>
  </si>
  <si>
    <t>RU000A107UB5</t>
  </si>
  <si>
    <t>МГКЛ 1P5</t>
  </si>
  <si>
    <t>МГКЛ-1P6 [МБ ФР: Т+: Корпоративные облигации]</t>
  </si>
  <si>
    <t>4B02-06-11915-A-001P</t>
  </si>
  <si>
    <t>RU000A108ZU2</t>
  </si>
  <si>
    <t>МГКЛ-1P6</t>
  </si>
  <si>
    <t>МГор73-об [МБ ФР: Т+: Корпоративные облигации]</t>
  </si>
  <si>
    <t>RU25073MOS0</t>
  </si>
  <si>
    <t>RU000A1030T7</t>
  </si>
  <si>
    <t>МГор73-об</t>
  </si>
  <si>
    <t>МДС кл.А1 [МБ ФР: Т+: Корпоративные облигации]</t>
  </si>
  <si>
    <t>4-01-36473-R</t>
  </si>
  <si>
    <t>RU000A0JVF98</t>
  </si>
  <si>
    <t>МДС кл.А1</t>
  </si>
  <si>
    <t>МДС кл.А2 [МБ ФР: Т+: Корпоративные облигации]</t>
  </si>
  <si>
    <t>4-02-36473-R</t>
  </si>
  <si>
    <t>RU000A0JVLA8</t>
  </si>
  <si>
    <t>МДС кл.А2</t>
  </si>
  <si>
    <t>МЕГАТКТ-01 [МБ ФР: Т+: Корпоративные облигации]</t>
  </si>
  <si>
    <t>4B02-01-00134-L</t>
  </si>
  <si>
    <t>RU000A107PM2</t>
  </si>
  <si>
    <t>МЕГАТКТ-01</t>
  </si>
  <si>
    <t>МЕТАЛИН028 [МБ ФР: Т+: Корпоративные облигации]</t>
  </si>
  <si>
    <t>4-08-25642-H</t>
  </si>
  <si>
    <t>RU000A105A04</t>
  </si>
  <si>
    <t>МЕТАЛИН028</t>
  </si>
  <si>
    <t>МЕТАЛИН1P2 [МБ ФР: Т+: Корпоративные облигации]</t>
  </si>
  <si>
    <t>МЕТАЛИН1P3 [МБ ФР: Т+: Корпоративные облигации]</t>
  </si>
  <si>
    <t>МЕТАЛИН1P4 [МБ ФР: Т+: Корпоративные облигации]</t>
  </si>
  <si>
    <t>4B02-04-25642-H-001P</t>
  </si>
  <si>
    <t>RU000A105W08</t>
  </si>
  <si>
    <t>МЕТАЛИН1P4</t>
  </si>
  <si>
    <t>МЕТАЛИН1P5 [МБ ФР: Т+: Корпоративные облигации]</t>
  </si>
  <si>
    <t>МЕТАЛИН1P6 [МБ ФР: Т+: Корпоративные облигации]</t>
  </si>
  <si>
    <t>4B02-06-25642-H-001P</t>
  </si>
  <si>
    <t>RU000A1079S6</t>
  </si>
  <si>
    <t>МЕТАЛИН1P6</t>
  </si>
  <si>
    <t>МЕТАЛИН1P8 [МБ ФР: Т+: Корпоративные облигации]</t>
  </si>
  <si>
    <t>4B02-08-25642-H-001P</t>
  </si>
  <si>
    <t>RU000A108WY1</t>
  </si>
  <si>
    <t>МЕТАЛИН1P8</t>
  </si>
  <si>
    <t>МЕТАЛИНБ03 [МБ ФР: Т+: Корпоративные облигации]</t>
  </si>
  <si>
    <t>4B02-03-25642-H</t>
  </si>
  <si>
    <t>RU000A100YF3</t>
  </si>
  <si>
    <t>МЕТАЛИНБ03</t>
  </si>
  <si>
    <t>МЕТАЛИНБ04 [МБ ФР: Т+: Корпоративные облигации]</t>
  </si>
  <si>
    <t>4B02-04-25642-H</t>
  </si>
  <si>
    <t>RU000A101EF3</t>
  </si>
  <si>
    <t>МЕТАЛИНБ04</t>
  </si>
  <si>
    <t>МЕТАЛИНБ09 [МБ ФР: Т+: Корпоративные облигации]</t>
  </si>
  <si>
    <t>4B02-09-25642-H</t>
  </si>
  <si>
    <t>RU000A100B73</t>
  </si>
  <si>
    <t>МЕТАЛИНБ09</t>
  </si>
  <si>
    <t>МЕТАЛИНБ10 [МБ ФР: Т+: Корпоративные облигации]</t>
  </si>
  <si>
    <t>4B02-10-25642-H</t>
  </si>
  <si>
    <t>RU000A101R90</t>
  </si>
  <si>
    <t>МЕТАЛИНБ10</t>
  </si>
  <si>
    <t>МИКРАН БО1 [МБ ФР: Т+: Корпоративные облигации]</t>
  </si>
  <si>
    <t>4B02-01-28594-N</t>
  </si>
  <si>
    <t>RU000A106F08</t>
  </si>
  <si>
    <t>МИКРАН БО1</t>
  </si>
  <si>
    <t>МИРРИКО1P1 [МБ ФР: Т+: Корпоративные облигации]</t>
  </si>
  <si>
    <t>4B02-01-00153-L-001P</t>
  </si>
  <si>
    <t>RU000A109221</t>
  </si>
  <si>
    <t>МИРРИКО1P1</t>
  </si>
  <si>
    <t>МКБ 1P4 [МБ ФР: Т+: Корпоративные облигации]</t>
  </si>
  <si>
    <t>4B02-27-01978-B-001P</t>
  </si>
  <si>
    <t>RU000A103GW9</t>
  </si>
  <si>
    <t>МКБ 1P4</t>
  </si>
  <si>
    <t>МКБ ЗО2017 [МБ ФР: Т+: Корпоративные облигации]</t>
  </si>
  <si>
    <t>4-26-01978-B</t>
  </si>
  <si>
    <t>RU000A108LX6</t>
  </si>
  <si>
    <t>МКБ ЗО2017</t>
  </si>
  <si>
    <t>МКБ ЗО2021 [МБ ФР: Т+: Корпоративные облигации]</t>
  </si>
  <si>
    <t>4-27-01978-B</t>
  </si>
  <si>
    <t>RU000A108L24</t>
  </si>
  <si>
    <t>МКБ ЗО2021</t>
  </si>
  <si>
    <t>МКБ ЗО2027 [МБ ФР: Т+: Корпоративные облигации]</t>
  </si>
  <si>
    <t>4-25-01978-B</t>
  </si>
  <si>
    <t>RU000A108NQ6</t>
  </si>
  <si>
    <t>МКБ ЗО2027</t>
  </si>
  <si>
    <t>МКБ ЗО25-1 [МБ ФР: Т+: Корпоративные облигации]</t>
  </si>
  <si>
    <t>4-24-01978-B</t>
  </si>
  <si>
    <t>RU000A108RN4</t>
  </si>
  <si>
    <t>МКБ ЗО25-1</t>
  </si>
  <si>
    <t>МКБ ЗО25-2 [МБ ФР: Т+: Корпоративные облигации]</t>
  </si>
  <si>
    <t>4-21-01978-B</t>
  </si>
  <si>
    <t>RU000A1086M4</t>
  </si>
  <si>
    <t>МКБ ЗО25-2</t>
  </si>
  <si>
    <t>МКБ ЗО26-1 [МБ ФР: Т+: Корпоративные облигации]</t>
  </si>
  <si>
    <t>4-22-01978-B</t>
  </si>
  <si>
    <t>RU000A107R03</t>
  </si>
  <si>
    <t>МКБ ЗО26-1</t>
  </si>
  <si>
    <t>МКБ ЗО26-2 [МБ ФР: Т+: Корпоративные облигации]</t>
  </si>
  <si>
    <t>4-23-01978-B</t>
  </si>
  <si>
    <t>RU000A107VV1</t>
  </si>
  <si>
    <t>МКБ ЗО26-2</t>
  </si>
  <si>
    <t>МКЛизинг1 [МБ ФР: Т+: Корпоративные облигации]</t>
  </si>
  <si>
    <t>4B02-01-00421-R</t>
  </si>
  <si>
    <t>RU000A107720</t>
  </si>
  <si>
    <t>МКЛизинг1</t>
  </si>
  <si>
    <t>ММЗ001P-01 [МБ ФР: Т+: Корпоративные облигации]</t>
  </si>
  <si>
    <t>4B02-01-00799-R-001P</t>
  </si>
  <si>
    <t>RU000A108YZ4</t>
  </si>
  <si>
    <t>ММЗ001P-01</t>
  </si>
  <si>
    <t>ММЦБ П01-1 [МБ ФР: Т+: Корпоративные облигации]</t>
  </si>
  <si>
    <t>4B02-01-85932-H-001P</t>
  </si>
  <si>
    <t>RU000A1001T8</t>
  </si>
  <si>
    <t>ММЦБ П01-1</t>
  </si>
  <si>
    <t>ММЦБ П01-2 [МБ ФР: Т+: Корпоративные облигации]</t>
  </si>
  <si>
    <t>4B02-02-85932-H-001P</t>
  </si>
  <si>
    <t>RU000A105054</t>
  </si>
  <si>
    <t>ММЦБ П01-2</t>
  </si>
  <si>
    <t>МОНОП 1P01 [МБ ФР: Т+: Корпоративные облигации]</t>
  </si>
  <si>
    <t>4B02-01-05437-D-001P</t>
  </si>
  <si>
    <t>RU000A109S83</t>
  </si>
  <si>
    <t>МОНОП 1P01</t>
  </si>
  <si>
    <t>МОСМСП2 03 [МБ ФР: Т+: Корпоративные облигации]</t>
  </si>
  <si>
    <t>4-03-00504-R</t>
  </si>
  <si>
    <t>RU000A104YR0</t>
  </si>
  <si>
    <t>МОСМСП2 03</t>
  </si>
  <si>
    <t>МОСМСП6 02 [МБ ФР: Т+: Корпоративные облигации]</t>
  </si>
  <si>
    <t>4-02-00569-R</t>
  </si>
  <si>
    <t>RU000A107DR7</t>
  </si>
  <si>
    <t>МОСМСП6 02</t>
  </si>
  <si>
    <t>МОСТРЕСТ 7 [МБ ФР: Т+: Корпоративные облигации]</t>
  </si>
  <si>
    <t>4-07-02472-A</t>
  </si>
  <si>
    <t>RU000A0JWN63</t>
  </si>
  <si>
    <t>МОСТРЕСТ 7</t>
  </si>
  <si>
    <t>МОСТРЕСТ 8 [МБ ФР: Т+: Корпоративные облигации]</t>
  </si>
  <si>
    <t>4-08-02472-A</t>
  </si>
  <si>
    <t>RU000A0JWN89</t>
  </si>
  <si>
    <t>МОСТРЕСТ 8</t>
  </si>
  <si>
    <t>МОЭ 1Р01 [МБ ФР: Т+: Корпоративные облигации]</t>
  </si>
  <si>
    <t>4B02-01-11394-A-001P</t>
  </si>
  <si>
    <t>RU000A1099E4</t>
  </si>
  <si>
    <t>МОЭ 1Р01</t>
  </si>
  <si>
    <t>МОЭК БО1P1 [МБ ФР: Т+: Корпоративные облигации]</t>
  </si>
  <si>
    <t>4B02-01-55039-E-001P</t>
  </si>
  <si>
    <t>RU000A1005H4</t>
  </si>
  <si>
    <t>МОЭК БО1P1</t>
  </si>
  <si>
    <t>МОЭК БО1P2 [МБ ФР: Т+: Корпоративные облигации]</t>
  </si>
  <si>
    <t>4B02-02-55039-E-001P</t>
  </si>
  <si>
    <t>RU000A100AN7</t>
  </si>
  <si>
    <t>МОЭК БО1P2</t>
  </si>
  <si>
    <t>МОЭК БО1P3 [МБ ФР: Т+: Корпоративные облигации]</t>
  </si>
  <si>
    <t>4B02-03-55039-E-001P</t>
  </si>
  <si>
    <t>RU000A101228</t>
  </si>
  <si>
    <t>МОЭК БО1P3</t>
  </si>
  <si>
    <t>МОЭК БО1P4 [МБ ФР: Т+: Корпоративные облигации]</t>
  </si>
  <si>
    <t>4B02-04-55039-E-001P</t>
  </si>
  <si>
    <t>RU000A101XS6</t>
  </si>
  <si>
    <t>МОЭК БО1P4</t>
  </si>
  <si>
    <t>МОЭК БО1P5 [МБ ФР: Т+: Корпоративные облигации]</t>
  </si>
  <si>
    <t>4B02-05-55039-E-001P</t>
  </si>
  <si>
    <t>RU000A105NK5</t>
  </si>
  <si>
    <t>МОЭК БО1P5</t>
  </si>
  <si>
    <t>МСБЛиз2P05 [МБ ФР: Т+: Корпоративные облигации]</t>
  </si>
  <si>
    <t>4B02-05-24004-R-001P</t>
  </si>
  <si>
    <t>RU000A103VD8</t>
  </si>
  <si>
    <t>МСБЛиз2P05</t>
  </si>
  <si>
    <t>МСБЛиз3P01 [МБ ФР: Т+: Корпоративные облигации]</t>
  </si>
  <si>
    <t>4B02-01-24004-R-002P</t>
  </si>
  <si>
    <t>RU000A106D18</t>
  </si>
  <si>
    <t>МСБЛиз3P01</t>
  </si>
  <si>
    <t>МСБЛиз3P02 [МБ ФР: Т+: Корпоративные облигации]</t>
  </si>
  <si>
    <t>4B02-02-24004-R-002P</t>
  </si>
  <si>
    <t>RU000A107C91</t>
  </si>
  <si>
    <t>МСБЛиз3P02</t>
  </si>
  <si>
    <t>МСБЛиз3P03 [МБ ФР: Т+: Корпоративные облигации]</t>
  </si>
  <si>
    <t>4B02-03-24004-R-002P</t>
  </si>
  <si>
    <t>RU000A108AJ8</t>
  </si>
  <si>
    <t>МСБЛиз3P03</t>
  </si>
  <si>
    <t>МСПБанк1P1 [МБ ФР: Т+: Корпоративные облигации]</t>
  </si>
  <si>
    <t>4B02-01-03340-B-001P</t>
  </si>
  <si>
    <t>RU000A108RM6</t>
  </si>
  <si>
    <t>МСПБанк1P1</t>
  </si>
  <si>
    <t>МСПБанк1P2 [МБ ФР: Т+: Корпоративные облигации]</t>
  </si>
  <si>
    <t>4B02-02-03340-B-001P</t>
  </si>
  <si>
    <t>RU000A109KV0</t>
  </si>
  <si>
    <t>МСПБанк1P2</t>
  </si>
  <si>
    <t>МСПБанкС01 [МБ ФР: Т+: Корпоративные облигации]</t>
  </si>
  <si>
    <t>40303340B</t>
  </si>
  <si>
    <t>RU000A102HA5</t>
  </si>
  <si>
    <t>МСПБанкС01</t>
  </si>
  <si>
    <t>МТС 1P-06 [МБ ФР: Т+: Корпоративные облигации]</t>
  </si>
  <si>
    <t>4B02-06-04715-A-001P</t>
  </si>
  <si>
    <t>RU000A0ZYWY5</t>
  </si>
  <si>
    <t>МТС 1P-06</t>
  </si>
  <si>
    <t>МТС 1P-10 [МБ ФР: Т+: Корпоративные облигации]</t>
  </si>
  <si>
    <t>4B02-10-04715-A-001P</t>
  </si>
  <si>
    <t>RU000A100HU7</t>
  </si>
  <si>
    <t>МТС 1P-10</t>
  </si>
  <si>
    <t>МТС 1P-11 [МБ ФР: Т+: Корпоративные облигации]</t>
  </si>
  <si>
    <t>4B02-11-04715-A-001P</t>
  </si>
  <si>
    <t>RU000A100L55</t>
  </si>
  <si>
    <t>МТС 1P-11</t>
  </si>
  <si>
    <t>МТС 1P-14 [МБ ФР: Т+: Корпоративные облигации]</t>
  </si>
  <si>
    <t>4B02-14-04715-A-001P</t>
  </si>
  <si>
    <t>RU000A101FH6</t>
  </si>
  <si>
    <t>МТС 1P-14</t>
  </si>
  <si>
    <t>МТС 1P-15 [МБ ФР: Т+: Корпоративные облигации]</t>
  </si>
  <si>
    <t>4B02-15-04715-A-001P</t>
  </si>
  <si>
    <t>RU000A101NG2</t>
  </si>
  <si>
    <t>МТС 1P-15</t>
  </si>
  <si>
    <t>МТС 1P-16 [МБ ФР: Т+: Корпоративные облигации]</t>
  </si>
  <si>
    <t>4B02-16-04715-A-001P</t>
  </si>
  <si>
    <t>RU000A101NH0</t>
  </si>
  <si>
    <t>МТС 1P-16</t>
  </si>
  <si>
    <t>МТС 1P-19 [МБ ФР: Т+: Корпоративные облигации]</t>
  </si>
  <si>
    <t>4B02-19-04715-A-001P</t>
  </si>
  <si>
    <t>RU000A104T04</t>
  </si>
  <si>
    <t>МТС 1P-19</t>
  </si>
  <si>
    <t>МТС 1P-20 [МБ ФР: Т+: Корпоративные облигации]</t>
  </si>
  <si>
    <t>4B02-20-04715-A-001P</t>
  </si>
  <si>
    <t>RU000A104SU6</t>
  </si>
  <si>
    <t>МТС 1P-20</t>
  </si>
  <si>
    <t>МТС 1P-21 [МБ ФР: Т+: Корпоративные облигации]</t>
  </si>
  <si>
    <t>4B02-21-04715-A-001P</t>
  </si>
  <si>
    <t>RU000A104WJ1</t>
  </si>
  <si>
    <t>МТС 1P-21</t>
  </si>
  <si>
    <t>МТС 1P-23 [МБ ФР: Т+: Корпоративные облигации]</t>
  </si>
  <si>
    <t>4B02-23-04715-A-001P</t>
  </si>
  <si>
    <t>RU000A105NA6</t>
  </si>
  <si>
    <t>МТС 1P-23</t>
  </si>
  <si>
    <t>МТС 1P-24 [МБ ФР: Т+: Корпоративные облигации]</t>
  </si>
  <si>
    <t>4B02-24-04715-A-001P</t>
  </si>
  <si>
    <t>RU000A105ZP8</t>
  </si>
  <si>
    <t>МТС 1P-24</t>
  </si>
  <si>
    <t>МТС 1P-25 [МБ ФР: Т+: Корпоративные облигации]</t>
  </si>
  <si>
    <t>4B02-25-04715-A-001P</t>
  </si>
  <si>
    <t>RU000A106BQ5</t>
  </si>
  <si>
    <t>МТС 1P-25</t>
  </si>
  <si>
    <t>МТС 1P-27 [МБ ФР: Т+: Корпоративные облигации]</t>
  </si>
  <si>
    <t>4B02-27-04715-A-001P</t>
  </si>
  <si>
    <t>RU000A109SK6</t>
  </si>
  <si>
    <t>МТС 1P-27</t>
  </si>
  <si>
    <t>МТС 2P-01 [МБ ФР: Т+: Корпоративные облигации]</t>
  </si>
  <si>
    <t>4B02-01-04715-A-002P</t>
  </si>
  <si>
    <t>RU000A1075E4</t>
  </si>
  <si>
    <t>МТС 2P-01</t>
  </si>
  <si>
    <t>МТС 2P-02 [МБ ФР: Т+: Корпоративные облигации]</t>
  </si>
  <si>
    <t>4B02-02-04715-A-002P</t>
  </si>
  <si>
    <t>RU000A1078S8</t>
  </si>
  <si>
    <t>МТС 2P-02</t>
  </si>
  <si>
    <t>МТС 2P-04 [МБ ФР: Т+: Корпоративные облигации]</t>
  </si>
  <si>
    <t>4B02-04-04715-A-002P</t>
  </si>
  <si>
    <t>RU000A1083U4</t>
  </si>
  <si>
    <t>МТС 2P-04</t>
  </si>
  <si>
    <t>МТС 2P-05 [МБ ФР: Т+: Корпоративные облигации]</t>
  </si>
  <si>
    <t>4B02-05-04715-A-002P</t>
  </si>
  <si>
    <t>RU000A1083W0</t>
  </si>
  <si>
    <t>МТС 2P-05</t>
  </si>
  <si>
    <t>МТС 2P-06 [МБ ФР: Т+: Корпоративные облигации]</t>
  </si>
  <si>
    <t>4B02-06-04715-A-002P</t>
  </si>
  <si>
    <t>RU000A109312</t>
  </si>
  <si>
    <t>МТС 2P-06</t>
  </si>
  <si>
    <t>МТС БО-02 [МБ ФР: Т+: Корпоративные облигации]</t>
  </si>
  <si>
    <t>4B02-02-04715-A</t>
  </si>
  <si>
    <t>RU000A0JWRV9</t>
  </si>
  <si>
    <t>МТС БО-02</t>
  </si>
  <si>
    <t>МТС-Банк02 [МБ ФР: Т+: Корпоративные облигации]</t>
  </si>
  <si>
    <t>4B02-02-02268-B-001P</t>
  </si>
  <si>
    <t>RU000A1051U1</t>
  </si>
  <si>
    <t>МТС-Банк02</t>
  </si>
  <si>
    <t>МТС-Банк03 [МБ ФР: Т+: Корпоративные облигации]</t>
  </si>
  <si>
    <t>4B02-03-02268-B-001P</t>
  </si>
  <si>
    <t>RU000A107456</t>
  </si>
  <si>
    <t>МТС-Банк03</t>
  </si>
  <si>
    <t>МЦП-01 [МБ ФР: Т+: Корпоративные облигации]</t>
  </si>
  <si>
    <t>4B02-01-00161-L</t>
  </si>
  <si>
    <t>RU000A109MH5</t>
  </si>
  <si>
    <t>МЦП-01</t>
  </si>
  <si>
    <t>Магнит4P01 [МБ ФР: Т+: Корпоративные облигации]</t>
  </si>
  <si>
    <t>4B02-01-60525-P-004P</t>
  </si>
  <si>
    <t>RU000A105KQ8</t>
  </si>
  <si>
    <t>Магнит4P01</t>
  </si>
  <si>
    <t>Магнит4P03 [МБ ФР: Т+: Корпоративные облигации]</t>
  </si>
  <si>
    <t>4B02-02-60525-P-004P</t>
  </si>
  <si>
    <t>RU000A105TP1</t>
  </si>
  <si>
    <t>Магнит4P03</t>
  </si>
  <si>
    <t>Магнит4P06 [МБ ФР: Т+: Корпоративные облигации]</t>
  </si>
  <si>
    <t>4B02-06-60525-P-004P</t>
  </si>
  <si>
    <t>RU000A1090K0</t>
  </si>
  <si>
    <t>Магнит4P06</t>
  </si>
  <si>
    <t>Маныч01 [МБ ФР: Т+: Корпоративные облигации]</t>
  </si>
  <si>
    <t>4B02-01-00031-L</t>
  </si>
  <si>
    <t>RU000A1032D7</t>
  </si>
  <si>
    <t>Маныч01</t>
  </si>
  <si>
    <t>Маныч02 [МБ ФР: Т+: Корпоративные облигации]</t>
  </si>
  <si>
    <t>4-01-00031-L</t>
  </si>
  <si>
    <t>RU000A103K20</t>
  </si>
  <si>
    <t>Маныч02</t>
  </si>
  <si>
    <t>МгдОбл2022 [МБ ФР: Т+: Корпоративные облигации]</t>
  </si>
  <si>
    <t>RU34002MGN0</t>
  </si>
  <si>
    <t>RU000A105NT6</t>
  </si>
  <si>
    <t>МгдОбл2022</t>
  </si>
  <si>
    <t>МгдОбл2023 [МБ ФР: Т+: Корпоративные облигации]</t>
  </si>
  <si>
    <t>RU34003MGN0</t>
  </si>
  <si>
    <t>RU000A106YE3</t>
  </si>
  <si>
    <t>МгдОбл2023</t>
  </si>
  <si>
    <t>Мегафон2P2 [МБ ФР: Т+: Корпоративные облигации]</t>
  </si>
  <si>
    <t>4B02-02-00822-J-002P</t>
  </si>
  <si>
    <t>RU000A1009A1</t>
  </si>
  <si>
    <t>Мегафон2P2</t>
  </si>
  <si>
    <t>Мегафон2P3 [МБ ФР: Т+: Корпоративные облигации]</t>
  </si>
  <si>
    <t>4B02-03-00822-J-002P</t>
  </si>
  <si>
    <t>RU000A1065S5</t>
  </si>
  <si>
    <t>Мегафон2P3</t>
  </si>
  <si>
    <t>Мегафон2P4 [МБ ФР: Т+: Корпоративные облигации]</t>
  </si>
  <si>
    <t>4B02-04-00822-J-002P</t>
  </si>
  <si>
    <t>RU000A108QA3</t>
  </si>
  <si>
    <t>Мегафон2P4</t>
  </si>
  <si>
    <t>Мегафон2P5 [МБ ФР: Т+: Корпоративные облигации]</t>
  </si>
  <si>
    <t>4B02-05-00822-J-002P</t>
  </si>
  <si>
    <t>RU000A108Q94</t>
  </si>
  <si>
    <t>Мегафон2P5</t>
  </si>
  <si>
    <t>Мегафон2P6 [МБ ФР: Т+: Корпоративные облигации]</t>
  </si>
  <si>
    <t>4B02-06-00822-J-002P</t>
  </si>
  <si>
    <t>RU000A1094E5</t>
  </si>
  <si>
    <t>Мегафон2P6</t>
  </si>
  <si>
    <t>Мегафон2P7 [МБ ФР: Т+: Корпоративные облигации]</t>
  </si>
  <si>
    <t>4B02-07-00822-J-002P</t>
  </si>
  <si>
    <t>RU000A109SZ4</t>
  </si>
  <si>
    <t>Мегафон2P7</t>
  </si>
  <si>
    <t>Медси 1P01 [МБ ФР: Т+: Корпоративные облигации]</t>
  </si>
  <si>
    <t>4B02-01-62024-H-001P</t>
  </si>
  <si>
    <t>RU000A105YA3</t>
  </si>
  <si>
    <t>Медси 1P01</t>
  </si>
  <si>
    <t>Медси 1P02 [МБ ФР: Т+: Корпоративные облигации]</t>
  </si>
  <si>
    <t>4B02-02-62024-H-001P</t>
  </si>
  <si>
    <t>RU000A105YB1</t>
  </si>
  <si>
    <t>Медси 1P02</t>
  </si>
  <si>
    <t>Медси 1P03 [МБ ФР: Т+: Корпоративные облигации]</t>
  </si>
  <si>
    <t>4B02-03-62024-H-001P</t>
  </si>
  <si>
    <t>RU000A106K27</t>
  </si>
  <si>
    <t>Медси 1P03</t>
  </si>
  <si>
    <t>МежИнБ01P1 [МБ ФР: Т+: Корпоративные облигации]</t>
  </si>
  <si>
    <t>RU000A0JXT58</t>
  </si>
  <si>
    <t>МежИнБ01P1</t>
  </si>
  <si>
    <t>МежИнБ01P2 [МБ ФР: Т+: Корпоративные облигации]</t>
  </si>
  <si>
    <t>RU000A101LM4</t>
  </si>
  <si>
    <t>МежИнБ01P2</t>
  </si>
  <si>
    <t>МежИнБ01P3 [МБ ФР: Т+: Корпоративные облигации]</t>
  </si>
  <si>
    <t>RU000A101LN2</t>
  </si>
  <si>
    <t>МежИнБ01P3</t>
  </si>
  <si>
    <t>МежИнБанк2 [МБ ФР: Т+: Корпоративные облигации]</t>
  </si>
  <si>
    <t>RU000A0JUG72</t>
  </si>
  <si>
    <t>МежИнБанк2</t>
  </si>
  <si>
    <t>МежИнБанк4 [МБ ФР: Т+: Корпоративные облигации]</t>
  </si>
  <si>
    <t>RU000A0JUG98</t>
  </si>
  <si>
    <t>МежИнБанк4</t>
  </si>
  <si>
    <t>МетИнвБ С1 [МБ ФР: Т+: Корпоративные облигации]</t>
  </si>
  <si>
    <t>МосКред 15 [МБ ФР: Т+: Корпоративные облигации]</t>
  </si>
  <si>
    <t>41501978B</t>
  </si>
  <si>
    <t>RU000A0ZZE87</t>
  </si>
  <si>
    <t>МосКред 15</t>
  </si>
  <si>
    <t>МосОб34013 [МБ ФР: Т+: Корпоративные облигации]</t>
  </si>
  <si>
    <t>RU34013MOO0</t>
  </si>
  <si>
    <t>RU000A101988</t>
  </si>
  <si>
    <t>МосОб34013</t>
  </si>
  <si>
    <t>МосОб34014 [МБ ФР: Т+: Корпоративные облигации]</t>
  </si>
  <si>
    <t>RU34014MOO0</t>
  </si>
  <si>
    <t>RU000A101WL3</t>
  </si>
  <si>
    <t>МосОб34014</t>
  </si>
  <si>
    <t>МосОб35015 [МБ ФР: Т+: Корпоративные облигации]</t>
  </si>
  <si>
    <t>RU35015MOO0</t>
  </si>
  <si>
    <t>RU000A102CR0</t>
  </si>
  <si>
    <t>МосОб35015</t>
  </si>
  <si>
    <t>МосОб35016 [МБ ФР: Т+: Корпоративные облигации]</t>
  </si>
  <si>
    <t>RU35016MOO0</t>
  </si>
  <si>
    <t>RU000A102G35</t>
  </si>
  <si>
    <t>МосОб35016</t>
  </si>
  <si>
    <t>МоторТ1Р03 [МБ ФР: Т+: Корпоративные облигации]</t>
  </si>
  <si>
    <t>4B02-03-00483-R-001P</t>
  </si>
  <si>
    <t>RU000A103U69</t>
  </si>
  <si>
    <t>МоторТ1Р03</t>
  </si>
  <si>
    <t>МоторТ1Р04 [МБ ФР: Т+: Корпоративные облигации]</t>
  </si>
  <si>
    <t>4B02-04-00483-R-001P</t>
  </si>
  <si>
    <t>RU000A107TD3</t>
  </si>
  <si>
    <t>МоторТ1Р04</t>
  </si>
  <si>
    <t>МоторТ1Р05 [МБ ФР: Т+: Корпоративные облигации]</t>
  </si>
  <si>
    <t>4B02-05-00483-R-001P</t>
  </si>
  <si>
    <t>RU000A108KV2</t>
  </si>
  <si>
    <t>МоторТ1Р05</t>
  </si>
  <si>
    <t>МэйлБ1Р1 [МБ ФР: Т+: Корпоративные облигации]</t>
  </si>
  <si>
    <t>4B02-01-00566-R-001P</t>
  </si>
  <si>
    <t>RU000A103QK3</t>
  </si>
  <si>
    <t>МэйлБ1Р1</t>
  </si>
  <si>
    <t>МэйлЗО25 [МБ ФР: Т+: Корпоративные облигации]</t>
  </si>
  <si>
    <t>4-01-00566-R</t>
  </si>
  <si>
    <t>RU000A106YZ8</t>
  </si>
  <si>
    <t>МэйлЗО25</t>
  </si>
  <si>
    <t>НЗРМ БО-01 [МБ ФР: Т+: Корпоративные облигации]</t>
  </si>
  <si>
    <t>4B02-01-00418-R</t>
  </si>
  <si>
    <t>RU000A104EP6</t>
  </si>
  <si>
    <t>НЗРМ БО-01</t>
  </si>
  <si>
    <t>НКК 11 [МБ ФР: Т+: Корпоративные облигации]</t>
  </si>
  <si>
    <t>4-11-15630-A</t>
  </si>
  <si>
    <t>RU000A1021F5</t>
  </si>
  <si>
    <t>НКК 11</t>
  </si>
  <si>
    <t>НКК 12 [МБ ФР: Т+: Корпоративные облигации]</t>
  </si>
  <si>
    <t>4-12-15630-A</t>
  </si>
  <si>
    <t>RU000A102RB2</t>
  </si>
  <si>
    <t>НКК 12</t>
  </si>
  <si>
    <t>НКК 13 [МБ ФР: Т+: Корпоративные облигации]</t>
  </si>
  <si>
    <t>4-13-15630-A</t>
  </si>
  <si>
    <t>RU000A105591</t>
  </si>
  <si>
    <t>НКК 13</t>
  </si>
  <si>
    <t>Для юр.лиц - квал.инвесторов</t>
  </si>
  <si>
    <t>НКНХ 1Р-01 [МБ ФР: Т+: Корпоративные облигации]</t>
  </si>
  <si>
    <t>4B02-01-00096-A-001P</t>
  </si>
  <si>
    <t>RU000A0ZZZ17</t>
  </si>
  <si>
    <t>НКНХ 1Р-01</t>
  </si>
  <si>
    <t>НКНХ 1Р-02 [МБ ФР: Т+: Корпоративные облигации]</t>
  </si>
  <si>
    <t>4B02-02-00096-A-001P</t>
  </si>
  <si>
    <t>RU000A103QQ0</t>
  </si>
  <si>
    <t>НКНХ 1Р-02</t>
  </si>
  <si>
    <t>НКНХ 1Р-03 [МБ ФР: Т+: Корпоративные облигации]</t>
  </si>
  <si>
    <t>4B02-03-00096-A-001P</t>
  </si>
  <si>
    <t>RU000A109KW8</t>
  </si>
  <si>
    <t>НКНХ 1Р-03</t>
  </si>
  <si>
    <t>НЛМКЗО26-Д [МБ ФР: Т+: Корпоративные облигации]</t>
  </si>
  <si>
    <t>4-13-00102-A</t>
  </si>
  <si>
    <t>RU000A107EL8</t>
  </si>
  <si>
    <t>НЛМКЗО26-Д</t>
  </si>
  <si>
    <t>НЛМКЗО26-Е [МБ ФР: Т+: Корпоративные облигации]</t>
  </si>
  <si>
    <t>4-12-00102-A</t>
  </si>
  <si>
    <t>RU000A108PR9</t>
  </si>
  <si>
    <t>НЛМКЗО26-Е</t>
  </si>
  <si>
    <t>НОВАТЭК1Р1 [МБ ФР: Т+: Корпоративные облигации]</t>
  </si>
  <si>
    <t>4B02-01-00268-E-001P</t>
  </si>
  <si>
    <t>RU000A106938</t>
  </si>
  <si>
    <t>НОВАТЭК1Р1</t>
  </si>
  <si>
    <t>НОВАТЭК1Р2 [МБ ФР: Т+: Корпоративные облигации]</t>
  </si>
  <si>
    <t>4B02-02-00268-E-001P</t>
  </si>
  <si>
    <t>RU000A108G70</t>
  </si>
  <si>
    <t>НОВАТЭК1Р2</t>
  </si>
  <si>
    <t>Неолизинг1 [МБ ФР: Т+: Корпоративные облигации]</t>
  </si>
  <si>
    <t>4B02-01-00063-L</t>
  </si>
  <si>
    <t>RU000A106PY9</t>
  </si>
  <si>
    <t>Неолизинг1</t>
  </si>
  <si>
    <t>НижгорОб14 [МБ ФР: Т+: Корпоративные облигации]</t>
  </si>
  <si>
    <t>RU35014NJG0</t>
  </si>
  <si>
    <t>RU000A101665</t>
  </si>
  <si>
    <t>НижгорОб14</t>
  </si>
  <si>
    <t>НижгорОб15 [МБ ФР: Т+: Корпоративные облигации]</t>
  </si>
  <si>
    <t>RU35015NJG0</t>
  </si>
  <si>
    <t>RU000A102DS6</t>
  </si>
  <si>
    <t>НижгорОб15</t>
  </si>
  <si>
    <t>НижгорОб16 [МБ ФР: Т+: Корпоративные облигации]</t>
  </si>
  <si>
    <t>RU35016NJG0</t>
  </si>
  <si>
    <t>RU000A1043K9</t>
  </si>
  <si>
    <t>НижгорОб16</t>
  </si>
  <si>
    <t>Нижегород1 [МБ ФР: Т+: Корпоративные облигации]</t>
  </si>
  <si>
    <t>4B02-01-00152-L</t>
  </si>
  <si>
    <t>RU000A108LL1</t>
  </si>
  <si>
    <t>Нижегород1</t>
  </si>
  <si>
    <t>НовТехнБ1 [МБ ФР: Т+: Корпоративные облигации]</t>
  </si>
  <si>
    <t>4B02-01-00069-L</t>
  </si>
  <si>
    <t>RU000A105DL4</t>
  </si>
  <si>
    <t>НовТехнБ1</t>
  </si>
  <si>
    <t>НовТехнБ2 [МБ ФР: Т+: Корпоративные облигации]</t>
  </si>
  <si>
    <t>4B02-02-00069-L</t>
  </si>
  <si>
    <t>RU000A106PW3</t>
  </si>
  <si>
    <t>НовТехнБ2</t>
  </si>
  <si>
    <t>НовТехнБ3 [МБ ФР: Т+: Корпоративные облигации]</t>
  </si>
  <si>
    <t>4B02-03-00069-L</t>
  </si>
  <si>
    <t>RU000A1082W2</t>
  </si>
  <si>
    <t>НовТехнБ3</t>
  </si>
  <si>
    <t>НоваБевБП4 [МБ ФР: Т+: Корпоративные облигации]</t>
  </si>
  <si>
    <t>4B02-02-55052-E-002P</t>
  </si>
  <si>
    <t>НоваБевБП5 [МБ ФР: Т+: Корпоративные облигации]</t>
  </si>
  <si>
    <t>4B02-03-55052-E-002P</t>
  </si>
  <si>
    <t>RU000A104Y15</t>
  </si>
  <si>
    <t>НоваБевБП5</t>
  </si>
  <si>
    <t>НоваБевБП6 [МБ ФР: Т+: Корпоративные облигации]</t>
  </si>
  <si>
    <t>4B02-04-55052-E-002P</t>
  </si>
  <si>
    <t>RU000A108CA3</t>
  </si>
  <si>
    <t>НоваБевБП6</t>
  </si>
  <si>
    <t>НоваБевБП7 [МБ ФР: Т+: Корпоративные облигации]</t>
  </si>
  <si>
    <t>4B02-05-55052-E-002P</t>
  </si>
  <si>
    <t>RU000A1099A2</t>
  </si>
  <si>
    <t>НоваБевБП7</t>
  </si>
  <si>
    <t>Новосиб 21 [МБ ФР: Т+: Корпоративные облигации]</t>
  </si>
  <si>
    <t>RU34021ANO0</t>
  </si>
  <si>
    <t>RU000A102895</t>
  </si>
  <si>
    <t>Новосиб 21</t>
  </si>
  <si>
    <t>Новосиб 22 [МБ ФР: Т+: Корпоративные облигации]</t>
  </si>
  <si>
    <t>RU35022ANO0</t>
  </si>
  <si>
    <t>RU000A1043E2</t>
  </si>
  <si>
    <t>Новосиб 22</t>
  </si>
  <si>
    <t>Новосиб 23 [МБ ФР: Т+: Корпоративные облигации]</t>
  </si>
  <si>
    <t>RU35023ANO0</t>
  </si>
  <si>
    <t>RU000A107B19</t>
  </si>
  <si>
    <t>Новосиб 23</t>
  </si>
  <si>
    <t>Новосиб 24 [МБ ФР: Т+: Корпоративные облигации]</t>
  </si>
  <si>
    <t>RU34024ANO0</t>
  </si>
  <si>
    <t>RU000A1099S4</t>
  </si>
  <si>
    <t>Новосиб 24</t>
  </si>
  <si>
    <t>Новосиб10 [МБ ФР: Т+: Корпоративные облигации]</t>
  </si>
  <si>
    <t>RU35010NSB1</t>
  </si>
  <si>
    <t>RU000A100WF7</t>
  </si>
  <si>
    <t>Новосиб10</t>
  </si>
  <si>
    <t>Новотр 1Р2 [МБ ФР: Т+: Корпоративные облигации]</t>
  </si>
  <si>
    <t>4B02-02-12414-F-001P</t>
  </si>
  <si>
    <t>RU000A103133</t>
  </si>
  <si>
    <t>Новотр 1Р2</t>
  </si>
  <si>
    <t>Новотр 1Р3 [МБ ФР: Т+: Корпоративные облигации]</t>
  </si>
  <si>
    <t>4B02-03-12414-F-001P</t>
  </si>
  <si>
    <t>RU000A105CM4</t>
  </si>
  <si>
    <t>Новотр 1Р3</t>
  </si>
  <si>
    <t>Новотр 1Р4 [МБ ФР: Т+: Корпоративные облигации]</t>
  </si>
  <si>
    <t>4B02-04-12414-F-001P</t>
  </si>
  <si>
    <t>RU000A106SP1</t>
  </si>
  <si>
    <t>Новотр 1Р4</t>
  </si>
  <si>
    <t>Новотр 1Р5 [МБ ФР: Т+: Корпоративные облигации]</t>
  </si>
  <si>
    <t>4B02-05-12414-F-001P</t>
  </si>
  <si>
    <t>RU000A107W06</t>
  </si>
  <si>
    <t>Новотр 1Р5</t>
  </si>
  <si>
    <t>Новсиб 8об [МБ ФР: Т+: Корпоративные облигации]</t>
  </si>
  <si>
    <t>RU35008NSB1</t>
  </si>
  <si>
    <t>RU000A0JWHW8</t>
  </si>
  <si>
    <t>Новсиб 8об</t>
  </si>
  <si>
    <t>Новсиб 9об [МБ ФР: Т+: Корпоративные облигации]</t>
  </si>
  <si>
    <t>RU35009NSB1</t>
  </si>
  <si>
    <t>RU000A0ZYH93</t>
  </si>
  <si>
    <t>Новсиб 9об</t>
  </si>
  <si>
    <t>НорНик Б10 [МБ ФР: Т+: Корпоративные облигации]</t>
  </si>
  <si>
    <t>4B02-10-40155-F</t>
  </si>
  <si>
    <t>RU000A109TW9</t>
  </si>
  <si>
    <t>НорНик Б10</t>
  </si>
  <si>
    <t>НорНик БО9 [МБ ФР: Т+: Корпоративные облигации]</t>
  </si>
  <si>
    <t>4B02-09-40155-F</t>
  </si>
  <si>
    <t>RU000A1069N8</t>
  </si>
  <si>
    <t>НорНик БО9</t>
  </si>
  <si>
    <t>НорНикБ1P2 [МБ ФР: Т+: Корпоративные облигации]</t>
  </si>
  <si>
    <t>4B02-02-40155-F-001P</t>
  </si>
  <si>
    <t>RU000A105A61</t>
  </si>
  <si>
    <t>НорНикБ1P2</t>
  </si>
  <si>
    <t>НорНикБ1P5 [МБ ФР: Т+: Корпоративные облигации]</t>
  </si>
  <si>
    <t>НорНикБ1P6 [МБ ФР: Т+: Корпоративные облигации]</t>
  </si>
  <si>
    <t>НорНикБ1P7 [МБ ФР: Т+: Корпоративные облигации]</t>
  </si>
  <si>
    <t>4B02-07-40155-F-001P</t>
  </si>
  <si>
    <t>RU000A1083A6</t>
  </si>
  <si>
    <t>НорНикБ1P7</t>
  </si>
  <si>
    <t>НорНикЗ25Д [МБ ФР: Т+: Корпоративные облигации]</t>
  </si>
  <si>
    <t>4-05-40155-F</t>
  </si>
  <si>
    <t>RU000A107BL4</t>
  </si>
  <si>
    <t>НорНикЗ25Д</t>
  </si>
  <si>
    <t>НорНикЗ26Д [МБ ФР: Т+: Корпоративные облигации]</t>
  </si>
  <si>
    <t>4-06-40155-F</t>
  </si>
  <si>
    <t>RU000A107C67</t>
  </si>
  <si>
    <t>НорНикЗ26Д</t>
  </si>
  <si>
    <t>НэппиБО01 [МБ ФР: Т+: Корпоративные облигации]</t>
  </si>
  <si>
    <t>4B02-01-00169-L</t>
  </si>
  <si>
    <t>RU000A109KG1</t>
  </si>
  <si>
    <t>НэппиБО01</t>
  </si>
  <si>
    <t>О'КЕЙ Б1Р2 [МБ ФР: Т+: Корпоративные облигации]</t>
  </si>
  <si>
    <t>4B02-02-36415-R-001P</t>
  </si>
  <si>
    <t>RU000A1009Z8</t>
  </si>
  <si>
    <t>О'КЕЙ Б1Р2</t>
  </si>
  <si>
    <t>О'КЕЙ Б1Р4 [МБ ФР: Т+: Корпоративные облигации]</t>
  </si>
  <si>
    <t>4B02-04-36415-R-001P</t>
  </si>
  <si>
    <t>RU000A102BK7</t>
  </si>
  <si>
    <t>О'КЕЙ Б1Р4</t>
  </si>
  <si>
    <t>О'КЕЙ Б1Р5 [МБ ФР: Т+: Корпоративные облигации]</t>
  </si>
  <si>
    <t>4B02-05-36415-R-001P</t>
  </si>
  <si>
    <t>RU000A106AH6</t>
  </si>
  <si>
    <t>О'КЕЙ Б1Р5</t>
  </si>
  <si>
    <t>О'КЕЙ Б1Р6 [МБ ФР: Т+: Корпоративные облигации]</t>
  </si>
  <si>
    <t>4B02-06-36415-R-001P</t>
  </si>
  <si>
    <t>RU000A1084E6</t>
  </si>
  <si>
    <t>О'КЕЙ Б1Р6</t>
  </si>
  <si>
    <t>О'КЕЙ Ф1Р1 [МБ ФР: Т+: Корпоративные облигации]</t>
  </si>
  <si>
    <t>4B02-01-00618-R-001P</t>
  </si>
  <si>
    <t>RU000A105FM7</t>
  </si>
  <si>
    <t>О'КЕЙ Ф1Р1</t>
  </si>
  <si>
    <t>ОГК-2 2Р01 [МБ ФР: Т+: Корпоративные облигации]</t>
  </si>
  <si>
    <t>4B02-01-65105-D-002P</t>
  </si>
  <si>
    <t>RU000A101WR0</t>
  </si>
  <si>
    <t>ОГК-2 2Р01</t>
  </si>
  <si>
    <t>ОДК 01 [МБ ФР: Т+: Корпоративные облигации]</t>
  </si>
  <si>
    <t>4-01-14045-A</t>
  </si>
  <si>
    <t>RU000A0JWK74</t>
  </si>
  <si>
    <t>ОДК 01</t>
  </si>
  <si>
    <t>ОСТРОВМ-01 [МБ ФР: Т+: Корпоративные облигации]</t>
  </si>
  <si>
    <t>4B02-01-00183-L-001P</t>
  </si>
  <si>
    <t>RU000A109SJ8</t>
  </si>
  <si>
    <t>ОСТРОВМ-01</t>
  </si>
  <si>
    <t>Озон 1Р01 [МБ ФР: Т+: Корпоративные облигации]</t>
  </si>
  <si>
    <t>4B02-01-00087-L-001P</t>
  </si>
  <si>
    <t>RU000A1060X6</t>
  </si>
  <si>
    <t>Озон 1Р01</t>
  </si>
  <si>
    <t>Озон 1Р02 [МБ ФР: Т+: Корпоративные облигации]</t>
  </si>
  <si>
    <t>4B02-02-00087-L-001P</t>
  </si>
  <si>
    <t>RU000A106RJ6</t>
  </si>
  <si>
    <t>Озон 1Р02</t>
  </si>
  <si>
    <t>Омега01 [МБ ФР: Т+: Корпоративные облигации]</t>
  </si>
  <si>
    <t>4B02-01-00160-L</t>
  </si>
  <si>
    <t>RU000A1092T7</t>
  </si>
  <si>
    <t>Омега01</t>
  </si>
  <si>
    <t>ОмскОб20 [МБ ФР: Т+: Корпоративные облигации]</t>
  </si>
  <si>
    <t>RU35004OMS0</t>
  </si>
  <si>
    <t>RU000A102DR8</t>
  </si>
  <si>
    <t>ОмскОб20</t>
  </si>
  <si>
    <t>Оренб35003 [МБ ФР: Т+: Корпоративные облигации]</t>
  </si>
  <si>
    <t>RU35003AOR0</t>
  </si>
  <si>
    <t>RU000A0JVM81</t>
  </si>
  <si>
    <t>Оренб35003</t>
  </si>
  <si>
    <t>Оренб35004 [МБ ФР: Т+: Корпоративные облигации]</t>
  </si>
  <si>
    <t>RU35004AOR0</t>
  </si>
  <si>
    <t>RU000A0ZYKH5</t>
  </si>
  <si>
    <t>Оренб35004</t>
  </si>
  <si>
    <t>ОткрБФКСО5 [МБ ФР: Т+: Корпоративные облигации]</t>
  </si>
  <si>
    <t>6-04-01015-A</t>
  </si>
  <si>
    <t>RU000A104479</t>
  </si>
  <si>
    <t>ОткрБФКСО5</t>
  </si>
  <si>
    <t>ОткрБФКСО6 [МБ ФР: Т+: Корпоративные облигации]</t>
  </si>
  <si>
    <t>6-05-01015-A</t>
  </si>
  <si>
    <t>RU000A104RW4</t>
  </si>
  <si>
    <t>ОткрБФКСО6</t>
  </si>
  <si>
    <t>ОткрФКББ02 [МБ ФР: Т+: Корпоративные облигации]</t>
  </si>
  <si>
    <t>4B020202562B</t>
  </si>
  <si>
    <t>RU000A0JU0N7</t>
  </si>
  <si>
    <t>ОткрФКББ02</t>
  </si>
  <si>
    <t>ОткрФКББ03 [МБ ФР: Т+: Корпоративные облигации]</t>
  </si>
  <si>
    <t>4B020302562B</t>
  </si>
  <si>
    <t>RU000A0JRZ74</t>
  </si>
  <si>
    <t>ОткрФКББ03</t>
  </si>
  <si>
    <t>ОткрФКБП07 [МБ ФР: Т+: Корпоративные облигации]</t>
  </si>
  <si>
    <t>4B02-14-02209-B-001P</t>
  </si>
  <si>
    <t>RU000A102R73</t>
  </si>
  <si>
    <t>ОткрФКБП07</t>
  </si>
  <si>
    <t>ОткрФКБП08 [МБ ФР: Т+: Корпоративные облигации]</t>
  </si>
  <si>
    <t>4B02-15-02209-B-001P</t>
  </si>
  <si>
    <t>RU000A1035Y6</t>
  </si>
  <si>
    <t>ОткрФКБП08</t>
  </si>
  <si>
    <t>ОткрФКБП6 [МБ ФР: Т+: Корпоративные облигации]</t>
  </si>
  <si>
    <t>4B021202209B001P</t>
  </si>
  <si>
    <t>RU000A101GR3</t>
  </si>
  <si>
    <t>ОткрФКБП6</t>
  </si>
  <si>
    <t>ОткрФКИОП2 [МБ ФР: Т+: Корпоративные облигации]</t>
  </si>
  <si>
    <t>4B02-08-02209-B-001P</t>
  </si>
  <si>
    <t>RU000A102861</t>
  </si>
  <si>
    <t>ОткрФКИОП2</t>
  </si>
  <si>
    <t>ОхтаГрБП03 [МБ ФР: Т+: Корпоративные облигации]</t>
  </si>
  <si>
    <t>4B02-03-00551-R-001P</t>
  </si>
  <si>
    <t>RU000A1070A3</t>
  </si>
  <si>
    <t>ОхтаГрБП03</t>
  </si>
  <si>
    <t>ПАТРИОТ 01 [МБ ФР: Т+: Корпоративные облигации]</t>
  </si>
  <si>
    <t>4B02-01-00084-L</t>
  </si>
  <si>
    <t>RU000A105AX5</t>
  </si>
  <si>
    <t>ПАТРИОТ 01</t>
  </si>
  <si>
    <t>ПЕРЕСВ БП1 [МБ ФР: Т+: Корпоративные облигации]</t>
  </si>
  <si>
    <t>4B020102110B001P</t>
  </si>
  <si>
    <t>RU000A0JVRL2</t>
  </si>
  <si>
    <t>ПЕРЕСВ БП1</t>
  </si>
  <si>
    <t>ПЕРЕСВ БП2 [МБ ФР: Т+: Корпоративные облигации]</t>
  </si>
  <si>
    <t>4B020202110B001P</t>
  </si>
  <si>
    <t>RU000A0JVVL4</t>
  </si>
  <si>
    <t>ПЕРЕСВ БП2</t>
  </si>
  <si>
    <t>ПЕРЕСВ БП5 [МБ ФР: Т+: Корпоративные облигации]</t>
  </si>
  <si>
    <t>4B020402110B001P</t>
  </si>
  <si>
    <t>RU000A0JWM15</t>
  </si>
  <si>
    <t>ПЕРЕСВ БП5</t>
  </si>
  <si>
    <t>ПЕРЕСВ С01 [МБ ФР: Т+: Корпоративные облигации]</t>
  </si>
  <si>
    <t>40402110B</t>
  </si>
  <si>
    <t>RU000A0JXGV0</t>
  </si>
  <si>
    <t>ПЕРЕСВ С01</t>
  </si>
  <si>
    <t>ПЕРЕСВЕТБ2 [МБ ФР: Т+: Корпоративные облигации]</t>
  </si>
  <si>
    <t>4B020202110B</t>
  </si>
  <si>
    <t>RU000A0JUT85</t>
  </si>
  <si>
    <t>ПЕРЕСВЕТБ2</t>
  </si>
  <si>
    <t>ПЕРЕСВЕТБ3 [МБ ФР: Т+: Корпоративные облигации]</t>
  </si>
  <si>
    <t>4B020302110B</t>
  </si>
  <si>
    <t>RU000A0JVM32</t>
  </si>
  <si>
    <t>ПЕРЕСВЕТБ3</t>
  </si>
  <si>
    <t>ПИК БО-П04 [МБ ФР: Т+: Корпоративные облигации]</t>
  </si>
  <si>
    <t>4B02-04-01556-A-001P</t>
  </si>
  <si>
    <t>RU000A0ZZ1M2</t>
  </si>
  <si>
    <t>ПИК БО-П04</t>
  </si>
  <si>
    <t>ПИК К 1P2 [МБ ФР: Т+: Корпоративные облигации]</t>
  </si>
  <si>
    <t>4B02-02-00464-R-001P</t>
  </si>
  <si>
    <t>RU000A1016Z3</t>
  </si>
  <si>
    <t>ПИК К 1P2</t>
  </si>
  <si>
    <t>ПИК К 1P5 [МБ ФР: Т+: Корпоративные облигации]</t>
  </si>
  <si>
    <t>ПИМ БО-02 [МБ ФР: Т+: Корпоративные облигации]</t>
  </si>
  <si>
    <t>4B02-02-00532-R-001P</t>
  </si>
  <si>
    <t>RU000A106NT4</t>
  </si>
  <si>
    <t>ПИМ БО-02</t>
  </si>
  <si>
    <t>ПИР 1P1 [МБ ФР: Т+: Корпоративные облигации]</t>
  </si>
  <si>
    <t>4B02-01-00135-L-001P</t>
  </si>
  <si>
    <t>RU000A107WF2</t>
  </si>
  <si>
    <t>ПИР 1P1</t>
  </si>
  <si>
    <t>ПИР 1P2 [МБ ФР: Т+: Корпоративные облигации]</t>
  </si>
  <si>
    <t>4B02-02-00135-L-001P</t>
  </si>
  <si>
    <t>RU000A108C17</t>
  </si>
  <si>
    <t>ПИР 1P2</t>
  </si>
  <si>
    <t>ПКБ 1Р-02 [МБ ФР: Т+: Корпоративные облигации]</t>
  </si>
  <si>
    <t>4B02-02-32831-F-001P</t>
  </si>
  <si>
    <t>RU000A103RJ3</t>
  </si>
  <si>
    <t>ПКБ 1Р-02</t>
  </si>
  <si>
    <t>ПКБ 1Р-03 [МБ ФР: Т+: Корпоративные облигации]</t>
  </si>
  <si>
    <t>4B02-03-32831-F-001P</t>
  </si>
  <si>
    <t>RU000A1047S3</t>
  </si>
  <si>
    <t>ПКБ 1Р-03</t>
  </si>
  <si>
    <t>ПКБ 1Р-04 [МБ ФР: Т+: Корпоративные облигации]</t>
  </si>
  <si>
    <t>4B02-04-32831-F-001P</t>
  </si>
  <si>
    <t>RU000A108CC9</t>
  </si>
  <si>
    <t>ПКБ 1Р-04</t>
  </si>
  <si>
    <t>ПКБ 1Р-05 [МБ ФР: Т+: Корпоративные облигации]</t>
  </si>
  <si>
    <t>4B02-05-32831-F-001P</t>
  </si>
  <si>
    <t>RU000A108U72</t>
  </si>
  <si>
    <t>ПКБ 1Р-05</t>
  </si>
  <si>
    <t>ПКБ 1Р-06 [МБ ФР: Т+: Корпоративные облигации]</t>
  </si>
  <si>
    <t>4B02-06-32831-F-001P</t>
  </si>
  <si>
    <t>RU000A10A414</t>
  </si>
  <si>
    <t>ПКБ 1Р-06</t>
  </si>
  <si>
    <t>ПКТ 01 [МБ ФР: Т+: Корпоративные облигации]</t>
  </si>
  <si>
    <t>4-01-03924-J</t>
  </si>
  <si>
    <t>RU000A0JW0S4</t>
  </si>
  <si>
    <t>ПКТ 01</t>
  </si>
  <si>
    <t>ПКТ 02 [МБ ФР: Т+: Корпоративные облигации]</t>
  </si>
  <si>
    <t>4-02-03924-J</t>
  </si>
  <si>
    <t>RU000A0JW5E3</t>
  </si>
  <si>
    <t>ПКТ 02</t>
  </si>
  <si>
    <t>ПКТ 03 [МБ ФР: Т+: Корпоративные облигации]</t>
  </si>
  <si>
    <t>4-03-03924-J</t>
  </si>
  <si>
    <t>RU000A0JWBP5</t>
  </si>
  <si>
    <t>ПКТ 03</t>
  </si>
  <si>
    <t>ПКТ 1P1 [МБ ФР: Т+: Корпоративные облигации]</t>
  </si>
  <si>
    <t>4B02-01-03924-J-001P</t>
  </si>
  <si>
    <t>RU000A108AC3</t>
  </si>
  <si>
    <t>ПКТ 1P1</t>
  </si>
  <si>
    <t>ПНППК 1P01 [МБ ФР: Т+: Корпоративные облигации]</t>
  </si>
  <si>
    <t>4B02-01-11698-E-001P</t>
  </si>
  <si>
    <t>RU000A100TB2</t>
  </si>
  <si>
    <t>ПНППК 1P01</t>
  </si>
  <si>
    <t>ПОРТРВК-01 [МБ ФР: Т+: Корпоративные облигации]</t>
  </si>
  <si>
    <t>4B02-01-00163-L</t>
  </si>
  <si>
    <t>RU000A109783</t>
  </si>
  <si>
    <t>ПОРТРВК-01</t>
  </si>
  <si>
    <t>ПР-Лиз 1P3 [МБ ФР: Т+: Корпоративные облигации]</t>
  </si>
  <si>
    <t>4B02-03-00371-R-001P</t>
  </si>
  <si>
    <t>RU000A100Q35</t>
  </si>
  <si>
    <t>ПР-Лиз 1P3</t>
  </si>
  <si>
    <t>ПР-Лиз 2P1 [МБ ФР: Т+: Корпоративные облигации]</t>
  </si>
  <si>
    <t>4B02-01-00371-R-002P</t>
  </si>
  <si>
    <t>RU000A1022E6</t>
  </si>
  <si>
    <t>ПР-Лиз 2P1</t>
  </si>
  <si>
    <t>ПР-Лиз 2P2 [МБ ФР: Т+: Корпоративные облигации]</t>
  </si>
  <si>
    <t>4B02-02-00371-R-002P</t>
  </si>
  <si>
    <t>RU000A106EP1</t>
  </si>
  <si>
    <t>ПР-Лиз 2P2</t>
  </si>
  <si>
    <t>ПСБ 02 [МБ ФР: Т+: Корпоративные облигации]</t>
  </si>
  <si>
    <t>40203368B</t>
  </si>
  <si>
    <t>RU000A0JXJM3</t>
  </si>
  <si>
    <t>ПСБ 02</t>
  </si>
  <si>
    <t>ПСБ 3P-09 [МБ ФР: Т+: Корпоративные облигации]</t>
  </si>
  <si>
    <t>4B02-09-03251-B-003P</t>
  </si>
  <si>
    <t>RU000A109TJ6</t>
  </si>
  <si>
    <t>ПСБ 3P-09</t>
  </si>
  <si>
    <t>ПСБ БО-01 [МБ ФР: Т+: Корпоративные облигации]</t>
  </si>
  <si>
    <t>4B020103368B</t>
  </si>
  <si>
    <t>RU000A0JVVK6</t>
  </si>
  <si>
    <t>ПСБ БО-01</t>
  </si>
  <si>
    <t>ПСБ БО-02 [МБ ФР: Т+: Корпоративные облигации]</t>
  </si>
  <si>
    <t>4B020203368B</t>
  </si>
  <si>
    <t>RU000A0JVVP5</t>
  </si>
  <si>
    <t>ПСБ БО-02</t>
  </si>
  <si>
    <t>ПСБ БО-03 [МБ ФР: Т+: Корпоративные облигации]</t>
  </si>
  <si>
    <t>4B020303368B</t>
  </si>
  <si>
    <t>RU000A0JVVT7</t>
  </si>
  <si>
    <t>ПСБ БО-03</t>
  </si>
  <si>
    <t>ПСБ обл03 [МБ ФР: Т+: Корпоративные облигации]</t>
  </si>
  <si>
    <t>40303368B</t>
  </si>
  <si>
    <t>RU000A0JXJP6</t>
  </si>
  <si>
    <t>ПСБ обл03</t>
  </si>
  <si>
    <t>ПУБ001Р-01 [МБ ФР: Т+: Корпоративные облигации]</t>
  </si>
  <si>
    <t>4B02-01-00965-B-001P</t>
  </si>
  <si>
    <t>RU000A108Y60</t>
  </si>
  <si>
    <t>ПУБ001Р-01</t>
  </si>
  <si>
    <t>ПенсХол01 [МБ ФР: Т+: Корпоративные облигации]</t>
  </si>
  <si>
    <t>4B02-01-83381-H</t>
  </si>
  <si>
    <t>RU000A1069Y5</t>
  </si>
  <si>
    <t>ПенсХол01</t>
  </si>
  <si>
    <t>ПетрИнжP1 [МБ ФР: Т+: Корпоративные облигации]</t>
  </si>
  <si>
    <t>4B02-01-00423-R-001P</t>
  </si>
  <si>
    <t>RU000A103RL9</t>
  </si>
  <si>
    <t>ПетрИнжP1</t>
  </si>
  <si>
    <t>Петснаб1Р1 [МБ ФР: Т+: Корпоративные облигации]</t>
  </si>
  <si>
    <t>4B02-01-00600-R-001P</t>
  </si>
  <si>
    <t>RU000A104B04</t>
  </si>
  <si>
    <t>Петснаб1Р1</t>
  </si>
  <si>
    <t>ПионЛизБО6 [МБ ФР: Т+: Корпоративные облигации]</t>
  </si>
  <si>
    <t>4B02-01-00331-R</t>
  </si>
  <si>
    <t>RU000A1090H6</t>
  </si>
  <si>
    <t>ПионЛизБО6</t>
  </si>
  <si>
    <t>ПионЛизБП2 [МБ ФР: Т+: Корпоративные облигации]</t>
  </si>
  <si>
    <t>4B02-02-00331-R-001P</t>
  </si>
  <si>
    <t>RU000A1006C3</t>
  </si>
  <si>
    <t>ПионЛизБП2</t>
  </si>
  <si>
    <t>ПионЛизБП3 [МБ ФР: Т+: Корпоративные облигации]</t>
  </si>
  <si>
    <t>4B02-03-00331-R-001P</t>
  </si>
  <si>
    <t>RU000A1013N6</t>
  </si>
  <si>
    <t>ПионЛизБП3</t>
  </si>
  <si>
    <t>ПионЛизБП4 [МБ ФР: Т+: Корпоративные облигации]</t>
  </si>
  <si>
    <t>4B02-04-00331-R-001P</t>
  </si>
  <si>
    <t>RU000A102LF6</t>
  </si>
  <si>
    <t>ПионЛизБП4</t>
  </si>
  <si>
    <t>ПионЛизБР5 [МБ ФР: Т+: Корпоративные облигации]</t>
  </si>
  <si>
    <t>4-01-00331-R</t>
  </si>
  <si>
    <t>RU000A104V00</t>
  </si>
  <si>
    <t>ПионЛизБР5</t>
  </si>
  <si>
    <t>Пионер 1P5 [МБ ФР: Т+: Корпоративные облигации]</t>
  </si>
  <si>
    <t>4B02-05-67750-H-001P</t>
  </si>
  <si>
    <t>RU000A102KG6</t>
  </si>
  <si>
    <t>Пионер 1P5</t>
  </si>
  <si>
    <t>Пионер 1P6 [МБ ФР: Т+: Корпоративные облигации]</t>
  </si>
  <si>
    <t>4B02-06-67750-H-001P</t>
  </si>
  <si>
    <t>RU000A104735</t>
  </si>
  <si>
    <t>Пионер 1P6</t>
  </si>
  <si>
    <t>ПозТех-1Р2 [МБ ФР: Т+: Корпоративные облигации]</t>
  </si>
  <si>
    <t>4B02-02-66202-H-001P</t>
  </si>
  <si>
    <t>RU000A105JG1</t>
  </si>
  <si>
    <t>ПозТех-1Р2</t>
  </si>
  <si>
    <t>Полюс Б1P1 [МБ ФР: Т+: Корпоративные облигации]</t>
  </si>
  <si>
    <t>4B02-01-55192-E-001P</t>
  </si>
  <si>
    <t>RU000A100XC2</t>
  </si>
  <si>
    <t>Полюс Б1P1</t>
  </si>
  <si>
    <t>Полюс Б1P2 [МБ ФР: Т+: Корпоративные облигации]</t>
  </si>
  <si>
    <t>Полюс Б1P3 [МБ ФР: Т+: Корпоративные облигации]</t>
  </si>
  <si>
    <t>4B02-03-55192-E-001P</t>
  </si>
  <si>
    <t>RU000A105VC5</t>
  </si>
  <si>
    <t>Полюс Б1P3</t>
  </si>
  <si>
    <t>Полюс Б1P4 [МБ ФР: Т+: Корпоративные облигации]</t>
  </si>
  <si>
    <t>4B02-04-55192-E-001P</t>
  </si>
  <si>
    <t>RU000A108L81</t>
  </si>
  <si>
    <t>Полюс Б1P4</t>
  </si>
  <si>
    <t>ПолюсЗО28Д [МБ ФР: Т+: Корпоративные облигации]</t>
  </si>
  <si>
    <t>4-01-55192-E</t>
  </si>
  <si>
    <t>RU000A108P79</t>
  </si>
  <si>
    <t>ПолюсЗО28Д</t>
  </si>
  <si>
    <t>ПочтаР1P10 [МБ ФР: Т+: Корпоративные облигации]</t>
  </si>
  <si>
    <t>4B02-10-16643-A-001P</t>
  </si>
  <si>
    <t>RU000A101ZH4</t>
  </si>
  <si>
    <t>ПочтаР1P10</t>
  </si>
  <si>
    <t>ПочтаР2P01 [МБ ФР: Т+: Корпоративные облигации]</t>
  </si>
  <si>
    <t>4B02-01-16643-A-002P</t>
  </si>
  <si>
    <t>RU000A104V75</t>
  </si>
  <si>
    <t>ПочтаР2P01</t>
  </si>
  <si>
    <t>ПочтаР2P02 [МБ ФР: Т+: Корпоративные облигации]</t>
  </si>
  <si>
    <t>4B02-02-16643-A-002P</t>
  </si>
  <si>
    <t>RU000A104W17</t>
  </si>
  <si>
    <t>ПочтаР2P02</t>
  </si>
  <si>
    <t>ПочтаР2P03 [МБ ФР: Т+: Корпоративные облигации]</t>
  </si>
  <si>
    <t>4B02-03-16643-A-002P</t>
  </si>
  <si>
    <t>RU000A104W33</t>
  </si>
  <si>
    <t>ПочтаР2P03</t>
  </si>
  <si>
    <t>ПочтаР2P04 [МБ ФР: Т+: Корпоративные облигации]</t>
  </si>
  <si>
    <t>4B02-04-16643-A-002P</t>
  </si>
  <si>
    <t>RU000A1055Y4</t>
  </si>
  <si>
    <t>ПочтаР2P04</t>
  </si>
  <si>
    <t>ПочтаРБ1P2 [МБ ФР: Т+: Корпоративные облигации]</t>
  </si>
  <si>
    <t>4B02-02-00005-T-001P</t>
  </si>
  <si>
    <t>RU000A0JXRD5</t>
  </si>
  <si>
    <t>ПочтаРБ1P2</t>
  </si>
  <si>
    <t>ПочтаРБ1P3 [МБ ФР: Т+: Корпоративные облигации]</t>
  </si>
  <si>
    <t>4B02-03-00005-T-001P</t>
  </si>
  <si>
    <t>RU000A0JXS59</t>
  </si>
  <si>
    <t>ПочтаРБ1P3</t>
  </si>
  <si>
    <t>ПочтаРБ1P4 [МБ ФР: Т+: Корпоративные облигации]</t>
  </si>
  <si>
    <t>4B02-04-00005-T-001P</t>
  </si>
  <si>
    <t>RU000A0ZZ5H3</t>
  </si>
  <si>
    <t>ПочтаРБ1P4</t>
  </si>
  <si>
    <t>ПочтаРБ1P5 [МБ ФР: Т+: Корпоративные облигации]</t>
  </si>
  <si>
    <t>4B02-05-00005-T-001P</t>
  </si>
  <si>
    <t>RU000A0ZZ5J9</t>
  </si>
  <si>
    <t>ПочтаРБ1P5</t>
  </si>
  <si>
    <t>ПочтаРБ1P6 [МБ ФР: Т+: Корпоративные облигации]</t>
  </si>
  <si>
    <t>4B02-06-00005-T-001P</t>
  </si>
  <si>
    <t>RU000A100SZ3</t>
  </si>
  <si>
    <t>ПочтаРБ1P6</t>
  </si>
  <si>
    <t>ПочтаРБ1P7 [МБ ФР: Т+: Корпоративные облигации]</t>
  </si>
  <si>
    <t>4B02-07-00005-T-001P</t>
  </si>
  <si>
    <t>RU000A1008Y3</t>
  </si>
  <si>
    <t>ПочтаРБ1P7</t>
  </si>
  <si>
    <t>ПочтаРБ1P8 [МБ ФР: Т+: Корпоративные облигации]</t>
  </si>
  <si>
    <t>4B02-08-00005-T-001P</t>
  </si>
  <si>
    <t>RU000A100UT2</t>
  </si>
  <si>
    <t>ПочтаРБ1P8</t>
  </si>
  <si>
    <t>ПочтаРБ1P9 [МБ ФР: Т+: Корпоративные облигации]</t>
  </si>
  <si>
    <t>4B02-09-00005-T-001P</t>
  </si>
  <si>
    <t>RU000A102E52</t>
  </si>
  <si>
    <t>ПочтаРБ1P9</t>
  </si>
  <si>
    <t>ПочтаРосБ2 [МБ ФР: Т+: Корпоративные облигации]</t>
  </si>
  <si>
    <t>4B02-02-00005-T</t>
  </si>
  <si>
    <t>RU000A0JWGV2</t>
  </si>
  <si>
    <t>ПочтаРосБ2</t>
  </si>
  <si>
    <t>ПочтаРосБ3 [МБ ФР: Т+: Корпоративные облигации]</t>
  </si>
  <si>
    <t>4B02-03-00005-T</t>
  </si>
  <si>
    <t>RU000A0JWTL6</t>
  </si>
  <si>
    <t>ПочтаРосБ3</t>
  </si>
  <si>
    <t>ПочтаРосБ4 [МБ ФР: Т+: Корпоративные облигации]</t>
  </si>
  <si>
    <t>4B02-04-00005-T</t>
  </si>
  <si>
    <t>RU000A0JXMP0</t>
  </si>
  <si>
    <t>ПочтаРосБ4</t>
  </si>
  <si>
    <t>ПрУдмР08 [МБ ФР: Т+: Корпоративные облигации]</t>
  </si>
  <si>
    <t>RU34008UDM0</t>
  </si>
  <si>
    <t>RU000A102M37</t>
  </si>
  <si>
    <t>ПрУдмР08</t>
  </si>
  <si>
    <t>ПравоурмБ1 [МБ ФР: Т+: Корпоративные облигации]</t>
  </si>
  <si>
    <t>4B02-01-36417-R</t>
  </si>
  <si>
    <t>RU000A1004L9</t>
  </si>
  <si>
    <t>ПравоурмБ1</t>
  </si>
  <si>
    <t>ПрактЛК1Р1 [МБ ФР: Т+: Корпоративные облигации]</t>
  </si>
  <si>
    <t>4B02-01-00089-L-001P</t>
  </si>
  <si>
    <t>RU000A106J61</t>
  </si>
  <si>
    <t>ПрактЛК1Р1</t>
  </si>
  <si>
    <t>ПрактЛК1Р2 [МБ ФР: Т+: Корпоративные облигации]</t>
  </si>
  <si>
    <t>4B02-02-00089-L-001P</t>
  </si>
  <si>
    <t>RU000A1074N8</t>
  </si>
  <si>
    <t>ПрактЛК1Р2</t>
  </si>
  <si>
    <t>ПрактЛК1Р3 [МБ ФР: Т+: Корпоративные облигации]</t>
  </si>
  <si>
    <t>4B02-03-00089-L-001P</t>
  </si>
  <si>
    <t>RU000A108Z77</t>
  </si>
  <si>
    <t>ПрактЛК1Р3</t>
  </si>
  <si>
    <t>Пркт1111Р1 [МБ ФР: Т+: Корпоративные облигации]</t>
  </si>
  <si>
    <t>4B02-01-00106-L-001P</t>
  </si>
  <si>
    <t>RU000A106U90</t>
  </si>
  <si>
    <t>Пркт1111Р1</t>
  </si>
  <si>
    <t>Продкорп01 [МБ ФР: Т+: Корпоративные облигации]</t>
  </si>
  <si>
    <t>RU000A102BF7</t>
  </si>
  <si>
    <t>Продкорп01</t>
  </si>
  <si>
    <t>Промсвб-15 [МБ ФР: Т+: Корпоративные облигации]</t>
  </si>
  <si>
    <t>41303251B</t>
  </si>
  <si>
    <t>RU000A101H92</t>
  </si>
  <si>
    <t>Промсвб-15</t>
  </si>
  <si>
    <t>Промсвб-16 [МБ ФР: Т+: Корпоративные облигации]</t>
  </si>
  <si>
    <t>41403251B</t>
  </si>
  <si>
    <t>RU000A101J33</t>
  </si>
  <si>
    <t>Промсвб-16</t>
  </si>
  <si>
    <t>ПушкПЗ1Р01 [МБ ФР: Т+: Корпоративные облигации]</t>
  </si>
  <si>
    <t>4B02-01-00629-R-001P</t>
  </si>
  <si>
    <t>RU000A107761</t>
  </si>
  <si>
    <t>ПушкПЗ1Р01</t>
  </si>
  <si>
    <t>ПушкПЗ1Р02 [МБ ФР: Т+: Корпоративные облигации]</t>
  </si>
  <si>
    <t>4B02-02-00629-R-001P</t>
  </si>
  <si>
    <t>RU000A107LU4</t>
  </si>
  <si>
    <t>ПушкПЗ1Р02</t>
  </si>
  <si>
    <t>ПушкПЗ1Р03 [МБ ФР: Т+: Корпоративные облигации]</t>
  </si>
  <si>
    <t>4B02-03-00629-R-001P</t>
  </si>
  <si>
    <t>RU000A1080Y2</t>
  </si>
  <si>
    <t>ПушкПЗ1Р03</t>
  </si>
  <si>
    <t>ПушкПЗБО1 [МБ ФР: Т+: Корпоративные облигации]</t>
  </si>
  <si>
    <t>4B02-01-00629-R</t>
  </si>
  <si>
    <t>RU000A104JF6</t>
  </si>
  <si>
    <t>ПушкПЗБО1</t>
  </si>
  <si>
    <t>РАТ 001-01 [МБ ФР: Т+: Корпоративные облигации]</t>
  </si>
  <si>
    <t>4-01-63519-H-001P</t>
  </si>
  <si>
    <t>RU000A109UE5</t>
  </si>
  <si>
    <t>РАТ 001-01</t>
  </si>
  <si>
    <t>РВК-Ин1Р01 [МБ ФР: Т+: Корпоративные облигации]</t>
  </si>
  <si>
    <t>4B02-01-00540-R-001P</t>
  </si>
  <si>
    <t>RU000A1021G3</t>
  </si>
  <si>
    <t>РВК-Ин1Р01</t>
  </si>
  <si>
    <t>РГ Лиз 1P1 [МБ ФР: Т+: Корпоративные облигации]</t>
  </si>
  <si>
    <t>4B02-01-36506-R-001P</t>
  </si>
  <si>
    <t>RU000A103W26</t>
  </si>
  <si>
    <t>РГ Лиз 1P1</t>
  </si>
  <si>
    <t>РГ Лиз 1P2 [МБ ФР: Т+: Корпоративные облигации]</t>
  </si>
  <si>
    <t>4B02-02-36506-R-001P</t>
  </si>
  <si>
    <t>RU000A104CK1</t>
  </si>
  <si>
    <t>РГ Лиз 1P2</t>
  </si>
  <si>
    <t>РГ Лиз 1P3 [МБ ФР: Т+: Корпоративные облигации]</t>
  </si>
  <si>
    <t>4B02-03-36506-R-001P</t>
  </si>
  <si>
    <t>RU000A104ZV9</t>
  </si>
  <si>
    <t>РГ Лиз 1P3</t>
  </si>
  <si>
    <t>РЕАТОРГ1Р1 [МБ ФР: Т+: Корпоративные облигации]</t>
  </si>
  <si>
    <t>4B02-01-00648-R-001P</t>
  </si>
  <si>
    <t>RU000A105BP9</t>
  </si>
  <si>
    <t>РЕАТОРГ1Р1</t>
  </si>
  <si>
    <t>РЕСОЛиБП05 [МБ ФР: Т+: Корпоративные облигации]</t>
  </si>
  <si>
    <t>4B02-05-36419-R-001P</t>
  </si>
  <si>
    <t>RU000A100NS9</t>
  </si>
  <si>
    <t>РЕСОЛиБП05</t>
  </si>
  <si>
    <t>РЕСОЛиБП11 [МБ ФР: Т+: Корпоративные облигации]</t>
  </si>
  <si>
    <t>4B02-11-36419-R-001P</t>
  </si>
  <si>
    <t>RU000A103C53</t>
  </si>
  <si>
    <t>РЕСОЛиБП11</t>
  </si>
  <si>
    <t>РЕСОЛиБП21 [МБ ФР: Т+: Корпоративные облигации]</t>
  </si>
  <si>
    <t>4B02-21-36419-R-001P</t>
  </si>
  <si>
    <t>RU000A104CL9</t>
  </si>
  <si>
    <t>РЕСОЛиБП21</t>
  </si>
  <si>
    <t>РЕСОЛиБП22 [МБ ФР: Т+: Корпоративные облигации]</t>
  </si>
  <si>
    <t>4B02-22-36419-R-001P</t>
  </si>
  <si>
    <t>RU000A106DP3</t>
  </si>
  <si>
    <t>РЕСОЛиБП22</t>
  </si>
  <si>
    <t>РЕСОЛиБП25 [МБ ФР: Т+: Корпоративные облигации]</t>
  </si>
  <si>
    <t>4B02-25-36419-R-001P</t>
  </si>
  <si>
    <t>RU000A108C74</t>
  </si>
  <si>
    <t>РЕСОЛиБП25</t>
  </si>
  <si>
    <t>РЕСОЛиБП26 [МБ ФР: Т+: Корпоративные облигации]</t>
  </si>
  <si>
    <t>4B02-26-36419-R-001P</t>
  </si>
  <si>
    <t>RU000A108UR9</t>
  </si>
  <si>
    <t>РЕСОЛиБП26</t>
  </si>
  <si>
    <t>РЕСОЛиБП27 [МБ ФР: Т+: Корпоративные облигации]</t>
  </si>
  <si>
    <t>4B02-27-36419-R-001P</t>
  </si>
  <si>
    <t>RU000A1090M6</t>
  </si>
  <si>
    <t>РЕСОЛиБП27</t>
  </si>
  <si>
    <t>РЕСОЛиз2П1 [МБ ФР: Т+: Корпоративные облигации]</t>
  </si>
  <si>
    <t>4B02-01-36419-R-002P</t>
  </si>
  <si>
    <t>RU000A104V26</t>
  </si>
  <si>
    <t>РЕСОЛиз2П1</t>
  </si>
  <si>
    <t>РЕСОЛиз2П2 [МБ ФР: Т+: Корпоративные облигации]</t>
  </si>
  <si>
    <t>4B02-02-36419-R-002P</t>
  </si>
  <si>
    <t>RU000A105HH3</t>
  </si>
  <si>
    <t>РЕСОЛиз2П2</t>
  </si>
  <si>
    <t>РЕСОЛиз2П5 [МБ ФР: Т+: Корпоративные облигации]</t>
  </si>
  <si>
    <t>4B02-05-36419-R-002P</t>
  </si>
  <si>
    <t>RU000A1075J3</t>
  </si>
  <si>
    <t>РЕСОЛиз2П5</t>
  </si>
  <si>
    <t>РЕСОЛизБ03 [МБ ФР: Т+: Корпоративные облигации]</t>
  </si>
  <si>
    <t>4B02-03-36419-R</t>
  </si>
  <si>
    <t>RU000A0JVUS1</t>
  </si>
  <si>
    <t>РЕСОЛизБ03</t>
  </si>
  <si>
    <t>РЕСОЛизБ04 [МБ ФР: Т+: Корпоративные облигации]</t>
  </si>
  <si>
    <t>4B02-04-36419-R</t>
  </si>
  <si>
    <t>RU000A0JVXS5</t>
  </si>
  <si>
    <t>РЕСОЛизБ04</t>
  </si>
  <si>
    <t>РЕСОЛизБ05 [МБ ФР: Т+: Корпоративные облигации]</t>
  </si>
  <si>
    <t>4B02-05-36419-R</t>
  </si>
  <si>
    <t>RU000A0JWVT5</t>
  </si>
  <si>
    <t>РЕСОЛизБ05</t>
  </si>
  <si>
    <t>РЕСОЛизБ06 [МБ ФР: Т+: Корпоративные облигации]</t>
  </si>
  <si>
    <t>4B02-06-36419-R</t>
  </si>
  <si>
    <t>RU000A1049Y7</t>
  </si>
  <si>
    <t>РЕСОЛизБ06</t>
  </si>
  <si>
    <t>РЕСОЛизБ09 [МБ ФР: Т+: Корпоративные облигации]</t>
  </si>
  <si>
    <t>4B02-09-36419-R</t>
  </si>
  <si>
    <t>RU000A104KW9</t>
  </si>
  <si>
    <t>РЕСОЛизБ09</t>
  </si>
  <si>
    <t>РЕСОЛизБП1 [МБ ФР: Т+: Корпоративные облигации]</t>
  </si>
  <si>
    <t>4B02-01-36419-R-001P</t>
  </si>
  <si>
    <t>RU000A1035H1</t>
  </si>
  <si>
    <t>РЕСОЛизБП1</t>
  </si>
  <si>
    <t>РЕСОЛизБП8 [МБ ФР: Т+: Корпоративные облигации]</t>
  </si>
  <si>
    <t>4B02-08-36419-R-001P</t>
  </si>
  <si>
    <t>RU000A102K39</t>
  </si>
  <si>
    <t>РЕСОЛизБП8</t>
  </si>
  <si>
    <t>РЕСОЛизБП9 [МБ ФР: Т+: Корпоративные облигации]</t>
  </si>
  <si>
    <t>4B02-09-36419-R-001P</t>
  </si>
  <si>
    <t>RU000A106GH3</t>
  </si>
  <si>
    <t>РЕСОЛизБП9</t>
  </si>
  <si>
    <t>РЖД 1Б-01 [МБ ФР: Т+: Корпоративные облигации]</t>
  </si>
  <si>
    <t>4-01-65045-D-001P</t>
  </si>
  <si>
    <t>RU000A101TT2</t>
  </si>
  <si>
    <t>РЖД 1Б-01</t>
  </si>
  <si>
    <t>РЖД 1Б-02 [МБ ФР: Т+: Корпоративные облигации]</t>
  </si>
  <si>
    <t>4-02-65045-D-001P</t>
  </si>
  <si>
    <t>RU000A101Y18</t>
  </si>
  <si>
    <t>РЖД 1Б-02</t>
  </si>
  <si>
    <t>РЖД 1Б-03 [МБ ФР: Т+: Корпоративные облигации]</t>
  </si>
  <si>
    <t>4-03-65045-D-001P</t>
  </si>
  <si>
    <t>RU000A102564</t>
  </si>
  <si>
    <t>РЖД 1Б-03</t>
  </si>
  <si>
    <t>РЖД 1Б-04 [МБ ФР: Т+: Корпоративные облигации]</t>
  </si>
  <si>
    <t>4-04-65045-D-001P</t>
  </si>
  <si>
    <t>RU000A1028U9</t>
  </si>
  <si>
    <t>РЖД 1Б-04</t>
  </si>
  <si>
    <t>РЖД 1Б-05 [МБ ФР: Т+: Корпоративные облигации]</t>
  </si>
  <si>
    <t>4-05-65045-D-001P</t>
  </si>
  <si>
    <t>RU000A102E37</t>
  </si>
  <si>
    <t>РЖД 1Б-05</t>
  </si>
  <si>
    <t>РЖД 1Б-06 [МБ ФР: Т+: Корпоративные облигации]</t>
  </si>
  <si>
    <t>4-06-65045-D-001P</t>
  </si>
  <si>
    <t>RU000A102FE1</t>
  </si>
  <si>
    <t>РЖД 1Б-06</t>
  </si>
  <si>
    <t>РЖД 1Б-07 [МБ ФР: Т+: Корпоративные облигации]</t>
  </si>
  <si>
    <t>4-07-65045-D-001P</t>
  </si>
  <si>
    <t>RU000A102GA7</t>
  </si>
  <si>
    <t>РЖД 1Б-07</t>
  </si>
  <si>
    <t>РЖД 1Б-08 [МБ ФР: Т+: Корпоративные облигации]</t>
  </si>
  <si>
    <t>4-08-65045-D-001P</t>
  </si>
  <si>
    <t>RU000A102S72</t>
  </si>
  <si>
    <t>РЖД 1Б-08</t>
  </si>
  <si>
    <t>РЖД 1Р-05R [МБ ФР: Т+: Корпоративные облигации]</t>
  </si>
  <si>
    <t>4B02-05-65045-D-001P</t>
  </si>
  <si>
    <t>RU000A0ZYU05</t>
  </si>
  <si>
    <t>РЖД 1Р-05R</t>
  </si>
  <si>
    <t>РЖД 1Р-06R [МБ ФР: Т+: Корпоративные облигации]</t>
  </si>
  <si>
    <t>4B02-06-65045-D-001P</t>
  </si>
  <si>
    <t>RU000A0ZZ4P9</t>
  </si>
  <si>
    <t>РЖД 1Р-06R</t>
  </si>
  <si>
    <t>РЖД 1Р-07R [МБ ФР: Т+: Корпоративные облигации]</t>
  </si>
  <si>
    <t>4B02-07-65045-D-001P</t>
  </si>
  <si>
    <t>RU000A0ZZ9R4</t>
  </si>
  <si>
    <t>РЖД 1Р-07R</t>
  </si>
  <si>
    <t>РЖД 1Р-08R [МБ ФР: Т+: Корпоративные облигации]</t>
  </si>
  <si>
    <t>4B02-08-65045-D-001P</t>
  </si>
  <si>
    <t>RU000A0ZZGT5</t>
  </si>
  <si>
    <t>РЖД 1Р-08R</t>
  </si>
  <si>
    <t>РЖД 1Р-09R [МБ ФР: Т+: Корпоративные облигации]</t>
  </si>
  <si>
    <t>4B02-09-65045-D-001P</t>
  </si>
  <si>
    <t>RU000A0ZZRY2</t>
  </si>
  <si>
    <t>РЖД 1Р-09R</t>
  </si>
  <si>
    <t>РЖД 1Р-13R [МБ ФР: Т+: Корпоративные облигации]</t>
  </si>
  <si>
    <t>4B02-13-65045-D-001P</t>
  </si>
  <si>
    <t>RU000A1007Z2</t>
  </si>
  <si>
    <t>РЖД 1Р-13R</t>
  </si>
  <si>
    <t>РЖД 1Р-14R [МБ ФР: Т+: Корпоративные облигации]</t>
  </si>
  <si>
    <t>4B02-14-65045-D-001P</t>
  </si>
  <si>
    <t>RU000A1008D7</t>
  </si>
  <si>
    <t>РЖД 1Р-14R</t>
  </si>
  <si>
    <t>РЖД 1Р-15R [МБ ФР: Т+: Корпоративные облигации]</t>
  </si>
  <si>
    <t>4B02-15-65045-D-001P</t>
  </si>
  <si>
    <t>RU000A1009L8</t>
  </si>
  <si>
    <t>РЖД 1Р-15R</t>
  </si>
  <si>
    <t>РЖД 1Р-16R [МБ ФР: Т+: Корпоративные облигации]</t>
  </si>
  <si>
    <t>4B02-16-65045-D-001P</t>
  </si>
  <si>
    <t>RU000A100HY9</t>
  </si>
  <si>
    <t>РЖД 1Р-16R</t>
  </si>
  <si>
    <t>РЖД 1Р-17R [МБ ФР: Т+: Корпоративные облигации]</t>
  </si>
  <si>
    <t>4B02-17-65045-D-001P</t>
  </si>
  <si>
    <t>RU000A1010M4</t>
  </si>
  <si>
    <t>РЖД 1Р-17R</t>
  </si>
  <si>
    <t>РЖД 1Р-18R [МБ ФР: Т+: Корпоративные облигации]</t>
  </si>
  <si>
    <t>4B02-18-65045-D-001P</t>
  </si>
  <si>
    <t>RU000A101H84</t>
  </si>
  <si>
    <t>РЖД 1Р-18R</t>
  </si>
  <si>
    <t>РЖД 1Р-19R [МБ ФР: Т+: Корпоративные облигации]</t>
  </si>
  <si>
    <t>4B02-19-65045-D-001P</t>
  </si>
  <si>
    <t>RU000A101LS1</t>
  </si>
  <si>
    <t>РЖД 1Р-19R</t>
  </si>
  <si>
    <t>РЖД 1Р-20R [МБ ФР: Т+: Корпоративные облигации]</t>
  </si>
  <si>
    <t>4B02-20-65045-D-001P</t>
  </si>
  <si>
    <t>RU000A101M04</t>
  </si>
  <si>
    <t>РЖД 1Р-20R</t>
  </si>
  <si>
    <t>РЖД 1Р-21R [МБ ФР: Т+: Корпоративные облигации]</t>
  </si>
  <si>
    <t>4B02-21-65045-D-001P</t>
  </si>
  <si>
    <t>RU000A102QP4</t>
  </si>
  <si>
    <t>РЖД 1Р-21R</t>
  </si>
  <si>
    <t>РЖД 1Р-22R [МБ ФР: Т+: Корпоративные облигации]</t>
  </si>
  <si>
    <t>4B02-22-65045-D-001P</t>
  </si>
  <si>
    <t>RU000A102R40</t>
  </si>
  <si>
    <t>РЖД 1Р-22R</t>
  </si>
  <si>
    <t>РЖД 1Р-23R [МБ ФР: Т+: Корпоративные облигации]</t>
  </si>
  <si>
    <t>4B02-23-65045-D-001P</t>
  </si>
  <si>
    <t>RU000A103EN3</t>
  </si>
  <si>
    <t>РЖД 1Р-23R</t>
  </si>
  <si>
    <t>РЖД 1Р-24R [МБ ФР: Т+: Корпоративные облигации]</t>
  </si>
  <si>
    <t>4B02-24-65045-D-001P</t>
  </si>
  <si>
    <t>RU000A104SX0</t>
  </si>
  <si>
    <t>РЖД 1Р-24R</t>
  </si>
  <si>
    <t>РЖД 1Р-25R [МБ ФР: Т+: Корпоративные облигации]</t>
  </si>
  <si>
    <t>4B02-25-65045-D-001P</t>
  </si>
  <si>
    <t>RU000A104SY8</t>
  </si>
  <si>
    <t>РЖД 1Р-25R</t>
  </si>
  <si>
    <t>РЖД 1Р-26R [МБ ФР: Т+: Корпоративные облигации]</t>
  </si>
  <si>
    <t>4B02-26-65045-D-001P</t>
  </si>
  <si>
    <t>RU000A106K43</t>
  </si>
  <si>
    <t>РЖД 1Р-26R</t>
  </si>
  <si>
    <t>РЖД 1Р-27R [МБ ФР: Т+: Корпоративные облигации]</t>
  </si>
  <si>
    <t>4B02-27-65045-D-001P</t>
  </si>
  <si>
    <t>RU000A106VV3</t>
  </si>
  <si>
    <t>РЖД 1Р-27R</t>
  </si>
  <si>
    <t>РЖД 1Р-28R [МБ ФР: Т+: Корпоративные облигации]</t>
  </si>
  <si>
    <t>4B02-28-65045-D-001P</t>
  </si>
  <si>
    <t>RU000A106ZL5</t>
  </si>
  <si>
    <t>РЖД 1Р-28R</t>
  </si>
  <si>
    <t>РЖД 1Р-29R [МБ ФР: Т+: Корпоративные облигации]</t>
  </si>
  <si>
    <t>4B02-29-65045-D-001P</t>
  </si>
  <si>
    <t>RU000A107936</t>
  </si>
  <si>
    <t>РЖД 1Р-29R</t>
  </si>
  <si>
    <t>РЖД 1Р-30R [МБ ФР: Т+: Корпоративные облигации]</t>
  </si>
  <si>
    <t>4B02-30-65045-D-001P</t>
  </si>
  <si>
    <t>RU000A107PU5</t>
  </si>
  <si>
    <t>РЖД 1Р-30R</t>
  </si>
  <si>
    <t>РЖД 1Р-31R [МБ ФР: Т+: Корпоративные облигации]</t>
  </si>
  <si>
    <t>4B02-31-65045-D-001P</t>
  </si>
  <si>
    <t>RU000A108124</t>
  </si>
  <si>
    <t>РЖД 1Р-31R</t>
  </si>
  <si>
    <t>РЖД 1Р-32R [МБ ФР: Т+: Корпоративные облигации]</t>
  </si>
  <si>
    <t>4B02-32-65045-D-001P</t>
  </si>
  <si>
    <t>RU000A108Z85</t>
  </si>
  <si>
    <t>РЖД 1Р-32R</t>
  </si>
  <si>
    <t>РЖД 1Р-33R [МБ ФР: Т+: Корпоративные облигации]</t>
  </si>
  <si>
    <t>4B02-33-65045-D-001P</t>
  </si>
  <si>
    <t>RU000A109PF2</t>
  </si>
  <si>
    <t>РЖД 1Р-33R</t>
  </si>
  <si>
    <t>РЖД 36 обл [МБ ФР: Т+: Корпоративные облигации]</t>
  </si>
  <si>
    <t>4-36-65045-D</t>
  </si>
  <si>
    <t>RU000A0JVY04</t>
  </si>
  <si>
    <t>РЖД 36 обл</t>
  </si>
  <si>
    <t>РЖД Б01P1R [МБ ФР: Т+: Корпоративные облигации]</t>
  </si>
  <si>
    <t>4B02-01-65045-D-001P</t>
  </si>
  <si>
    <t>RU000A0JXN05</t>
  </si>
  <si>
    <t>РЖД Б01P1R</t>
  </si>
  <si>
    <t>РЖД Б01P2R [МБ ФР: Т+: Корпоративные облигации]</t>
  </si>
  <si>
    <t>4B02-02-65045-D-001P</t>
  </si>
  <si>
    <t>RU000A0JXQ44</t>
  </si>
  <si>
    <t>РЖД Б01P2R</t>
  </si>
  <si>
    <t>РЖД Б01P3R [МБ ФР: Т+: Корпоративные облигации]</t>
  </si>
  <si>
    <t>4B02-03-65045-D-001P</t>
  </si>
  <si>
    <t>RU000A0JXR84</t>
  </si>
  <si>
    <t>РЖД Б01P3R</t>
  </si>
  <si>
    <t>РЖД Б01P4R [МБ ФР: Т+: Корпоративные облигации]</t>
  </si>
  <si>
    <t>4B02-04-65045-D-001P</t>
  </si>
  <si>
    <t>RU000A0JXZB2</t>
  </si>
  <si>
    <t>РЖД Б01P4R</t>
  </si>
  <si>
    <t>РЖД БО-02 [МБ ФР: Т+: Корпоративные облигации]</t>
  </si>
  <si>
    <t>4B02-02-65045-D</t>
  </si>
  <si>
    <t>RU000A0JVW71</t>
  </si>
  <si>
    <t>РЖД БО-02</t>
  </si>
  <si>
    <t>РЖД БО-05 [МБ ФР: Т+: Корпоративные облигации]</t>
  </si>
  <si>
    <t>4B02-05-65045-D</t>
  </si>
  <si>
    <t>RU000A0JWD57</t>
  </si>
  <si>
    <t>РЖД БО-05</t>
  </si>
  <si>
    <t>РЖД БО-07 [МБ ФР: Т+: Корпоративные облигации]</t>
  </si>
  <si>
    <t>4B02-07-65045-D</t>
  </si>
  <si>
    <t>RU000A0JWC82</t>
  </si>
  <si>
    <t>РЖД БО-07</t>
  </si>
  <si>
    <t>РЖД БО-11 [МБ ФР: Т+: Корпоративные облигации]</t>
  </si>
  <si>
    <t>4B02-11-65045-D</t>
  </si>
  <si>
    <t>RU000A0JXJK7</t>
  </si>
  <si>
    <t>РЖД БО-11</t>
  </si>
  <si>
    <t>РЖД БО-17 [МБ ФР: Т+: Корпоративные облигации]</t>
  </si>
  <si>
    <t>4B02-17-65045-D</t>
  </si>
  <si>
    <t>RU000A0JWHU2</t>
  </si>
  <si>
    <t>РЖД БО-17</t>
  </si>
  <si>
    <t>РЖД-23 обл [МБ ФР: Т+: Корпоративные облигации]</t>
  </si>
  <si>
    <t>4-23-65045-D</t>
  </si>
  <si>
    <t>RU000A0JQRD9</t>
  </si>
  <si>
    <t>РЖД-23 обл</t>
  </si>
  <si>
    <t>РЖД-28 обл [МБ ФР: Т+: Корпоративные облигации]</t>
  </si>
  <si>
    <t>4-28-65045-D</t>
  </si>
  <si>
    <t>RU000A0JTU85</t>
  </si>
  <si>
    <t>РЖД-28 обл</t>
  </si>
  <si>
    <t>РЖД-30 обл [МБ ФР: Т+: Корпоративные облигации]</t>
  </si>
  <si>
    <t>4-30-65045-D</t>
  </si>
  <si>
    <t>RU000A0JUAH8</t>
  </si>
  <si>
    <t>РЖД-30 обл</t>
  </si>
  <si>
    <t>РЖД-32 обл [МБ ФР: Т+: Корпоративные облигации]</t>
  </si>
  <si>
    <t>4-32-65045-D</t>
  </si>
  <si>
    <t>RU000A0JSGV0</t>
  </si>
  <si>
    <t>РЖД-32 обл</t>
  </si>
  <si>
    <t>РЖД-33 обл [МБ ФР: Т+: Корпоративные облигации]</t>
  </si>
  <si>
    <t>4-33-65045-D</t>
  </si>
  <si>
    <t>RU000A0JVB19</t>
  </si>
  <si>
    <t>РЖД-33 обл</t>
  </si>
  <si>
    <t>РЖД-34 обл [МБ ФР: Т+: Корпоративные облигации]</t>
  </si>
  <si>
    <t>4-34-65045-D</t>
  </si>
  <si>
    <t>RU000A0JVB27</t>
  </si>
  <si>
    <t>РЖД-34 обл</t>
  </si>
  <si>
    <t>РЖД-35 обл [МБ ФР: Т+: Корпоративные облигации]</t>
  </si>
  <si>
    <t>4-35-65045-D</t>
  </si>
  <si>
    <t>RU000A0JVKH5</t>
  </si>
  <si>
    <t>РЖД-35 обл</t>
  </si>
  <si>
    <t>РЖД-41 обл [МБ ФР: Т+: Корпоративные облигации]</t>
  </si>
  <si>
    <t>4-41-65045-D</t>
  </si>
  <si>
    <t>RU000A0JX1S1</t>
  </si>
  <si>
    <t>РЖД-41 обл</t>
  </si>
  <si>
    <t>РЖД-42 обл [МБ ФР: Т+: Корпоративные облигации]</t>
  </si>
  <si>
    <t>4-42-65045-D</t>
  </si>
  <si>
    <t>RU000A0JWLU4</t>
  </si>
  <si>
    <t>РЖД-42 обл</t>
  </si>
  <si>
    <t>РЖДЗО25-2Р [МБ ФР: Т+: Корпоративные облигации]</t>
  </si>
  <si>
    <t>4-04-65045-D-002P</t>
  </si>
  <si>
    <t>RU000A1089T3</t>
  </si>
  <si>
    <t>РЖДЗО25-2Р</t>
  </si>
  <si>
    <t>РЖДЗО26-2Р [МБ ФР: Т+: Корпоративные облигации]</t>
  </si>
  <si>
    <t>4-02-65045-D-002P</t>
  </si>
  <si>
    <t>RU000A1084Q0</t>
  </si>
  <si>
    <t>РЖДЗО26-2Р</t>
  </si>
  <si>
    <t>РЖДЗО261ФР [МБ ФР: Т+: Корпоративные облигации]</t>
  </si>
  <si>
    <t>4-01-65045-D-002P</t>
  </si>
  <si>
    <t>RU000A1084S6</t>
  </si>
  <si>
    <t>РЖДЗО261ФР</t>
  </si>
  <si>
    <t>РЖДЗО28-1Р [МБ ФР: Т+: Корпоративные облигации]</t>
  </si>
  <si>
    <t>4-06-65045-D-002P</t>
  </si>
  <si>
    <t>RU000A1089X5</t>
  </si>
  <si>
    <t>РЖДЗО28-1Р</t>
  </si>
  <si>
    <t>РЖДЗО28-3Р [МБ ФР: Т+: Корпоративные облигации]</t>
  </si>
  <si>
    <t>4-08-65045-D-002P</t>
  </si>
  <si>
    <t>RU000A1089U1</t>
  </si>
  <si>
    <t>РЖДЗО28-3Р</t>
  </si>
  <si>
    <t>РЖДЗО282ФР [МБ ФР: Т+: Корпоративные облигации]</t>
  </si>
  <si>
    <t>4-07-65045-D-002P</t>
  </si>
  <si>
    <t>RU000A1089W7</t>
  </si>
  <si>
    <t>РЖДЗО282ФР</t>
  </si>
  <si>
    <t>РКС2Р2 [МБ ФР: Т+: Корпоративные облигации]</t>
  </si>
  <si>
    <t>4B02-02-00006-L-002P</t>
  </si>
  <si>
    <t>RU000A104KS7</t>
  </si>
  <si>
    <t>РКС2Р2</t>
  </si>
  <si>
    <t>РКС2Р3 [МБ ФР: Т+: Корпоративные облигации]</t>
  </si>
  <si>
    <t>4B02-03-00006-L-002P</t>
  </si>
  <si>
    <t>RU000A106DV1</t>
  </si>
  <si>
    <t>РКС2Р3</t>
  </si>
  <si>
    <t>РКС2Р4 [МБ ФР: Т+: Корпоративные облигации]</t>
  </si>
  <si>
    <t>4B02-04-00006-L-002P</t>
  </si>
  <si>
    <t>RU000A108RK0</t>
  </si>
  <si>
    <t>РКС2Р4</t>
  </si>
  <si>
    <t>РКСЭталон1 [МБ ФР: Т+: Корпоративные облигации]</t>
  </si>
  <si>
    <t>4-01-00668-R-001P</t>
  </si>
  <si>
    <t>RU000A105G99</t>
  </si>
  <si>
    <t>РКСЭталон1</t>
  </si>
  <si>
    <t>РКСЭталон2 [МБ ФР: Т+: Корпоративные облигации]</t>
  </si>
  <si>
    <t>4-02-00668-R-001P</t>
  </si>
  <si>
    <t>RU000A1062J1</t>
  </si>
  <si>
    <t>РКСЭталон2</t>
  </si>
  <si>
    <t>РКСЭталон3 [МБ ФР: Т+: Корпоративные облигации]</t>
  </si>
  <si>
    <t>4-03-00668-R-001P</t>
  </si>
  <si>
    <t>RU000A106ZP6</t>
  </si>
  <si>
    <t>РКСЭталон3</t>
  </si>
  <si>
    <t>РКСЭталон4 [МБ ФР: Т+: Корпоративные облигации]</t>
  </si>
  <si>
    <t>4-04-00668-R-001P</t>
  </si>
  <si>
    <t>RU000A109NC4</t>
  </si>
  <si>
    <t>РКСЭталон4</t>
  </si>
  <si>
    <t>РОЛЬФ 1Р03 [МБ ФР: Т+: Корпоративные облигации]</t>
  </si>
  <si>
    <t>4B02-03-16689-A-001P</t>
  </si>
  <si>
    <t>RU000A109LC8</t>
  </si>
  <si>
    <t>РОЛЬФ 1Р03</t>
  </si>
  <si>
    <t>РОЛЬФ 1Р04 [МБ ФР: Т+: Корпоративные облигации]</t>
  </si>
  <si>
    <t>4B02-04-16689-A-001P</t>
  </si>
  <si>
    <t>RU000A10A6W4</t>
  </si>
  <si>
    <t>РОЛЬФ 1Р04</t>
  </si>
  <si>
    <t>РОЛЬФ 1Р05 [МБ ФР: Т+: Корпоративные облигации]</t>
  </si>
  <si>
    <t>4B02-05-16689-A-001P</t>
  </si>
  <si>
    <t>RU000A10A6U8</t>
  </si>
  <si>
    <t>РОЛЬФ 1Р05</t>
  </si>
  <si>
    <t>РОСНАН2P2 [МБ ФР: Т+: Корпоративные облигации]</t>
  </si>
  <si>
    <t>4B02-02-55477-E-002P</t>
  </si>
  <si>
    <t>RU000A101EW8</t>
  </si>
  <si>
    <t>РОСНАН2P2</t>
  </si>
  <si>
    <t>РОСНАНО 8 [МБ ФР: Т+: Корпоративные облигации]</t>
  </si>
  <si>
    <t>4-08-55477-E</t>
  </si>
  <si>
    <t>RU000A1008V9</t>
  </si>
  <si>
    <t>РОСНАНО 8</t>
  </si>
  <si>
    <t>РОССИУМ 01 [МБ ФР: Т+: Корпоративные облигации]</t>
  </si>
  <si>
    <t>4-01-36479-R</t>
  </si>
  <si>
    <t>RU000A0JVT43</t>
  </si>
  <si>
    <t>РОССИУМ 01</t>
  </si>
  <si>
    <t>РОССИУМ Б1 [МБ ФР: Т+: Корпоративные облигации]</t>
  </si>
  <si>
    <t>4B02-01-36479-R</t>
  </si>
  <si>
    <t>RU000A0JVZA8</t>
  </si>
  <si>
    <t>РОССИУМ Б1</t>
  </si>
  <si>
    <t>РОССИУМ1P1 [МБ ФР: Т+: Корпоративные облигации]</t>
  </si>
  <si>
    <t>4B02-01-36479-R-001P</t>
  </si>
  <si>
    <t>RU000A0ZZCX6</t>
  </si>
  <si>
    <t>РОССИУМ1P1</t>
  </si>
  <si>
    <t>РОССИУМ1P2 [МБ ФР: Т+: Корпоративные облигации]</t>
  </si>
  <si>
    <t>4B02-02-36479-R-001P</t>
  </si>
  <si>
    <t>RU000A0ZZZY5</t>
  </si>
  <si>
    <t>РОССИУМ1P2</t>
  </si>
  <si>
    <t>РОССИУМ1P3 [МБ ФР: Т+: Корпоративные облигации]</t>
  </si>
  <si>
    <t>4B02-03-36479-R-001P</t>
  </si>
  <si>
    <t>RU000A1018N5</t>
  </si>
  <si>
    <t>РОССИУМ1P3</t>
  </si>
  <si>
    <t>РОССИУМ2P1 [МБ ФР: Т+: Корпоративные облигации]</t>
  </si>
  <si>
    <t>4B02-01-36479-R-002P</t>
  </si>
  <si>
    <t>RU000A102192</t>
  </si>
  <si>
    <t>РОССИУМ2P1</t>
  </si>
  <si>
    <t>РОССИУМ2P2 [МБ ФР: Т+: Корпоративные облигации]</t>
  </si>
  <si>
    <t>4B02-02-36479-R-002P</t>
  </si>
  <si>
    <t>RU000A1021A6</t>
  </si>
  <si>
    <t>РОССИУМ2P2</t>
  </si>
  <si>
    <t>РОССИУМ2P3 [МБ ФР: Т+: Корпоративные облигации]</t>
  </si>
  <si>
    <t>4B02-03-36479-R-002P</t>
  </si>
  <si>
    <t>RU000A102HX7</t>
  </si>
  <si>
    <t>РОССИУМ2P3</t>
  </si>
  <si>
    <t>РОССИУМ3P1 [МБ ФР: Т+: Корпоративные облигации]</t>
  </si>
  <si>
    <t>4B02-01-36479-R-003P</t>
  </si>
  <si>
    <t>RU000A105N58</t>
  </si>
  <si>
    <t>РОССИУМ3P1</t>
  </si>
  <si>
    <t>РОССИУМ3P2 [МБ ФР: Т+: Корпоративные облигации]</t>
  </si>
  <si>
    <t>4B02-02-36479-R-003P</t>
  </si>
  <si>
    <t>RU000A107GW0</t>
  </si>
  <si>
    <t>РОССИУМ3P2</t>
  </si>
  <si>
    <t>РОССИУМ3P3 [МБ ФР: Т+: Корпоративные облигации]</t>
  </si>
  <si>
    <t>4B02-03-36479-R-003P</t>
  </si>
  <si>
    <t>RU000A108LD8</t>
  </si>
  <si>
    <t>РОССИУМ3P3</t>
  </si>
  <si>
    <t>РОССИУМБ2 [МБ ФР: Т+: Корпоративные облигации]</t>
  </si>
  <si>
    <t>4B02-02-36479-R</t>
  </si>
  <si>
    <t>RU000A109QQ7</t>
  </si>
  <si>
    <t>РОССИУМБ2</t>
  </si>
  <si>
    <t>РОСЭКСИМБ1 [МБ ФР: Т+: Корпоративные облигации]</t>
  </si>
  <si>
    <t>40102790B</t>
  </si>
  <si>
    <t>RU000A0JVYG8</t>
  </si>
  <si>
    <t>РОСЭКСИМБ1</t>
  </si>
  <si>
    <t>РСТ-01 [МБ ФР: Т+: Корпоративные облигации]</t>
  </si>
  <si>
    <t>4B02-01-00182-L</t>
  </si>
  <si>
    <t>RU000A109NM3</t>
  </si>
  <si>
    <t>РСТ-01</t>
  </si>
  <si>
    <t>РСХБ 01Т1 [МБ ФР: Т+: Корпоративные облигации]</t>
  </si>
  <si>
    <t>42903349B</t>
  </si>
  <si>
    <t>RU000A0ZZ4T1</t>
  </si>
  <si>
    <t>РСХБ 01Т1</t>
  </si>
  <si>
    <t>РСХБ 06Т1 [МБ ФР: Т+: Корпоративные облигации]</t>
  </si>
  <si>
    <t>43403349B</t>
  </si>
  <si>
    <t>RU000A0JWMZ1</t>
  </si>
  <si>
    <t>РСХБ 06Т1</t>
  </si>
  <si>
    <t>РСХБ 07Т1 [МБ ФР: Т+: Корпоративные облигации]</t>
  </si>
  <si>
    <t>43503349B</t>
  </si>
  <si>
    <t>RU000A0JWN22</t>
  </si>
  <si>
    <t>РСХБ 07Т1</t>
  </si>
  <si>
    <t>РСХБ 08Т1 [МБ ФР: Т+: Корпоративные облигации]</t>
  </si>
  <si>
    <t>43603349B</t>
  </si>
  <si>
    <t>RU000A0JWV63</t>
  </si>
  <si>
    <t>РСХБ 08Т1</t>
  </si>
  <si>
    <t>РСХБ 09Т1 [МБ ФР: Т+: Корпоративные облигации]</t>
  </si>
  <si>
    <t>43703349B</t>
  </si>
  <si>
    <t>RU000A0ZZ505</t>
  </si>
  <si>
    <t>РСХБ 09Т1</t>
  </si>
  <si>
    <t>РСХБ 11В1 [МБ ФР: Т+: Корпоративные облигации]</t>
  </si>
  <si>
    <t>РСХБ 2Р14 [МБ ФР: Т+: Корпоративные облигации]</t>
  </si>
  <si>
    <t>4B02-04-03349-B-002P</t>
  </si>
  <si>
    <t>RU000A103N84</t>
  </si>
  <si>
    <t>РСХБ 2Р14</t>
  </si>
  <si>
    <t>РСХБ 31Т1 [МБ ФР: Т+: Корпоративные облигации]</t>
  </si>
  <si>
    <t>47903349B</t>
  </si>
  <si>
    <t>RU000A0ZZUS8</t>
  </si>
  <si>
    <t>РСХБ 31Т1</t>
  </si>
  <si>
    <t>РСХБ БО-7Р [МБ ФР: Т+: Корпоративные облигации]</t>
  </si>
  <si>
    <t>4B020703349B001P</t>
  </si>
  <si>
    <t>RU000A0ZZVQ0</t>
  </si>
  <si>
    <t>РСХБ БО-7Р</t>
  </si>
  <si>
    <t>РСХБ БО15 [МБ ФР: Т+: Корпоративные облигации]</t>
  </si>
  <si>
    <t>4B021503349B</t>
  </si>
  <si>
    <t>RU000A0JV3R1</t>
  </si>
  <si>
    <t>РСХБ БО15</t>
  </si>
  <si>
    <t>РСХБ БО17 [МБ ФР: Т+: Корпоративные облигации]</t>
  </si>
  <si>
    <t>4B021703349B</t>
  </si>
  <si>
    <t>RU000A0JV987</t>
  </si>
  <si>
    <t>РСХБ БО17</t>
  </si>
  <si>
    <t>РСХБ БО8 [МБ ФР: Т+: Корпоративные облигации]</t>
  </si>
  <si>
    <t>4B020803349B</t>
  </si>
  <si>
    <t>RU000A0JV805</t>
  </si>
  <si>
    <t>РСХБ БО8</t>
  </si>
  <si>
    <t>РСХБ БО9 [МБ ФР: Т+: Корпоративные облигации]</t>
  </si>
  <si>
    <t>4B020903349B</t>
  </si>
  <si>
    <t>RU000A0JVWB3</t>
  </si>
  <si>
    <t>РСХБ БО9</t>
  </si>
  <si>
    <t>РСХБ С01Е1 [МБ ФР: Т+: Корпоративные облигации]</t>
  </si>
  <si>
    <t>РСХБ2Р04 [МБ ФР: Т+: Корпоративные облигации]</t>
  </si>
  <si>
    <t>4B02-32-03349-B-002P</t>
  </si>
  <si>
    <t>RU000A105971</t>
  </si>
  <si>
    <t>РСХБ2Р04</t>
  </si>
  <si>
    <t>РСХБ2Р1 [МБ ФР: Т+: Корпоративные облигации]</t>
  </si>
  <si>
    <t>4B02-05-03349-B-002P</t>
  </si>
  <si>
    <t>RU000A105L01</t>
  </si>
  <si>
    <t>РСХБ2Р1</t>
  </si>
  <si>
    <t>РСХБ2Р11 [МБ ФР: Т+: Корпоративные облигации]</t>
  </si>
  <si>
    <t>4B02-17-03349-B-002P</t>
  </si>
  <si>
    <t>RU000A104925</t>
  </si>
  <si>
    <t>РСХБ2Р11</t>
  </si>
  <si>
    <t>РСХБ2Р12 [МБ ФР: Т+: Корпоративные облигации]</t>
  </si>
  <si>
    <t>4B02-18-03349-B-002P</t>
  </si>
  <si>
    <t>RU000A106FV6</t>
  </si>
  <si>
    <t>РСХБ2Р12</t>
  </si>
  <si>
    <t>РСХБ2Р16 [МБ ФР: Т+: Корпоративные облигации]</t>
  </si>
  <si>
    <t>4B02-36-03349-B-002P</t>
  </si>
  <si>
    <t>RU000A106CA7</t>
  </si>
  <si>
    <t>РСХБ2Р16</t>
  </si>
  <si>
    <t>РСХБ2Р18 [МБ ФР: Т+: Корпоративные облигации]</t>
  </si>
  <si>
    <t>4B02-38-03349-B-002P</t>
  </si>
  <si>
    <t>RU000A105TK2</t>
  </si>
  <si>
    <t>РСХБ2Р18</t>
  </si>
  <si>
    <t>РСХБ2Р2 [МБ ФР: Т+: Корпоративные облигации]</t>
  </si>
  <si>
    <t>4B02-10-03349-B-002P</t>
  </si>
  <si>
    <t>RU000A1068R1</t>
  </si>
  <si>
    <t>РСХБ2Р2</t>
  </si>
  <si>
    <t>РСХБ2Р20 [МБ ФР: Т+: Корпоративные облигации]</t>
  </si>
  <si>
    <t>4B02-41-03349-B-002P</t>
  </si>
  <si>
    <t>RU000A108ZN7</t>
  </si>
  <si>
    <t>РСХБ2Р20</t>
  </si>
  <si>
    <t>РСХБ2Р21 [МБ ФР: Т+: Корпоративные облигации]</t>
  </si>
  <si>
    <t>4B02-42-03349-B-002P</t>
  </si>
  <si>
    <t>RU000A10A729</t>
  </si>
  <si>
    <t>РСХБ2Р21</t>
  </si>
  <si>
    <t>РСХБ2Р28 [МБ ФР: Т+: Корпоративные облигации]</t>
  </si>
  <si>
    <t>4B02-51-03349-B-002P</t>
  </si>
  <si>
    <t>RU000A109K16</t>
  </si>
  <si>
    <t>РСХБ2Р28</t>
  </si>
  <si>
    <t>РСХБ2Р3 [МБ ФР: Т+: Корпоративные облигации]</t>
  </si>
  <si>
    <t>4B02-11-03349-B-002P</t>
  </si>
  <si>
    <t>RU000A107S10</t>
  </si>
  <si>
    <t>РСХБ2Р3</t>
  </si>
  <si>
    <t>РСХБ2Р7 [МБ ФР: Т+: Корпоративные облигации]</t>
  </si>
  <si>
    <t>4B02-14-03349-B-002P</t>
  </si>
  <si>
    <t>RU000A1061F1</t>
  </si>
  <si>
    <t>РСХБ2Р7</t>
  </si>
  <si>
    <t>РСЭКСМБ1Р1 [МБ ФР: Т+: Корпоративные облигации]</t>
  </si>
  <si>
    <t>РСЭКСМБ2Р1 [МБ ФР: Т+: Корпоративные облигации]</t>
  </si>
  <si>
    <t>4B020102790B002P</t>
  </si>
  <si>
    <t>RU000A101780</t>
  </si>
  <si>
    <t>РСЭКСМБ2Р1</t>
  </si>
  <si>
    <t>РСЭКСМБ2Р2 [МБ ФР: Т+: Корпоративные облигации]</t>
  </si>
  <si>
    <t>4B02-02-02790-B-002P</t>
  </si>
  <si>
    <t>RU000A101T56</t>
  </si>
  <si>
    <t>РСЭКСМБ2Р2</t>
  </si>
  <si>
    <t>РСЭКСМБ2Р3 [МБ ФР: Т+: Корпоративные облигации]</t>
  </si>
  <si>
    <t>4B02-03-02790-B-002P</t>
  </si>
  <si>
    <t>RU000A101UE2</t>
  </si>
  <si>
    <t>РСЭКСМБ2Р3</t>
  </si>
  <si>
    <t>РСЭКСМБ2Р4 [МБ ФР: Т+: Корпоративные облигации]</t>
  </si>
  <si>
    <t>4B02-04-02790-B-002P</t>
  </si>
  <si>
    <t>RU000A1077V4</t>
  </si>
  <si>
    <t>РСЭКСМБ2Р4</t>
  </si>
  <si>
    <t>РСЭКСМБ2Р5 [МБ ФР: Т+: Корпоративные облигации]</t>
  </si>
  <si>
    <t>4B02-05-02790-B-002P</t>
  </si>
  <si>
    <t>RU000A108ZT4</t>
  </si>
  <si>
    <t>РСЭКСМБ2Р5</t>
  </si>
  <si>
    <t>РСетиЛЭ1P1 [МБ ФР: Т+: Корпоративные облигации]</t>
  </si>
  <si>
    <t>4B02-01-00073-A-001P</t>
  </si>
  <si>
    <t>RU000A107EC7</t>
  </si>
  <si>
    <t>РСетиЛЭ1P1</t>
  </si>
  <si>
    <t>РСетиЛЭБО3 [МБ ФР: Т+: Корпоративные облигации]</t>
  </si>
  <si>
    <t>4B02-03-00073-A</t>
  </si>
  <si>
    <t>RU000A101DE8</t>
  </si>
  <si>
    <t>РСетиЛЭБО3</t>
  </si>
  <si>
    <t>РСетиЛЭБО4 [МБ ФР: Т+: Корпоративные облигации]</t>
  </si>
  <si>
    <t>4B02-04-00073-A</t>
  </si>
  <si>
    <t>RU000A101DF5</t>
  </si>
  <si>
    <t>РСетиЛЭБО4</t>
  </si>
  <si>
    <t>РСетиЛЭБО5 [МБ ФР: Т+: Корпоративные облигации]</t>
  </si>
  <si>
    <t>4B02-05-00073-A</t>
  </si>
  <si>
    <t>RU000A0JVLM3</t>
  </si>
  <si>
    <t>РСетиЛЭБО5</t>
  </si>
  <si>
    <t>РСетиМР1P2 [МБ ФР: Т+: Корпоративные облигации]</t>
  </si>
  <si>
    <t>4B02-02-65116-D-001P</t>
  </si>
  <si>
    <t>RU000A101FY1</t>
  </si>
  <si>
    <t>РСетиМР1P2</t>
  </si>
  <si>
    <t>РСетиМР1P6 [МБ ФР: Т+: Корпоративные облигации]</t>
  </si>
  <si>
    <t>4B02-06-65116-D-001P</t>
  </si>
  <si>
    <t>RU000A108P61</t>
  </si>
  <si>
    <t>РСетиМР1P6</t>
  </si>
  <si>
    <t>РСетиМР1P7 [МБ ФР: Т+: Корпоративные облигации]</t>
  </si>
  <si>
    <t>4B02-07-65116-D-001P</t>
  </si>
  <si>
    <t>RU000A109S91</t>
  </si>
  <si>
    <t>РСетиМР1P7</t>
  </si>
  <si>
    <t>РСетиМР1Р5 [МБ ФР: Т+: Корпоративные облигации]</t>
  </si>
  <si>
    <t>4B02-05-65116-D-001P</t>
  </si>
  <si>
    <t>RU000A107DP1</t>
  </si>
  <si>
    <t>РСетиМР1Р5</t>
  </si>
  <si>
    <t>РУСАЛ 1Р1 [МБ ФР: Т+: Корпоративные облигации]</t>
  </si>
  <si>
    <t>РУСАЛ 1Р10 [МБ ФР: Т+: Корпоративные облигации]</t>
  </si>
  <si>
    <t>4B02-10-16677-A-001P</t>
  </si>
  <si>
    <t>RU000A109JZ3</t>
  </si>
  <si>
    <t>РУСАЛ 1Р10</t>
  </si>
  <si>
    <t>РУСАЛ 1Р11 [МБ ФР: Т+: Корпоративные облигации]</t>
  </si>
  <si>
    <t>4B02-11-16677-A-001P</t>
  </si>
  <si>
    <t>RU000A109JY6</t>
  </si>
  <si>
    <t>РУСАЛ 1Р11</t>
  </si>
  <si>
    <t>РУСАЛ 1Р2 [МБ ФР: Т+: Корпоративные облигации]</t>
  </si>
  <si>
    <t>РУСАЛ 1Р3 [МБ ФР: Т+: Корпоративные облигации]</t>
  </si>
  <si>
    <t>РУСАЛ 1Р4 [МБ ФР: Т+: Корпоративные облигации]</t>
  </si>
  <si>
    <t>4B02-04-16677-A-001P</t>
  </si>
  <si>
    <t>RU000A106V57</t>
  </si>
  <si>
    <t>РУСАЛ 1Р4</t>
  </si>
  <si>
    <t>AED</t>
  </si>
  <si>
    <t>РУСАЛ 1Р6 [МБ ФР: Т+: Корпоративные облигации]</t>
  </si>
  <si>
    <t>РУСАЛ 1Р7 [МБ ФР: Т+: Корпоративные облигации]</t>
  </si>
  <si>
    <t>РУСАЛ 1Р8 [МБ ФР: Т+: Корпоративные облигации]</t>
  </si>
  <si>
    <t>4B02-08-16677-A-001P</t>
  </si>
  <si>
    <t>RU000A1094G0</t>
  </si>
  <si>
    <t>РУСАЛ 1Р8</t>
  </si>
  <si>
    <t>РУСАЛ 1Р9 [МБ ФР: Т+: Корпоративные облигации]</t>
  </si>
  <si>
    <t>4B02-09-16677-A-001P</t>
  </si>
  <si>
    <t>RU000A108VW7</t>
  </si>
  <si>
    <t>РУСАЛ 1Р9</t>
  </si>
  <si>
    <t>РУСАЛ БО05 [МБ ФР: Т+: Корпоративные облигации]</t>
  </si>
  <si>
    <t>РУСАЛ БО06 [МБ ФР: Т+: Корпоративные облигации]</t>
  </si>
  <si>
    <t>РУСАЛБрБ01 [МБ ФР: Т+: Корпоративные облигации]</t>
  </si>
  <si>
    <t>4B02-01-20075-F</t>
  </si>
  <si>
    <t>RU000A0JWDN6</t>
  </si>
  <si>
    <t>РУСАЛБрБ01</t>
  </si>
  <si>
    <t>РЭО-01 [МБ ФР: Т+: Корпоративные облигации]</t>
  </si>
  <si>
    <t>4-01-00009-T-001P</t>
  </si>
  <si>
    <t>RU000A105RW1</t>
  </si>
  <si>
    <t>РЭО-01</t>
  </si>
  <si>
    <t>РЭО-02 [МБ ФР: Т+: Корпоративные облигации]</t>
  </si>
  <si>
    <t>4-02-00009-T-001P</t>
  </si>
  <si>
    <t>RU000A106169</t>
  </si>
  <si>
    <t>РЭО-02</t>
  </si>
  <si>
    <t>РегПрод1Р2 [МБ ФР: Т+: Корпоративные облигации]</t>
  </si>
  <si>
    <t>4B02-02-05987-P-001P</t>
  </si>
  <si>
    <t>RU000A103NE3</t>
  </si>
  <si>
    <t>РегПрод1Р2</t>
  </si>
  <si>
    <t>РегПрод1Р4 [МБ ФР: Т+: Корпоративные облигации]</t>
  </si>
  <si>
    <t>4B02-04-05987-P-001P</t>
  </si>
  <si>
    <t>RU000A1075R6</t>
  </si>
  <si>
    <t>РегПрод1Р4</t>
  </si>
  <si>
    <t>РедСофт2P3 [МБ ФР: Т+: Корпоративные облигации]</t>
  </si>
  <si>
    <t>4B02-03-00372-R-002P</t>
  </si>
  <si>
    <t>RU000A104VA2</t>
  </si>
  <si>
    <t>РедСофт2P3</t>
  </si>
  <si>
    <t>РедСофт2P4 [МБ ФР: Т+: Корпоративные облигации]</t>
  </si>
  <si>
    <t>4B02-04-00372-R-002P</t>
  </si>
  <si>
    <t>RU000A106CR1</t>
  </si>
  <si>
    <t>РедСофт2P4</t>
  </si>
  <si>
    <t>РедСофт2P5 [МБ ФР: Т+: Корпоративные облигации]</t>
  </si>
  <si>
    <t>4B02-05-00372-R-002P</t>
  </si>
  <si>
    <t>RU000A108VM8</t>
  </si>
  <si>
    <t>РедСофт2P5</t>
  </si>
  <si>
    <t>Реиннол1P2 [МБ ФР: Т+: Корпоративные облигации]</t>
  </si>
  <si>
    <t>4B02-02-00614-R-001P</t>
  </si>
  <si>
    <t>RU000A105LS2</t>
  </si>
  <si>
    <t>Реиннол1P2</t>
  </si>
  <si>
    <t>РенКредБО4 [МБ ФР: Т+: Корпоративные облигации]</t>
  </si>
  <si>
    <t>4B020403354B</t>
  </si>
  <si>
    <t>RU000A102H83</t>
  </si>
  <si>
    <t>РенКредБО4</t>
  </si>
  <si>
    <t>РенКредБО6 [МБ ФР: Т+: Корпоративные облигации]</t>
  </si>
  <si>
    <t>4B020603354B</t>
  </si>
  <si>
    <t>RU000A102RN7</t>
  </si>
  <si>
    <t>РенКредБО6</t>
  </si>
  <si>
    <t>РитйлБФ1P1 [МБ ФР: Т+: Корпоративные облигации]</t>
  </si>
  <si>
    <t>4B02-01-00482-R-001P</t>
  </si>
  <si>
    <t>RU000A101QF7</t>
  </si>
  <si>
    <t>РитйлБФ1P1</t>
  </si>
  <si>
    <t>РитйлБФ1P2 [МБ ФР: Т+: Корпоративные облигации]</t>
  </si>
  <si>
    <t>4B02-02-00482-R-001P</t>
  </si>
  <si>
    <t>RU000A102TR4</t>
  </si>
  <si>
    <t>РитйлБФ1P2</t>
  </si>
  <si>
    <t>Роделен1P3 [МБ ФР: Т+: Корпоративные облигации]</t>
  </si>
  <si>
    <t>4B02-03-19014-J-001P</t>
  </si>
  <si>
    <t>RU000A105M59</t>
  </si>
  <si>
    <t>Роделен1P3</t>
  </si>
  <si>
    <t>Роделен1P4 [МБ ФР: Т+: Корпоративные облигации]</t>
  </si>
  <si>
    <t>4B02-04-19014-J-001P</t>
  </si>
  <si>
    <t>RU000A105SK4</t>
  </si>
  <si>
    <t>Роделен1P4</t>
  </si>
  <si>
    <t>Роделен2P1 [МБ ФР: Т+: Корпоративные облигации]</t>
  </si>
  <si>
    <t>4B02-01-19014-J-002P</t>
  </si>
  <si>
    <t>RU000A107076</t>
  </si>
  <si>
    <t>Роделен2P1</t>
  </si>
  <si>
    <t>Роделен2P2 [МБ ФР: Т+: Корпоративные облигации]</t>
  </si>
  <si>
    <t>4B02-02-19014-J-002P</t>
  </si>
  <si>
    <t>RU000A107SA1</t>
  </si>
  <si>
    <t>Роделен2P2</t>
  </si>
  <si>
    <t>РосcетУрБ3 [МБ ФР: Т+: Корпоративные облигации]</t>
  </si>
  <si>
    <t>4B02-03-32501-D</t>
  </si>
  <si>
    <t>RU000A100ZF0</t>
  </si>
  <si>
    <t>РосcетУрБ3</t>
  </si>
  <si>
    <t>РосcетУрБ4 [МБ ФР: Т+: Корпоративные облигации]</t>
  </si>
  <si>
    <t>4B02-04-32501-D</t>
  </si>
  <si>
    <t>RU000A100ZD5</t>
  </si>
  <si>
    <t>РосcетУрБ4</t>
  </si>
  <si>
    <t>РосДорБ 02 [МБ ФР: Т+: Корпоративные облигации]</t>
  </si>
  <si>
    <t>40201573B</t>
  </si>
  <si>
    <t>RU000A0ZZZ25</t>
  </si>
  <si>
    <t>РосДорБ 02</t>
  </si>
  <si>
    <t>Росагрл1Р1 [МБ ФР: Т+: Корпоративные облигации]</t>
  </si>
  <si>
    <t>4-01-05886-A-001P</t>
  </si>
  <si>
    <t>RU000A101R09</t>
  </si>
  <si>
    <t>Росагрл1Р1</t>
  </si>
  <si>
    <t>Росагрл1Р2 [МБ ФР: Т+: Корпоративные облигации]</t>
  </si>
  <si>
    <t>4-02-05886-A-001P</t>
  </si>
  <si>
    <t>RU000A102TA0</t>
  </si>
  <si>
    <t>Росагрл1Р2</t>
  </si>
  <si>
    <t>Росагрл1Р3 [МБ ФР: Т+: Корпоративные облигации]</t>
  </si>
  <si>
    <t>4-03-05886-A-001P</t>
  </si>
  <si>
    <t>RU000A103QL1</t>
  </si>
  <si>
    <t>Росагрл1Р3</t>
  </si>
  <si>
    <t>Росагрл1Р4 [МБ ФР: Т+: Корпоративные облигации]</t>
  </si>
  <si>
    <t>4-04-05886-A-001P</t>
  </si>
  <si>
    <t>RU000A107DM8</t>
  </si>
  <si>
    <t>Росагрл1Р4</t>
  </si>
  <si>
    <t>Росагрл1Р5 [МБ ФР: Т+: Корпоративные облигации]</t>
  </si>
  <si>
    <t>4-05-05886-A-001P</t>
  </si>
  <si>
    <t>RU000A108447</t>
  </si>
  <si>
    <t>Росагрл1Р5</t>
  </si>
  <si>
    <t>Росагрл2Р1 [МБ ФР: Т+: Корпоративные облигации]</t>
  </si>
  <si>
    <t>4B02-01-05886-A-001P</t>
  </si>
  <si>
    <t>RU000A108KT6</t>
  </si>
  <si>
    <t>Росагрл2Р1</t>
  </si>
  <si>
    <t>Росагрл2Р3 [МБ ФР: Т+: Корпоративные облигации]</t>
  </si>
  <si>
    <t>4B02-03-05886-A-001P</t>
  </si>
  <si>
    <t>RU000A109DT9</t>
  </si>
  <si>
    <t>Росагрл2Р3</t>
  </si>
  <si>
    <t>РосбанкБ11 [МБ ФР: Т+: Корпоративные облигации]</t>
  </si>
  <si>
    <t>4B021402272B</t>
  </si>
  <si>
    <t>RU000A0JX2F6</t>
  </si>
  <si>
    <t>РосбанкБ11</t>
  </si>
  <si>
    <t>РосбанкБ12 [МБ ФР: Т+: Корпоративные облигации]</t>
  </si>
  <si>
    <t>4B021502272B</t>
  </si>
  <si>
    <t>RU000A0JX2D1</t>
  </si>
  <si>
    <t>РосбанкБ12</t>
  </si>
  <si>
    <t>РосбанкБ19 [МБ ФР: Т+: Корпоративные облигации]</t>
  </si>
  <si>
    <t>4B021903338B</t>
  </si>
  <si>
    <t>RU000A0JVWA5</t>
  </si>
  <si>
    <t>РосбанкБ19</t>
  </si>
  <si>
    <t>РосбанкБ20 [МБ ФР: Т+: Корпоративные облигации]</t>
  </si>
  <si>
    <t>4B022003338B</t>
  </si>
  <si>
    <t>RU000A0JWGS8</t>
  </si>
  <si>
    <t>РосбанкБ20</t>
  </si>
  <si>
    <t>РосбанкБ25 [МБ ФР: Т+: Корпоративные облигации]</t>
  </si>
  <si>
    <t>4B022503338B</t>
  </si>
  <si>
    <t>RU000A0JVNB2</t>
  </si>
  <si>
    <t>РосбанкБ25</t>
  </si>
  <si>
    <t>РосбанкБ26 [МБ ФР: Т+: Корпоративные облигации]</t>
  </si>
  <si>
    <t>4B022603338B</t>
  </si>
  <si>
    <t>RU000A0JWNB0</t>
  </si>
  <si>
    <t>РосбанкБ26</t>
  </si>
  <si>
    <t>РосбанкБО8 [МБ ФР: Т+: Корпоративные облигации]</t>
  </si>
  <si>
    <t>4B020803338B</t>
  </si>
  <si>
    <t>RU000A0JVUY9</t>
  </si>
  <si>
    <t>РосбанкБО8</t>
  </si>
  <si>
    <t>РосбнБО12 [МБ ФР: Т+: Корпоративные облигации]</t>
  </si>
  <si>
    <t>4B021203338B</t>
  </si>
  <si>
    <t>RU000A0JWUB5</t>
  </si>
  <si>
    <t>РосбнБО12</t>
  </si>
  <si>
    <t>Росморп1Р1 [МБ ФР: Т+: Корпоративные облигации]</t>
  </si>
  <si>
    <t>4B02-01-00008-T-001P</t>
  </si>
  <si>
    <t>RU000A1029A9</t>
  </si>
  <si>
    <t>Росморп1Р1</t>
  </si>
  <si>
    <t>Роснфт1P1 [МБ ФР: Т+: Корпоративные облигации]</t>
  </si>
  <si>
    <t>4B02-01-00122-A-001P</t>
  </si>
  <si>
    <t>RU000A0JX132</t>
  </si>
  <si>
    <t>Роснфт1P1</t>
  </si>
  <si>
    <t>Роснфт1P2 [МБ ФР: Т+: Корпоративные облигации]</t>
  </si>
  <si>
    <t>4B02-02-00122-A-001P</t>
  </si>
  <si>
    <t>RU000A0JX355</t>
  </si>
  <si>
    <t>Роснфт1P2</t>
  </si>
  <si>
    <t>Роснфт1P3 [МБ ФР: Т+: Корпоративные облигации]</t>
  </si>
  <si>
    <t>4B02-03-00122-A-001P</t>
  </si>
  <si>
    <t>RU000A0JX413</t>
  </si>
  <si>
    <t>Роснфт1P3</t>
  </si>
  <si>
    <t>Роснфт1P4 [МБ ФР: Т+: Корпоративные облигации]</t>
  </si>
  <si>
    <t>4B02-04-00122-A-001P</t>
  </si>
  <si>
    <t>RU000A0JXQK2</t>
  </si>
  <si>
    <t>Роснфт1P4</t>
  </si>
  <si>
    <t>Роснфт1P5 [МБ ФР: Т+: Корпоративные облигации]</t>
  </si>
  <si>
    <t>4B02-05-00122-A-001P</t>
  </si>
  <si>
    <t>RU000A0JXR68</t>
  </si>
  <si>
    <t>Роснфт1P5</t>
  </si>
  <si>
    <t>Роснфт1P6 [МБ ФР: Т+: Корпоративные облигации]</t>
  </si>
  <si>
    <t>4B02-06-00122-A-001P</t>
  </si>
  <si>
    <t>RU000A0JXXD3</t>
  </si>
  <si>
    <t>Роснфт1P6</t>
  </si>
  <si>
    <t>Роснфт1P7 [МБ ФР: Т+: Корпоративные облигации]</t>
  </si>
  <si>
    <t>4B02-07-00122-A-001P</t>
  </si>
  <si>
    <t>RU000A0JXXE1</t>
  </si>
  <si>
    <t>Роснфт1P7</t>
  </si>
  <si>
    <t>Роснфт1P8 [МБ ФР: Т+: Корпоративные облигации]</t>
  </si>
  <si>
    <t>4B02-08-00122-A-001P</t>
  </si>
  <si>
    <t>RU000A0ZYCP5</t>
  </si>
  <si>
    <t>Роснфт1P8</t>
  </si>
  <si>
    <t>Роснфт2P1 [МБ ФР: Т+: Корпоративные облигации]</t>
  </si>
  <si>
    <t>4B02-01-00122-A-002P</t>
  </si>
  <si>
    <t>RU000A0ZYJH7</t>
  </si>
  <si>
    <t>Роснфт2P1</t>
  </si>
  <si>
    <t>Роснфт2P10 [МБ ФР: Т+: Корпоративные облигации]</t>
  </si>
  <si>
    <t>4B02-10-00122-A-002P</t>
  </si>
  <si>
    <t>RU000A101SF3</t>
  </si>
  <si>
    <t>Роснфт2P10</t>
  </si>
  <si>
    <t>Роснфт2P11 [МБ ФР: Т+: Корпоративные облигации]</t>
  </si>
  <si>
    <t>4B02-11-00122-A-002P</t>
  </si>
  <si>
    <t>RU000A103FC3</t>
  </si>
  <si>
    <t>Роснфт2P11</t>
  </si>
  <si>
    <t>Роснфт2P12 [МБ ФР: Т+: Корпоративные облигации]</t>
  </si>
  <si>
    <t>Роснфт2P13 [МБ ФР: Т+: Корпоративные облигации]</t>
  </si>
  <si>
    <t>Роснфт2P2 [МБ ФР: Т+: Корпоративные облигации]</t>
  </si>
  <si>
    <t>4B02-02-00122-A-002P</t>
  </si>
  <si>
    <t>RU000A0ZYJJ3</t>
  </si>
  <si>
    <t>Роснфт2P2</t>
  </si>
  <si>
    <t>Роснфт2P3 [МБ ФР: Т+: Корпоративные облигации]</t>
  </si>
  <si>
    <t>4B02-03-00122-A-002P</t>
  </si>
  <si>
    <t>RU000A0ZYLG5</t>
  </si>
  <si>
    <t>Роснфт2P3</t>
  </si>
  <si>
    <t>Роснфт2P4 [МБ ФР: Т+: Корпоративные облигации]</t>
  </si>
  <si>
    <t>4B02-04-00122-A-002P</t>
  </si>
  <si>
    <t>RU000A0ZYT40</t>
  </si>
  <si>
    <t>Роснфт2P4</t>
  </si>
  <si>
    <t>Роснфт2P5 [МБ ФР: Т+: Корпоративные облигации]</t>
  </si>
  <si>
    <t>4B02-05-00122-A-002P</t>
  </si>
  <si>
    <t>RU000A0ZYVU5</t>
  </si>
  <si>
    <t>Роснфт2P5</t>
  </si>
  <si>
    <t>Роснфт2P6 [МБ ФР: Т+: Корпоративные облигации]</t>
  </si>
  <si>
    <t>4B02-06-00122-A-002P</t>
  </si>
  <si>
    <t>RU000A1008P1</t>
  </si>
  <si>
    <t>Роснфт2P6</t>
  </si>
  <si>
    <t>Роснфт2P7 [МБ ФР: Т+: Корпоративные облигации]</t>
  </si>
  <si>
    <t>4B02-07-00122-A-002P</t>
  </si>
  <si>
    <t>RU000A1008Q9</t>
  </si>
  <si>
    <t>Роснфт2P7</t>
  </si>
  <si>
    <t>Роснфт2P8 [МБ ФР: Т+: Корпоративные облигации]</t>
  </si>
  <si>
    <t>4B02-08-00122-A-002P</t>
  </si>
  <si>
    <t>RU000A100KY3</t>
  </si>
  <si>
    <t>Роснфт2P8</t>
  </si>
  <si>
    <t>Роснфт2P9 [МБ ФР: Т+: Корпоративные облигации]</t>
  </si>
  <si>
    <t>4B02-09-00122-A-002P</t>
  </si>
  <si>
    <t>RU000A100YQ0</t>
  </si>
  <si>
    <t>Роснфт2P9</t>
  </si>
  <si>
    <t>Роснфт3P01 [МБ ФР: Т+: Корпоративные облигации]</t>
  </si>
  <si>
    <t>4B02-01-00122-A-003P</t>
  </si>
  <si>
    <t>RU000A102EF1</t>
  </si>
  <si>
    <t>Роснфт3P01</t>
  </si>
  <si>
    <t>Роснфт3P02 [МБ ФР: Т+: Корпоративные облигации]</t>
  </si>
  <si>
    <t>4B02-02-00122-A-003P</t>
  </si>
  <si>
    <t>RU000A102EE4</t>
  </si>
  <si>
    <t>Роснфт3P02</t>
  </si>
  <si>
    <t>Роснфт4P1 [МБ ФР: Т+: Корпоративные облигации]</t>
  </si>
  <si>
    <t>Роснфт4P2 [МБ ФР: Т+: Корпоративные облигации]</t>
  </si>
  <si>
    <t>Роснфт4P3 [МБ ФР: Т+: Корпоративные облигации]</t>
  </si>
  <si>
    <t>4B02-03-00122-A-004P</t>
  </si>
  <si>
    <t>RU000A10A125</t>
  </si>
  <si>
    <t>Роснфт4P3</t>
  </si>
  <si>
    <t>РоссЦP03 [МБ ФР: Т+: Корпоративные облигации]</t>
  </si>
  <si>
    <t>4B02-03-10214-A-001P</t>
  </si>
  <si>
    <t>RU000A107AG6</t>
  </si>
  <si>
    <t>РоссЦP03</t>
  </si>
  <si>
    <t>Россет1Р10 [МБ ФР: Т+: Корпоративные облигации]</t>
  </si>
  <si>
    <t>4B02-10-65018-D-001P</t>
  </si>
  <si>
    <t>RU000A1065A3</t>
  </si>
  <si>
    <t>Россет1Р10</t>
  </si>
  <si>
    <t>Россет1Р11 [МБ ФР: Т+: Корпоративные облигации]</t>
  </si>
  <si>
    <t>4B02-11-65018-D-001P</t>
  </si>
  <si>
    <t>RU000A107CG2</t>
  </si>
  <si>
    <t>Россет1Р11</t>
  </si>
  <si>
    <t>Россет1Р12 [МБ ФР: Т+: Корпоративные облигации]</t>
  </si>
  <si>
    <t>4B02-12-65018-D-001P</t>
  </si>
  <si>
    <t>RU000A107D17</t>
  </si>
  <si>
    <t>Россет1Р12</t>
  </si>
  <si>
    <t>Россет1Р13 [МБ ФР: Т+: Корпоративные облигации]</t>
  </si>
  <si>
    <t>4B02-13-65018-D-001P</t>
  </si>
  <si>
    <t>RU000A109528</t>
  </si>
  <si>
    <t>Россет1Р13</t>
  </si>
  <si>
    <t>Россет1Р14 [МБ ФР: Т+: Корпоративные облигации]</t>
  </si>
  <si>
    <t>4B02-14-65018-D-001P</t>
  </si>
  <si>
    <t>RU000A109ZQ8</t>
  </si>
  <si>
    <t>Россет1Р14</t>
  </si>
  <si>
    <t>РоссетБ1Р2 [МБ ФР: Т+: Корпоративные облигации]</t>
  </si>
  <si>
    <t>4B02-02-55385-E-001P</t>
  </si>
  <si>
    <t>RU000A101MG4</t>
  </si>
  <si>
    <t>РоссетБ1Р2</t>
  </si>
  <si>
    <t>Россети1Р7 [МБ ФР: Т+: Корпоративные облигации]</t>
  </si>
  <si>
    <t>4B02-07-65018-D-001P</t>
  </si>
  <si>
    <t>RU000A105PH6</t>
  </si>
  <si>
    <t>Россети1Р7</t>
  </si>
  <si>
    <t>Россети1Р8 [МБ ФР: Т+: Корпоративные облигации]</t>
  </si>
  <si>
    <t>4B02-08-65018-D-001P</t>
  </si>
  <si>
    <t>RU000A105VQ5</t>
  </si>
  <si>
    <t>Россети1Р8</t>
  </si>
  <si>
    <t>Россети1Р9 [МБ ФР: Т+: Корпоративные облигации]</t>
  </si>
  <si>
    <t>4B02-09-65018-D-001P</t>
  </si>
  <si>
    <t>RU000A1065C9</t>
  </si>
  <si>
    <t>Россети1Р9</t>
  </si>
  <si>
    <t>Ростел1P1R [МБ ФР: Т+: Корпоративные облигации]</t>
  </si>
  <si>
    <t>4B02-01-00124-A-001P</t>
  </si>
  <si>
    <t>RU000A0JWTN2</t>
  </si>
  <si>
    <t>Ростел1P1R</t>
  </si>
  <si>
    <t>Ростел1P2R [МБ ФР: Т+: Корпоративные облигации]</t>
  </si>
  <si>
    <t>4B02-02-00124-A-001P</t>
  </si>
  <si>
    <t>RU000A0JXPN8</t>
  </si>
  <si>
    <t>Ростел1P2R</t>
  </si>
  <si>
    <t>Ростел1P3R [МБ ФР: Т+: Корпоративные облигации]</t>
  </si>
  <si>
    <t>4B02-03-00124-A-001P</t>
  </si>
  <si>
    <t>RU000A0ZYG52</t>
  </si>
  <si>
    <t>Ростел1P3R</t>
  </si>
  <si>
    <t>Ростел1P4R [МБ ФР: Т+: Корпоративные облигации]</t>
  </si>
  <si>
    <t>4B02-04-00124-A-001P</t>
  </si>
  <si>
    <t>RU000A0ZYYE3</t>
  </si>
  <si>
    <t>Ростел1P4R</t>
  </si>
  <si>
    <t>Ростел1P5R [МБ ФР: Т+: Корпоративные облигации]</t>
  </si>
  <si>
    <t>4B02-05-00124-A-001P</t>
  </si>
  <si>
    <t>RU000A100881</t>
  </si>
  <si>
    <t>Ростел1P5R</t>
  </si>
  <si>
    <t>Ростел1P7R [МБ ФР: Т+: Корпоративные облигации]</t>
  </si>
  <si>
    <t>4B02-07-00124-A-001P</t>
  </si>
  <si>
    <t>RU000A108GR8</t>
  </si>
  <si>
    <t>Ростел1P7R</t>
  </si>
  <si>
    <t>Ростел1P8R [МБ ФР: Т+: Корпоративные облигации]</t>
  </si>
  <si>
    <t>4B02-08-00124-A-001P</t>
  </si>
  <si>
    <t>RU000A108LF3</t>
  </si>
  <si>
    <t>Ростел1P8R</t>
  </si>
  <si>
    <t>Ростел1P9R [МБ ФР: Т+: Корпоративные облигации]</t>
  </si>
  <si>
    <t>4B02-09-00124-A-001P</t>
  </si>
  <si>
    <t>RU000A1095W4</t>
  </si>
  <si>
    <t>Ростел1P9R</t>
  </si>
  <si>
    <t>Ростел2P10 [МБ ФР: Т+: Корпоративные облигации]</t>
  </si>
  <si>
    <t>4B02-10-00124-A-002P</t>
  </si>
  <si>
    <t>RU000A105UU9</t>
  </si>
  <si>
    <t>Ростел2P10</t>
  </si>
  <si>
    <t>Ростел2P11 [МБ ФР: Т+: Корпоративные облигации]</t>
  </si>
  <si>
    <t>4B02-11-00124-A-002P</t>
  </si>
  <si>
    <t>RU000A106T93</t>
  </si>
  <si>
    <t>Ростел2P11</t>
  </si>
  <si>
    <t>Ростел2P12 [МБ ФР: Т+: Корпоративные облигации]</t>
  </si>
  <si>
    <t>4B02-12-00124-A-002P</t>
  </si>
  <si>
    <t>RU000A1077Y8</t>
  </si>
  <si>
    <t>Ростел2P12</t>
  </si>
  <si>
    <t>Ростел2P13 [МБ ФР: Т+: Корпоративные облигации]</t>
  </si>
  <si>
    <t>4B02-13-00124-A-002P</t>
  </si>
  <si>
    <t>RU000A107910</t>
  </si>
  <si>
    <t>Ростел2P13</t>
  </si>
  <si>
    <t>Ростел2P14 [МБ ФР: Т+: Корпоративные облигации]</t>
  </si>
  <si>
    <t>4B02-14-00124-A-002P</t>
  </si>
  <si>
    <t>RU000A1085D5</t>
  </si>
  <si>
    <t>Ростел2P14</t>
  </si>
  <si>
    <t>Ростел2P1R [МБ ФР: Т+: Корпоративные облигации]</t>
  </si>
  <si>
    <t>4B02-01-00124-A-002P</t>
  </si>
  <si>
    <t>RU000A101541</t>
  </si>
  <si>
    <t>Ростел2P1R</t>
  </si>
  <si>
    <t>Ростел2P2R [МБ ФР: Т+: Корпоративные облигации]</t>
  </si>
  <si>
    <t>4B02-03-00124-A-002P</t>
  </si>
  <si>
    <t>RU000A101FG8</t>
  </si>
  <si>
    <t>Ростел2P2R</t>
  </si>
  <si>
    <t>Ростел2P5R [МБ ФР: Т+: Корпоративные облигации]</t>
  </si>
  <si>
    <t>4B02-05-00124-A-002P</t>
  </si>
  <si>
    <t>RU000A1028G8</t>
  </si>
  <si>
    <t>Ростел2P5R</t>
  </si>
  <si>
    <t>Ростел2P6R [МБ ФР: Т+: Корпоративные облигации]</t>
  </si>
  <si>
    <t>4B02-06-00124-A-002P</t>
  </si>
  <si>
    <t>RU000A103EZ7</t>
  </si>
  <si>
    <t>Ростел2P6R</t>
  </si>
  <si>
    <t>Ростел2P7R [МБ ФР: Т+: Корпоративные облигации]</t>
  </si>
  <si>
    <t>4B02-07-00124-A-002P</t>
  </si>
  <si>
    <t>RU000A104TD0</t>
  </si>
  <si>
    <t>Ростел2P7R</t>
  </si>
  <si>
    <t>Ростел2P8R [МБ ФР: Т+: Корпоративные облигации]</t>
  </si>
  <si>
    <t>4B02-08-00124-A-002P</t>
  </si>
  <si>
    <t>RU000A104VS4</t>
  </si>
  <si>
    <t>Ростел2P8R</t>
  </si>
  <si>
    <t>Ростел2P9R [МБ ФР: Т+: Корпоративные облигации]</t>
  </si>
  <si>
    <t>4B02-09-00124-A-002P</t>
  </si>
  <si>
    <t>RU000A1051E5</t>
  </si>
  <si>
    <t>Ростел2P9R</t>
  </si>
  <si>
    <t>РостелP10R [МБ ФР: Т+: Корпоративные облигации]</t>
  </si>
  <si>
    <t>4B02-10-00124-A-001P</t>
  </si>
  <si>
    <t>RU000A109916</t>
  </si>
  <si>
    <t>РостелP10R</t>
  </si>
  <si>
    <t>РостелP11R [МБ ФР: Т+: Корпоративные облигации]</t>
  </si>
  <si>
    <t>4B02-11-00124-A-001P</t>
  </si>
  <si>
    <t>RU000A109JS8</t>
  </si>
  <si>
    <t>РостелP11R</t>
  </si>
  <si>
    <t>РостелP12R [МБ ФР: Т+: Корпоративные облигации]</t>
  </si>
  <si>
    <t>4B02-12-00124-A-001P</t>
  </si>
  <si>
    <t>RU000A109X29</t>
  </si>
  <si>
    <t>РостелP12R</t>
  </si>
  <si>
    <t>РостелP13R [МБ ФР: Т+: Корпоративные облигации]</t>
  </si>
  <si>
    <t>4B02-13-00124-A-001P</t>
  </si>
  <si>
    <t>RU000A10A3R1</t>
  </si>
  <si>
    <t>РостелP13R</t>
  </si>
  <si>
    <t>РостелБО-1 [МБ ФР: Т+: Корпоративные облигации]</t>
  </si>
  <si>
    <t>4B02-01-00124-A</t>
  </si>
  <si>
    <t>RU000A0JVFC6</t>
  </si>
  <si>
    <t>РостелБО-1</t>
  </si>
  <si>
    <t>Рубеж 1P2 [МБ ФР: Т+: Корпоративные облигации]</t>
  </si>
  <si>
    <t>4B02-02-00465-R-001P</t>
  </si>
  <si>
    <t>RU000A107YT9</t>
  </si>
  <si>
    <t>Рубеж 1P2</t>
  </si>
  <si>
    <t>Румберг1P1 [МБ ФР: Т+: Корпоративные облигации]</t>
  </si>
  <si>
    <t>6-01-00761-R-001P</t>
  </si>
  <si>
    <t>RU000A1087H2</t>
  </si>
  <si>
    <t>Румберг1P1</t>
  </si>
  <si>
    <t>Румберг1P2 [МБ ФР: Т+: Корпоративные облигации]</t>
  </si>
  <si>
    <t>6-02-00761-R-001P</t>
  </si>
  <si>
    <t>RU000A108F71</t>
  </si>
  <si>
    <t>Румберг1P2</t>
  </si>
  <si>
    <t>Румберг1P3 [МБ ФР: Т+: Корпоративные облигации]</t>
  </si>
  <si>
    <t>6-03-00761-R-001P</t>
  </si>
  <si>
    <t>RU000A108F89</t>
  </si>
  <si>
    <t>Румберг1P3</t>
  </si>
  <si>
    <t>Румберг1P4 [МБ ФР: Т+: Корпоративные облигации]</t>
  </si>
  <si>
    <t>6-04-00761-R-001P</t>
  </si>
  <si>
    <t>RU000A108F97</t>
  </si>
  <si>
    <t>Румберг1P4</t>
  </si>
  <si>
    <t>Румбрг1P12 [МБ ФР: Т+: Корпоративные облигации]</t>
  </si>
  <si>
    <t>6-07-00761-R-001P</t>
  </si>
  <si>
    <t>RU000A109EH2</t>
  </si>
  <si>
    <t>Румбрг1P12</t>
  </si>
  <si>
    <t>Румбрг1P13 [МБ ФР: Т+: Корпоративные облигации]</t>
  </si>
  <si>
    <t>6-08-00761-R-001P</t>
  </si>
  <si>
    <t>RU000A109EJ8</t>
  </si>
  <si>
    <t>Румбрг1P13</t>
  </si>
  <si>
    <t>Румбрг1P5 [МБ ФР: Т+: Корпоративные облигации]</t>
  </si>
  <si>
    <t>6-05-00761-R-001P</t>
  </si>
  <si>
    <t>RU000A108FA6</t>
  </si>
  <si>
    <t>Румбрг1P5</t>
  </si>
  <si>
    <t>РусГид2Р01 [МБ ФР: Т+: Корпоративные облигации]</t>
  </si>
  <si>
    <t>4B02-01-55038-E-002P</t>
  </si>
  <si>
    <t>RU000A10A349</t>
  </si>
  <si>
    <t>РусГид2Р01</t>
  </si>
  <si>
    <t>РусГид2Р02 [МБ ФР: Т+: Корпоративные облигации]</t>
  </si>
  <si>
    <t>4B02-02-55038-E-002P</t>
  </si>
  <si>
    <t>RU000A10A6B8</t>
  </si>
  <si>
    <t>РусГид2Р02</t>
  </si>
  <si>
    <t>РусГид2Р03 [МБ ФР: Т+: Корпоративные облигации]</t>
  </si>
  <si>
    <t>4B02-03-55038-E-002P</t>
  </si>
  <si>
    <t>RU000A10A6C6</t>
  </si>
  <si>
    <t>РусГид2Р03</t>
  </si>
  <si>
    <t>РусГидБП10 [МБ ФР: Т+: Корпоративные облигации]</t>
  </si>
  <si>
    <t>4B02-10-55038-E-001P</t>
  </si>
  <si>
    <t>RU000A106037</t>
  </si>
  <si>
    <t>РусГидБП10</t>
  </si>
  <si>
    <t>РусГидБП11 [МБ ФР: Т+: Корпоративные облигации]</t>
  </si>
  <si>
    <t>4B02-11-55038-E-001P</t>
  </si>
  <si>
    <t>RU000A106GD2</t>
  </si>
  <si>
    <t>РусГидБП11</t>
  </si>
  <si>
    <t>РусГидБП12 [МБ ФР: Т+: Корпоративные облигации]</t>
  </si>
  <si>
    <t>4B02-12-55038-E-001P</t>
  </si>
  <si>
    <t>RU000A106ZU6</t>
  </si>
  <si>
    <t>РусГидБП12</t>
  </si>
  <si>
    <t>РусГидрБП6 [МБ ФР: Т+: Корпоративные облигации]</t>
  </si>
  <si>
    <t>4B02-06-55038-E-001P</t>
  </si>
  <si>
    <t>RU000A1057P8</t>
  </si>
  <si>
    <t>РусГидрБП6</t>
  </si>
  <si>
    <t>РусГидрБП7 [МБ ФР: Т+: Корпоративные облигации]</t>
  </si>
  <si>
    <t>4B02-07-55038-E-001P</t>
  </si>
  <si>
    <t>RU000A105HC4</t>
  </si>
  <si>
    <t>РусГидрБП7</t>
  </si>
  <si>
    <t>РусГидрБП8 [МБ ФР: Т+: Корпоративные облигации]</t>
  </si>
  <si>
    <t>4B02-08-55038-E-001P</t>
  </si>
  <si>
    <t>RU000A105MW2</t>
  </si>
  <si>
    <t>РусГидрБП8</t>
  </si>
  <si>
    <t>РусГидрБП9 [МБ ФР: Т+: Корпоративные облигации]</t>
  </si>
  <si>
    <t>4B02-09-55038-E-001P</t>
  </si>
  <si>
    <t>RU000A105SL2</t>
  </si>
  <si>
    <t>РусГидрБП9</t>
  </si>
  <si>
    <t>РусГидро09 [МБ ФР: Т+: Корпоративные облигации]</t>
  </si>
  <si>
    <t>4-09-55038-E</t>
  </si>
  <si>
    <t>RU000A0JVD25</t>
  </si>
  <si>
    <t>РусГидро09</t>
  </si>
  <si>
    <t>СБ СекьюрА [МБ ФР: Т+: Корпоративные облигации]</t>
  </si>
  <si>
    <t>4-01-00816-R</t>
  </si>
  <si>
    <t>RU000A1097T6</t>
  </si>
  <si>
    <t>СБ СекьюрА</t>
  </si>
  <si>
    <t>СГБ 01 [МБ ФР: Т+: Корпоративные облигации]</t>
  </si>
  <si>
    <t>40402816B</t>
  </si>
  <si>
    <t>RU000A1006X9</t>
  </si>
  <si>
    <t>СГБ 01</t>
  </si>
  <si>
    <t>СГБ 02 [МБ ФР: Т+: Корпоративные облигации]</t>
  </si>
  <si>
    <t>40502816B</t>
  </si>
  <si>
    <t>RU000A1006Y7</t>
  </si>
  <si>
    <t>СГБ 02</t>
  </si>
  <si>
    <t>СГБ 03 [МБ ФР: Т+: Корпоративные облигации]</t>
  </si>
  <si>
    <t>40602816B</t>
  </si>
  <si>
    <t>RU000A1006Z4</t>
  </si>
  <si>
    <t>СГБ 03</t>
  </si>
  <si>
    <t>СДЭКГлБП01 [МБ ФР: Т+: Корпоративные облигации]</t>
  </si>
  <si>
    <t>4B02-01-00562-R-001P</t>
  </si>
  <si>
    <t>RU000A102SM7</t>
  </si>
  <si>
    <t>СДЭКГлБП01</t>
  </si>
  <si>
    <t>СЕЛЛСерв01 [МБ ФР: Т+: Корпоративные облигации]</t>
  </si>
  <si>
    <t>4B02-01-00645-R-001P</t>
  </si>
  <si>
    <t>RU000A104KM0</t>
  </si>
  <si>
    <t>СЕЛЛСерв01</t>
  </si>
  <si>
    <t>СЕЛЛСерв02 [МБ ФР: Т+: Корпоративные облигации]</t>
  </si>
  <si>
    <t>4B02-02-00645-R-001P</t>
  </si>
  <si>
    <t>RU000A106C50</t>
  </si>
  <si>
    <t>СЕЛЛСерв02</t>
  </si>
  <si>
    <t>СЕЛЛСерв1 [МБ ФР: Т+: Корпоративные облигации]</t>
  </si>
  <si>
    <t>4B02-01-00645-R</t>
  </si>
  <si>
    <t>RU000A107GT6</t>
  </si>
  <si>
    <t>СЕЛЛСерв1</t>
  </si>
  <si>
    <t>СЕРГВ БО-1 [МБ ФР: Т+: Корпоративные облигации]</t>
  </si>
  <si>
    <t>4B02-01-00145-L</t>
  </si>
  <si>
    <t>RU000A1084N7</t>
  </si>
  <si>
    <t>СЕРГВ БО-1</t>
  </si>
  <si>
    <t>СЗКК 03 [МБ ФР: Т+: Корпоративные облигации]</t>
  </si>
  <si>
    <t>4-01-36388-R</t>
  </si>
  <si>
    <t>RU000A0JRU20</t>
  </si>
  <si>
    <t>СЗКК 03</t>
  </si>
  <si>
    <t>СЗКК 04 [МБ ФР: Т+: Корпоративные облигации]</t>
  </si>
  <si>
    <t>4-02-36388-R</t>
  </si>
  <si>
    <t>RU000A0JRU46</t>
  </si>
  <si>
    <t>СЗКК 04</t>
  </si>
  <si>
    <t>СИБАВТО1Р1 [МБ ФР: Т+: Корпоративные облигации]</t>
  </si>
  <si>
    <t>4B02-01-00677-R-001P</t>
  </si>
  <si>
    <t>RU000A105SZ2</t>
  </si>
  <si>
    <t>СИБАВТО1Р1</t>
  </si>
  <si>
    <t>СИБАВТО1Р2 [МБ ФР: Т+: Корпоративные облигации]</t>
  </si>
  <si>
    <t>4B02-02-00677-R-001P</t>
  </si>
  <si>
    <t>RU000A106CB5</t>
  </si>
  <si>
    <t>СИБАВТО1Р2</t>
  </si>
  <si>
    <t>СИБАВТО1Р3 [МБ ФР: Т+: Корпоративные облигации]</t>
  </si>
  <si>
    <t>4B02-03-00677-R-001P</t>
  </si>
  <si>
    <t>RU000A107KV4</t>
  </si>
  <si>
    <t>СИБАВТО1Р3</t>
  </si>
  <si>
    <t>СИБАВТО1Р4 [МБ ФР: Т+: Корпоративные облигации]</t>
  </si>
  <si>
    <t>4B02-04-00677-R-001P</t>
  </si>
  <si>
    <t>RU000A10A1U9</t>
  </si>
  <si>
    <t>СИБАВТО1Р4</t>
  </si>
  <si>
    <t>СИМПЛ1Р01 [МБ ФР: Т+: Корпоративные облигации]</t>
  </si>
  <si>
    <t>4B02-01-00181-L-001P</t>
  </si>
  <si>
    <t>RU000A10A398</t>
  </si>
  <si>
    <t>СИМПЛ1Р01</t>
  </si>
  <si>
    <t>СИМПЛСК1Р1 [МБ ФР: Т+: Корпоративные облигации]</t>
  </si>
  <si>
    <t>4B02-01-11902-K-001P</t>
  </si>
  <si>
    <t>RU000A107SG8</t>
  </si>
  <si>
    <t>СИМПЛСК1Р1</t>
  </si>
  <si>
    <t>СИНАРАБ1 [МБ ФР: Т+: Корпоративные облигации]</t>
  </si>
  <si>
    <t>4B02-01-00137-L</t>
  </si>
  <si>
    <t>RU000A1085A1</t>
  </si>
  <si>
    <t>СИНАРАБ1</t>
  </si>
  <si>
    <t>СКБФ 01 [МБ ФР: Т+: Корпоративные облигации]</t>
  </si>
  <si>
    <t>4-01-00710-R-001P</t>
  </si>
  <si>
    <t>RU000A107PN0</t>
  </si>
  <si>
    <t>СКБФ 01</t>
  </si>
  <si>
    <t>СКФ 1Р1CNY [МБ ФР: Т+: Корпоративные облигации]</t>
  </si>
  <si>
    <t>СКФ ЗО2028 [МБ ФР: Т+: Корпоративные облигации]</t>
  </si>
  <si>
    <t>4-02-10613-A</t>
  </si>
  <si>
    <t>RU000A105A87</t>
  </si>
  <si>
    <t>СКФ ЗО2028</t>
  </si>
  <si>
    <t>СЛ 002P-01 [МБ ФР: Т+: Корпоративные облигации]</t>
  </si>
  <si>
    <t>4B02-01-45848-H-002P</t>
  </si>
  <si>
    <t>RU000A106A78</t>
  </si>
  <si>
    <t>СЛ 002P-01</t>
  </si>
  <si>
    <t>СЛДК 1P1 [МБ ФР: Т+: Корпоративные облигации]</t>
  </si>
  <si>
    <t>4B02-01-00170-L-001P</t>
  </si>
  <si>
    <t>RU000A109XN0</t>
  </si>
  <si>
    <t>СЛДК 1P1</t>
  </si>
  <si>
    <t>СМАК БП02 [МБ ФР: Т+: Корпоративные облигации]</t>
  </si>
  <si>
    <t>4B02-02-00564-R-001P</t>
  </si>
  <si>
    <t>RU000A106UA9</t>
  </si>
  <si>
    <t>СМАК БП02</t>
  </si>
  <si>
    <t>СОБИЛИЗ1Р1 [МБ ФР: Т+: Корпоративные облигации]</t>
  </si>
  <si>
    <t>4B02-01-00632-R-001P</t>
  </si>
  <si>
    <t>RU000A105CL6</t>
  </si>
  <si>
    <t>СОБИЛИЗ1Р1</t>
  </si>
  <si>
    <t>СОБИЛИЗ1Р2 [МБ ФР: Т+: Корпоративные облигации]</t>
  </si>
  <si>
    <t>4B02-02-00632-R-001P</t>
  </si>
  <si>
    <t>RU000A106AK0</t>
  </si>
  <si>
    <t>СОБИЛИЗ1Р2</t>
  </si>
  <si>
    <t>СОБИЛИЗ1Р3 [МБ ФР: Т+: Корпоративные облигации]</t>
  </si>
  <si>
    <t>4B02-03-00632-R-001P</t>
  </si>
  <si>
    <t>RU000A1078H1</t>
  </si>
  <si>
    <t>СОБИЛИЗ1Р3</t>
  </si>
  <si>
    <t>СОБИЛИЗ1Р4 [МБ ФР: Т+: Корпоративные облигации]</t>
  </si>
  <si>
    <t>4B02-04-00632-R-001P</t>
  </si>
  <si>
    <t>RU000A107EE3</t>
  </si>
  <si>
    <t>СОБИЛИЗ1Р4</t>
  </si>
  <si>
    <t>СОБИЛИЗ1Р5 [МБ ФР: Т+: Корпоративные облигации]</t>
  </si>
  <si>
    <t>4B02-05-00632-R-001P</t>
  </si>
  <si>
    <t>RU000A108KK5</t>
  </si>
  <si>
    <t>СОБИЛИЗ1Р5</t>
  </si>
  <si>
    <t>СОЛСВЕТ1Р1 [МБ ФР: Т+: Корпоративные облигации]</t>
  </si>
  <si>
    <t>4B02-01-00108-L-001P</t>
  </si>
  <si>
    <t>RU000A1074Q1</t>
  </si>
  <si>
    <t>СОЛСВЕТ1Р1</t>
  </si>
  <si>
    <t>СОПФ ФПФ 1 [МБ ФР: Т+: Корпоративные облигации]</t>
  </si>
  <si>
    <t>4-01-00471-R-001P</t>
  </si>
  <si>
    <t>RU000A1018M7</t>
  </si>
  <si>
    <t>СОПФ ФПФ 1</t>
  </si>
  <si>
    <t>СПМК БО-01 [МБ ФР: Т+: Корпоративные облигации]</t>
  </si>
  <si>
    <t>4B02-01-09137-A</t>
  </si>
  <si>
    <t>RU000A105BW5</t>
  </si>
  <si>
    <t>СПМК БО-01</t>
  </si>
  <si>
    <t>СПМК БО-02 [МБ ФР: Т+: Корпоративные облигации]</t>
  </si>
  <si>
    <t>4B02-02-09137-A</t>
  </si>
  <si>
    <t>RU000A106FN3</t>
  </si>
  <si>
    <t>СПМК БО-02</t>
  </si>
  <si>
    <t>СПРИНТ-01 [МБ ФР: Т+: Корпоративные облигации]</t>
  </si>
  <si>
    <t>4B02-01-00778-R-001P</t>
  </si>
  <si>
    <t>RU000A108BE7</t>
  </si>
  <si>
    <t>СПРИНТ-01</t>
  </si>
  <si>
    <t>СПРИНТ-02 [МБ ФР: Т+: Корпоративные облигации]</t>
  </si>
  <si>
    <t>4B02-02-00778-R-001P</t>
  </si>
  <si>
    <t>RU000A1098H9</t>
  </si>
  <si>
    <t>СПРИНТ-02</t>
  </si>
  <si>
    <t>СПбГО35001 [МБ ФР: Т+: Корпоративные облигации]</t>
  </si>
  <si>
    <t>RU35001GSP0</t>
  </si>
  <si>
    <t>RU000A0ZYHX8</t>
  </si>
  <si>
    <t>СПбГО35001</t>
  </si>
  <si>
    <t>СПбГО35002 [МБ ФР: Т+: Корпоративные облигации]</t>
  </si>
  <si>
    <t>RU35002GSP0</t>
  </si>
  <si>
    <t>RU000A0ZYKJ1</t>
  </si>
  <si>
    <t>СПбГО35002</t>
  </si>
  <si>
    <t>СПбГО35003 [МБ ФР: Т+: Корпоративные облигации]</t>
  </si>
  <si>
    <t>RU35003GSP0</t>
  </si>
  <si>
    <t>RU000A102A15</t>
  </si>
  <si>
    <t>СПбГО35003</t>
  </si>
  <si>
    <t>СПбГО35004 [МБ ФР: Т+: Корпоративные облигации]</t>
  </si>
  <si>
    <t>RU35004GSP0</t>
  </si>
  <si>
    <t>RU000A102K88</t>
  </si>
  <si>
    <t>СПбГО35004</t>
  </si>
  <si>
    <t>ССМ-01 [МБ ФР: Т+: Корпоративные облигации]</t>
  </si>
  <si>
    <t>4B02-01-00173-L</t>
  </si>
  <si>
    <t>RU000A109KK3</t>
  </si>
  <si>
    <t>ССМ-01</t>
  </si>
  <si>
    <t>СТМ 1P3 [МБ ФР: Т+: Корпоративные облигации]</t>
  </si>
  <si>
    <t>4B02-03-55323-E-001P</t>
  </si>
  <si>
    <t>RU000A105M91</t>
  </si>
  <si>
    <t>СТМ 1P3</t>
  </si>
  <si>
    <t>СТМ 1P4 [МБ ФР: Т+: Корпоративные облигации]</t>
  </si>
  <si>
    <t>4B02-04-55323-E-001P</t>
  </si>
  <si>
    <t>RU000A1082Y8</t>
  </si>
  <si>
    <t>СТМ 1P4</t>
  </si>
  <si>
    <t>СУЭК-Ф1P3R [МБ ФР: Т+: Корпоративные облигации]</t>
  </si>
  <si>
    <t>4B02-03-36393-R-001P</t>
  </si>
  <si>
    <t>RU000A100VG7</t>
  </si>
  <si>
    <t>СУЭК-Ф1P3R</t>
  </si>
  <si>
    <t>СУЭК-Ф1P5R [МБ ФР: Т+: Корпоративные облигации]</t>
  </si>
  <si>
    <t>4B02-05-36393-R-001P</t>
  </si>
  <si>
    <t>RU000A101CQ4</t>
  </si>
  <si>
    <t>СУЭК-Ф1P5R</t>
  </si>
  <si>
    <t>СУЭК-Ф1P6R [МБ ФР: Т+: Корпоративные облигации]</t>
  </si>
  <si>
    <t>4B02-06-36393-R-001P</t>
  </si>
  <si>
    <t>RU000A102986</t>
  </si>
  <si>
    <t>СУЭК-Ф1P6R</t>
  </si>
  <si>
    <t>СУЭК-Ф1P7R [МБ ФР: Т+: Корпоративные облигации]</t>
  </si>
  <si>
    <t>4B02-07-36393-R-001P</t>
  </si>
  <si>
    <t>RU000A1064Y6</t>
  </si>
  <si>
    <t>СУЭК-Ф1P7R</t>
  </si>
  <si>
    <t>СФО АИ А1 [МБ ФР: Т+: Корпоративные облигации]</t>
  </si>
  <si>
    <t>4-01-00814-R</t>
  </si>
  <si>
    <t>RU000A109650</t>
  </si>
  <si>
    <t>СФО АИ А1</t>
  </si>
  <si>
    <t>СФО БКС 05 [МБ ФР: Т+: Корпоративные облигации]</t>
  </si>
  <si>
    <t>6-05-00508-R</t>
  </si>
  <si>
    <t>RU000A106GX0</t>
  </si>
  <si>
    <t>СФО БКС 05</t>
  </si>
  <si>
    <t>СФО БКС 06 [МБ ФР: Т+: Корпоративные облигации]</t>
  </si>
  <si>
    <t>6-06-00508-R</t>
  </si>
  <si>
    <t>RU000A106S03</t>
  </si>
  <si>
    <t>СФО БКС 06</t>
  </si>
  <si>
    <t>СФО БКС 07 [МБ ФР: Т+: Корпоративные облигации]</t>
  </si>
  <si>
    <t>6-07-00508-R</t>
  </si>
  <si>
    <t>RU000A106RZ2</t>
  </si>
  <si>
    <t>СФО БКС 07</t>
  </si>
  <si>
    <t>СФО БКС 08 [МБ ФР: Т+: Корпоративные облигации]</t>
  </si>
  <si>
    <t>6-08-00508-R</t>
  </si>
  <si>
    <t>RU000A106S11</t>
  </si>
  <si>
    <t>СФО БКС 08</t>
  </si>
  <si>
    <t>СФО БКС 09 [МБ ФР: Т+: Корпоративные облигации]</t>
  </si>
  <si>
    <t>6-09-00508-R</t>
  </si>
  <si>
    <t>RU000A1070U1</t>
  </si>
  <si>
    <t>СФО БКС 09</t>
  </si>
  <si>
    <t>СФО БКС 10 [МБ ФР: Т+: Корпоративные облигации]</t>
  </si>
  <si>
    <t>6-10-00508-R</t>
  </si>
  <si>
    <t>RU000A1070V9</t>
  </si>
  <si>
    <t>СФО БКС 10</t>
  </si>
  <si>
    <t>СФО БКС 11 [МБ ФР: Т+: Корпоративные облигации]</t>
  </si>
  <si>
    <t>6-11-00508-R</t>
  </si>
  <si>
    <t>RU000A1070W7</t>
  </si>
  <si>
    <t>СФО БКС 11</t>
  </si>
  <si>
    <t>СФО БКС 12 [МБ ФР: Т+: Корпоративные облигации]</t>
  </si>
  <si>
    <t>6-12-00508-R</t>
  </si>
  <si>
    <t>RU000A1074L2</t>
  </si>
  <si>
    <t>СФО БКС 12</t>
  </si>
  <si>
    <t>СФО БКС 13 [МБ ФР: Т+: Корпоративные облигации]</t>
  </si>
  <si>
    <t>6-13-00508-R</t>
  </si>
  <si>
    <t>RU000A1074M0</t>
  </si>
  <si>
    <t>СФО БКС 13</t>
  </si>
  <si>
    <t>СФО БКС 14 [МБ ФР: Т+: Корпоративные облигации]</t>
  </si>
  <si>
    <t>6-14-00508-R</t>
  </si>
  <si>
    <t>RU000A1074J6</t>
  </si>
  <si>
    <t>СФО БКС 14</t>
  </si>
  <si>
    <t>СФО БКС 15 [МБ ФР: Т+: Корпоративные облигации]</t>
  </si>
  <si>
    <t>6-15-00508-R</t>
  </si>
  <si>
    <t>RU000A1074K4</t>
  </si>
  <si>
    <t>СФО БКС 15</t>
  </si>
  <si>
    <t>СФО БКС 16 [МБ ФР: Т+: Корпоративные облигации]</t>
  </si>
  <si>
    <t>6-16-00508-R</t>
  </si>
  <si>
    <t>RU000A107621</t>
  </si>
  <si>
    <t>СФО БКС 16</t>
  </si>
  <si>
    <t>СФО БКС 18 [МБ ФР: Т+: Корпоративные облигации]</t>
  </si>
  <si>
    <t>6-18-00508-R</t>
  </si>
  <si>
    <t>RU000A107654</t>
  </si>
  <si>
    <t>СФО БКС 18</t>
  </si>
  <si>
    <t>СФО БКС 19 [МБ ФР: Т+: Корпоративные облигации]</t>
  </si>
  <si>
    <t>6-19-00508-R</t>
  </si>
  <si>
    <t>RU000A107K59</t>
  </si>
  <si>
    <t>СФО БКС 19</t>
  </si>
  <si>
    <t>СФО БКС 20 [МБ ФР: Т+: Корпоративные облигации]</t>
  </si>
  <si>
    <t>6-20-00508-R</t>
  </si>
  <si>
    <t>RU000A107K67</t>
  </si>
  <si>
    <t>СФО БКС 20</t>
  </si>
  <si>
    <t>СФО БКС 21 [МБ ФР: Т+: Корпоративные облигации]</t>
  </si>
  <si>
    <t>6-21-00508-R</t>
  </si>
  <si>
    <t>RU000A107K75</t>
  </si>
  <si>
    <t>СФО БКС 21</t>
  </si>
  <si>
    <t>СФО БКС 22 [МБ ФР: Т+: Корпоративные облигации]</t>
  </si>
  <si>
    <t>6-22-00508-R</t>
  </si>
  <si>
    <t>RU000A107K83</t>
  </si>
  <si>
    <t>СФО БКС 22</t>
  </si>
  <si>
    <t>СФО БКС 23 [МБ ФР: Т+: Корпоративные облигации]</t>
  </si>
  <si>
    <t>6-23-00508-R</t>
  </si>
  <si>
    <t>RU000A107K91</t>
  </si>
  <si>
    <t>СФО БКС 23</t>
  </si>
  <si>
    <t>СФО БКС 24 [МБ ФР: Т+: Корпоративные облигации]</t>
  </si>
  <si>
    <t>6-24-00508-R</t>
  </si>
  <si>
    <t>RU000A107KA8</t>
  </si>
  <si>
    <t>СФО БКС 24</t>
  </si>
  <si>
    <t>СФО БКС 25 [МБ ФР: Т+: Корпоративные облигации]</t>
  </si>
  <si>
    <t>6-25-00508-R</t>
  </si>
  <si>
    <t>RU000A107KB6</t>
  </si>
  <si>
    <t>СФО БКС 25</t>
  </si>
  <si>
    <t>СФО БКС 26 [МБ ФР: Т+: Корпоративные облигации]</t>
  </si>
  <si>
    <t>6-26-00508-R</t>
  </si>
  <si>
    <t>RU000A107KC4</t>
  </si>
  <si>
    <t>СФО БКС 26</t>
  </si>
  <si>
    <t>СФО БКС 28 [МБ ФР: Т+: Корпоративные облигации]</t>
  </si>
  <si>
    <t>6-28-00508-R</t>
  </si>
  <si>
    <t>RU000A108DV7</t>
  </si>
  <si>
    <t>СФО БКС 28</t>
  </si>
  <si>
    <t>СФО БКС 29 [МБ ФР: Т+: Корпоративные облигации]</t>
  </si>
  <si>
    <t>6-29-00508-R</t>
  </si>
  <si>
    <t>RU000A108DW5</t>
  </si>
  <si>
    <t>СФО БКС 29</t>
  </si>
  <si>
    <t>СФО БКС 30 [МБ ФР: Т+: Корпоративные облигации]</t>
  </si>
  <si>
    <t>6-30-00508-R</t>
  </si>
  <si>
    <t>RU000A108DX3</t>
  </si>
  <si>
    <t>СФО БКС 30</t>
  </si>
  <si>
    <t>СФО БКС 31 [МБ ФР: Т+: Корпоративные облигации]</t>
  </si>
  <si>
    <t>6-31-00508-R</t>
  </si>
  <si>
    <t>RU000A108QC9</t>
  </si>
  <si>
    <t>СФО БКС 31</t>
  </si>
  <si>
    <t>СФО БКС 32 [МБ ФР: Т+: Корпоративные облигации]</t>
  </si>
  <si>
    <t>6-32-00508-R</t>
  </si>
  <si>
    <t>RU000A108QD7</t>
  </si>
  <si>
    <t>СФО БКС 32</t>
  </si>
  <si>
    <t>СФО БКС 33 [МБ ФР: Т+: Корпоративные облигации]</t>
  </si>
  <si>
    <t>6-33-00508-R</t>
  </si>
  <si>
    <t>RU000A108QE5</t>
  </si>
  <si>
    <t>СФО БКС 33</t>
  </si>
  <si>
    <t>СФО БКС 34 [МБ ФР: Т+: Корпоративные облигации]</t>
  </si>
  <si>
    <t>6-34-00508-R</t>
  </si>
  <si>
    <t>RU000A108QF2</t>
  </si>
  <si>
    <t>СФО БКС 34</t>
  </si>
  <si>
    <t>СФО БКС 35 [МБ ФР: Т+: Корпоративные облигации]</t>
  </si>
  <si>
    <t>6-35-00508-R</t>
  </si>
  <si>
    <t>RU000A108QG0</t>
  </si>
  <si>
    <t>СФО БКС 35</t>
  </si>
  <si>
    <t>СФО БКС 36 [МБ ФР: Т+: Корпоративные облигации]</t>
  </si>
  <si>
    <t>6-36-00508-R</t>
  </si>
  <si>
    <t>RU000A108Q37</t>
  </si>
  <si>
    <t>СФО БКС 36</t>
  </si>
  <si>
    <t>СФО БКС 37 [МБ ФР: Т+: Корпоративные облигации]</t>
  </si>
  <si>
    <t>6-37-00508-R</t>
  </si>
  <si>
    <t>RU000A108Q45</t>
  </si>
  <si>
    <t>СФО БКС 37</t>
  </si>
  <si>
    <t>СФО БКС 38 [МБ ФР: Т+: Корпоративные облигации]</t>
  </si>
  <si>
    <t>6-38-00508-R</t>
  </si>
  <si>
    <t>RU000A108Q52</t>
  </si>
  <si>
    <t>СФО БКС 38</t>
  </si>
  <si>
    <t>СФО БКС 42 [МБ ФР: Т+: Корпоративные облигации]</t>
  </si>
  <si>
    <t>6-42-00508-R</t>
  </si>
  <si>
    <t>RU000A109EW1</t>
  </si>
  <si>
    <t>СФО БКС 42</t>
  </si>
  <si>
    <t>СФО БКС 43 [МБ ФР: Т+: Корпоративные облигации]</t>
  </si>
  <si>
    <t>6-43-00508-R</t>
  </si>
  <si>
    <t>RU000A109EX9</t>
  </si>
  <si>
    <t>СФО БКС 43</t>
  </si>
  <si>
    <t>СФО БКС 47 [МБ ФР: Т+: Корпоративные облигации]</t>
  </si>
  <si>
    <t>6-47-00508-R</t>
  </si>
  <si>
    <t>RU000A109T25</t>
  </si>
  <si>
    <t>СФО БКС 47</t>
  </si>
  <si>
    <t>СФО МО 01 [МБ ФР: Т+: Корпоративные облигации]</t>
  </si>
  <si>
    <t>6-01-00596-R</t>
  </si>
  <si>
    <t>RU000A103XD4</t>
  </si>
  <si>
    <t>СФО МО 01</t>
  </si>
  <si>
    <t>СФО ОФ 01 [МБ ФР: Т+: Корпоративные облигации]</t>
  </si>
  <si>
    <t>4-01-00737-R</t>
  </si>
  <si>
    <t>RU000A106ZM3</t>
  </si>
  <si>
    <t>СФО ОФ 01</t>
  </si>
  <si>
    <t>СФО СБ 01 [МБ ФР: Т+: Корпоративные облигации]</t>
  </si>
  <si>
    <t>6-01-00517-R</t>
  </si>
  <si>
    <t>RU000A101CJ9</t>
  </si>
  <si>
    <t>СФО СБ 01</t>
  </si>
  <si>
    <t>СФО СФ 01 [МБ ФР: Т+: Корпоративные облигации]</t>
  </si>
  <si>
    <t>4-01-00655-R</t>
  </si>
  <si>
    <t>RU000A104VD6</t>
  </si>
  <si>
    <t>СФО СФ 01</t>
  </si>
  <si>
    <t>СФООптФин1 [МБ ФР: Т+: Корпоративные облигации]</t>
  </si>
  <si>
    <t>4-01-00760-R</t>
  </si>
  <si>
    <t>RU000A107D25</t>
  </si>
  <si>
    <t>СФООптФин1</t>
  </si>
  <si>
    <t>СФОРЛО-А [МБ ФР: Т+: Корпоративные облигации]</t>
  </si>
  <si>
    <t>4-01-00794-R</t>
  </si>
  <si>
    <t>RU000A1095N3</t>
  </si>
  <si>
    <t>СФОРЛО-А</t>
  </si>
  <si>
    <t>СФОТЕМП 01 [МБ ФР: Т+: Корпоративные облигации]</t>
  </si>
  <si>
    <t>6-01-00767-R</t>
  </si>
  <si>
    <t>RU000A107FW2</t>
  </si>
  <si>
    <t>СФОТЕМП 01</t>
  </si>
  <si>
    <t>СЭЗ 1P2 [МБ ФР: Т+: Корпоративные облигации]</t>
  </si>
  <si>
    <t>4B02-02-45253-E-001P</t>
  </si>
  <si>
    <t>RU000A102556</t>
  </si>
  <si>
    <t>СЭЗ 1P2</t>
  </si>
  <si>
    <t>Садко 1P1 [МБ ФР: Т+: Корпоративные облигации]</t>
  </si>
  <si>
    <t>4B02-01-00811-R-001P</t>
  </si>
  <si>
    <t>RU000A109SX9</t>
  </si>
  <si>
    <t>Садко 1P1</t>
  </si>
  <si>
    <t>СамарОбл14 [МБ ФР: Т+: Корпоративные облигации]</t>
  </si>
  <si>
    <t>RU35014SAM0</t>
  </si>
  <si>
    <t>RU000A0ZZ9P8</t>
  </si>
  <si>
    <t>СамарОбл14</t>
  </si>
  <si>
    <t>СамарОбл15 [МБ ФР: Т+: Корпоративные облигации]</t>
  </si>
  <si>
    <t>RU35015SAM0</t>
  </si>
  <si>
    <t>RU000A1020L5</t>
  </si>
  <si>
    <t>СамарОбл15</t>
  </si>
  <si>
    <t>Самокат01 [МБ ФР: Т+: Корпоративные облигации]</t>
  </si>
  <si>
    <t>4B02-01-00133-L</t>
  </si>
  <si>
    <t>RU000A107PE9</t>
  </si>
  <si>
    <t>Самокат01</t>
  </si>
  <si>
    <t>Самокат02 [МБ ФР: Т+: Корпоративные облигации]</t>
  </si>
  <si>
    <t>4B02-02-00133-L</t>
  </si>
  <si>
    <t>RU000A109R50</t>
  </si>
  <si>
    <t>Самокат02</t>
  </si>
  <si>
    <t>Самолет 01 [МБ ФР: Т+: Корпоративные облигации]</t>
  </si>
  <si>
    <t>4-01-36522-R</t>
  </si>
  <si>
    <t>RU000A0JWYJ0</t>
  </si>
  <si>
    <t>Самолет 01</t>
  </si>
  <si>
    <t>Самолет1P4 [МБ ФР: Т+: Корпоративные облигации]</t>
  </si>
  <si>
    <t>4B02-04-16493-A-001P</t>
  </si>
  <si>
    <t>RU000A0ZZZZ2</t>
  </si>
  <si>
    <t>Самолет1P4</t>
  </si>
  <si>
    <t>Самолет1P5 [МБ ФР: Т+: Корпоративные облигации]</t>
  </si>
  <si>
    <t>4B02-05-16493-A-001P</t>
  </si>
  <si>
    <t>RU000A100Q50</t>
  </si>
  <si>
    <t>Самолет1P5</t>
  </si>
  <si>
    <t>Самолет1P6 [МБ ФР: Т+: Корпоративные облигации]</t>
  </si>
  <si>
    <t>4B02-06-16493-A-001P</t>
  </si>
  <si>
    <t>RU000A100QA0</t>
  </si>
  <si>
    <t>Самолет1P6</t>
  </si>
  <si>
    <t>СамолетP11 [МБ ФР: Т+: Корпоративные облигации]</t>
  </si>
  <si>
    <t>4B02-11-16493-A-001P</t>
  </si>
  <si>
    <t>RU000A104JQ3</t>
  </si>
  <si>
    <t>СамолетP11</t>
  </si>
  <si>
    <t>СамолетP12 [МБ ФР: Т+: Корпоративные облигации]</t>
  </si>
  <si>
    <t>4B02-12-16493-A-001P</t>
  </si>
  <si>
    <t>СамолетP13 [МБ ФР: Т+: Корпоративные облигации]</t>
  </si>
  <si>
    <t>4B02-13-16493-A-001P</t>
  </si>
  <si>
    <t>RU000A107RZ0</t>
  </si>
  <si>
    <t>СамолетP13</t>
  </si>
  <si>
    <t>СамолетP14 [МБ ФР: Т+: Корпоративные облигации]</t>
  </si>
  <si>
    <t>4B02-14-16493-A-001P</t>
  </si>
  <si>
    <t>RU000A1095L7</t>
  </si>
  <si>
    <t>СамолетP14</t>
  </si>
  <si>
    <t>СамолетP15 [МБ ФР: Т+: Корпоративные облигации]</t>
  </si>
  <si>
    <t>4B02-15-16493-A-001P</t>
  </si>
  <si>
    <t>RU000A109874</t>
  </si>
  <si>
    <t>СамолетP15</t>
  </si>
  <si>
    <t>СбКИБ1P10 [МБ ФР: Т+: Корпоративные облигации]</t>
  </si>
  <si>
    <t>6-10-01793-A-001P</t>
  </si>
  <si>
    <t>RU000A109H37</t>
  </si>
  <si>
    <t>СбКИБ1P10</t>
  </si>
  <si>
    <t>Сбер Sb20R [МБ ФР: Т+: Корпоративные облигации]</t>
  </si>
  <si>
    <t>4B02-371-01481-B-001P</t>
  </si>
  <si>
    <t>RU000A102FQ5</t>
  </si>
  <si>
    <t>Сбер Sb20R</t>
  </si>
  <si>
    <t>Сбер Sb25R [МБ ФР: Т+: Корпоративные облигации]</t>
  </si>
  <si>
    <t>4B02-442-01481-B-001P</t>
  </si>
  <si>
    <t>RU000A102YG7</t>
  </si>
  <si>
    <t>Сбер Sb25R</t>
  </si>
  <si>
    <t>Сбер Sb26R [МБ ФР: Т+: Корпоративные облигации]</t>
  </si>
  <si>
    <t>4B02-443-01481-B-001P</t>
  </si>
  <si>
    <t>RU000A102YH5</t>
  </si>
  <si>
    <t>Сбер Sb26R</t>
  </si>
  <si>
    <t>Сбер Sb27R [МБ ФР: Т+: Корпоративные облигации]</t>
  </si>
  <si>
    <t>4B02-459-01481-B-001P</t>
  </si>
  <si>
    <t>RU000A103661</t>
  </si>
  <si>
    <t>Сбер Sb27R</t>
  </si>
  <si>
    <t>Сбер Sb28R [МБ ФР: Т+: Корпоративные облигации]</t>
  </si>
  <si>
    <t>4B02-460-01481-B-001P</t>
  </si>
  <si>
    <t>RU000A1038U8</t>
  </si>
  <si>
    <t>Сбер Sb28R</t>
  </si>
  <si>
    <t>Сбер Sb29R [МБ ФР: Т+: Корпоративные облигации]</t>
  </si>
  <si>
    <t>4B02-474-01481-B-001P</t>
  </si>
  <si>
    <t>RU000A103G42</t>
  </si>
  <si>
    <t>Сбер Sb29R</t>
  </si>
  <si>
    <t>Сбер Sb30R [МБ ФР: Т+: Корпоративные облигации]</t>
  </si>
  <si>
    <t>4B02-475-01481-B-001P</t>
  </si>
  <si>
    <t>RU000A103G59</t>
  </si>
  <si>
    <t>Сбер Sb30R</t>
  </si>
  <si>
    <t>Сбер Sb34R [МБ ФР: Т+: Корпоративные облигации]</t>
  </si>
  <si>
    <t>4B02-478-01481-B-001P</t>
  </si>
  <si>
    <t>RU000A103H66</t>
  </si>
  <si>
    <t>Сбер Sb34R</t>
  </si>
  <si>
    <t>Сбер Sb36R [МБ ФР: Т+: Корпоративные облигации]</t>
  </si>
  <si>
    <t>4B02-507-01481-B-001P</t>
  </si>
  <si>
    <t>RU000A103YV4</t>
  </si>
  <si>
    <t>Сбер Sb36R</t>
  </si>
  <si>
    <t>Сбер Sb38R [МБ ФР: Т+: Корпоративные облигации]</t>
  </si>
  <si>
    <t>4B02-511-01481-B-001P</t>
  </si>
  <si>
    <t>RU000A1040J7</t>
  </si>
  <si>
    <t>Сбер Sb38R</t>
  </si>
  <si>
    <t>Сбер Sb39R [МБ ФР: Т+: Корпоративные облигации]</t>
  </si>
  <si>
    <t>4B02-514-01481-B-001P</t>
  </si>
  <si>
    <t>RU000A1040Y6</t>
  </si>
  <si>
    <t>Сбер Sb39R</t>
  </si>
  <si>
    <t>Сбер Sb42R [МБ ФР: Т+: Корпоративные облигации]</t>
  </si>
  <si>
    <t>4B02-582-01481-B-001P</t>
  </si>
  <si>
    <t>RU000A105SD9</t>
  </si>
  <si>
    <t>Сбер Sb42R</t>
  </si>
  <si>
    <t>Сбер Sb44R [МБ ФР: Т+: Корпоративные облигации]</t>
  </si>
  <si>
    <t>4B02-02-01481-B-002P</t>
  </si>
  <si>
    <t>RU000A1069P3</t>
  </si>
  <si>
    <t>Сбер Sb44R</t>
  </si>
  <si>
    <t>Сбер Sb47R [МБ ФР: Т+: Корпоративные облигации]</t>
  </si>
  <si>
    <t>4B02-05-01481-B-002P</t>
  </si>
  <si>
    <t>RU000A1092X9</t>
  </si>
  <si>
    <t>Сбер Sb47R</t>
  </si>
  <si>
    <t>Сбер Sb48R [МБ ФР: Т+: Корпоративные облигации]</t>
  </si>
  <si>
    <t>4B02-06-01481-B-002P</t>
  </si>
  <si>
    <t>RU000A10A3L4</t>
  </si>
  <si>
    <t>Сбер Sb48R</t>
  </si>
  <si>
    <t>Сбер SbD1R [МБ ФР: Т+: Корпоративные облигации]</t>
  </si>
  <si>
    <t>4B02-481-01481-B-001P</t>
  </si>
  <si>
    <t>RU000A103KG4</t>
  </si>
  <si>
    <t>Сбер SbD1R</t>
  </si>
  <si>
    <t>Сбер SbD2R [МБ ФР: Т+: Корпоративные облигации]</t>
  </si>
  <si>
    <t>4B02-679-01481-B-001P</t>
  </si>
  <si>
    <t>RU000A109LG9</t>
  </si>
  <si>
    <t>Сбер SbD2R</t>
  </si>
  <si>
    <t>Сбер SbD3R [МБ ФР: Т+: Корпоративные облигации]</t>
  </si>
  <si>
    <t>4B02-686-01481-B-001P</t>
  </si>
  <si>
    <t>RU000A109X37</t>
  </si>
  <si>
    <t>Сбер SbD3R</t>
  </si>
  <si>
    <t>Сбер2СУБ2R [МБ ФР: Т+: Корпоративные облигации]</t>
  </si>
  <si>
    <t>4-02-01481-B-002P</t>
  </si>
  <si>
    <t>RU000A102HC1</t>
  </si>
  <si>
    <t>Сбер2СУБ2R</t>
  </si>
  <si>
    <t>Сбер2СУБ3R [МБ ФР: Т+: Корпоративные облигации]</t>
  </si>
  <si>
    <t>4-03-01481-B-002P</t>
  </si>
  <si>
    <t>RU000A103Q24</t>
  </si>
  <si>
    <t>Сбер2СУБ3R</t>
  </si>
  <si>
    <t>СберИОС119 [МБ ФР: Т+: Корпоративные облигации]</t>
  </si>
  <si>
    <t>4B0211601481B001P</t>
  </si>
  <si>
    <t>RU000A100MZ6</t>
  </si>
  <si>
    <t>СберИОС119</t>
  </si>
  <si>
    <t>СберИОС171 [МБ ФР: Т+: Корпоративные облигации]</t>
  </si>
  <si>
    <t>4B0216901481B001P</t>
  </si>
  <si>
    <t>RU000A1011F6</t>
  </si>
  <si>
    <t>СберИОС171</t>
  </si>
  <si>
    <t>СберИОС172 [МБ ФР: Т+: Корпоративные облигации]</t>
  </si>
  <si>
    <t>4B0217001481B001P</t>
  </si>
  <si>
    <t>RU000A1011H2</t>
  </si>
  <si>
    <t>СберИОС172</t>
  </si>
  <si>
    <t>СберИОС180 [МБ ФР: Т+: Корпоративные облигации]</t>
  </si>
  <si>
    <t>4B0217901481B001P</t>
  </si>
  <si>
    <t>RU000A101400</t>
  </si>
  <si>
    <t>СберИОС180</t>
  </si>
  <si>
    <t>СберИОС181 [МБ ФР: Т+: Корпоративные облигации]</t>
  </si>
  <si>
    <t>4B0218601481B001P</t>
  </si>
  <si>
    <t>RU000A101640</t>
  </si>
  <si>
    <t>СберИОС181</t>
  </si>
  <si>
    <t>СберИОС182 [МБ ФР: Т+: Корпоративные облигации]</t>
  </si>
  <si>
    <t>4B0218501481B001P</t>
  </si>
  <si>
    <t>RU000A101657</t>
  </si>
  <si>
    <t>СберИОС182</t>
  </si>
  <si>
    <t>СберИОС187 [МБ ФР: Т+: Корпоративные облигации]</t>
  </si>
  <si>
    <t>4B0219001481B001P</t>
  </si>
  <si>
    <t>RU000A1017Q0</t>
  </si>
  <si>
    <t>СберИОС187</t>
  </si>
  <si>
    <t>СберИОС188 [МБ ФР: Т+: Корпоративные облигации]</t>
  </si>
  <si>
    <t>4B0218901481B001P</t>
  </si>
  <si>
    <t>RU000A1017R8</t>
  </si>
  <si>
    <t>СберИОС188</t>
  </si>
  <si>
    <t>СберИОС206 [МБ ФР: Т+: Корпоративные облигации]</t>
  </si>
  <si>
    <t>4B0221601481B001P</t>
  </si>
  <si>
    <t>RU000A101C48</t>
  </si>
  <si>
    <t>СберИОС206</t>
  </si>
  <si>
    <t>СберИОС207 [МБ ФР: Т+: Корпоративные облигации]</t>
  </si>
  <si>
    <t>4B0221701481B001P</t>
  </si>
  <si>
    <t>RU000A101C14</t>
  </si>
  <si>
    <t>СберИОС207</t>
  </si>
  <si>
    <t>СберИОС208 [МБ ФР: Т+: Корпоративные облигации]</t>
  </si>
  <si>
    <t>4B0220801481B001P</t>
  </si>
  <si>
    <t>RU000A101D62</t>
  </si>
  <si>
    <t>СберИОС208</t>
  </si>
  <si>
    <t>СберИОС210 [МБ ФР: Т+: Корпоративные облигации]</t>
  </si>
  <si>
    <t>4B0221001481B001P</t>
  </si>
  <si>
    <t>RU000A101DR0</t>
  </si>
  <si>
    <t>СберИОС210</t>
  </si>
  <si>
    <t>СберИОС211 [МБ ФР: Т+: Корпоративные облигации]</t>
  </si>
  <si>
    <t>4B0221101481B001P</t>
  </si>
  <si>
    <t>RU000A101FQ7</t>
  </si>
  <si>
    <t>СберИОС211</t>
  </si>
  <si>
    <t>СберИОС212 [МБ ФР: Т+: Корпоративные облигации]</t>
  </si>
  <si>
    <t>4B0221201481B001P</t>
  </si>
  <si>
    <t>RU000A101CY8</t>
  </si>
  <si>
    <t>СберИОС212</t>
  </si>
  <si>
    <t>СберИОС213 [МБ ФР: Т+: Корпоративные облигации]</t>
  </si>
  <si>
    <t>4B0221301481B001P</t>
  </si>
  <si>
    <t>RU000A101EL1</t>
  </si>
  <si>
    <t>СберИОС213</t>
  </si>
  <si>
    <t>СберИОС214 [МБ ФР: Т+: Корпоративные облигации]</t>
  </si>
  <si>
    <t>4B0221401481B001P</t>
  </si>
  <si>
    <t>RU000A101EB2</t>
  </si>
  <si>
    <t>СберИОС214</t>
  </si>
  <si>
    <t>СберИОС215 [МБ ФР: Т+: Корпоративные облигации]</t>
  </si>
  <si>
    <t>4B0221501481B001P</t>
  </si>
  <si>
    <t>RU000A101ED8</t>
  </si>
  <si>
    <t>СберИОС215</t>
  </si>
  <si>
    <t>СберИОС217 [МБ ФР: Т+: Корпоративные облигации]</t>
  </si>
  <si>
    <t>4B02-220-01481-B-001P</t>
  </si>
  <si>
    <t>RU000A101FD5</t>
  </si>
  <si>
    <t>СберИОС217</t>
  </si>
  <si>
    <t>СберИОС218 [МБ ФР: Т+: Корпоративные облигации]</t>
  </si>
  <si>
    <t>4B02-230-01481-B-001P</t>
  </si>
  <si>
    <t>RU000A101HH2</t>
  </si>
  <si>
    <t>СберИОС218</t>
  </si>
  <si>
    <t>СберИОС219 [МБ ФР: Т+: Корпоративные облигации]</t>
  </si>
  <si>
    <t>4B02-231-01481-B-001P</t>
  </si>
  <si>
    <t>RU000A101HG4</t>
  </si>
  <si>
    <t>СберИОС219</t>
  </si>
  <si>
    <t>СберИОС224 [МБ ФР: Т+: Корпоративные облигации]</t>
  </si>
  <si>
    <t>4B02-226-01481-B-001P</t>
  </si>
  <si>
    <t>RU000A101GF8</t>
  </si>
  <si>
    <t>СберИОС224</t>
  </si>
  <si>
    <t>СберИОС226 [МБ ФР: Т+: Корпоративные облигации]</t>
  </si>
  <si>
    <t>4B02-224-01481-B-001P</t>
  </si>
  <si>
    <t>RU000A101GP7</t>
  </si>
  <si>
    <t>СберИОС226</t>
  </si>
  <si>
    <t>СберИОС229 [МБ ФР: Т+: Корпоративные облигации]</t>
  </si>
  <si>
    <t>4B02-234-01481-B-001P</t>
  </si>
  <si>
    <t>RU000A101JW7</t>
  </si>
  <si>
    <t>СберИОС229</t>
  </si>
  <si>
    <t>СберИОС230 [МБ ФР: Т+: Корпоративные облигации]</t>
  </si>
  <si>
    <t>4B02-229-01481-B-001P</t>
  </si>
  <si>
    <t>RU000A101GT9</t>
  </si>
  <si>
    <t>СберИОС230</t>
  </si>
  <si>
    <t>СберИОС231 [МБ ФР: Т+: Корпоративные облигации]</t>
  </si>
  <si>
    <t>4B02-233-01481-B-001P</t>
  </si>
  <si>
    <t>RU000A101HK6</t>
  </si>
  <si>
    <t>СберИОС231</t>
  </si>
  <si>
    <t>СберИОС232 [МБ ФР: Т+: Корпоративные облигации]</t>
  </si>
  <si>
    <t>4B02-237-01481-B-001P</t>
  </si>
  <si>
    <t>RU000A101J41</t>
  </si>
  <si>
    <t>СберИОС232</t>
  </si>
  <si>
    <t>СберИОС233 [МБ ФР: Т+: Корпоративные облигации]</t>
  </si>
  <si>
    <t>4B02-236-01481-B-001P</t>
  </si>
  <si>
    <t>RU000A101J58</t>
  </si>
  <si>
    <t>СберИОС233</t>
  </si>
  <si>
    <t>СберИОС241 [МБ ФР: Т+: Корпоративные облигации]</t>
  </si>
  <si>
    <t>4B02-251-01481-B-001P</t>
  </si>
  <si>
    <t>RU000A101LU7</t>
  </si>
  <si>
    <t>СберИОС241</t>
  </si>
  <si>
    <t>СберИОС242 [МБ ФР: Т+: Корпоративные облигации]</t>
  </si>
  <si>
    <t>4B02-241-01481-B-001P</t>
  </si>
  <si>
    <t>RU000A101KH6</t>
  </si>
  <si>
    <t>СберИОС242</t>
  </si>
  <si>
    <t>СберИОС244 [МБ ФР: Т+: Корпоративные облигации]</t>
  </si>
  <si>
    <t>4B02-243-01481-B-001P</t>
  </si>
  <si>
    <t>RU000A101KF0</t>
  </si>
  <si>
    <t>СберИОС244</t>
  </si>
  <si>
    <t>СберИОС245 [МБ ФР: Т+: Корпоративные облигации]</t>
  </si>
  <si>
    <t>4B02-249-01481-B-001P</t>
  </si>
  <si>
    <t>RU000A101LB7</t>
  </si>
  <si>
    <t>СберИОС245</t>
  </si>
  <si>
    <t>СберИОС248 [МБ ФР: Т+: Корпоративные облигации]</t>
  </si>
  <si>
    <t>4B02-250-01481-B-001P</t>
  </si>
  <si>
    <t>RU000A101LT9</t>
  </si>
  <si>
    <t>СберИОС248</t>
  </si>
  <si>
    <t>СберИОС250 [МБ ФР: Т+: Корпоративные облигации]</t>
  </si>
  <si>
    <t>4B02-247-01481-B-001P</t>
  </si>
  <si>
    <t>RU000A101L21</t>
  </si>
  <si>
    <t>СберИОС250</t>
  </si>
  <si>
    <t>СберИОС252 [МБ ФР: Т+: Корпоративные облигации]</t>
  </si>
  <si>
    <t>4B02-252-01481-B-001P</t>
  </si>
  <si>
    <t>RU000A101LF8</t>
  </si>
  <si>
    <t>СберИОС252</t>
  </si>
  <si>
    <t>СберИОС253 [МБ ФР: Т+: Корпоративные облигации]</t>
  </si>
  <si>
    <t>4B02-253-01481-B-001P</t>
  </si>
  <si>
    <t>RU000A101MH2</t>
  </si>
  <si>
    <t>СберИОС253</t>
  </si>
  <si>
    <t>СберИОС256 [МБ ФР: Т+: Корпоративные облигации]</t>
  </si>
  <si>
    <t>4B02-258-01481-B-001P</t>
  </si>
  <si>
    <t>RU000A101SS6</t>
  </si>
  <si>
    <t>СберИОС256</t>
  </si>
  <si>
    <t>СберИОС257 [МБ ФР: Т+: Корпоративные облигации]</t>
  </si>
  <si>
    <t>4B02-262-01481-B-001P</t>
  </si>
  <si>
    <t>RU000A101QJ9</t>
  </si>
  <si>
    <t>СберИОС257</t>
  </si>
  <si>
    <t>СберИОС264 [МБ ФР: Т+: Корпоративные облигации]</t>
  </si>
  <si>
    <t>4B02-276-01481-B-001P</t>
  </si>
  <si>
    <t>RU000A101T31</t>
  </si>
  <si>
    <t>СберИОС264</t>
  </si>
  <si>
    <t>СберИОС265 [МБ ФР: Т+: Корпоративные облигации]</t>
  </si>
  <si>
    <t>4B02-274-01481-B-001P</t>
  </si>
  <si>
    <t>RU000A101SW8</t>
  </si>
  <si>
    <t>СберИОС265</t>
  </si>
  <si>
    <t>СберИОС270 [МБ ФР: Т+: Корпоративные облигации]</t>
  </si>
  <si>
    <t>4B02-270-01481-B-001P</t>
  </si>
  <si>
    <t>RU000A101QX0</t>
  </si>
  <si>
    <t>СберИОС270</t>
  </si>
  <si>
    <t>СберИОС272 [МБ ФР: Т+: Корпоративные облигации]</t>
  </si>
  <si>
    <t>4B02-265-01481-B-001P</t>
  </si>
  <si>
    <t>RU000A101QV4</t>
  </si>
  <si>
    <t>СберИОС272</t>
  </si>
  <si>
    <t>СберИОС273 [МБ ФР: Т+: Корпоративные облигации]</t>
  </si>
  <si>
    <t>4B02-266-01481-B-001P</t>
  </si>
  <si>
    <t>RU000A101QY8</t>
  </si>
  <si>
    <t>СберИОС273</t>
  </si>
  <si>
    <t>СберИОС274 [МБ ФР: Т+: Корпоративные облигации]</t>
  </si>
  <si>
    <t>4B02-272-01481-B-001P</t>
  </si>
  <si>
    <t>RU000A101S32</t>
  </si>
  <si>
    <t>СберИОС274</t>
  </si>
  <si>
    <t>СберИОС276 [МБ ФР: Т+: Корпоративные облигации]</t>
  </si>
  <si>
    <t>4B02-289-01481-B-001P</t>
  </si>
  <si>
    <t>RU000A101W28</t>
  </si>
  <si>
    <t>СберИОС276</t>
  </si>
  <si>
    <t>СберИОС277 [МБ ФР: Т+: Корпоративные облигации]</t>
  </si>
  <si>
    <t>4B02-290-01481-B-001P</t>
  </si>
  <si>
    <t>RU000A101W36</t>
  </si>
  <si>
    <t>СберИОС277</t>
  </si>
  <si>
    <t>СберИОС279 [МБ ФР: Т+: Корпоративные облигации]</t>
  </si>
  <si>
    <t>4B02-277-01481-B-001P</t>
  </si>
  <si>
    <t>RU000A101T23</t>
  </si>
  <si>
    <t>СберИОС279</t>
  </si>
  <si>
    <t>СберИОС280 [МБ ФР: Т+: Корпоративные облигации]</t>
  </si>
  <si>
    <t>4B02-279-01481-B-001P</t>
  </si>
  <si>
    <t>RU000A101TZ9</t>
  </si>
  <si>
    <t>СберИОС280</t>
  </si>
  <si>
    <t>СберИОС282 [МБ ФР: Т+: Корпоративные облигации]</t>
  </si>
  <si>
    <t>4B02-281-01481-B-001P</t>
  </si>
  <si>
    <t>RU000A101UZ7</t>
  </si>
  <si>
    <t>СберИОС282</t>
  </si>
  <si>
    <t>СберИОС283 [МБ ФР: Т+: Корпоративные облигации]</t>
  </si>
  <si>
    <t>4B02-282-01481-B-001P</t>
  </si>
  <si>
    <t>RU000A101V11</t>
  </si>
  <si>
    <t>СберИОС283</t>
  </si>
  <si>
    <t>СберИОС285 [МБ ФР: Т+: Корпоративные облигации]</t>
  </si>
  <si>
    <t>4B02-284-01481-B-001P</t>
  </si>
  <si>
    <t>RU000A101VL5</t>
  </si>
  <si>
    <t>СберИОС285</t>
  </si>
  <si>
    <t>СберИОС286 [МБ ФР: Т+: Корпоративные облигации]</t>
  </si>
  <si>
    <t>4B02-285-01481-B-001P</t>
  </si>
  <si>
    <t>RU000A101VK7</t>
  </si>
  <si>
    <t>СберИОС286</t>
  </si>
  <si>
    <t>СберИОС287 [МБ ФР: Т+: Корпоративные облигации]</t>
  </si>
  <si>
    <t>4B02-291-01481-B-001P</t>
  </si>
  <si>
    <t>RU000A101WT6</t>
  </si>
  <si>
    <t>СберИОС287</t>
  </si>
  <si>
    <t>СберИОС288 [МБ ФР: Т+: Корпоративные облигации]</t>
  </si>
  <si>
    <t>4B02-286-01481-B-001P</t>
  </si>
  <si>
    <t>RU000A101VS0</t>
  </si>
  <si>
    <t>СберИОС288</t>
  </si>
  <si>
    <t>СберИОС291 [МБ ФР: Т+: Корпоративные облигации]</t>
  </si>
  <si>
    <t>4B02-295-01481-B-001P</t>
  </si>
  <si>
    <t>RU000A101Y83</t>
  </si>
  <si>
    <t>СберИОС291</t>
  </si>
  <si>
    <t>СберИОС292 [МБ ФР: Т+: Корпоративные облигации]</t>
  </si>
  <si>
    <t>4B02-292-01481-B-001P</t>
  </si>
  <si>
    <t>RU000A101WG3</t>
  </si>
  <si>
    <t>СберИОС292</t>
  </si>
  <si>
    <t>СберИОС293 [МБ ФР: Т+: Корпоративные облигации]</t>
  </si>
  <si>
    <t>4B02-298-01481-B-001P</t>
  </si>
  <si>
    <t>RU000A101ZQ5</t>
  </si>
  <si>
    <t>СберИОС293</t>
  </si>
  <si>
    <t>СберИОС294 [МБ ФР: Т+: Корпоративные облигации]</t>
  </si>
  <si>
    <t>4B02-301-01481-B-001P</t>
  </si>
  <si>
    <t>RU000A101ZV5</t>
  </si>
  <si>
    <t>СберИОС294</t>
  </si>
  <si>
    <t>СберИОС295 [МБ ФР: Т+: Корпоративные облигации]</t>
  </si>
  <si>
    <t>4B02-293-01481-B-001P</t>
  </si>
  <si>
    <t>RU000A101WV2</t>
  </si>
  <si>
    <t>СберИОС295</t>
  </si>
  <si>
    <t>СберИОС296 [МБ ФР: Т+: Корпоративные облигации]</t>
  </si>
  <si>
    <t>4B02-294-01481-B-001P</t>
  </si>
  <si>
    <t>RU000A101WU4</t>
  </si>
  <si>
    <t>СберИОС296</t>
  </si>
  <si>
    <t>СберИОС297 [МБ ФР: Т+: Корпоративные облигации]</t>
  </si>
  <si>
    <t>4B02-296-01481-B-001P</t>
  </si>
  <si>
    <t>RU000A101Y75</t>
  </si>
  <si>
    <t>СберИОС297</t>
  </si>
  <si>
    <t>СберИОС298 [МБ ФР: Т+: Корпоративные облигации]</t>
  </si>
  <si>
    <t>4B02-297-01481-B-001P</t>
  </si>
  <si>
    <t>RU000A101YG9</t>
  </si>
  <si>
    <t>СберИОС298</t>
  </si>
  <si>
    <t>СберИОС301 [МБ ФР: Т+: Корпоративные облигации]</t>
  </si>
  <si>
    <t>4B02-304-01481-B-001P</t>
  </si>
  <si>
    <t>RU000A101ZR3</t>
  </si>
  <si>
    <t>СберИОС301</t>
  </si>
  <si>
    <t>СберИОС302 [МБ ФР: Т+: Корпоративные облигации]</t>
  </si>
  <si>
    <t>4B02-303-01481-B-001P</t>
  </si>
  <si>
    <t>RU000A101ZS1</t>
  </si>
  <si>
    <t>СберИОС302</t>
  </si>
  <si>
    <t>СберИОС304 [МБ ФР: Т+: Корпоративные облигации]</t>
  </si>
  <si>
    <t>4B02-306-01481-B-001P</t>
  </si>
  <si>
    <t>RU000A1020F7</t>
  </si>
  <si>
    <t>СберИОС304</t>
  </si>
  <si>
    <t>СберИОС305 [МБ ФР: Т+: Корпоративные облигации]</t>
  </si>
  <si>
    <t>4B02-310-01481-B-001P</t>
  </si>
  <si>
    <t>RU000A1021M1</t>
  </si>
  <si>
    <t>СберИОС305</t>
  </si>
  <si>
    <t>СберИОС306 [МБ ФР: Т+: Корпоративные облигации]</t>
  </si>
  <si>
    <t>4B02-311-01481-B-001P</t>
  </si>
  <si>
    <t>RU000A1021N9</t>
  </si>
  <si>
    <t>СберИОС306</t>
  </si>
  <si>
    <t>СберИОС307 [МБ ФР: Т+: Корпоративные облигации]</t>
  </si>
  <si>
    <t>4B02-323-01481-B-001P</t>
  </si>
  <si>
    <t>RU000A102358</t>
  </si>
  <si>
    <t>СберИОС307</t>
  </si>
  <si>
    <t>СберИОС308 [МБ ФР: Т+: Корпоративные облигации]</t>
  </si>
  <si>
    <t>4B02-324-01481-B-001P</t>
  </si>
  <si>
    <t>RU000A102341</t>
  </si>
  <si>
    <t>СберИОС308</t>
  </si>
  <si>
    <t>СберИОС309 [МБ ФР: Т+: Корпоративные облигации]</t>
  </si>
  <si>
    <t>4B02-312-01481-B-001P</t>
  </si>
  <si>
    <t>RU000A1021P4</t>
  </si>
  <si>
    <t>СберИОС309</t>
  </si>
  <si>
    <t>СберИОС310 [МБ ФР: Т+: Корпоративные облигации]</t>
  </si>
  <si>
    <t>4B02-313-01481-B-001P</t>
  </si>
  <si>
    <t>RU000A1021Q2</t>
  </si>
  <si>
    <t>СберИОС310</t>
  </si>
  <si>
    <t>СберИОС311 [МБ ФР: Т+: Корпоративные облигации]</t>
  </si>
  <si>
    <t>4B02-308-01481-B-001P</t>
  </si>
  <si>
    <t>RU000A102168</t>
  </si>
  <si>
    <t>СберИОС311</t>
  </si>
  <si>
    <t>СберИОС312 [МБ ФР: Т+: Корпоративные облигации]</t>
  </si>
  <si>
    <t>4B02-309-01481-B-001P</t>
  </si>
  <si>
    <t>RU000A102176</t>
  </si>
  <si>
    <t>СберИОС312</t>
  </si>
  <si>
    <t>СберИОС314 [МБ ФР: Т+: Корпоративные облигации]</t>
  </si>
  <si>
    <t>4B02-307-01481-B-001P</t>
  </si>
  <si>
    <t>RU000A1020G5</t>
  </si>
  <si>
    <t>СберИОС314</t>
  </si>
  <si>
    <t>СберИОС315 [МБ ФР: Т+: Корпоративные облигации]</t>
  </si>
  <si>
    <t>4B02-314-01481-B-001P</t>
  </si>
  <si>
    <t>RU000A102242</t>
  </si>
  <si>
    <t>СберИОС315</t>
  </si>
  <si>
    <t>СберИОС316 [МБ ФР: Т+: Корпоративные облигации]</t>
  </si>
  <si>
    <t>4B02-315-01481-B-001P</t>
  </si>
  <si>
    <t>RU000A102259</t>
  </si>
  <si>
    <t>СберИОС316</t>
  </si>
  <si>
    <t>СберИОС318 [МБ ФР: Т+: Корпоративные облигации]</t>
  </si>
  <si>
    <t>4B02-319-01481-B-001P</t>
  </si>
  <si>
    <t>RU000A1022N7</t>
  </si>
  <si>
    <t>СберИОС318</t>
  </si>
  <si>
    <t>СберИОС319 [МБ ФР: Т+: Корпоративные облигации]</t>
  </si>
  <si>
    <t>4B02-325-01481-B-001P</t>
  </si>
  <si>
    <t>RU000A1023Z9</t>
  </si>
  <si>
    <t>СберИОС319</t>
  </si>
  <si>
    <t>СберИОС320 [МБ ФР: Т+: Корпоративные облигации]</t>
  </si>
  <si>
    <t>4B02-318-01481-B-001P</t>
  </si>
  <si>
    <t>RU000A102283</t>
  </si>
  <si>
    <t>СберИОС320</t>
  </si>
  <si>
    <t>СберИОС321 [МБ ФР: Т+: Корпоративные облигации]</t>
  </si>
  <si>
    <t>4B02-326-01481-B-001P</t>
  </si>
  <si>
    <t>RU000A102416</t>
  </si>
  <si>
    <t>СберИОС321</t>
  </si>
  <si>
    <t>СберИОС323 [МБ ФР: Т+: Корпоративные облигации]</t>
  </si>
  <si>
    <t>4B02-327-01481-B-001P</t>
  </si>
  <si>
    <t>RU000A1023X4</t>
  </si>
  <si>
    <t>СберИОС323</t>
  </si>
  <si>
    <t>СберИОС324 [МБ ФР: Т+: Корпоративные облигации]</t>
  </si>
  <si>
    <t>4B02-328-01481-B-001P</t>
  </si>
  <si>
    <t>RU000A1023Y2</t>
  </si>
  <si>
    <t>СберИОС324</t>
  </si>
  <si>
    <t>СберИОС327 [МБ ФР: Т+: Корпоративные облигации]</t>
  </si>
  <si>
    <t>4B02-321-01481-B-001P</t>
  </si>
  <si>
    <t>RU000A1022R8</t>
  </si>
  <si>
    <t>СберИОС327</t>
  </si>
  <si>
    <t>СберИОС329 [МБ ФР: Т+: Корпоративные облигации]</t>
  </si>
  <si>
    <t>4B02-329-01481-B-001P</t>
  </si>
  <si>
    <t>RU000A1024N3</t>
  </si>
  <si>
    <t>СберИОС329</t>
  </si>
  <si>
    <t>СберИОС330 [МБ ФР: Т+: Корпоративные облигации]</t>
  </si>
  <si>
    <t>4B02-331-01481-B-001P</t>
  </si>
  <si>
    <t>RU000A1024T0</t>
  </si>
  <si>
    <t>СберИОС330</t>
  </si>
  <si>
    <t>СберИОС331 [МБ ФР: Т+: Корпоративные облигации]</t>
  </si>
  <si>
    <t>4B02-332-01481-B-001P</t>
  </si>
  <si>
    <t>RU000A1025J8</t>
  </si>
  <si>
    <t>СберИОС331</t>
  </si>
  <si>
    <t>СберИОС332 [МБ ФР: Т+: Корпоративные облигации]</t>
  </si>
  <si>
    <t>4B02-341-01481-B-001P</t>
  </si>
  <si>
    <t>RU000A1026E7</t>
  </si>
  <si>
    <t>СберИОС332</t>
  </si>
  <si>
    <t>СберИОС333 [МБ ФР: Т+: Корпоративные облигации]</t>
  </si>
  <si>
    <t>4B02-354-01481-B-001P</t>
  </si>
  <si>
    <t>RU000A1029C5</t>
  </si>
  <si>
    <t>СберИОС333</t>
  </si>
  <si>
    <t>СберИОС336 [МБ ФР: Т+: Корпоративные облигации]</t>
  </si>
  <si>
    <t>4B02-333-01481-B-001P</t>
  </si>
  <si>
    <t>RU000A1025L4</t>
  </si>
  <si>
    <t>СберИОС336</t>
  </si>
  <si>
    <t>СберИОС338 [МБ ФР: Т+: Корпоративные облигации]</t>
  </si>
  <si>
    <t>4B02-339-01481-B-001P</t>
  </si>
  <si>
    <t>RU000A102614</t>
  </si>
  <si>
    <t>СберИОС338</t>
  </si>
  <si>
    <t>СберИОС340 [МБ ФР: Т+: Корпоративные облигации]</t>
  </si>
  <si>
    <t>4B02-340-01481-B-001P</t>
  </si>
  <si>
    <t>RU000A102622</t>
  </si>
  <si>
    <t>СберИОС340</t>
  </si>
  <si>
    <t>СберИОС341 [МБ ФР: Т+: Корпоративные облигации]</t>
  </si>
  <si>
    <t>4B02-344-01481-B-001P</t>
  </si>
  <si>
    <t>RU000A1026M0</t>
  </si>
  <si>
    <t>СберИОС341</t>
  </si>
  <si>
    <t>СберИОС342 [МБ ФР: Т+: Корпоративные облигации]</t>
  </si>
  <si>
    <t>4B02-342-01481-B-001P</t>
  </si>
  <si>
    <t>RU000A1026N8</t>
  </si>
  <si>
    <t>СберИОС342</t>
  </si>
  <si>
    <t>СберИОС343 [МБ ФР: Т+: Корпоративные облигации]</t>
  </si>
  <si>
    <t>4B02-343-01481-B-001P</t>
  </si>
  <si>
    <t>RU000A1026P3</t>
  </si>
  <si>
    <t>СберИОС343</t>
  </si>
  <si>
    <t>СберИОС345 [МБ ФР: Т+: Корпоративные облигации]</t>
  </si>
  <si>
    <t>4B02-336-01481-B-001P</t>
  </si>
  <si>
    <t>RU000A1025R1</t>
  </si>
  <si>
    <t>СберИОС345</t>
  </si>
  <si>
    <t>СберИОС346 [МБ ФР: Т+: Корпоративные облигации]</t>
  </si>
  <si>
    <t>4B02-337-01481-B-001P</t>
  </si>
  <si>
    <t>RU000A1025S9</t>
  </si>
  <si>
    <t>СберИОС346</t>
  </si>
  <si>
    <t>СберИОС348 [МБ ФР: Т+: Корпоративные облигации]</t>
  </si>
  <si>
    <t>4B02-346-01481-B-001P</t>
  </si>
  <si>
    <t>RU000A1027A3</t>
  </si>
  <si>
    <t>СберИОС348</t>
  </si>
  <si>
    <t>СберИОС349 [МБ ФР: Т+: Корпоративные облигации]</t>
  </si>
  <si>
    <t>4B02-347-01481-B-001P</t>
  </si>
  <si>
    <t>RU000A1027B1</t>
  </si>
  <si>
    <t>СберИОС349</t>
  </si>
  <si>
    <t>СберИОС351 [МБ ФР: Т+: Корпоративные облигации]</t>
  </si>
  <si>
    <t>4B02-355-01481-B-001P</t>
  </si>
  <si>
    <t>RU000A1029E1</t>
  </si>
  <si>
    <t>СберИОС351</t>
  </si>
  <si>
    <t>СберИОС352 [МБ ФР: Т+: Корпоративные облигации]</t>
  </si>
  <si>
    <t>4B02-356-01481-B-001P</t>
  </si>
  <si>
    <t>RU000A102A64</t>
  </si>
  <si>
    <t>СберИОС352</t>
  </si>
  <si>
    <t>СберИОС353 [МБ ФР: Т+: Корпоративные облигации]</t>
  </si>
  <si>
    <t>4B02-357-01481-B-001P</t>
  </si>
  <si>
    <t>RU000A102A56</t>
  </si>
  <si>
    <t>СберИОС353</t>
  </si>
  <si>
    <t>СберИОС354 [МБ ФР: Т+: Корпоративные облигации]</t>
  </si>
  <si>
    <t>4B02-352-01481-B-001P</t>
  </si>
  <si>
    <t>RU000A1028J2</t>
  </si>
  <si>
    <t>СберИОС354</t>
  </si>
  <si>
    <t>СберИОС355 [МБ ФР: Т+: Корпоративные облигации]</t>
  </si>
  <si>
    <t>4B02-353-01481-B-001P</t>
  </si>
  <si>
    <t>RU000A1028K0</t>
  </si>
  <si>
    <t>СберИОС355</t>
  </si>
  <si>
    <t>СберИОС356 [МБ ФР: Т+: Корпоративные облигации]</t>
  </si>
  <si>
    <t>4B02-367-01481-B-001P</t>
  </si>
  <si>
    <t>RU000A102BE0</t>
  </si>
  <si>
    <t>СберИОС356</t>
  </si>
  <si>
    <t>СберИОС357 [МБ ФР: Т+: Корпоративные облигации]</t>
  </si>
  <si>
    <t>4B02-358-01481-B-001P</t>
  </si>
  <si>
    <t>RU000A1029R3</t>
  </si>
  <si>
    <t>СберИОС357</t>
  </si>
  <si>
    <t>СберИОС358 [МБ ФР: Т+: Корпоративные облигации]</t>
  </si>
  <si>
    <t>4B02-376-01481-B-001P</t>
  </si>
  <si>
    <t>RU000A102C88</t>
  </si>
  <si>
    <t>СберИОС358</t>
  </si>
  <si>
    <t>СберИОС359 [МБ ФР: Т+: Корпоративные облигации]</t>
  </si>
  <si>
    <t>4B02-359-01481-B-001P</t>
  </si>
  <si>
    <t>RU000A1029Q5</t>
  </si>
  <si>
    <t>СберИОС359</t>
  </si>
  <si>
    <t>СберИОС360 [МБ ФР: Т+: Корпоративные облигации]</t>
  </si>
  <si>
    <t>4B02-360-01481-B-001P</t>
  </si>
  <si>
    <t>RU000A1029S1</t>
  </si>
  <si>
    <t>СберИОС360</t>
  </si>
  <si>
    <t>СберИОС363 [МБ ФР: Т+: Корпоративные облигации]</t>
  </si>
  <si>
    <t>4B02-377-01481-B-001P</t>
  </si>
  <si>
    <t>RU000A102C96</t>
  </si>
  <si>
    <t>СберИОС363</t>
  </si>
  <si>
    <t>СберИОС364 [МБ ФР: Т+: Корпоративные облигации]</t>
  </si>
  <si>
    <t>4B02-378-01481-B-001P</t>
  </si>
  <si>
    <t>RU000A102CA6</t>
  </si>
  <si>
    <t>СберИОС364</t>
  </si>
  <si>
    <t>СберИОС366 [МБ ФР: Т+: Корпоративные облигации]</t>
  </si>
  <si>
    <t>4B02-363-01481-B-001P</t>
  </si>
  <si>
    <t>RU000A102A72</t>
  </si>
  <si>
    <t>СберИОС366</t>
  </si>
  <si>
    <t>СберИОС367 [МБ ФР: Т+: Корпоративные облигации]</t>
  </si>
  <si>
    <t>4B02-364-01481-B-001P</t>
  </si>
  <si>
    <t>RU000A102A80</t>
  </si>
  <si>
    <t>СберИОС367</t>
  </si>
  <si>
    <t>СберИОС368 [МБ ФР: Т+: Корпоративные облигации]</t>
  </si>
  <si>
    <t>4B02-379-01481-B-001P</t>
  </si>
  <si>
    <t>RU000A102D38</t>
  </si>
  <si>
    <t>СберИОС368</t>
  </si>
  <si>
    <t>СберИОС369 [МБ ФР: Т+: Корпоративные облигации]</t>
  </si>
  <si>
    <t>4B02-380-01481-B-001P</t>
  </si>
  <si>
    <t>RU000A102D87</t>
  </si>
  <si>
    <t>СберИОС369</t>
  </si>
  <si>
    <t>СберИОС370 [МБ ФР: Т+: Корпоративные облигации]</t>
  </si>
  <si>
    <t>4B02-383-01481-B-001P</t>
  </si>
  <si>
    <t>RU000A102DG1</t>
  </si>
  <si>
    <t>СберИОС370</t>
  </si>
  <si>
    <t>СберИОС373 [МБ ФР: Т+: Корпоративные облигации]</t>
  </si>
  <si>
    <t>4B02-372-01481-B-001P</t>
  </si>
  <si>
    <t>RU000A102BZ5</t>
  </si>
  <si>
    <t>СберИОС373</t>
  </si>
  <si>
    <t>СберИОС374 [МБ ФР: Т+: Корпоративные облигации]</t>
  </si>
  <si>
    <t>4B02-373-01481-B-001P</t>
  </si>
  <si>
    <t>RU000A102C13</t>
  </si>
  <si>
    <t>СберИОС374</t>
  </si>
  <si>
    <t>СберИОС375 [МБ ФР: Т+: Корпоративные облигации]</t>
  </si>
  <si>
    <t>4B02-374-01481-B-001P</t>
  </si>
  <si>
    <t>RU000A102BR2</t>
  </si>
  <si>
    <t>СберИОС375</t>
  </si>
  <si>
    <t>СберИОС376 [МБ ФР: Т+: Корпоративные облигации]</t>
  </si>
  <si>
    <t>4B02-375-01481-B-001P</t>
  </si>
  <si>
    <t>RU000A102BS0</t>
  </si>
  <si>
    <t>СберИОС376</t>
  </si>
  <si>
    <t>СберИОС377 [МБ ФР: Т+: Корпоративные облигации]</t>
  </si>
  <si>
    <t>4B02-389-01481-B-001P</t>
  </si>
  <si>
    <t>RU000A102FL6</t>
  </si>
  <si>
    <t>СберИОС377</t>
  </si>
  <si>
    <t>СберИОС378 [МБ ФР: Т+: Корпоративные облигации]</t>
  </si>
  <si>
    <t>4B02-384-01481-B-001P</t>
  </si>
  <si>
    <t>RU000A102DF3</t>
  </si>
  <si>
    <t>СберИОС378</t>
  </si>
  <si>
    <t>СберИОС379 [МБ ФР: Т+: Корпоративные облигации]</t>
  </si>
  <si>
    <t>4B02-385-01481-B-001P</t>
  </si>
  <si>
    <t>RU000A102DV0</t>
  </si>
  <si>
    <t>СберИОС379</t>
  </si>
  <si>
    <t>СберИОС380 [МБ ФР: Т+: Корпоративные облигации]</t>
  </si>
  <si>
    <t>4B02-381-01481-B-001P</t>
  </si>
  <si>
    <t>RU000A102D53</t>
  </si>
  <si>
    <t>СберИОС380</t>
  </si>
  <si>
    <t>СберИОС382 [МБ ФР: Т+: Корпоративные облигации]</t>
  </si>
  <si>
    <t>4B02-382-01481-B-001P</t>
  </si>
  <si>
    <t>RU000A102D61</t>
  </si>
  <si>
    <t>СберИОС382</t>
  </si>
  <si>
    <t>СберИОС383 [МБ ФР: Т+: Корпоративные облигации]</t>
  </si>
  <si>
    <t>4B02-390-01481-B-001P</t>
  </si>
  <si>
    <t>RU000A102G76</t>
  </si>
  <si>
    <t>СберИОС383</t>
  </si>
  <si>
    <t>СберИОС384 [МБ ФР: Т+: Корпоративные облигации]</t>
  </si>
  <si>
    <t>4B02-391-01481-B-001P</t>
  </si>
  <si>
    <t>RU000A102GG4</t>
  </si>
  <si>
    <t>СберИОС384</t>
  </si>
  <si>
    <t>СберИОС385 [МБ ФР: Т+: Корпоративные облигации]</t>
  </si>
  <si>
    <t>4B02-392-01481-B-001P</t>
  </si>
  <si>
    <t>RU000A102GH2</t>
  </si>
  <si>
    <t>СберИОС385</t>
  </si>
  <si>
    <t>СберИОС386 [МБ ФР: Т+: Корпоративные облигации]</t>
  </si>
  <si>
    <t>4B02-400-01481-B-001P</t>
  </si>
  <si>
    <t>RU000A102HH0</t>
  </si>
  <si>
    <t>СберИОС386</t>
  </si>
  <si>
    <t>СберИОС387 [МБ ФР: Т+: Корпоративные облигации]</t>
  </si>
  <si>
    <t>4B02-401-01481-B-001P</t>
  </si>
  <si>
    <t>RU000A102HK4</t>
  </si>
  <si>
    <t>СберИОС387</t>
  </si>
  <si>
    <t>СберИОС389 [МБ ФР: Т+: Корпоративные облигации]</t>
  </si>
  <si>
    <t>4B02-393-01481-B-001P</t>
  </si>
  <si>
    <t>RU000A102GL4</t>
  </si>
  <si>
    <t>СберИОС389</t>
  </si>
  <si>
    <t>СберИОС390 [МБ ФР: Т+: Корпоративные облигации]</t>
  </si>
  <si>
    <t>4B02-394-01481-B-001P</t>
  </si>
  <si>
    <t>RU000A102GM2</t>
  </si>
  <si>
    <t>СберИОС390</t>
  </si>
  <si>
    <t>СберИОС391 [МБ ФР: Т+: Корпоративные облигации]</t>
  </si>
  <si>
    <t>4B02-395-01481-B-001P</t>
  </si>
  <si>
    <t>RU000A102GN0</t>
  </si>
  <si>
    <t>СберИОС391</t>
  </si>
  <si>
    <t>СберИОС392 [МБ ФР: Т+: Корпоративные облигации]</t>
  </si>
  <si>
    <t>4B02-396-01481-B-001P</t>
  </si>
  <si>
    <t>RU000A102GP5</t>
  </si>
  <si>
    <t>СберИОС392</t>
  </si>
  <si>
    <t>СберИОС393 [МБ ФР: Т+: Корпоративные облигации]</t>
  </si>
  <si>
    <t>4B02-397-01481-B-001P</t>
  </si>
  <si>
    <t>RU000A102GQ3</t>
  </si>
  <si>
    <t>СберИОС393</t>
  </si>
  <si>
    <t>СберИОС394 [МБ ФР: Т+: Корпоративные облигации]</t>
  </si>
  <si>
    <t>4B02-398-01481-B-001P</t>
  </si>
  <si>
    <t>RU000A102GR1</t>
  </si>
  <si>
    <t>СберИОС394</t>
  </si>
  <si>
    <t>СберИОС396 [МБ ФР: Т+: Корпоративные облигации]</t>
  </si>
  <si>
    <t>4B02-399-01481-B-001P</t>
  </si>
  <si>
    <t>RU000A102GZ4</t>
  </si>
  <si>
    <t>СберИОС396</t>
  </si>
  <si>
    <t>СберИОС399 [МБ ФР: Т+: Корпоративные облигации]</t>
  </si>
  <si>
    <t>4B02-405-01481-B-001P</t>
  </si>
  <si>
    <t>RU000A102JW5</t>
  </si>
  <si>
    <t>СберИОС399</t>
  </si>
  <si>
    <t>СберИОС401 [МБ ФР: Т+: Корпоративные облигации]</t>
  </si>
  <si>
    <t>4B02-407-01481-B-001P</t>
  </si>
  <si>
    <t>RU000A103968</t>
  </si>
  <si>
    <t>СберИОС401</t>
  </si>
  <si>
    <t>СберИОС402 [МБ ФР: Т+: Корпоративные облигации]</t>
  </si>
  <si>
    <t>4B02-408-01481-B-001P</t>
  </si>
  <si>
    <t>RU000A103JQ5</t>
  </si>
  <si>
    <t>СберИОС402</t>
  </si>
  <si>
    <t>СберИОС404 [МБ ФР: Т+: Корпоративные облигации]</t>
  </si>
  <si>
    <t>4B02-410-01481-B-001P</t>
  </si>
  <si>
    <t>RU000A102WA4</t>
  </si>
  <si>
    <t>СберИОС404</t>
  </si>
  <si>
    <t>СберИОС405 [МБ ФР: Т+: Корпоративные облигации]</t>
  </si>
  <si>
    <t>4B02-411-01481-B-001P</t>
  </si>
  <si>
    <t>RU000A103281</t>
  </si>
  <si>
    <t>СберИОС405</t>
  </si>
  <si>
    <t>СберИОС408 [МБ ФР: Т+: Корпоративные облигации]</t>
  </si>
  <si>
    <t>4B02-414-01481-B-001P</t>
  </si>
  <si>
    <t>RU000A104Y31</t>
  </si>
  <si>
    <t>СберИОС408</t>
  </si>
  <si>
    <t>СберИОС409 [МБ ФР: Т+: Корпоративные облигации]</t>
  </si>
  <si>
    <t>4B02-415-01481-B-001P</t>
  </si>
  <si>
    <t>RU000A103TL5</t>
  </si>
  <si>
    <t>СберИОС409</t>
  </si>
  <si>
    <t>СберИОС410 [МБ ФР: Т+: Корпоративные облигации]</t>
  </si>
  <si>
    <t>4B02-416-01481-B-001P</t>
  </si>
  <si>
    <t>RU000A102V69</t>
  </si>
  <si>
    <t>СберИОС410</t>
  </si>
  <si>
    <t>СберИОС412 [МБ ФР: Т+: Корпоративные облигации]</t>
  </si>
  <si>
    <t>4B02-418-01481-B-001P</t>
  </si>
  <si>
    <t>RU000A1031G2</t>
  </si>
  <si>
    <t>СберИОС412</t>
  </si>
  <si>
    <t>СберИОС413 [МБ ФР: Т+: Корпоративные облигации]</t>
  </si>
  <si>
    <t>4B02-419-01481-B-001P</t>
  </si>
  <si>
    <t>RU000A102UC4</t>
  </si>
  <si>
    <t>СберИОС413</t>
  </si>
  <si>
    <t>СберИОС414 [МБ ФР: Т+: Корпоративные облигации]</t>
  </si>
  <si>
    <t>4B02-420-01481-B-001P</t>
  </si>
  <si>
    <t>RU000A102RA4</t>
  </si>
  <si>
    <t>СберИОС414</t>
  </si>
  <si>
    <t>СберИОС416 [МБ ФР: Т+: Корпоративные облигации]</t>
  </si>
  <si>
    <t>4B02-422-01481-B-001P</t>
  </si>
  <si>
    <t>RU000A103976</t>
  </si>
  <si>
    <t>СберИОС416</t>
  </si>
  <si>
    <t>СберИОС417 [МБ ФР: Т+: Корпоративные облигации]</t>
  </si>
  <si>
    <t>4B02-423-01481-B-001P</t>
  </si>
  <si>
    <t>RU000A102RC0</t>
  </si>
  <si>
    <t>СберИОС417</t>
  </si>
  <si>
    <t>СберИОС418 [МБ ФР: Т+: Корпоративные облигации]</t>
  </si>
  <si>
    <t>4B02-424-01481-B-001P</t>
  </si>
  <si>
    <t>RU000A103TN1</t>
  </si>
  <si>
    <t>СберИОС418</t>
  </si>
  <si>
    <t>СберИОС419 [МБ ФР: Т+: Корпоративные облигации]</t>
  </si>
  <si>
    <t>4B02-425-01481-B-001P</t>
  </si>
  <si>
    <t>RU000A102RD8</t>
  </si>
  <si>
    <t>СберИОС419</t>
  </si>
  <si>
    <t>СберИОС420 [МБ ФР: Т+: Корпоративные облигации]</t>
  </si>
  <si>
    <t>4B02-426-01481-B-001P</t>
  </si>
  <si>
    <t>RU000A102SU0</t>
  </si>
  <si>
    <t>СберИОС420</t>
  </si>
  <si>
    <t>СберИОС421 [МБ ФР: Т+: Корпоративные облигации]</t>
  </si>
  <si>
    <t>4B02-427-01481-B-001P</t>
  </si>
  <si>
    <t>RU000A102RE6</t>
  </si>
  <si>
    <t>СберИОС421</t>
  </si>
  <si>
    <t>СберИОС423 [МБ ФР: Т+: Корпоративные облигации]</t>
  </si>
  <si>
    <t>4B02-433-01481-B-001P</t>
  </si>
  <si>
    <t>RU000A102TD4</t>
  </si>
  <si>
    <t>СберИОС423</t>
  </si>
  <si>
    <t>СберИОС425 [МБ ФР: Т+: Корпоративные облигации]</t>
  </si>
  <si>
    <t>4B02-434-01481-B-001P</t>
  </si>
  <si>
    <t>RU000A102TH5</t>
  </si>
  <si>
    <t>СберИОС425</t>
  </si>
  <si>
    <t>СберИОС426 [МБ ФР: Т+: Корпоративные облигации]</t>
  </si>
  <si>
    <t>4B02-435-01481-B-001P</t>
  </si>
  <si>
    <t>RU000A102VD0</t>
  </si>
  <si>
    <t>СберИОС426</t>
  </si>
  <si>
    <t>СберИОС429 [МБ ФР: Т+: Корпоративные облигации]</t>
  </si>
  <si>
    <t>4B02-439-01481-B-001P</t>
  </si>
  <si>
    <t>RU000A102WB2</t>
  </si>
  <si>
    <t>СберИОС429</t>
  </si>
  <si>
    <t>СберИОС430 [МБ ФР: Т+: Корпоративные облигации]</t>
  </si>
  <si>
    <t>4B02-438-01481-B-001P</t>
  </si>
  <si>
    <t>RU000A102W50</t>
  </si>
  <si>
    <t>СберИОС430</t>
  </si>
  <si>
    <t>СберИОС431 [МБ ФР: Т+: Корпоративные облигации]</t>
  </si>
  <si>
    <t>4B02-440-01481-B-001P</t>
  </si>
  <si>
    <t>RU000A102WC0</t>
  </si>
  <si>
    <t>СберИОС431</t>
  </si>
  <si>
    <t>СберИОС432 [МБ ФР: Т+: Корпоративные облигации]</t>
  </si>
  <si>
    <t>4B02-441-01481-B-001P</t>
  </si>
  <si>
    <t>RU000A102X26</t>
  </si>
  <si>
    <t>СберИОС432</t>
  </si>
  <si>
    <t>СберИОС433 [МБ ФР: Т+: Корпоративные облигации]</t>
  </si>
  <si>
    <t>4B02-444-01481-B-001P</t>
  </si>
  <si>
    <t>RU000A102ZZ4</t>
  </si>
  <si>
    <t>СберИОС433</t>
  </si>
  <si>
    <t>СберИОС435 [МБ ФР: Т+: Корпоративные облигации]</t>
  </si>
  <si>
    <t>4B02-464-01481-B-001P</t>
  </si>
  <si>
    <t>RU000A103AM3</t>
  </si>
  <si>
    <t>СберИОС435</t>
  </si>
  <si>
    <t>СберИОС436 [МБ ФР: Т+: Корпоративные облигации]</t>
  </si>
  <si>
    <t>4B02-451-01481-B-001P</t>
  </si>
  <si>
    <t>RU000A1032N6</t>
  </si>
  <si>
    <t>СберИОС436</t>
  </si>
  <si>
    <t>СберИОС437 [МБ ФР: Т+: Корпоративные облигации]</t>
  </si>
  <si>
    <t>4B02-449-01481-B-001P</t>
  </si>
  <si>
    <t>RU000A103273</t>
  </si>
  <si>
    <t>СберИОС437</t>
  </si>
  <si>
    <t>СберИОС438 [МБ ФР: Т+: Корпоративные облигации]</t>
  </si>
  <si>
    <t>4B02-452-01481-B-001P</t>
  </si>
  <si>
    <t>RU000A1032K2</t>
  </si>
  <si>
    <t>СберИОС438</t>
  </si>
  <si>
    <t>СберИОС439 [МБ ФР: Т+: Корпоративные облигации]</t>
  </si>
  <si>
    <t>4B02-450-01481-B-001P</t>
  </si>
  <si>
    <t>RU000A1032C9</t>
  </si>
  <si>
    <t>СберИОС439</t>
  </si>
  <si>
    <t>СберИОС440 [МБ ФР: Т+: Корпоративные облигации]</t>
  </si>
  <si>
    <t>4B02-453-01481-B-001P</t>
  </si>
  <si>
    <t>RU000A1032L0</t>
  </si>
  <si>
    <t>СберИОС440</t>
  </si>
  <si>
    <t>СберИОС442 [МБ ФР: Т+: Корпоративные облигации]</t>
  </si>
  <si>
    <t>4B02-448-01481-B-001P</t>
  </si>
  <si>
    <t>RU000A103216</t>
  </si>
  <si>
    <t>СберИОС442</t>
  </si>
  <si>
    <t>СберИОС445 [МБ ФР: Т+: Корпоративные облигации]</t>
  </si>
  <si>
    <t>4B02-455-01481-B-001P</t>
  </si>
  <si>
    <t>RU000A103539</t>
  </si>
  <si>
    <t>СберИОС445</t>
  </si>
  <si>
    <t>СберИОС446 [МБ ФР: Т+: Корпоративные облигации]</t>
  </si>
  <si>
    <t>4B02-457-01481-B-001P</t>
  </si>
  <si>
    <t>RU000A103588</t>
  </si>
  <si>
    <t>СберИОС446</t>
  </si>
  <si>
    <t>СберИОС447 [МБ ФР: Т+: Корпоративные облигации]</t>
  </si>
  <si>
    <t>4B02-458-01481-B-001P</t>
  </si>
  <si>
    <t>RU000A103596</t>
  </si>
  <si>
    <t>СберИОС447</t>
  </si>
  <si>
    <t>СберИОС449 [МБ ФР: Т+: Корпоративные облигации]</t>
  </si>
  <si>
    <t>4B02-465-01481-B-001P</t>
  </si>
  <si>
    <t>RU000A103AP6</t>
  </si>
  <si>
    <t>СберИОС449</t>
  </si>
  <si>
    <t>СберИОС450 [МБ ФР: Т+: Корпоративные облигации]</t>
  </si>
  <si>
    <t>4B02-461-01481-B-001P</t>
  </si>
  <si>
    <t>RU000A103AF7</t>
  </si>
  <si>
    <t>СберИОС450</t>
  </si>
  <si>
    <t>СберИОС454 [МБ ФР: Т+: Корпоративные облигации]</t>
  </si>
  <si>
    <t>4B02-467-01481-B-001P</t>
  </si>
  <si>
    <t>RU000A103C87</t>
  </si>
  <si>
    <t>СберИОС454</t>
  </si>
  <si>
    <t>СберИОС455 [МБ ФР: Т+: Корпоративные облигации]</t>
  </si>
  <si>
    <t>4B02-468-01481-B-001P</t>
  </si>
  <si>
    <t>RU000A103CP2</t>
  </si>
  <si>
    <t>СберИОС455</t>
  </si>
  <si>
    <t>СберИОС456 [МБ ФР: Т+: Корпоративные облигации]</t>
  </si>
  <si>
    <t>4B02-469-01481-B-001P</t>
  </si>
  <si>
    <t>RU000A103CR8</t>
  </si>
  <si>
    <t>СберИОС456</t>
  </si>
  <si>
    <t>СберИОС457 [МБ ФР: Т+: Корпоративные облигации]</t>
  </si>
  <si>
    <t>4B02-470-01481-B-001P</t>
  </si>
  <si>
    <t>RU000A103F92</t>
  </si>
  <si>
    <t>СберИОС457</t>
  </si>
  <si>
    <t>СберИОС458 [МБ ФР: Т+: Корпоративные облигации]</t>
  </si>
  <si>
    <t>4B02-471-01481-B-001P</t>
  </si>
  <si>
    <t>RU000A103FA7</t>
  </si>
  <si>
    <t>СберИОС458</t>
  </si>
  <si>
    <t>СберИОС460 [МБ ФР: Т+: Корпоративные облигации]</t>
  </si>
  <si>
    <t>4B02-473-01481-B-001P</t>
  </si>
  <si>
    <t>RU000A103FM2</t>
  </si>
  <si>
    <t>СберИОС460</t>
  </si>
  <si>
    <t>СберИОС461 [МБ ФР: Т+: Корпоративные облигации]</t>
  </si>
  <si>
    <t>4B02-479-01481-B-001P</t>
  </si>
  <si>
    <t>RU000A103HE5</t>
  </si>
  <si>
    <t>СберИОС461</t>
  </si>
  <si>
    <t>СберИОС462 [МБ ФР: Т+: Корпоративные облигации]</t>
  </si>
  <si>
    <t>4B02-480-01481-B-001P</t>
  </si>
  <si>
    <t>RU000A103JB7</t>
  </si>
  <si>
    <t>СберИОС462</t>
  </si>
  <si>
    <t>СберИОС463 [МБ ФР: Т+: Корпоративные облигации]</t>
  </si>
  <si>
    <t>4B02-482-01481-B-001P</t>
  </si>
  <si>
    <t>RU000A103LD9</t>
  </si>
  <si>
    <t>СберИОС463</t>
  </si>
  <si>
    <t>СберИОС464 [МБ ФР: Т+: Корпоративные облигации]</t>
  </si>
  <si>
    <t>4B02-483-01481-B-001P</t>
  </si>
  <si>
    <t>RU000A103LE7</t>
  </si>
  <si>
    <t>СберИОС464</t>
  </si>
  <si>
    <t>СберИОС465 [МБ ФР: Т+: Корпоративные облигации]</t>
  </si>
  <si>
    <t>4B02-484-01481-B-001P</t>
  </si>
  <si>
    <t>RU000A103LF4</t>
  </si>
  <si>
    <t>СберИОС465</t>
  </si>
  <si>
    <t>СберИОС467 [МБ ФР: Т+: Корпоративные облигации]</t>
  </si>
  <si>
    <t>4B02-486-01481-B-001P</t>
  </si>
  <si>
    <t>RU000A103MW7</t>
  </si>
  <si>
    <t>СберИОС467</t>
  </si>
  <si>
    <t>СберИОС468 [МБ ФР: Т+: Корпоративные облигации]</t>
  </si>
  <si>
    <t>4B02-487-01481-B-001P</t>
  </si>
  <si>
    <t>RU000A103P25</t>
  </si>
  <si>
    <t>СберИОС468</t>
  </si>
  <si>
    <t>СберИОС469 [МБ ФР: Т+: Корпоративные облигации]</t>
  </si>
  <si>
    <t>4B02-488-01481-B-001P</t>
  </si>
  <si>
    <t>RU000A103PF5</t>
  </si>
  <si>
    <t>СберИОС469</t>
  </si>
  <si>
    <t>СберИОС470 [МБ ФР: Т+: Корпоративные облигации]</t>
  </si>
  <si>
    <t>4B02-489-01481-B-001P</t>
  </si>
  <si>
    <t>RU000A103PH1</t>
  </si>
  <si>
    <t>СберИОС470</t>
  </si>
  <si>
    <t>СберИОС471 [МБ ФР: Т+: Корпоративные облигации]</t>
  </si>
  <si>
    <t>4B02-490-01481-B-001P</t>
  </si>
  <si>
    <t>RU000A103RU0</t>
  </si>
  <si>
    <t>СберИОС471</t>
  </si>
  <si>
    <t>СберИОС472 [МБ ФР: Т+: Корпоративные облигации]</t>
  </si>
  <si>
    <t>4B02-491-01481-B-001P</t>
  </si>
  <si>
    <t>RU000A103RV8</t>
  </si>
  <si>
    <t>СберИОС472</t>
  </si>
  <si>
    <t>СберИОС473 [МБ ФР: Т+: Корпоративные облигации]</t>
  </si>
  <si>
    <t>4B02-492-01481-B-001P</t>
  </si>
  <si>
    <t>RU000A103RW6</t>
  </si>
  <si>
    <t>СберИОС473</t>
  </si>
  <si>
    <t>СберИОС476 [МБ ФР: Т+: Корпоративные облигации]</t>
  </si>
  <si>
    <t>4B02-494-01481-B-001P</t>
  </si>
  <si>
    <t>RU000A103UP4</t>
  </si>
  <si>
    <t>СберИОС476</t>
  </si>
  <si>
    <t>СберИОС477 [МБ ФР: Т+: Корпоративные облигации]</t>
  </si>
  <si>
    <t>4B02-495-01481-B-001P</t>
  </si>
  <si>
    <t>RU000A103UQ2</t>
  </si>
  <si>
    <t>СберИОС477</t>
  </si>
  <si>
    <t>СберИОС478 [МБ ФР: Т+: Корпоративные облигации]</t>
  </si>
  <si>
    <t>4B02-496-01481-B-001P</t>
  </si>
  <si>
    <t>RU000A103UR0</t>
  </si>
  <si>
    <t>СберИОС478</t>
  </si>
  <si>
    <t>СберИОС479 [МБ ФР: Т+: Корпоративные облигации]</t>
  </si>
  <si>
    <t>4B02-498-01481-B-001P</t>
  </si>
  <si>
    <t>RU000A103VP2</t>
  </si>
  <si>
    <t>СберИОС479</t>
  </si>
  <si>
    <t>СберИОС480 [МБ ФР: Т+: Корпоративные облигации]</t>
  </si>
  <si>
    <t>4B02-499-01481-B-001P</t>
  </si>
  <si>
    <t>RU000A103VQ0</t>
  </si>
  <si>
    <t>СберИОС480</t>
  </si>
  <si>
    <t>СберИОС481 [МБ ФР: Т+: Корпоративные облигации]</t>
  </si>
  <si>
    <t>4B02-501-01481-B-001P</t>
  </si>
  <si>
    <t>RU000A103X90</t>
  </si>
  <si>
    <t>СберИОС481</t>
  </si>
  <si>
    <t>СберИОС482 [МБ ФР: Т+: Корпоративные облигации]</t>
  </si>
  <si>
    <t>4B02-503-01481-B-001P</t>
  </si>
  <si>
    <t>RU000A103Y16</t>
  </si>
  <si>
    <t>СберИОС482</t>
  </si>
  <si>
    <t>СберИОС483 [МБ ФР: Т+: Корпоративные облигации]</t>
  </si>
  <si>
    <t>4B02-504-01481-B-001P</t>
  </si>
  <si>
    <t>RU000A103Y32</t>
  </si>
  <si>
    <t>СберИОС483</t>
  </si>
  <si>
    <t>СберИОС484 [МБ ФР: Т+: Корпоративные облигации]</t>
  </si>
  <si>
    <t>4B02-505-01481-B-001P</t>
  </si>
  <si>
    <t>RU000A103Y40</t>
  </si>
  <si>
    <t>СберИОС484</t>
  </si>
  <si>
    <t>СберИОС485 [МБ ФР: Т+: Корпоративные облигации]</t>
  </si>
  <si>
    <t>4B02-506-01481-B-001P</t>
  </si>
  <si>
    <t>RU000A103Y57</t>
  </si>
  <si>
    <t>СберИОС485</t>
  </si>
  <si>
    <t>СберИОС486 [МБ ФР: Т+: Корпоративные облигации]</t>
  </si>
  <si>
    <t>4B02-509-01481-B-001P</t>
  </si>
  <si>
    <t>RU000A103ZJ6</t>
  </si>
  <si>
    <t>СберИОС486</t>
  </si>
  <si>
    <t>СберИОС488 [МБ ФР: Т+: Корпоративные облигации]</t>
  </si>
  <si>
    <t>4B02-512-01481-B-001P</t>
  </si>
  <si>
    <t>RU000A1040T6</t>
  </si>
  <si>
    <t>СберИОС488</t>
  </si>
  <si>
    <t>СберИОС489 [МБ ФР: Т+: Корпоративные облигации]</t>
  </si>
  <si>
    <t>4B02-513-01481-B-001P</t>
  </si>
  <si>
    <t>RU000A1040U4</t>
  </si>
  <si>
    <t>СберИОС489</t>
  </si>
  <si>
    <t>СберИОС490 [МБ ФР: Т+: Корпоративные облигации]</t>
  </si>
  <si>
    <t>4B02-516-01481-B-001P</t>
  </si>
  <si>
    <t>RU000A1041M9</t>
  </si>
  <si>
    <t>СберИОС490</t>
  </si>
  <si>
    <t>СберИОС491 [МБ ФР: Т+: Корпоративные облигации]</t>
  </si>
  <si>
    <t>4B02-515-01481-B-001P</t>
  </si>
  <si>
    <t>RU000A1041N7</t>
  </si>
  <si>
    <t>СберИОС491</t>
  </si>
  <si>
    <t>СберИОС492 [МБ ФР: Т+: Корпоративные облигации]</t>
  </si>
  <si>
    <t>4B02-517-01481-B-001P</t>
  </si>
  <si>
    <t>RU000A1043H5</t>
  </si>
  <si>
    <t>СберИОС492</t>
  </si>
  <si>
    <t>СберИОС493 [МБ ФР: Т+: Корпоративные облигации]</t>
  </si>
  <si>
    <t>4B02-523-01481-B-001P</t>
  </si>
  <si>
    <t>RU000A1045F4</t>
  </si>
  <si>
    <t>СберИОС493</t>
  </si>
  <si>
    <t>СберИОС494 [МБ ФР: Т+: Корпоративные облигации]</t>
  </si>
  <si>
    <t>4B02-518-01481-B-001P</t>
  </si>
  <si>
    <t>RU000A1044Z5</t>
  </si>
  <si>
    <t>СберИОС494</t>
  </si>
  <si>
    <t>СберИОС495 [МБ ФР: Т+: Корпоративные облигации]</t>
  </si>
  <si>
    <t>4B02-519-01481-B-001P</t>
  </si>
  <si>
    <t>RU000A1044Y8</t>
  </si>
  <si>
    <t>СберИОС495</t>
  </si>
  <si>
    <t>СберИОС496 [МБ ФР: Т+: Корпоративные облигации]</t>
  </si>
  <si>
    <t>4B02-520-01481-B-001P</t>
  </si>
  <si>
    <t>RU000A1044X0</t>
  </si>
  <si>
    <t>СберИОС496</t>
  </si>
  <si>
    <t>СберИОС497 [МБ ФР: Т+: Корпоративные облигации]</t>
  </si>
  <si>
    <t>4B02-521-01481-B-001P</t>
  </si>
  <si>
    <t>RU000A1044W2</t>
  </si>
  <si>
    <t>СберИОС497</t>
  </si>
  <si>
    <t>СберИОС498 [МБ ФР: Т+: Корпоративные облигации]</t>
  </si>
  <si>
    <t>4B02-522-01481-B-001P</t>
  </si>
  <si>
    <t>RU000A1044V4</t>
  </si>
  <si>
    <t>СберИОС498</t>
  </si>
  <si>
    <t>СберИОС499 [МБ ФР: Т+: Корпоративные облигации]</t>
  </si>
  <si>
    <t>4B02-524-01481-B-001P</t>
  </si>
  <si>
    <t>RU000A104644</t>
  </si>
  <si>
    <t>СберИОС499</t>
  </si>
  <si>
    <t>СберИОС500 [МБ ФР: Т+: Корпоративные облигации]</t>
  </si>
  <si>
    <t>4B02-529-01481-B-001P</t>
  </si>
  <si>
    <t>RU000A1047P9</t>
  </si>
  <si>
    <t>СберИОС500</t>
  </si>
  <si>
    <t>СберИОС501 [МБ ФР: Т+: Корпоративные облигации]</t>
  </si>
  <si>
    <t>4B02-528-01481-B-001P</t>
  </si>
  <si>
    <t>RU000A1047N4</t>
  </si>
  <si>
    <t>СберИОС501</t>
  </si>
  <si>
    <t>СберИОС502 [МБ ФР: Т+: Корпоративные облигации]</t>
  </si>
  <si>
    <t>4B02-527-01481-B-001P</t>
  </si>
  <si>
    <t>RU000A1047M6</t>
  </si>
  <si>
    <t>СберИОС502</t>
  </si>
  <si>
    <t>СберИОС503 [МБ ФР: Т+: Корпоративные облигации]</t>
  </si>
  <si>
    <t>4B02-526-01481-B-001P</t>
  </si>
  <si>
    <t>RU000A1047L8</t>
  </si>
  <si>
    <t>СберИОС503</t>
  </si>
  <si>
    <t>СберИОС504 [МБ ФР: Т+: Корпоративные облигации]</t>
  </si>
  <si>
    <t>4B02-531-01481-B-001P</t>
  </si>
  <si>
    <t>RU000A104A96</t>
  </si>
  <si>
    <t>СберИОС504</t>
  </si>
  <si>
    <t>СберИОС505 [МБ ФР: Т+: Корпоративные облигации]</t>
  </si>
  <si>
    <t>4B02-532-01481-B-001P</t>
  </si>
  <si>
    <t>RU000A104AE8</t>
  </si>
  <si>
    <t>СберИОС505</t>
  </si>
  <si>
    <t>СберИОС506 [МБ ФР: Т+: Корпоративные облигации]</t>
  </si>
  <si>
    <t>4B02-533-01481-B-001P</t>
  </si>
  <si>
    <t>RU000A104AF5</t>
  </si>
  <si>
    <t>СберИОС506</t>
  </si>
  <si>
    <t>СберИОС507 [МБ ФР: Т+: Корпоративные облигации]</t>
  </si>
  <si>
    <t>4B02-530-01481-B-001P</t>
  </si>
  <si>
    <t>RU000A1049R1</t>
  </si>
  <si>
    <t>СберИОС507</t>
  </si>
  <si>
    <t>СберИОС508 [МБ ФР: Т+: Корпоративные облигации]</t>
  </si>
  <si>
    <t>4B02-534-01481-B-001P</t>
  </si>
  <si>
    <t>RU000A104AG3</t>
  </si>
  <si>
    <t>СберИОС508</t>
  </si>
  <si>
    <t>СберИОС509 [МБ ФР: Т+: Корпоративные облигации]</t>
  </si>
  <si>
    <t>4B02-538-01481-B-001P</t>
  </si>
  <si>
    <t>RU000A104CY2</t>
  </si>
  <si>
    <t>СберИОС509</t>
  </si>
  <si>
    <t>СберИОС510 [МБ ФР: Т+: Корпоративные облигации]</t>
  </si>
  <si>
    <t>4B02-535-01481-B-001P</t>
  </si>
  <si>
    <t>RU000A104AH1</t>
  </si>
  <si>
    <t>СберИОС510</t>
  </si>
  <si>
    <t>СберИОС511 [МБ ФР: Т+: Корпоративные облигации]</t>
  </si>
  <si>
    <t>4B02-536-01481-B-001P</t>
  </si>
  <si>
    <t>RU000A104CR6</t>
  </si>
  <si>
    <t>СберИОС511</t>
  </si>
  <si>
    <t>СберИОС512 [МБ ФР: Т+: Корпоративные облигации]</t>
  </si>
  <si>
    <t>4B02-539-01481-B-001P</t>
  </si>
  <si>
    <t>RU000A104CZ9</t>
  </si>
  <si>
    <t>СберИОС512</t>
  </si>
  <si>
    <t>СберИОС513 [МБ ФР: Т+: Корпоративные облигации]</t>
  </si>
  <si>
    <t>4B02-537-01481-B-001P</t>
  </si>
  <si>
    <t>RU000A104CS4</t>
  </si>
  <si>
    <t>СберИОС513</t>
  </si>
  <si>
    <t>СберИОС514 [МБ ФР: Т+: Корпоративные облигации]</t>
  </si>
  <si>
    <t>4B02-540-01481-B-001P</t>
  </si>
  <si>
    <t>RU000A104ES0</t>
  </si>
  <si>
    <t>СберИОС514</t>
  </si>
  <si>
    <t>СберИОС515 [МБ ФР: Т+: Корпоративные облигации]</t>
  </si>
  <si>
    <t>4B02-541-01481-B-001P</t>
  </si>
  <si>
    <t>RU000A104FL2</t>
  </si>
  <si>
    <t>СберИОС515</t>
  </si>
  <si>
    <t>СберИОС516 [МБ ФР: Т+: Корпоративные облигации]</t>
  </si>
  <si>
    <t>4B02-542-01481-B-001P</t>
  </si>
  <si>
    <t>RU000A104FK4</t>
  </si>
  <si>
    <t>СберИОС516</t>
  </si>
  <si>
    <t>СберИОС518 [МБ ФР: Т+: Корпоративные облигации]</t>
  </si>
  <si>
    <t>4B02-544-01481-B-001P</t>
  </si>
  <si>
    <t>RU000A104FH0</t>
  </si>
  <si>
    <t>СберИОС518</t>
  </si>
  <si>
    <t>СберИОС522 [МБ ФР: Т+: Корпоративные облигации]</t>
  </si>
  <si>
    <t>4B02-548-01481-B-001P</t>
  </si>
  <si>
    <t>RU000A104H08</t>
  </si>
  <si>
    <t>СберИОС522</t>
  </si>
  <si>
    <t>СберИОС523 [МБ ФР: Т+: Корпоративные облигации]</t>
  </si>
  <si>
    <t>4B02-554-01481-B-001P</t>
  </si>
  <si>
    <t>RU000A104KX7</t>
  </si>
  <si>
    <t>СберИОС523</t>
  </si>
  <si>
    <t>СберИОС524 [МБ ФР: Т+: Корпоративные облигации]</t>
  </si>
  <si>
    <t>4B02-549-01481-B-001P</t>
  </si>
  <si>
    <t>RU000A104JY7</t>
  </si>
  <si>
    <t>СберИОС524</t>
  </si>
  <si>
    <t>СберИОС525 [МБ ФР: Т+: Корпоративные облигации]</t>
  </si>
  <si>
    <t>4B02-552-01481-B-001P</t>
  </si>
  <si>
    <t>RU000A104KK4</t>
  </si>
  <si>
    <t>СберИОС525</t>
  </si>
  <si>
    <t>СберИОС526 [МБ ФР: Т+: Корпоративные облигации]</t>
  </si>
  <si>
    <t>4B02-553-01481-B-001P</t>
  </si>
  <si>
    <t>RU000A104KL2</t>
  </si>
  <si>
    <t>СберИОС526</t>
  </si>
  <si>
    <t>СберИОС527 [МБ ФР: Т+: Корпоративные облигации]</t>
  </si>
  <si>
    <t>4B02-550-01481-B-001P</t>
  </si>
  <si>
    <t>RU000A104JX9</t>
  </si>
  <si>
    <t>СберИОС527</t>
  </si>
  <si>
    <t>СберИОС528 [МБ ФР: Т+: Корпоративные облигации]</t>
  </si>
  <si>
    <t>4B02-551-01481-B-001P</t>
  </si>
  <si>
    <t>RU000A104KE7</t>
  </si>
  <si>
    <t>СберИОС528</t>
  </si>
  <si>
    <t>СберИОС529 [МБ ФР: Т+: Корпоративные облигации]</t>
  </si>
  <si>
    <t>4B02-555-01481-B-001P</t>
  </si>
  <si>
    <t>RU000A104KY5</t>
  </si>
  <si>
    <t>СберИОС529</t>
  </si>
  <si>
    <t>СберИОС530 [МБ ФР: Т+: Корпоративные облигации]</t>
  </si>
  <si>
    <t>4B02-556-01481-B-001P</t>
  </si>
  <si>
    <t>RU000A104KZ2</t>
  </si>
  <si>
    <t>СберИОС530</t>
  </si>
  <si>
    <t>СберИОС531 [МБ ФР: Т+: Корпоративные облигации]</t>
  </si>
  <si>
    <t>4B02-557-01481-B-001P</t>
  </si>
  <si>
    <t>RU000A104L02</t>
  </si>
  <si>
    <t>СберИОС531</t>
  </si>
  <si>
    <t>СберИОС533 [МБ ФР: Т+: Корпоративные облигации]</t>
  </si>
  <si>
    <t>4B02-559-01481-B-001P</t>
  </si>
  <si>
    <t>RU000A105179</t>
  </si>
  <si>
    <t>СберИОС533</t>
  </si>
  <si>
    <t>СберИОС534 [МБ ФР: Т+: Корпоративные облигации]</t>
  </si>
  <si>
    <t>4B02-560-01481-B-001P</t>
  </si>
  <si>
    <t>RU000A105161</t>
  </si>
  <si>
    <t>СберИОС534</t>
  </si>
  <si>
    <t>СберИОС535 [МБ ФР: Т+: Корпоративные облигации]</t>
  </si>
  <si>
    <t>4B02-561-01481-B-001P</t>
  </si>
  <si>
    <t>RU000A105401</t>
  </si>
  <si>
    <t>СберИОС535</t>
  </si>
  <si>
    <t>СберИОС536 [МБ ФР: Т+: Корпоративные облигации]</t>
  </si>
  <si>
    <t>4B02-562-01481-B-001P</t>
  </si>
  <si>
    <t>RU000A1054X9</t>
  </si>
  <si>
    <t>СберИОС536</t>
  </si>
  <si>
    <t>СберИОС538 [МБ ФР: Т+: Корпоративные облигации]</t>
  </si>
  <si>
    <t>4B02-565-01481-B-001P</t>
  </si>
  <si>
    <t>RU000A1057K9</t>
  </si>
  <si>
    <t>СберИОС538</t>
  </si>
  <si>
    <t>СберИОС540 [МБ ФР: Т+: Корпоративные облигации]</t>
  </si>
  <si>
    <t>4B02-568-01481-B-001P</t>
  </si>
  <si>
    <t>RU000A1059D0</t>
  </si>
  <si>
    <t>СберИОС540</t>
  </si>
  <si>
    <t>СберИОС542 [МБ ФР: Т+: Корпоративные облигации]</t>
  </si>
  <si>
    <t>4B02-570-01481-B-001P</t>
  </si>
  <si>
    <t>RU000A105BK0</t>
  </si>
  <si>
    <t>СберИОС542</t>
  </si>
  <si>
    <t>СберИОС544 [МБ ФР: Т+: Корпоративные облигации]</t>
  </si>
  <si>
    <t>4B02-572-01481-B-001P</t>
  </si>
  <si>
    <t>RU000A105GQ6</t>
  </si>
  <si>
    <t>СберИОС544</t>
  </si>
  <si>
    <t>СберИОС547 [МБ ФР: Т+: Корпоративные облигации]</t>
  </si>
  <si>
    <t>4B02-575-01481-B-001P</t>
  </si>
  <si>
    <t>RU000A105MD2</t>
  </si>
  <si>
    <t>СберИОС547</t>
  </si>
  <si>
    <t>СберИОС551 [МБ ФР: Т+: Корпоративные облигации]</t>
  </si>
  <si>
    <t>4B02-579-01481-B-001P</t>
  </si>
  <si>
    <t>RU000A105R96</t>
  </si>
  <si>
    <t>СберИОС551</t>
  </si>
  <si>
    <t>СберИОС553 [МБ ФР: Т+: Корпоративные облигации]</t>
  </si>
  <si>
    <t>4B02-581-01481-B-001P</t>
  </si>
  <si>
    <t>RU000A105S87</t>
  </si>
  <si>
    <t>СберИОС553</t>
  </si>
  <si>
    <t>СберИОС556 [МБ ФР: Т+: Корпоративные облигации]</t>
  </si>
  <si>
    <t>4B02-586-01481-B-001P</t>
  </si>
  <si>
    <t>RU000A105W57</t>
  </si>
  <si>
    <t>СберИОС556</t>
  </si>
  <si>
    <t>СберИОС557 [МБ ФР: Т+: Корпоративные облигации]</t>
  </si>
  <si>
    <t>4B02-587-01481-B-001P</t>
  </si>
  <si>
    <t>RU000A105WX9</t>
  </si>
  <si>
    <t>СберИОС557</t>
  </si>
  <si>
    <t>СберИОС559 [МБ ФР: Т+: Корпоративные облигации]</t>
  </si>
  <si>
    <t>4B02-589-01481-B-001P</t>
  </si>
  <si>
    <t>RU000A105ZR4</t>
  </si>
  <si>
    <t>СберИОС559</t>
  </si>
  <si>
    <t>СберИОС560 [МБ ФР: Т+: Корпоративные облигации]</t>
  </si>
  <si>
    <t>4B02-590-01481-B-001P</t>
  </si>
  <si>
    <t>RU000A1061E4</t>
  </si>
  <si>
    <t>СберИОС560</t>
  </si>
  <si>
    <t>СберИОС561 [МБ ФР: Т+: Корпоративные облигации]</t>
  </si>
  <si>
    <t>4B02-593-01481-B-001P</t>
  </si>
  <si>
    <t>RU000A1065F2</t>
  </si>
  <si>
    <t>СберИОС561</t>
  </si>
  <si>
    <t>СберИОС566 [МБ ФР: Т+: Корпоративные облигации]</t>
  </si>
  <si>
    <t>4B02-596-01481-B-001P</t>
  </si>
  <si>
    <t>RU000A106AB9</t>
  </si>
  <si>
    <t>СберИОС566</t>
  </si>
  <si>
    <t>СберИОС567 [МБ ФР: Т+: Корпоративные облигации]</t>
  </si>
  <si>
    <t>4B02-597-01481-B-001P</t>
  </si>
  <si>
    <t>RU000A106AP9</t>
  </si>
  <si>
    <t>СберИОС567</t>
  </si>
  <si>
    <t>СберИОС568 [МБ ФР: Т+: Корпоративные облигации]</t>
  </si>
  <si>
    <t>4B02-598-01481-B-001P</t>
  </si>
  <si>
    <t>RU000A106AQ7</t>
  </si>
  <si>
    <t>СберИОС568</t>
  </si>
  <si>
    <t>СберИОС570 [МБ ФР: Т+: Корпоративные облигации]</t>
  </si>
  <si>
    <t>4B02-600-01481-B-001P</t>
  </si>
  <si>
    <t>RU000A106D83</t>
  </si>
  <si>
    <t>СберИОС570</t>
  </si>
  <si>
    <t>СберИОС573 [МБ ФР: Т+: Корпоративные облигации]</t>
  </si>
  <si>
    <t>4B02-603-01481-B-001P</t>
  </si>
  <si>
    <t>RU000A106EX5</t>
  </si>
  <si>
    <t>СберИОС573</t>
  </si>
  <si>
    <t>СберИОС574 [МБ ФР: Т+: Корпоративные облигации]</t>
  </si>
  <si>
    <t>4B02-604-01481-B-001P</t>
  </si>
  <si>
    <t>RU000A106G64</t>
  </si>
  <si>
    <t>СберИОС574</t>
  </si>
  <si>
    <t>СберИОС577 [МБ ФР: Т+: Корпоративные облигации]</t>
  </si>
  <si>
    <t>4B02-607-01481-B-001P</t>
  </si>
  <si>
    <t>RU000A106L18</t>
  </si>
  <si>
    <t>СберИОС577</t>
  </si>
  <si>
    <t>СберИОС578 [МБ ФР: Т+: Корпоративные облигации]</t>
  </si>
  <si>
    <t>4B02-608-01481-B-001P</t>
  </si>
  <si>
    <t>RU000A106LZ5</t>
  </si>
  <si>
    <t>СберИОС578</t>
  </si>
  <si>
    <t>СберИОС579 [МБ ФР: Т+: Корпоративные облигации]</t>
  </si>
  <si>
    <t>4B02-609-01481-B-001P</t>
  </si>
  <si>
    <t>RU000A106M09</t>
  </si>
  <si>
    <t>СберИОС579</t>
  </si>
  <si>
    <t>СберИОС580 [МБ ФР: Т+: Корпоративные облигации]</t>
  </si>
  <si>
    <t>4B02-610-01481-B-001P</t>
  </si>
  <si>
    <t>RU000A106QL4</t>
  </si>
  <si>
    <t>СберИОС580</t>
  </si>
  <si>
    <t>СберИОС581 [МБ ФР: Т+: Корпоративные облигации]</t>
  </si>
  <si>
    <t>4B02-611-01481-B-001P</t>
  </si>
  <si>
    <t>RU000A106RY5</t>
  </si>
  <si>
    <t>СберИОС581</t>
  </si>
  <si>
    <t>СберИОС582 [МБ ФР: Т+: Корпоративные облигации]</t>
  </si>
  <si>
    <t>4B02-612-01481-B-001P</t>
  </si>
  <si>
    <t>RU000A106SD7</t>
  </si>
  <si>
    <t>СберИОС582</t>
  </si>
  <si>
    <t>СберИОС584 [МБ ФР: Т+: Корпоративные облигации]</t>
  </si>
  <si>
    <t>4B02-613-01481-B-001P</t>
  </si>
  <si>
    <t>RU000A106TT1</t>
  </si>
  <si>
    <t>СберИОС584</t>
  </si>
  <si>
    <t>СберИОС585 [МБ ФР: Т+: Корпоративные облигации]</t>
  </si>
  <si>
    <t>4B02-614-01481-B-001P</t>
  </si>
  <si>
    <t>RU000A106TU9</t>
  </si>
  <si>
    <t>СберИОС585</t>
  </si>
  <si>
    <t>СберИОС586 [МБ ФР: Т+: Корпоративные облигации]</t>
  </si>
  <si>
    <t>4B02-616-01481-B-001P</t>
  </si>
  <si>
    <t>RU000A106XQ9</t>
  </si>
  <si>
    <t>СберИОС586</t>
  </si>
  <si>
    <t>СберИОС588 [МБ ФР: Т+: Корпоративные облигации]</t>
  </si>
  <si>
    <t>4B02-617-01481-B-001P</t>
  </si>
  <si>
    <t>RU000A106XR7</t>
  </si>
  <si>
    <t>СберИОС588</t>
  </si>
  <si>
    <t>СберИОС590 [МБ ФР: Т+: Корпоративные облигации]</t>
  </si>
  <si>
    <t>4B02-620-01481-B-001P</t>
  </si>
  <si>
    <t>RU000A107464</t>
  </si>
  <si>
    <t>СберИОС590</t>
  </si>
  <si>
    <t>СберИОС591 [МБ ФР: Т+: Корпоративные облигации]</t>
  </si>
  <si>
    <t>4B02-621-01481-B-001P</t>
  </si>
  <si>
    <t>RU000A1074S7</t>
  </si>
  <si>
    <t>СберИОС591</t>
  </si>
  <si>
    <t>СберИОС595 [МБ ФР: Т+: Корпоративные облигации]</t>
  </si>
  <si>
    <t>4B02-625-01481-B-001P</t>
  </si>
  <si>
    <t>RU000A107985</t>
  </si>
  <si>
    <t>СберИОС595</t>
  </si>
  <si>
    <t>СберИОС596 [МБ ФР: Т+: Корпоративные облигации]</t>
  </si>
  <si>
    <t>4B02-626-01481-B-001P</t>
  </si>
  <si>
    <t>RU000A1079B2</t>
  </si>
  <si>
    <t>СберИОС596</t>
  </si>
  <si>
    <t>СберИОС598 [МБ ФР: Т+: Корпоративные облигации]</t>
  </si>
  <si>
    <t>4B02-628-01481-B-001P</t>
  </si>
  <si>
    <t>RU000A107DB1</t>
  </si>
  <si>
    <t>СберИОС598</t>
  </si>
  <si>
    <t>СберИОС599 [МБ ФР: Т+: Корпоративные облигации]</t>
  </si>
  <si>
    <t>4B02-629-01481-B-001P</t>
  </si>
  <si>
    <t>RU000A107DC9</t>
  </si>
  <si>
    <t>СберИОС599</t>
  </si>
  <si>
    <t>СберИОС601 [МБ ФР: Т+: Корпоративные облигации]</t>
  </si>
  <si>
    <t>4B02-630-01481-B-001P</t>
  </si>
  <si>
    <t>RU000A107J45</t>
  </si>
  <si>
    <t>СберИОС601</t>
  </si>
  <si>
    <t>СберИОС602 [МБ ФР: Т+: Корпоративные облигации]</t>
  </si>
  <si>
    <t>4B02-631-01481-B-001P</t>
  </si>
  <si>
    <t>RU000A107P88</t>
  </si>
  <si>
    <t>СберИОС602</t>
  </si>
  <si>
    <t>СберИОС603 [МБ ФР: Т+: Корпоративные облигации]</t>
  </si>
  <si>
    <t>4B02-633-01481-B-001P</t>
  </si>
  <si>
    <t>RU000A107RW7</t>
  </si>
  <si>
    <t>СберИОС603</t>
  </si>
  <si>
    <t>СберИОС604 [МБ ФР: Т+: Корпоративные облигации]</t>
  </si>
  <si>
    <t>4B02-632-01481-B-001P</t>
  </si>
  <si>
    <t>RU000A107Q04</t>
  </si>
  <si>
    <t>СберИОС604</t>
  </si>
  <si>
    <t>СберИОС605 [МБ ФР: Т+: Корпоративные облигации]</t>
  </si>
  <si>
    <t>4B02-637-01481-B-001P</t>
  </si>
  <si>
    <t>RU000A107SR5</t>
  </si>
  <si>
    <t>СберИОС605</t>
  </si>
  <si>
    <t>СберИОС606 [МБ ФР: Т+: Корпоративные облигации]</t>
  </si>
  <si>
    <t>4B02-634-01481-B-001P</t>
  </si>
  <si>
    <t>RU000A107S51</t>
  </si>
  <si>
    <t>СберИОС606</t>
  </si>
  <si>
    <t>СберИОС607 [МБ ФР: Т+: Корпоративные облигации]</t>
  </si>
  <si>
    <t>4B02-635-01481-B-001P</t>
  </si>
  <si>
    <t>RU000A107S69</t>
  </si>
  <si>
    <t>СберИОС607</t>
  </si>
  <si>
    <t>СберИОС608 [МБ ФР: Т+: Корпоративные облигации]</t>
  </si>
  <si>
    <t>4B02-636-01481-B-001P</t>
  </si>
  <si>
    <t>RU000A107S77</t>
  </si>
  <si>
    <t>СберИОС608</t>
  </si>
  <si>
    <t>СберИОС609 [МБ ФР: Т+: Корпоративные облигации]</t>
  </si>
  <si>
    <t>4B02-638-01481-B-001P</t>
  </si>
  <si>
    <t>RU000A107UR1</t>
  </si>
  <si>
    <t>СберИОС609</t>
  </si>
  <si>
    <t>СберИОС610 [МБ ФР: Т+: Корпоративные облигации]</t>
  </si>
  <si>
    <t>4B02-639-01481-B-001P</t>
  </si>
  <si>
    <t>RU000A107W97</t>
  </si>
  <si>
    <t>СберИОС610</t>
  </si>
  <si>
    <t>СберИОС611 [МБ ФР: Т+: Корпоративные облигации]</t>
  </si>
  <si>
    <t>4B02-640-01481-B-001P</t>
  </si>
  <si>
    <t>RU000A107Y46</t>
  </si>
  <si>
    <t>СберИОС611</t>
  </si>
  <si>
    <t>СберИОС612 [МБ ФР: Т+: Корпоративные облигации]</t>
  </si>
  <si>
    <t>4B02-643-01481-B-001P</t>
  </si>
  <si>
    <t>RU000A1080W6</t>
  </si>
  <si>
    <t>СберИОС612</t>
  </si>
  <si>
    <t>СберИОС613 [МБ ФР: Т+: Корпоративные облигации]</t>
  </si>
  <si>
    <t>4B02-641-01481-B-001P</t>
  </si>
  <si>
    <t>RU000A1080R6</t>
  </si>
  <si>
    <t>СберИОС613</t>
  </si>
  <si>
    <t>СберИОС614 [МБ ФР: Т+: Корпоративные облигации]</t>
  </si>
  <si>
    <t>4B02-642-01481-B-001P</t>
  </si>
  <si>
    <t>RU000A1080T2</t>
  </si>
  <si>
    <t>СберИОС614</t>
  </si>
  <si>
    <t>СберИОС615 [МБ ФР: Т+: Корпоративные облигации]</t>
  </si>
  <si>
    <t>4B02-644-01481-B-001P</t>
  </si>
  <si>
    <t>RU000A108413</t>
  </si>
  <si>
    <t>СберИОС615</t>
  </si>
  <si>
    <t>СберИОС616 [МБ ФР: Т+: Корпоративные облигации]</t>
  </si>
  <si>
    <t>4B02-645-01481-B-001P</t>
  </si>
  <si>
    <t>RU000A108421</t>
  </si>
  <si>
    <t>СберИОС616</t>
  </si>
  <si>
    <t>СберИОС617 [МБ ФР: Т+: Корпоративные облигации]</t>
  </si>
  <si>
    <t>4B02-646-01481-B-001P</t>
  </si>
  <si>
    <t>RU000A1088K4</t>
  </si>
  <si>
    <t>СберИОС617</t>
  </si>
  <si>
    <t>СберИОС618 [МБ ФР: Т+: Корпоративные облигации]</t>
  </si>
  <si>
    <t>4B02-647-01481-B-001P</t>
  </si>
  <si>
    <t>RU000A1088L2</t>
  </si>
  <si>
    <t>СберИОС618</t>
  </si>
  <si>
    <t>СберИОС620 [МБ ФР: Т+: Корпоративные облигации]</t>
  </si>
  <si>
    <t>4B02-649-01481-B-001P</t>
  </si>
  <si>
    <t>RU000A108DG8</t>
  </si>
  <si>
    <t>СберИОС620</t>
  </si>
  <si>
    <t>СберИОС621 [МБ ФР: Т+: Корпоративные облигации]</t>
  </si>
  <si>
    <t>4B02-648-01481-B-001P</t>
  </si>
  <si>
    <t>RU000A108C09</t>
  </si>
  <si>
    <t>СберИОС621</t>
  </si>
  <si>
    <t>СберИОС622 [МБ ФР: Т+: Корпоративные облигации]</t>
  </si>
  <si>
    <t>4B02-650-01481-B-001P</t>
  </si>
  <si>
    <t>RU000A108E64</t>
  </si>
  <si>
    <t>СберИОС622</t>
  </si>
  <si>
    <t>СберИОС623 [МБ ФР: Т+: Корпоративные облигации]</t>
  </si>
  <si>
    <t>4B02-651-01481-B-001P</t>
  </si>
  <si>
    <t>RU000A108K25</t>
  </si>
  <si>
    <t>СберИОС623</t>
  </si>
  <si>
    <t>СберИОС624 [МБ ФР: Т+: Корпоративные облигации]</t>
  </si>
  <si>
    <t>4B02-653-01481-B-001P</t>
  </si>
  <si>
    <t>RU000A108LV0</t>
  </si>
  <si>
    <t>СберИОС624</t>
  </si>
  <si>
    <t>СберИОС625 [МБ ФР: Т+: Корпоративные облигации]</t>
  </si>
  <si>
    <t>4B02-652-01481-B-001P</t>
  </si>
  <si>
    <t>RU000A108LG1</t>
  </si>
  <si>
    <t>СберИОС625</t>
  </si>
  <si>
    <t>СберИОС626 [МБ ФР: Т+: Корпоративные облигации]</t>
  </si>
  <si>
    <t>4B02-654-01481-B-001P</t>
  </si>
  <si>
    <t>RU000A108Q60</t>
  </si>
  <si>
    <t>СберИОС626</t>
  </si>
  <si>
    <t>СберИОС627 [МБ ФР: Т+: Корпоративные облигации]</t>
  </si>
  <si>
    <t>4B02-655-01481-B-001P</t>
  </si>
  <si>
    <t>RU000A108QH8</t>
  </si>
  <si>
    <t>СберИОС627</t>
  </si>
  <si>
    <t>СберИОС628 [МБ ФР: Т+: Корпоративные облигации]</t>
  </si>
  <si>
    <t>4B02-656-01481-B-001P</t>
  </si>
  <si>
    <t>RU000A108QJ4</t>
  </si>
  <si>
    <t>СберИОС628</t>
  </si>
  <si>
    <t>СберИОС629 [МБ ФР: Т+: Корпоративные облигации]</t>
  </si>
  <si>
    <t>4B02-657-01481-B-001P</t>
  </si>
  <si>
    <t>RU000A108TC3</t>
  </si>
  <si>
    <t>СберИОС629</t>
  </si>
  <si>
    <t>СберИОС630 [МБ ФР: Т+: Корпоративные облигации]</t>
  </si>
  <si>
    <t>4B02-658-01481-B-001P</t>
  </si>
  <si>
    <t>RU000A108U98</t>
  </si>
  <si>
    <t>СберИОС630</t>
  </si>
  <si>
    <t>СберИОС631 [МБ ФР: Т+: Корпоративные облигации]</t>
  </si>
  <si>
    <t>4B02-659-01481-B-001P</t>
  </si>
  <si>
    <t>RU000A108U80</t>
  </si>
  <si>
    <t>СберИОС631</t>
  </si>
  <si>
    <t>СберИОС632 [МБ ФР: Т+: Корпоративные облигации]</t>
  </si>
  <si>
    <t>4B02-660-01481-B-001P</t>
  </si>
  <si>
    <t>RU000A108WH6</t>
  </si>
  <si>
    <t>СберИОС632</t>
  </si>
  <si>
    <t>СберИОС633 [МБ ФР: Т+: Корпоративные облигации]</t>
  </si>
  <si>
    <t>4B02-661-01481-B-001P</t>
  </si>
  <si>
    <t>RU000A108Z02</t>
  </si>
  <si>
    <t>СберИОС633</t>
  </si>
  <si>
    <t>СберИОС634 [МБ ФР: Т+: Корпоративные облигации]</t>
  </si>
  <si>
    <t>4B02-662-01481-B-001P</t>
  </si>
  <si>
    <t>RU000A108Z10</t>
  </si>
  <si>
    <t>СберИОС634</t>
  </si>
  <si>
    <t>СберИОС635 [МБ ФР: Т+: Корпоративные облигации]</t>
  </si>
  <si>
    <t>4B02-663-01481-B-001P</t>
  </si>
  <si>
    <t>RU000A1092K6</t>
  </si>
  <si>
    <t>СберИОС635</t>
  </si>
  <si>
    <t>СберИОС636 [МБ ФР: Т+: Корпоративные облигации]</t>
  </si>
  <si>
    <t>4B02-664-01481-B-001P</t>
  </si>
  <si>
    <t>RU000A1093H0</t>
  </si>
  <si>
    <t>СберИОС636</t>
  </si>
  <si>
    <t>СберИОС637 [МБ ФР: Т+: Корпоративные облигации]</t>
  </si>
  <si>
    <t>4B02-665-01481-B-001P</t>
  </si>
  <si>
    <t>RU000A1093J6</t>
  </si>
  <si>
    <t>СберИОС637</t>
  </si>
  <si>
    <t>СберИОС638 [МБ ФР: Т+: Корпоративные облигации]</t>
  </si>
  <si>
    <t>4B02-666-01481-B-001P</t>
  </si>
  <si>
    <t>RU000A1093K4</t>
  </si>
  <si>
    <t>СберИОС638</t>
  </si>
  <si>
    <t>СберИОС639 [МБ ФР: Т+: Корпоративные облигации]</t>
  </si>
  <si>
    <t>4B02-669-01481-B-001P</t>
  </si>
  <si>
    <t>RU000A109833</t>
  </si>
  <si>
    <t>СберИОС639</t>
  </si>
  <si>
    <t>СберИОС640 [МБ ФР: Т+: Корпоративные облигации]</t>
  </si>
  <si>
    <t>4B02-670-01481-B-001P</t>
  </si>
  <si>
    <t>RU000A109841</t>
  </si>
  <si>
    <t>СберИОС640</t>
  </si>
  <si>
    <t>СберИОС641 [МБ ФР: Т+: Корпоративные облигации]</t>
  </si>
  <si>
    <t>4B02-667-01481-B-001P</t>
  </si>
  <si>
    <t>RU000A1097A6</t>
  </si>
  <si>
    <t>СберИОС641</t>
  </si>
  <si>
    <t>СберИОС642 [МБ ФР: Т+: Корпоративные облигации]</t>
  </si>
  <si>
    <t>4B02-668-01481-B-001P</t>
  </si>
  <si>
    <t>RU000A1097R0</t>
  </si>
  <si>
    <t>СберИОС642</t>
  </si>
  <si>
    <t>СберИОС643 [МБ ФР: Т+: Корпоративные облигации]</t>
  </si>
  <si>
    <t>4B02-673-01481-B-001P</t>
  </si>
  <si>
    <t>RU000A109DR3</t>
  </si>
  <si>
    <t>СберИОС643</t>
  </si>
  <si>
    <t>СберИОС644 [МБ ФР: Т+: Корпоративные облигации]</t>
  </si>
  <si>
    <t>4B02-671-01481-B-001P</t>
  </si>
  <si>
    <t>RU000A109A34</t>
  </si>
  <si>
    <t>СберИОС644</t>
  </si>
  <si>
    <t>СберИОС645 [МБ ФР: Т+: Корпоративные облигации]</t>
  </si>
  <si>
    <t>4B02-672-01481-B-001P</t>
  </si>
  <si>
    <t>RU000A109A42</t>
  </si>
  <si>
    <t>СберИОС645</t>
  </si>
  <si>
    <t>СберИОС646 [МБ ФР: Т+: Корпоративные облигации]</t>
  </si>
  <si>
    <t>4B02-674-01481-B-001P</t>
  </si>
  <si>
    <t>RU000A109F39</t>
  </si>
  <si>
    <t>СберИОС646</t>
  </si>
  <si>
    <t>СберИОС647 [МБ ФР: Т+: Корпоративные облигации]</t>
  </si>
  <si>
    <t>4B02-675-01481-B-001P</t>
  </si>
  <si>
    <t>RU000A109JJ7</t>
  </si>
  <si>
    <t>СберИОС647</t>
  </si>
  <si>
    <t>СберИОС648 [МБ ФР: Т+: Корпоративные облигации]</t>
  </si>
  <si>
    <t>4B02-676-01481-B-001P</t>
  </si>
  <si>
    <t>RU000A109JK5</t>
  </si>
  <si>
    <t>СберИОС648</t>
  </si>
  <si>
    <t>СберИОС649 [МБ ФР: Т+: Корпоративные облигации]</t>
  </si>
  <si>
    <t>4B02-677-01481-B-001P</t>
  </si>
  <si>
    <t>RU000A109LL9</t>
  </si>
  <si>
    <t>СберИОС649</t>
  </si>
  <si>
    <t>СберИОС651 [МБ ФР: Т+: Корпоративные облигации]</t>
  </si>
  <si>
    <t>4B02-680-01481-B-001P</t>
  </si>
  <si>
    <t>RU000A109QS3</t>
  </si>
  <si>
    <t>СберИОС651</t>
  </si>
  <si>
    <t>СберИОС653 [МБ ФР: Т+: Корпоративные облигации]</t>
  </si>
  <si>
    <t>4B02-682-01481-B-001P</t>
  </si>
  <si>
    <t>RU000A109S67</t>
  </si>
  <si>
    <t>СберИОС653</t>
  </si>
  <si>
    <t>СберИОС654 [МБ ФР: Т+: Корпоративные облигации]</t>
  </si>
  <si>
    <t>4B02-683-01481-B-001P</t>
  </si>
  <si>
    <t>RU000A109TR9</t>
  </si>
  <si>
    <t>СберИОС654</t>
  </si>
  <si>
    <t>СберИОС655 [МБ ФР: Т+: Корпоративные облигации]</t>
  </si>
  <si>
    <t>4B02-684-01481-B-001P</t>
  </si>
  <si>
    <t>RU000A109TS7</t>
  </si>
  <si>
    <t>СберИОС655</t>
  </si>
  <si>
    <t>СберИОС656 [МБ ФР: Т+: Корпоративные облигации]</t>
  </si>
  <si>
    <t>4B02-685-01481-B-001P</t>
  </si>
  <si>
    <t>RU000A109X03</t>
  </si>
  <si>
    <t>СберИОС656</t>
  </si>
  <si>
    <t>СберИОС657 [МБ ФР: Т+: Корпоративные облигации]</t>
  </si>
  <si>
    <t>4B02-687-01481-B-001P</t>
  </si>
  <si>
    <t>RU000A109YF4</t>
  </si>
  <si>
    <t>СберИОС657</t>
  </si>
  <si>
    <t>СберИОС659 [МБ ФР: Т+: Корпоративные облигации]</t>
  </si>
  <si>
    <t>4B02-688-01481-B-001P</t>
  </si>
  <si>
    <t>RU000A109YH0</t>
  </si>
  <si>
    <t>СберИОС659</t>
  </si>
  <si>
    <t>СберИОС660 [МБ ФР: Т+: Корпоративные облигации]</t>
  </si>
  <si>
    <t>4B02-690-01481-B-001P</t>
  </si>
  <si>
    <t>RU000A10A182</t>
  </si>
  <si>
    <t>СберИОС660</t>
  </si>
  <si>
    <t>СберИОС661 [МБ ФР: Т+: Корпоративные облигации]</t>
  </si>
  <si>
    <t>4B02-691-01481-B-001P</t>
  </si>
  <si>
    <t>RU000A10A2Y9</t>
  </si>
  <si>
    <t>СберИОС661</t>
  </si>
  <si>
    <t>СберКИБ1P2 [МБ ФР: Т+: Корпоративные облигации]</t>
  </si>
  <si>
    <t>6-02-01793-A-001P</t>
  </si>
  <si>
    <t>RU000A109GV8</t>
  </si>
  <si>
    <t>СберКИБ1P2</t>
  </si>
  <si>
    <t>СберКИБ1P4 [МБ ФР: Т+: Корпоративные облигации]</t>
  </si>
  <si>
    <t>6-04-01793-A-001P</t>
  </si>
  <si>
    <t>RU000A109GX4</t>
  </si>
  <si>
    <t>СберКИБ1P4</t>
  </si>
  <si>
    <t>СберКИБ1P5 [МБ ФР: Т+: Корпоративные облигации]</t>
  </si>
  <si>
    <t>6-05-01793-A-001P</t>
  </si>
  <si>
    <t>RU000A109GY2</t>
  </si>
  <si>
    <t>СберКИБ1P5</t>
  </si>
  <si>
    <t>СберКИБ1P6 [МБ ФР: Т+: Корпоративные облигации]</t>
  </si>
  <si>
    <t>6-06-01793-A-001P</t>
  </si>
  <si>
    <t>RU000A109GZ9</t>
  </si>
  <si>
    <t>СберКИБ1P6</t>
  </si>
  <si>
    <t>СберКИБ1P7 [МБ ФР: Т+: Корпоративные облигации]</t>
  </si>
  <si>
    <t>6-07-01793-A-001P</t>
  </si>
  <si>
    <t>RU000A109H03</t>
  </si>
  <si>
    <t>СберКИБ1P7</t>
  </si>
  <si>
    <t>СберКИБ1P8 [МБ ФР: Т+: Корпоративные облигации]</t>
  </si>
  <si>
    <t>6-08-01793-A-001P</t>
  </si>
  <si>
    <t>RU000A109H11</t>
  </si>
  <si>
    <t>СберКИБ1P8</t>
  </si>
  <si>
    <t>СберКИБ1P9 [МБ ФР: Т+: Корпоративные облигации]</t>
  </si>
  <si>
    <t>6-09-01793-A-001P</t>
  </si>
  <si>
    <t>RU000A109H29</t>
  </si>
  <si>
    <t>СберКИБ1P9</t>
  </si>
  <si>
    <t>СберКИБ1Р3 [МБ ФР: Т+: Корпоративные облигации]</t>
  </si>
  <si>
    <t>6-03-01793-A-001P</t>
  </si>
  <si>
    <t>RU000A109GW6</t>
  </si>
  <si>
    <t>СберКИБ1Р3</t>
  </si>
  <si>
    <t>СберСIB274 [МБ ФР: Т+: Корпоративные облигации]</t>
  </si>
  <si>
    <t>6-274-01793-A</t>
  </si>
  <si>
    <t>RU000A1050V1</t>
  </si>
  <si>
    <t>СберСIB274</t>
  </si>
  <si>
    <t>СберСIB532 [МБ ФР: Т+: Корпоративные облигации]</t>
  </si>
  <si>
    <t>6-532-01793-A</t>
  </si>
  <si>
    <t>RU000A0NR5Y2</t>
  </si>
  <si>
    <t>СберСIB532</t>
  </si>
  <si>
    <t>СберСIB615 [МБ ФР: Т+: Корпоративные облигации]</t>
  </si>
  <si>
    <t>6-615-01793-A</t>
  </si>
  <si>
    <t>RU000A0NR9S6</t>
  </si>
  <si>
    <t>СберСIB615</t>
  </si>
  <si>
    <t>СберСIB617 [МБ ФР: Т+: Корпоративные облигации]</t>
  </si>
  <si>
    <t>6-617-01793-A</t>
  </si>
  <si>
    <t>RU000A0NR9U2</t>
  </si>
  <si>
    <t>СберСIB617</t>
  </si>
  <si>
    <t>СберСIB618 [МБ ФР: Т+: Корпоративные облигации]</t>
  </si>
  <si>
    <t>6-618-01793-A</t>
  </si>
  <si>
    <t>RU000A0NR9V0</t>
  </si>
  <si>
    <t>СберСIB618</t>
  </si>
  <si>
    <t>СберСIB711 [МБ ФР: Т+: Корпоративные облигации]</t>
  </si>
  <si>
    <t>6-711-01793-A</t>
  </si>
  <si>
    <t>RU000A0P1MY4</t>
  </si>
  <si>
    <t>СберСIB711</t>
  </si>
  <si>
    <t>СберСIB712 [МБ ФР: Т+: Корпоративные облигации]</t>
  </si>
  <si>
    <t>6-712-01793-A</t>
  </si>
  <si>
    <t>RU000A0P1MZ1</t>
  </si>
  <si>
    <t>СберСIB712</t>
  </si>
  <si>
    <t>СберСIB713 [МБ ФР: Т+: Корпоративные облигации]</t>
  </si>
  <si>
    <t>6-713-01793-A</t>
  </si>
  <si>
    <t>RU000A0P1N07</t>
  </si>
  <si>
    <t>СберСIB713</t>
  </si>
  <si>
    <t>СберСIB714 [МБ ФР: Т+: Корпоративные облигации]</t>
  </si>
  <si>
    <t>6-714-01793-A</t>
  </si>
  <si>
    <t>RU000A0P1N15</t>
  </si>
  <si>
    <t>СберСIB714</t>
  </si>
  <si>
    <t>СберСIB715 [МБ ФР: Т+: Корпоративные облигации]</t>
  </si>
  <si>
    <t>6-715-01793-A</t>
  </si>
  <si>
    <t>RU000A0P1N23</t>
  </si>
  <si>
    <t>СберСIB715</t>
  </si>
  <si>
    <t>СберСIB773 [МБ ФР: Т+: Корпоративные облигации]</t>
  </si>
  <si>
    <t>6-773-01793-A</t>
  </si>
  <si>
    <t>RU000A107ZJ7</t>
  </si>
  <si>
    <t>СберСIB773</t>
  </si>
  <si>
    <t>СберСIB781 [МБ ФР: Т+: Корпоративные облигации]</t>
  </si>
  <si>
    <t>6-781-01793-A</t>
  </si>
  <si>
    <t>RU000A107ZS8</t>
  </si>
  <si>
    <t>СберСIB781</t>
  </si>
  <si>
    <t>СберСIB782 [МБ ФР: Т+: Корпоративные облигации]</t>
  </si>
  <si>
    <t>6-782-01793-A</t>
  </si>
  <si>
    <t>RU000A107ZT6</t>
  </si>
  <si>
    <t>СберСIB782</t>
  </si>
  <si>
    <t>СберСIB798 [МБ ФР: Т+: Корпоративные облигации]</t>
  </si>
  <si>
    <t>6-798-01793-A</t>
  </si>
  <si>
    <t>RU000A108090</t>
  </si>
  <si>
    <t>СберСIB798</t>
  </si>
  <si>
    <t>СберСIB799 [МБ ФР: Т+: Корпоративные облигации]</t>
  </si>
  <si>
    <t>6-799-01793-A</t>
  </si>
  <si>
    <t>RU000A1080A2</t>
  </si>
  <si>
    <t>СберСIB799</t>
  </si>
  <si>
    <t>СберСIB800 [МБ ФР: Т+: Корпоративные облигации]</t>
  </si>
  <si>
    <t>6-800-01793-A</t>
  </si>
  <si>
    <t>RU000A1080B0</t>
  </si>
  <si>
    <t>СберСIB800</t>
  </si>
  <si>
    <t>СберСIB801 [МБ ФР: Т+: Корпоративные облигации]</t>
  </si>
  <si>
    <t>6-801-01793-A</t>
  </si>
  <si>
    <t>RU000A1080C8</t>
  </si>
  <si>
    <t>СберСIB801</t>
  </si>
  <si>
    <t>СберСIB802 [МБ ФР: Т+: Корпоративные облигации]</t>
  </si>
  <si>
    <t>6-802-01793-A</t>
  </si>
  <si>
    <t>RU000A1080D6</t>
  </si>
  <si>
    <t>СберСIB802</t>
  </si>
  <si>
    <t>СберСIB835 [МБ ФР: Т+: Корпоративные облигации]</t>
  </si>
  <si>
    <t>6-835-01793-A</t>
  </si>
  <si>
    <t>RU000A108HQ8</t>
  </si>
  <si>
    <t>СберСIB835</t>
  </si>
  <si>
    <t>СберСIB836 [МБ ФР: Т+: Корпоративные облигации]</t>
  </si>
  <si>
    <t>6-836-01793-A</t>
  </si>
  <si>
    <t>RU000A108HR6</t>
  </si>
  <si>
    <t>СберСIB836</t>
  </si>
  <si>
    <t>СберСIB837 [МБ ФР: Т+: Корпоративные облигации]</t>
  </si>
  <si>
    <t>6-837-01793-A</t>
  </si>
  <si>
    <t>RU000A108HS4</t>
  </si>
  <si>
    <t>СберСIB837</t>
  </si>
  <si>
    <t>СберСIB841 [МБ ФР: Т+: Корпоративные облигации]</t>
  </si>
  <si>
    <t>6-841-01793-A</t>
  </si>
  <si>
    <t>RU000A108HW6</t>
  </si>
  <si>
    <t>СберСIB841</t>
  </si>
  <si>
    <t>СберСIB932 [МБ ФР: Т+: Корпоративные облигации]</t>
  </si>
  <si>
    <t>6-932-01793-A</t>
  </si>
  <si>
    <t>RU000A109UN6</t>
  </si>
  <si>
    <t>СберСIB932</t>
  </si>
  <si>
    <t>СвердлОб4 [МБ ФР: Т+: Корпоративные облигации]</t>
  </si>
  <si>
    <t>RU35004SVS0</t>
  </si>
  <si>
    <t>RU000A0ZYDU3</t>
  </si>
  <si>
    <t>СвердлОб4</t>
  </si>
  <si>
    <t>СвердлОбл5 [МБ ФР: Т+: Корпоративные облигации]</t>
  </si>
  <si>
    <t>RU35005SVS0</t>
  </si>
  <si>
    <t>RU000A0ZZQH9</t>
  </si>
  <si>
    <t>СвердлОбл5</t>
  </si>
  <si>
    <t>СвердлОбл6 [МБ ФР: Т+: Корпоративные облигации]</t>
  </si>
  <si>
    <t>RU35006SVS0</t>
  </si>
  <si>
    <t>RU000A1016N9</t>
  </si>
  <si>
    <t>СвердлОбл6</t>
  </si>
  <si>
    <t>СвердлОбл7 [МБ ФР: Т+: Корпоративные облигации]</t>
  </si>
  <si>
    <t>RU34007SVS0</t>
  </si>
  <si>
    <t>RU000A101UG7</t>
  </si>
  <si>
    <t>СвердлОбл7</t>
  </si>
  <si>
    <t>СвердлОбл8 [МБ ФР: Т+: Корпоративные облигации]</t>
  </si>
  <si>
    <t>RU35008SVS0</t>
  </si>
  <si>
    <t>RU000A101Z17</t>
  </si>
  <si>
    <t>СвердлОбл8</t>
  </si>
  <si>
    <t>СвердлОбл9 [МБ ФР: Т+: Корпоративные облигации]</t>
  </si>
  <si>
    <t>RU35009SVS0</t>
  </si>
  <si>
    <t>RU000A102CT6</t>
  </si>
  <si>
    <t>СвердлОбл9</t>
  </si>
  <si>
    <t>СветофорП2 [МБ ФР: Т+: Корпоративные облигации]</t>
  </si>
  <si>
    <t>4B02-02-24350-J-001P</t>
  </si>
  <si>
    <t>RU000A1020W2</t>
  </si>
  <si>
    <t>СветофорП2</t>
  </si>
  <si>
    <t>СеверстБ06 [МБ ФР: Т+: Корпоративные облигации]</t>
  </si>
  <si>
    <t>4B02-06-00143-A</t>
  </si>
  <si>
    <t>RU000A1008W7</t>
  </si>
  <si>
    <t>СеверстБ06</t>
  </si>
  <si>
    <t>СеверстБ07 [МБ ФР: Т+: Корпоративные облигации]</t>
  </si>
  <si>
    <t>4B02-07-00143-A</t>
  </si>
  <si>
    <t>RU000A1008L0</t>
  </si>
  <si>
    <t>СеверстБ07</t>
  </si>
  <si>
    <t>Сегежа2P1R [МБ ФР: Т+: Корпоративные облигации]</t>
  </si>
  <si>
    <t>4B02-01-87154-H-002P</t>
  </si>
  <si>
    <t>RU000A1041B2</t>
  </si>
  <si>
    <t>Сегежа2P1R</t>
  </si>
  <si>
    <t>Сегежа2P2R [МБ ФР: Т+: Корпоративные облигации]</t>
  </si>
  <si>
    <t>4B02-02-87154-H-002P</t>
  </si>
  <si>
    <t>RU000A1043G7</t>
  </si>
  <si>
    <t>Сегежа2P2R</t>
  </si>
  <si>
    <t>Сегежа2P3R [МБ ФР: Т+: Корпоративные облигации]</t>
  </si>
  <si>
    <t>4B02-03-87154-H-002P</t>
  </si>
  <si>
    <t>RU000A104FG2</t>
  </si>
  <si>
    <t>Сегежа2P3R</t>
  </si>
  <si>
    <t>Сегежа2P4R [МБ ФР: Т+: Корпоративные облигации]</t>
  </si>
  <si>
    <t>4B02-04-87154-H-002P</t>
  </si>
  <si>
    <t>RU000A104UA4</t>
  </si>
  <si>
    <t>Сегежа2P4R</t>
  </si>
  <si>
    <t>Сегежа2P5R [МБ ФР: Т+: Корпоративные облигации]</t>
  </si>
  <si>
    <t>4B02-05-87154-H-002P</t>
  </si>
  <si>
    <t>RU000A1053P7</t>
  </si>
  <si>
    <t>Сегежа2P5R</t>
  </si>
  <si>
    <t>Сегежа2P6R [МБ ФР: Т+: Корпоративные облигации]</t>
  </si>
  <si>
    <t>4B02-06-87154-H-002P</t>
  </si>
  <si>
    <t>RU000A1055U2</t>
  </si>
  <si>
    <t>Сегежа2P6R</t>
  </si>
  <si>
    <t>Сегежа3P1R [МБ ФР: Т+: Корпоративные облигации]</t>
  </si>
  <si>
    <t>Сегежа3P2R [МБ ФР: Т+: Корпоративные облигации]</t>
  </si>
  <si>
    <t>4B02-02-87154-H-003P</t>
  </si>
  <si>
    <t>RU000A105SP3</t>
  </si>
  <si>
    <t>Сегежа3P2R</t>
  </si>
  <si>
    <t>Сегежа3P3R [МБ ФР: Т+: Корпоративные облигации]</t>
  </si>
  <si>
    <t>4B02-03-87154-H-003P</t>
  </si>
  <si>
    <t>RU000A107BP5</t>
  </si>
  <si>
    <t>Сегежа3P3R</t>
  </si>
  <si>
    <t>Сегежа3P4R [МБ ФР: Т+: Корпоративные облигации]</t>
  </si>
  <si>
    <t>4B02-04-87154-H-003P</t>
  </si>
  <si>
    <t>RU000A108991</t>
  </si>
  <si>
    <t>Сегежа3P4R</t>
  </si>
  <si>
    <t>Селигдар1Р [МБ ФР: Т+: Корпоративные облигации]</t>
  </si>
  <si>
    <t>4B02-01-32694-F-001P</t>
  </si>
  <si>
    <t>RU000A105CS1</t>
  </si>
  <si>
    <t>Селигдар1Р</t>
  </si>
  <si>
    <t>СибКХП 1P1 [МБ ФР: Т+: Корпоративные облигации]</t>
  </si>
  <si>
    <t>4B02-01-00497-R-001P</t>
  </si>
  <si>
    <t>RU000A101947</t>
  </si>
  <si>
    <t>СибКХП 1P1</t>
  </si>
  <si>
    <t>СибКХП 1P2 [МБ ФР: Т+: Корпоративные облигации]</t>
  </si>
  <si>
    <t>4B02-02-00497-R-001P</t>
  </si>
  <si>
    <t>RU000A107P62</t>
  </si>
  <si>
    <t>СибКХП 1P2</t>
  </si>
  <si>
    <t>СибСтекП02 [МБ ФР: Т+: Корпоративные облигации]</t>
  </si>
  <si>
    <t>4B02-02-00373-R-001P</t>
  </si>
  <si>
    <t>RU000A1026R9</t>
  </si>
  <si>
    <t>СибСтекП02</t>
  </si>
  <si>
    <t>СибСтекП03 [МБ ФР: Т+: Корпоративные облигации]</t>
  </si>
  <si>
    <t>4B02-03-00373-R-001P</t>
  </si>
  <si>
    <t>RU000A105C93</t>
  </si>
  <si>
    <t>СибСтекП03</t>
  </si>
  <si>
    <t>СибСтекП04 [МБ ФР: Т+: Корпоративные облигации]</t>
  </si>
  <si>
    <t>4B02-04-00373-R-001P</t>
  </si>
  <si>
    <t>RU000A107209</t>
  </si>
  <si>
    <t>СибСтекП04</t>
  </si>
  <si>
    <t>СибЭнМаш01 [МБ ФР: Т+: Корпоративные облигации]</t>
  </si>
  <si>
    <t>4-01-00604-R</t>
  </si>
  <si>
    <t>RU000A104K37</t>
  </si>
  <si>
    <t>СибЭнМаш01</t>
  </si>
  <si>
    <t>СибурХ Б03 [МБ ФР: Т+: Корпоративные облигации]</t>
  </si>
  <si>
    <t>4B02-03-65134-D</t>
  </si>
  <si>
    <t>RU000A103DS4</t>
  </si>
  <si>
    <t>СибурХ Б03</t>
  </si>
  <si>
    <t>СибурХ1Р01 [МБ ФР: Т+: Корпоративные облигации]</t>
  </si>
  <si>
    <t>4B02-01-65134-D-001P</t>
  </si>
  <si>
    <t>RU000A104XW2</t>
  </si>
  <si>
    <t>СибурХ1Р01</t>
  </si>
  <si>
    <t>СибурХ1Р02 [МБ ФР: Т+: Корпоративные облигации]</t>
  </si>
  <si>
    <t>4B02-02-65134-D-001P</t>
  </si>
  <si>
    <t>RU000A10A7H3</t>
  </si>
  <si>
    <t>СибурХ1Р02</t>
  </si>
  <si>
    <t>СибурХБО07 [МБ ФР: Т+: Корпоративные облигации]</t>
  </si>
  <si>
    <t>СибурХБО08 [МБ ФР: Т+: Корпоративные облигации]</t>
  </si>
  <si>
    <t>СибурХБО09 [МБ ФР: Т+: Корпоративные облигации]</t>
  </si>
  <si>
    <t>СибурХБО10 [МБ ФР: Т+: Корпоративные облигации]</t>
  </si>
  <si>
    <t>СибурХБО11 [МБ ФР: Т+: Корпоративные облигации]</t>
  </si>
  <si>
    <t>СибурХБО12 [МБ ФР: Т+: Корпоративные облигации]</t>
  </si>
  <si>
    <t>СибурХБО13 [МБ ФР: Т+: Корпоративные облигации]</t>
  </si>
  <si>
    <t>СибурХБО14 [МБ ФР: Т+: Корпоративные облигации]</t>
  </si>
  <si>
    <t>Систем1P10 [МБ ФР: Т+: Корпоративные облигации]</t>
  </si>
  <si>
    <t>4B02-10-01669-A-001P</t>
  </si>
  <si>
    <t>RU000A1008J4</t>
  </si>
  <si>
    <t>Систем1P10</t>
  </si>
  <si>
    <t>Систем1P11 [МБ ФР: Т+: Корпоративные облигации]</t>
  </si>
  <si>
    <t>4B02-11-01669-A-001P</t>
  </si>
  <si>
    <t>RU000A100N12</t>
  </si>
  <si>
    <t>Систем1P11</t>
  </si>
  <si>
    <t>Систем1P12 [МБ ФР: Т+: Корпоративные облигации]</t>
  </si>
  <si>
    <t>4B02-12-01669-A-001P</t>
  </si>
  <si>
    <t>RU000A101012</t>
  </si>
  <si>
    <t>Систем1P12</t>
  </si>
  <si>
    <t>Систем1P13 [МБ ФР: Т+: Корпоративные облигации]</t>
  </si>
  <si>
    <t>4B02-13-01669-A-001P</t>
  </si>
  <si>
    <t>RU000A101Q26</t>
  </si>
  <si>
    <t>Систем1P13</t>
  </si>
  <si>
    <t>Систем1P14 [МБ ФР: Т+: Корпоративные облигации]</t>
  </si>
  <si>
    <t>4B02-14-01669-A-001P</t>
  </si>
  <si>
    <t>RU000A101XN7</t>
  </si>
  <si>
    <t>Систем1P14</t>
  </si>
  <si>
    <t>Систем1P15 [МБ ФР: Т+: Корпоративные облигации]</t>
  </si>
  <si>
    <t>4B02-15-01669-A-001P</t>
  </si>
  <si>
    <t>RU000A1023K1</t>
  </si>
  <si>
    <t>Систем1P15</t>
  </si>
  <si>
    <t>Систем1P16 [МБ ФР: Т+: Корпоративные облигации]</t>
  </si>
  <si>
    <t>4B02-16-01669-A-001P</t>
  </si>
  <si>
    <t>RU000A102FS1</t>
  </si>
  <si>
    <t>Систем1P16</t>
  </si>
  <si>
    <t>Систем1P17 [МБ ФР: Т+: Корпоративные облигации]</t>
  </si>
  <si>
    <t>4B02-17-01669-A-001P</t>
  </si>
  <si>
    <t>RU000A102FT9</t>
  </si>
  <si>
    <t>Систем1P17</t>
  </si>
  <si>
    <t>Систем1P18 [МБ ФР: Т+: Корпоративные облигации]</t>
  </si>
  <si>
    <t>4B02-18-01669-A-001P</t>
  </si>
  <si>
    <t>RU000A102SV8</t>
  </si>
  <si>
    <t>Систем1P18</t>
  </si>
  <si>
    <t>Систем1P19 [МБ ФР: Т+: Корпоративные облигации]</t>
  </si>
  <si>
    <t>4B02-19-01669-A-001P</t>
  </si>
  <si>
    <t>RU000A102SX4</t>
  </si>
  <si>
    <t>Систем1P19</t>
  </si>
  <si>
    <t>Систем1P20 [МБ ФР: Т+: Корпоративные облигации]</t>
  </si>
  <si>
    <t>4B02-20-01669-A-001P</t>
  </si>
  <si>
    <t>RU000A103372</t>
  </si>
  <si>
    <t>Систем1P20</t>
  </si>
  <si>
    <t>Систем1P21 [МБ ФР: Т+: Корпоративные облигации]</t>
  </si>
  <si>
    <t>4B02-21-01669-A-001P</t>
  </si>
  <si>
    <t>RU000A103C95</t>
  </si>
  <si>
    <t>Систем1P21</t>
  </si>
  <si>
    <t>Систем1P22 [МБ ФР: Т+: Корпоративные облигации]</t>
  </si>
  <si>
    <t>4B02-22-01669-A-001P</t>
  </si>
  <si>
    <t>RU000A103P33</t>
  </si>
  <si>
    <t>Систем1P22</t>
  </si>
  <si>
    <t>Систем1P23 [МБ ФР: Т+: Корпоративные облигации]</t>
  </si>
  <si>
    <t>4B02-23-01669-A-001P</t>
  </si>
  <si>
    <t>RU000A104693</t>
  </si>
  <si>
    <t>Систем1P23</t>
  </si>
  <si>
    <t>Систем1P24 [МБ ФР: Т+: Корпоративные облигации]</t>
  </si>
  <si>
    <t>4B02-24-01669-A-001P</t>
  </si>
  <si>
    <t>RU000A105L27</t>
  </si>
  <si>
    <t>Систем1P24</t>
  </si>
  <si>
    <t>Систем1P26 [МБ ФР: Т+: Корпоративные облигации]</t>
  </si>
  <si>
    <t>4B02-26-01669-A-001P</t>
  </si>
  <si>
    <t>RU000A106Z46</t>
  </si>
  <si>
    <t>Систем1P26</t>
  </si>
  <si>
    <t>Систем1P27 [МБ ФР: Т+: Корпоративные облигации]</t>
  </si>
  <si>
    <t>4B02-27-01669-A-001P</t>
  </si>
  <si>
    <t>RU000A107GX8</t>
  </si>
  <si>
    <t>Систем1P27</t>
  </si>
  <si>
    <t>Систем1P28 [МБ ФР: Т+: Корпоративные облигации]</t>
  </si>
  <si>
    <t>4B02-28-01669-A-001P</t>
  </si>
  <si>
    <t>RU000A107SM6</t>
  </si>
  <si>
    <t>Систем1P28</t>
  </si>
  <si>
    <t>Систем1P29 [МБ ФР: Т+: Корпоративные облигации]</t>
  </si>
  <si>
    <t>4B02-29-01669-A-001P</t>
  </si>
  <si>
    <t>RU000A108GL1</t>
  </si>
  <si>
    <t>Систем1P29</t>
  </si>
  <si>
    <t>Систем1P30 [МБ ФР: Т+: Корпоративные облигации]</t>
  </si>
  <si>
    <t>4B02-30-01669-A-001P</t>
  </si>
  <si>
    <t>RU000A108GN7</t>
  </si>
  <si>
    <t>Систем1P30</t>
  </si>
  <si>
    <t>Систем1P31 [МБ ФР: Т+: Корпоративные облигации]</t>
  </si>
  <si>
    <t>4B02-31-01669-A-001P</t>
  </si>
  <si>
    <t>RU000A1098F3</t>
  </si>
  <si>
    <t>Систем1P31</t>
  </si>
  <si>
    <t>СистемБ1P1 [МБ ФР: Т+: Корпоративные облигации]</t>
  </si>
  <si>
    <t>4B02-01-01669-A-001P</t>
  </si>
  <si>
    <t>RU000A0JVUK8</t>
  </si>
  <si>
    <t>СистемБ1P1</t>
  </si>
  <si>
    <t>СистемБ1P2 [МБ ФР: Т+: Корпоративные облигации]</t>
  </si>
  <si>
    <t>4B02-02-01669-A-001P</t>
  </si>
  <si>
    <t>RU000A0JVXZ0</t>
  </si>
  <si>
    <t>СистемБ1P2</t>
  </si>
  <si>
    <t>СистемБ1P4 [МБ ФР: Т+: Корпоративные облигации]</t>
  </si>
  <si>
    <t>4B02-04-01669-A-001P</t>
  </si>
  <si>
    <t>RU000A0JWYQ5</t>
  </si>
  <si>
    <t>СистемБ1P4</t>
  </si>
  <si>
    <t>СистемБ1P5 [МБ ФР: Т+: Корпоративные облигации]</t>
  </si>
  <si>
    <t>4B02-05-01669-A-001P</t>
  </si>
  <si>
    <t>RU000A0JWZY6</t>
  </si>
  <si>
    <t>СистемБ1P5</t>
  </si>
  <si>
    <t>СистемБ1P6 [МБ ФР: Т+: Корпоративные облигации]</t>
  </si>
  <si>
    <t>4B02-06-01669-A-001P</t>
  </si>
  <si>
    <t>RU000A0JXN21</t>
  </si>
  <si>
    <t>СистемБ1P6</t>
  </si>
  <si>
    <t>СистемБ1P7 [МБ ФР: Т+: Корпоративные облигации]</t>
  </si>
  <si>
    <t>4B02-07-01669-A-001P</t>
  </si>
  <si>
    <t>RU000A0ZYQY7</t>
  </si>
  <si>
    <t>СистемБ1P7</t>
  </si>
  <si>
    <t>Система1P8 [МБ ФР: Т+: Корпоративные облигации]</t>
  </si>
  <si>
    <t>4B02-08-01669-A-001P</t>
  </si>
  <si>
    <t>RU000A0ZYWU3</t>
  </si>
  <si>
    <t>Система1P8</t>
  </si>
  <si>
    <t>Система1P9 [МБ ФР: Т+: Корпоративные облигации]</t>
  </si>
  <si>
    <t>4B02-09-01669-A-001P</t>
  </si>
  <si>
    <t>RU000A1005L6</t>
  </si>
  <si>
    <t>Система1P9</t>
  </si>
  <si>
    <t>Сказка 1P1 [МБ ФР: Т+: Корпоративные облигации]</t>
  </si>
  <si>
    <t>4B02-01-00172-L-001P</t>
  </si>
  <si>
    <t>RU000A109PK2</t>
  </si>
  <si>
    <t>Сказка 1P1</t>
  </si>
  <si>
    <t>СлавЭКО1Р1 [МБ ФР: Т+: Корпоративные облигации]</t>
  </si>
  <si>
    <t>4B02-01-00039-L-001P</t>
  </si>
  <si>
    <t>RU000A103WB0</t>
  </si>
  <si>
    <t>СлавЭКО1Р1</t>
  </si>
  <si>
    <t>Славнеф1Р1 [МБ ФР: Т+: Корпоративные облигации]</t>
  </si>
  <si>
    <t>4B02-01-00221-A-001P</t>
  </si>
  <si>
    <t>RU000A101T64</t>
  </si>
  <si>
    <t>Славнеф1Р1</t>
  </si>
  <si>
    <t>Славнеф1Р2 [МБ ФР: Т+: Корпоративные облигации]</t>
  </si>
  <si>
    <t>4B02-02-00221-A-001P</t>
  </si>
  <si>
    <t>RU000A1007H0</t>
  </si>
  <si>
    <t>Славнеф1Р2</t>
  </si>
  <si>
    <t>Славнеф1Р3 [МБ ФР: Т+: Корпоративные облигации]</t>
  </si>
  <si>
    <t>4B02-03-00221-A-001P</t>
  </si>
  <si>
    <t>RU000A1013U1</t>
  </si>
  <si>
    <t>Славнеф1Р3</t>
  </si>
  <si>
    <t>Славнеф2Р1 [МБ ФР: Т+: Корпоративные облигации]</t>
  </si>
  <si>
    <t>4B02-01-00221-A-002P</t>
  </si>
  <si>
    <t>RU000A103PD0</t>
  </si>
  <si>
    <t>Славнеф2Р1</t>
  </si>
  <si>
    <t>Славнеф2Р2 [МБ ФР: Т+: Корпоративные облигации]</t>
  </si>
  <si>
    <t>4B02-02-00221-A-002P</t>
  </si>
  <si>
    <t>RU000A103PG3</t>
  </si>
  <si>
    <t>Славнеф2Р2</t>
  </si>
  <si>
    <t>Славнеф2Р3 [МБ ФР: Т+: Корпоративные облигации]</t>
  </si>
  <si>
    <t>4B02-03-00221-A-002P</t>
  </si>
  <si>
    <t>RU000A1043J1</t>
  </si>
  <si>
    <t>Славнеф2Р3</t>
  </si>
  <si>
    <t>Славнеф2Р4 [МБ ФР: Т+: Корпоративные облигации]</t>
  </si>
  <si>
    <t>4B02-04-00221-A-002P</t>
  </si>
  <si>
    <t>RU000A104WF9</t>
  </si>
  <si>
    <t>Славнеф2Р4</t>
  </si>
  <si>
    <t>Славнеф2Р5 [МБ ФР: Т+: Корпоративные облигации]</t>
  </si>
  <si>
    <t>4B02-05-00221-A-002P</t>
  </si>
  <si>
    <t>RU000A108ZH9</t>
  </si>
  <si>
    <t>Славнеф2Р5</t>
  </si>
  <si>
    <t>СмартФ1Р01 [МБ ФР: Т+: Корпоративные облигации]</t>
  </si>
  <si>
    <t>4B02-01-00102-L-001P</t>
  </si>
  <si>
    <t>RU000A106CM2</t>
  </si>
  <si>
    <t>СмартФ1Р01</t>
  </si>
  <si>
    <t>СмартФ1Р02 [МБ ФР: Т+: Корпоративные облигации]</t>
  </si>
  <si>
    <t>4B02-02-00102-L-001P</t>
  </si>
  <si>
    <t>RU000A107EP9</t>
  </si>
  <si>
    <t>СмартФ1Р02</t>
  </si>
  <si>
    <t>СмартФ1Р03 [МБ ФР: Т+: Корпоративные облигации]</t>
  </si>
  <si>
    <t>4B02-03-00102-L-001P</t>
  </si>
  <si>
    <t>RU000A108LN7</t>
  </si>
  <si>
    <t>СмартФ1Р03</t>
  </si>
  <si>
    <t>СовкмЛ П05 [МБ ФР: Т+: Корпоративные облигации]</t>
  </si>
  <si>
    <t>4B02-05-00303-R-001P</t>
  </si>
  <si>
    <t>RU000A104388</t>
  </si>
  <si>
    <t>СовкмЛ П05</t>
  </si>
  <si>
    <t>СовкмЛ П06 [МБ ФР: Т+: Корпоративные облигации]</t>
  </si>
  <si>
    <t>4B02-06-00303-R-001P</t>
  </si>
  <si>
    <t>RU000A106946</t>
  </si>
  <si>
    <t>СовкмЛ П06</t>
  </si>
  <si>
    <t>СовкмЛ П07 [МБ ФР: Т+: Корпоративные облигации]</t>
  </si>
  <si>
    <t>4B02-07-00303-R-001P</t>
  </si>
  <si>
    <t>RU000A1099V8</t>
  </si>
  <si>
    <t>СовкмЛ П07</t>
  </si>
  <si>
    <t>Совком 1В2 [МБ ФР: Т+: Корпоративные облигации]</t>
  </si>
  <si>
    <t>Совком 2В3 [МБ ФР: Т+: Корпоративные облигации]</t>
  </si>
  <si>
    <t>Совком БО5 [МБ ФР: Т+: Корпоративные облигации]</t>
  </si>
  <si>
    <t>4B020500963B</t>
  </si>
  <si>
    <t>RU000A0ZYJR6</t>
  </si>
  <si>
    <t>Совком БО5</t>
  </si>
  <si>
    <t>СовкомБИ03 [МБ ФР: Т+: Корпоративные облигации]</t>
  </si>
  <si>
    <t>4B02-10-00963-B-001P</t>
  </si>
  <si>
    <t>RU000A10A422</t>
  </si>
  <si>
    <t>СовкомБИ03</t>
  </si>
  <si>
    <t>СовкомБОП1 [МБ ФР: Т+: Корпоративные облигации]</t>
  </si>
  <si>
    <t>4B020100963B001P</t>
  </si>
  <si>
    <t>RU000A100DZ5</t>
  </si>
  <si>
    <t>СовкомБОП1</t>
  </si>
  <si>
    <t>СовкомБОП2 [МБ ФР: Т+: Корпоративные облигации]</t>
  </si>
  <si>
    <t>4B02-03-00963-B-001P</t>
  </si>
  <si>
    <t>RU000A101MB5</t>
  </si>
  <si>
    <t>СовкомБОП2</t>
  </si>
  <si>
    <t>СовкомБОП5 [МБ ФР: Т+: Корпоративные облигации]</t>
  </si>
  <si>
    <t>4B02-09-00963-B-001P</t>
  </si>
  <si>
    <t>RU000A109VL8</t>
  </si>
  <si>
    <t>СовкомБОП5</t>
  </si>
  <si>
    <t>СовкомЗО-1 [МБ ФР: Т+: Корпоративные облигации]</t>
  </si>
  <si>
    <t>4-17-00963-B</t>
  </si>
  <si>
    <t>RU000A107B84</t>
  </si>
  <si>
    <t>СовкомЗО-1</t>
  </si>
  <si>
    <t>СовкомЗО-2 [МБ ФР: Т+: Корпоративные облигации]</t>
  </si>
  <si>
    <t>4-18-00963-B</t>
  </si>
  <si>
    <t>RU000A107C59</t>
  </si>
  <si>
    <t>СовкомЗО-2</t>
  </si>
  <si>
    <t>СовкомЗО-3 [МБ ФР: Т+: Корпоративные облигации]</t>
  </si>
  <si>
    <t>4-19-00963-B</t>
  </si>
  <si>
    <t>RU000A107CM0</t>
  </si>
  <si>
    <t>СовкомЗО-3</t>
  </si>
  <si>
    <t>СовкомЗО-4 [МБ ФР: Т+: Корпоративные облигации]</t>
  </si>
  <si>
    <t>4-20-00963-B</t>
  </si>
  <si>
    <t>RU000A107E99</t>
  </si>
  <si>
    <t>СовкомЗО-4</t>
  </si>
  <si>
    <t>СовкомТ2-1 [МБ ФР: Т+: Корпоративные облигации]</t>
  </si>
  <si>
    <t>4-15-00963-B</t>
  </si>
  <si>
    <t>RU000A1052C7</t>
  </si>
  <si>
    <t>СовкомТ2-1</t>
  </si>
  <si>
    <t>СолСАТЛ01 [МБ ФР: Т+: Корпоративные облигации]</t>
  </si>
  <si>
    <t>4B02-01-00174-L</t>
  </si>
  <si>
    <t>RU000A109NA8</t>
  </si>
  <si>
    <t>СолСАТЛ01</t>
  </si>
  <si>
    <t>Солид БО-2 [МБ ФР: Т+: Корпоративные облигации]</t>
  </si>
  <si>
    <t>4B020203344B</t>
  </si>
  <si>
    <t>RU000A0JVA77</t>
  </si>
  <si>
    <t>Солид БО-2</t>
  </si>
  <si>
    <t>СолтонБО01 [МБ ФР: Т+: Корпоративные облигации]</t>
  </si>
  <si>
    <t>4B02-01-00147-L</t>
  </si>
  <si>
    <t>RU000A108A19</t>
  </si>
  <si>
    <t>СолтонБО01</t>
  </si>
  <si>
    <t>СтаврКрай4 [МБ ФР: Т+: Корпоративные облигации]</t>
  </si>
  <si>
    <t>RU35004STV0</t>
  </si>
  <si>
    <t>RU000A102H34</t>
  </si>
  <si>
    <t>СтаврКрай4</t>
  </si>
  <si>
    <t>Страна 02 [МБ ФР: Т+: Корпоративные облигации]</t>
  </si>
  <si>
    <t>4-01-00593-R-001P</t>
  </si>
  <si>
    <t>RU000A105YF2</t>
  </si>
  <si>
    <t>Страна 02</t>
  </si>
  <si>
    <t>Сульфур1P1 [МБ ФР: Т+: Корпоративные облигации]</t>
  </si>
  <si>
    <t>4B02-01-00156-L-001P</t>
  </si>
  <si>
    <t>RU000A1098T4</t>
  </si>
  <si>
    <t>Сульфур1P1</t>
  </si>
  <si>
    <t>Сферфин1P1 [МБ ФР: Т+: Корпоративные облигации]</t>
  </si>
  <si>
    <t>4B02-01-00366-R-001P</t>
  </si>
  <si>
    <t>RU000A0ZYU54</t>
  </si>
  <si>
    <t>Сферфин1P1</t>
  </si>
  <si>
    <t>Сферфин1P2 [МБ ФР: Т+: Корпоративные облигации]</t>
  </si>
  <si>
    <t>4B02-02-00366-R-001P</t>
  </si>
  <si>
    <t>RU000A0ZZNL8</t>
  </si>
  <si>
    <t>Сферфин1P2</t>
  </si>
  <si>
    <t>Сферфин1P3 [МБ ФР: Т+: Корпоративные облигации]</t>
  </si>
  <si>
    <t>4B02-03-00366-R-001P</t>
  </si>
  <si>
    <t>RU000A0ZZS73</t>
  </si>
  <si>
    <t>Сферфин1P3</t>
  </si>
  <si>
    <t>СэтлГрБ1P4 [МБ ФР: Т+: Корпоративные облигации]</t>
  </si>
  <si>
    <t>4B02-04-36160-R-001P</t>
  </si>
  <si>
    <t>RU000A103WQ8</t>
  </si>
  <si>
    <t>СэтлГрБ1P4</t>
  </si>
  <si>
    <t>СэтлГрБ2P1 [МБ ФР: Т+: Корпоративные облигации]</t>
  </si>
  <si>
    <t>4B02-01-36160-R-002P</t>
  </si>
  <si>
    <t>RU000A1053A9</t>
  </si>
  <si>
    <t>СэтлГрБ2P1</t>
  </si>
  <si>
    <t>СэтлГрБ2P2 [МБ ФР: Т+: Корпоративные облигации]</t>
  </si>
  <si>
    <t>4B02-02-36160-R-002P</t>
  </si>
  <si>
    <t>RU000A105X64</t>
  </si>
  <si>
    <t>СэтлГрБ2P2</t>
  </si>
  <si>
    <t>СэтлГрБ2P3 [МБ ФР: Т+: Корпоративные облигации]</t>
  </si>
  <si>
    <t>4B02-03-36160-R-002P</t>
  </si>
  <si>
    <t>RU000A1084B2</t>
  </si>
  <si>
    <t>СэтлГрБ2P3</t>
  </si>
  <si>
    <t>Т1 001Р-01 [МБ ФР: Т+: Корпоративные облигации]</t>
  </si>
  <si>
    <t>4B02-01-00111-L-001P</t>
  </si>
  <si>
    <t>RU000A1071R5</t>
  </si>
  <si>
    <t>Т1 001Р-01</t>
  </si>
  <si>
    <t>ТАЛАНФБ1P3 [МБ ФР: Т+: Корпоративные облигации]</t>
  </si>
  <si>
    <t>4B02-03-00416-R-001P</t>
  </si>
  <si>
    <t>RU000A1043B8</t>
  </si>
  <si>
    <t>ТАЛАНФБ1P3</t>
  </si>
  <si>
    <t>ТАЛК001P01 [МБ ФР: Т+: Корпоративные облигации]</t>
  </si>
  <si>
    <t>4B02-01-00489-F-001P</t>
  </si>
  <si>
    <t>RU000A108E98</t>
  </si>
  <si>
    <t>ТАЛК001P01</t>
  </si>
  <si>
    <t>ТАЛК001P02 [МБ ФР: Т+: Корпоративные облигации]</t>
  </si>
  <si>
    <t>4B02-02-00489-F-001P</t>
  </si>
  <si>
    <t>RU000A1090A1</t>
  </si>
  <si>
    <t>ТАЛК001P02</t>
  </si>
  <si>
    <t>ТАЛК001P03 [МБ ФР: Т+: Корпоративные облигации]</t>
  </si>
  <si>
    <t>4B02-03-00489-F-001P</t>
  </si>
  <si>
    <t>RU000A109DP7</t>
  </si>
  <si>
    <t>ТАЛК001P03</t>
  </si>
  <si>
    <t>ТГК-14 1Р1 [МБ ФР: Т+: Корпоративные облигации]</t>
  </si>
  <si>
    <t>4B02-01-22451-F-001P</t>
  </si>
  <si>
    <t>RU000A1066J2</t>
  </si>
  <si>
    <t>ТГК-14 1Р1</t>
  </si>
  <si>
    <t>ТГК-14 1Р2 [МБ ФР: Т+: Корпоративные облигации]</t>
  </si>
  <si>
    <t>4B02-02-22451-F-001P</t>
  </si>
  <si>
    <t>RU000A106MW0</t>
  </si>
  <si>
    <t>ТГК-14 1Р2</t>
  </si>
  <si>
    <t>ТГК-1БО1P1 [МБ ФР: Т+: Корпоративные облигации]</t>
  </si>
  <si>
    <t>4B02-01-03388-D-001P</t>
  </si>
  <si>
    <t>RU000A105NB4</t>
  </si>
  <si>
    <t>ТГК-1БО1P1</t>
  </si>
  <si>
    <t>ТЕХЛиз 1P3 [МБ ФР: Т+: Корпоративные облигации]</t>
  </si>
  <si>
    <t>4B02-03-00455-R-001P</t>
  </si>
  <si>
    <t>RU000A102234</t>
  </si>
  <si>
    <t>ТЕХЛиз 1P3</t>
  </si>
  <si>
    <t>ТЕХЛиз 1P4 [МБ ФР: Т+: Корпоративные облигации]</t>
  </si>
  <si>
    <t>4B02-04-00455-R-001P</t>
  </si>
  <si>
    <t>RU000A1032X5</t>
  </si>
  <si>
    <t>ТЕХЛиз 1P4</t>
  </si>
  <si>
    <t>ТЕХЛиз 1P5 [МБ ФР: Т+: Корпоративные облигации]</t>
  </si>
  <si>
    <t>4B02-05-00455-R-001P</t>
  </si>
  <si>
    <t>RU000A103TS0</t>
  </si>
  <si>
    <t>ТЕХЛиз 1P5</t>
  </si>
  <si>
    <t>ТЕХЛиз 1P6 [МБ ФР: Т+: Корпоративные облигации]</t>
  </si>
  <si>
    <t>4B02-06-00455-R-001P</t>
  </si>
  <si>
    <t>RU000A107FN1</t>
  </si>
  <si>
    <t>ТЕХЛиз 1P6</t>
  </si>
  <si>
    <t>ТЕХНЛГ 01 [МБ ФР: Т+: Корпоративные облигации]</t>
  </si>
  <si>
    <t>4B02-01-00127-L</t>
  </si>
  <si>
    <t>RU000A107DD7</t>
  </si>
  <si>
    <t>ТЕХНЛГ 01</t>
  </si>
  <si>
    <t>ТКБ СУБ-ЗО [МБ ФР: Т+: Корпоративные облигации]</t>
  </si>
  <si>
    <t>4-06-02210-B</t>
  </si>
  <si>
    <t>RU000A108DH6</t>
  </si>
  <si>
    <t>ТКБ СУБ-ЗО</t>
  </si>
  <si>
    <t>ТКХ БО-П02 [МБ ФР: Т+: Корпоративные облигации]</t>
  </si>
  <si>
    <t>4B02-02-00349-R-001P</t>
  </si>
  <si>
    <t>RU000A0ZZTK7</t>
  </si>
  <si>
    <t>ТКХ БО-П02</t>
  </si>
  <si>
    <t>ТЛК 1Р1 [МБ ФР: Т+: Корпоративные облигации]</t>
  </si>
  <si>
    <t>4B02-01-00155-L-001P</t>
  </si>
  <si>
    <t>RU000A109RF8</t>
  </si>
  <si>
    <t>ТЛК 1Р1</t>
  </si>
  <si>
    <t>ТМК 1P03 [МБ ФР: Т+: Корпоративные облигации]</t>
  </si>
  <si>
    <t>4B02-03-29031-H-001P</t>
  </si>
  <si>
    <t>RU000A102TJ1</t>
  </si>
  <si>
    <t>ТМК 1P03</t>
  </si>
  <si>
    <t>ТМК БО-7 [МБ ФР: Т+: Корпоративные облигации]</t>
  </si>
  <si>
    <t>4B02-07-29031-H</t>
  </si>
  <si>
    <t>RU000A0JXSF8</t>
  </si>
  <si>
    <t>ТМК БО-7</t>
  </si>
  <si>
    <t>ТМК ЗО2027 [МБ ФР: Т+: Корпоративные облигации]</t>
  </si>
  <si>
    <t>4-06-29031-H</t>
  </si>
  <si>
    <t>RU000A107JN3</t>
  </si>
  <si>
    <t>ТМК ЗО2027</t>
  </si>
  <si>
    <t>ТРДБ Б0-01 [МБ ФР: Т+: Корпоративные облигации]</t>
  </si>
  <si>
    <t>4B02-01-00434-R</t>
  </si>
  <si>
    <t>RU000A106VN0</t>
  </si>
  <si>
    <t>ТРДБ Б0-01</t>
  </si>
  <si>
    <t>ТФинанс1P1 [МБ ФР: Т+: Корпоративные облигации]</t>
  </si>
  <si>
    <t>4B02-01-00159-L-001P</t>
  </si>
  <si>
    <t>RU000A109KT4</t>
  </si>
  <si>
    <t>ТФинанс1P1</t>
  </si>
  <si>
    <t>ТамбовОб17 [МБ ФР: Т+: Корпоративные облигации]</t>
  </si>
  <si>
    <t>RU35004TMB0</t>
  </si>
  <si>
    <t>RU000A0ZYJ18</t>
  </si>
  <si>
    <t>ТамбовОб17</t>
  </si>
  <si>
    <t>ТатнхимP01 [МБ ФР: Т+: Корпоративные облигации]</t>
  </si>
  <si>
    <t>4B02-01-00017-L-001P</t>
  </si>
  <si>
    <t>RU000A103UL3</t>
  </si>
  <si>
    <t>ТатнхимP01</t>
  </si>
  <si>
    <t>ТатнхимP02 [МБ ФР: Т+: Корпоративные облигации]</t>
  </si>
  <si>
    <t>4B02-02-00017-L-001P</t>
  </si>
  <si>
    <t>RU000A108BX7</t>
  </si>
  <si>
    <t>ТатнхимP02</t>
  </si>
  <si>
    <t>ТелХолБ2-2 [МБ ФР: Т+: Корпоративные облигации]</t>
  </si>
  <si>
    <t>4B02-02-53015-K-002P</t>
  </si>
  <si>
    <t>RU000A1058K7</t>
  </si>
  <si>
    <t>ТелХолБ2-2</t>
  </si>
  <si>
    <t>ТелХолБ2-3 [МБ ФР: Т+: Корпоративные облигации]</t>
  </si>
  <si>
    <t>4B02-03-53015-K-002P</t>
  </si>
  <si>
    <t>RU000A106JV8</t>
  </si>
  <si>
    <t>ТелХолБ2-3</t>
  </si>
  <si>
    <t>ТелХолБ2-4 [МБ ФР: Т+: Корпоративные облигации]</t>
  </si>
  <si>
    <t>4B02-04-53015-K-002P</t>
  </si>
  <si>
    <t>RU000A106K19</t>
  </si>
  <si>
    <t>ТелХолБ2-4</t>
  </si>
  <si>
    <t>ТелХолБ2-5 [МБ ФР: Т+: Корпоративные облигации]</t>
  </si>
  <si>
    <t>4B02-05-53015-K-002P</t>
  </si>
  <si>
    <t>RU000A107BZ4</t>
  </si>
  <si>
    <t>ТелХолБ2-5</t>
  </si>
  <si>
    <t>ТелХолБ2-6 [МБ ФР: Т+: Корпоративные облигации]</t>
  </si>
  <si>
    <t>4B02-06-53015-K-002P</t>
  </si>
  <si>
    <t>RU000A1087A7</t>
  </si>
  <si>
    <t>ТелХолБ2-6</t>
  </si>
  <si>
    <t>Титан-3 01 [МБ ФР: Т+: Корпоративные облигации]</t>
  </si>
  <si>
    <t>4B02-01-00019-L</t>
  </si>
  <si>
    <t>RU000A102MB3</t>
  </si>
  <si>
    <t>Титан-3 01</t>
  </si>
  <si>
    <t>Титан-3 02 [МБ ФР: Т+: Корпоративные облигации]</t>
  </si>
  <si>
    <t>4B02-02-00019-L</t>
  </si>
  <si>
    <t>RU000A102MC1</t>
  </si>
  <si>
    <t>Титан-3 02</t>
  </si>
  <si>
    <t>Титан-3 03 [МБ ФР: Т+: Корпоративные облигации]</t>
  </si>
  <si>
    <t>4B02-03-00019-L</t>
  </si>
  <si>
    <t>RU000A102ME7</t>
  </si>
  <si>
    <t>Титан-3 03</t>
  </si>
  <si>
    <t>Титан-5 А [МБ ФР: Т+: Корпоративные облигации]</t>
  </si>
  <si>
    <t>4B02-01-00092-L</t>
  </si>
  <si>
    <t>RU000A105UC7</t>
  </si>
  <si>
    <t>Титан-5 А</t>
  </si>
  <si>
    <t>Титан-5 Б [МБ ФР: Т+: Корпоративные облигации]</t>
  </si>
  <si>
    <t>4B02-02-00092-L</t>
  </si>
  <si>
    <t>RU000A105UD5</t>
  </si>
  <si>
    <t>Титан-5 Б</t>
  </si>
  <si>
    <t>Титан-5 В [МБ ФР: Т+: Корпоративные облигации]</t>
  </si>
  <si>
    <t>4B02-03-00092-L</t>
  </si>
  <si>
    <t>RU000A105UE3</t>
  </si>
  <si>
    <t>Титан-5 В</t>
  </si>
  <si>
    <t>ТойотаБ1P5 [МБ ФР: Т+: Корпоративные облигации]</t>
  </si>
  <si>
    <t>4B02-05-03470-B-001P</t>
  </si>
  <si>
    <t>RU000A104L36</t>
  </si>
  <si>
    <t>ТойотаБ1P5</t>
  </si>
  <si>
    <t>ТомскАдм 7 [МБ ФР: Т+: Корпоративные облигации]</t>
  </si>
  <si>
    <t>RU34007TOM1</t>
  </si>
  <si>
    <t>RU000A1018A2</t>
  </si>
  <si>
    <t>ТомскАдм 7</t>
  </si>
  <si>
    <t>ТомскАдм 8 [МБ ФР: Т+: Корпоративные облигации]</t>
  </si>
  <si>
    <t>RU34008TOM1</t>
  </si>
  <si>
    <t>RU000A102LR1</t>
  </si>
  <si>
    <t>ТомскАдм 8</t>
  </si>
  <si>
    <t>ТомскАдм 9 [МБ ФР: Т+: Корпоративные облигации]</t>
  </si>
  <si>
    <t>RU34009TOM1</t>
  </si>
  <si>
    <t>RU000A10A6J1</t>
  </si>
  <si>
    <t>ТомскАдм 9</t>
  </si>
  <si>
    <t>ТомскОб 62 [МБ ФР: Т+: Корпоративные облигации]</t>
  </si>
  <si>
    <t>RU34062TMS0</t>
  </si>
  <si>
    <t>RU000A0ZYMJ7</t>
  </si>
  <si>
    <t>ТомскОб 62</t>
  </si>
  <si>
    <t>Томскобл20 [МБ ФР: Т+: Корпоративные облигации]</t>
  </si>
  <si>
    <t>RU35067TMS0</t>
  </si>
  <si>
    <t>RU000A1024L7</t>
  </si>
  <si>
    <t>Томскобл20</t>
  </si>
  <si>
    <t>ТрансКо2P1 [МБ ФР: Т+: Корпоративные облигации]</t>
  </si>
  <si>
    <t>4B02-01-55194-E-002P</t>
  </si>
  <si>
    <t>RU000A109E71</t>
  </si>
  <si>
    <t>ТрансКо2P1</t>
  </si>
  <si>
    <t>ТрансМ БО1 [МБ ФР: Т+: Корпоративные облигации]</t>
  </si>
  <si>
    <t>4B02-01-00447-R</t>
  </si>
  <si>
    <t>RU000A104K11</t>
  </si>
  <si>
    <t>ТрансМ БО1</t>
  </si>
  <si>
    <t>ТрансМ БО2 [МБ ФР: Т+: Корпоративные облигации]</t>
  </si>
  <si>
    <t>4B02-02-00447-R</t>
  </si>
  <si>
    <t>RU000A107FG5</t>
  </si>
  <si>
    <t>ТрансМ БО2</t>
  </si>
  <si>
    <t>ТрансФ1P01 [МБ ФР: Т+: Корпоративные облигации]</t>
  </si>
  <si>
    <t>4B02-01-50156-A-001P</t>
  </si>
  <si>
    <t>RU000A0JWWM8</t>
  </si>
  <si>
    <t>ТрансФ1P01</t>
  </si>
  <si>
    <t>ТрансФ1P02 [МБ ФР: Т+: Корпоративные облигации]</t>
  </si>
  <si>
    <t>4B02-02-50156-A-001P</t>
  </si>
  <si>
    <t>RU000A0JXK99</t>
  </si>
  <si>
    <t>ТрансФ1P02</t>
  </si>
  <si>
    <t>ТрансФ1P03 [МБ ФР: Т+: Корпоративные облигации]</t>
  </si>
  <si>
    <t>4B02-03-50156-A-001P</t>
  </si>
  <si>
    <t>RU000A0JXVB1</t>
  </si>
  <si>
    <t>ТрансФ1P03</t>
  </si>
  <si>
    <t>ТрансФ1P04 [МБ ФР: Т+: Корпоративные облигации]</t>
  </si>
  <si>
    <t>4B02-04-50156-A-001P</t>
  </si>
  <si>
    <t>RU000A0ZYEB1</t>
  </si>
  <si>
    <t>ТрансФ1P04</t>
  </si>
  <si>
    <t>ТрансФ1P05 [МБ ФР: Т+: Корпоративные облигации]</t>
  </si>
  <si>
    <t>4B02-05-50156-A-001P</t>
  </si>
  <si>
    <t>RU000A0ZYFS2</t>
  </si>
  <si>
    <t>ТрансФ1P05</t>
  </si>
  <si>
    <t>ТрансФ1P07 [МБ ФР: Т+: Корпоративные облигации]</t>
  </si>
  <si>
    <t>4B02-07-50156-A-001P</t>
  </si>
  <si>
    <t>RU000A103M36</t>
  </si>
  <si>
    <t>ТрансФ1P07</t>
  </si>
  <si>
    <t>ТрансФ1P08 [МБ ФР: Т+: Корпоративные облигации]</t>
  </si>
  <si>
    <t>4B02-08-50156-A-001P</t>
  </si>
  <si>
    <t>RU000A103WM7</t>
  </si>
  <si>
    <t>ТрансФ1P08</t>
  </si>
  <si>
    <t>ТрансФ1P09 [МБ ФР: Т+: Корпоративные облигации]</t>
  </si>
  <si>
    <t>4B02-09-50156-A-001P</t>
  </si>
  <si>
    <t>RU000A106J38</t>
  </si>
  <si>
    <t>ТрансФ1P09</t>
  </si>
  <si>
    <t>ТрансФБО31 [МБ ФР: Т+: Корпоративные облигации]</t>
  </si>
  <si>
    <t>4B02-06-50156-A</t>
  </si>
  <si>
    <t>RU000A0JV9Q0</t>
  </si>
  <si>
    <t>ТрансФБО31</t>
  </si>
  <si>
    <t>ТрансФБО39 [МБ ФР: Т+: Корпоративные облигации]</t>
  </si>
  <si>
    <t>4B02-14-50156-A</t>
  </si>
  <si>
    <t>RU000A0JVHH1</t>
  </si>
  <si>
    <t>ТрансФБО39</t>
  </si>
  <si>
    <t>ТрансФБО40 [МБ ФР: Т+: Корпоративные облигации]</t>
  </si>
  <si>
    <t>4B02-15-50156-A</t>
  </si>
  <si>
    <t>RU000A0JVPS1</t>
  </si>
  <si>
    <t>ТрансФБО40</t>
  </si>
  <si>
    <t>ТрансФБО41 [МБ ФР: Т+: Корпоративные облигации]</t>
  </si>
  <si>
    <t>4B02-16-50156-A</t>
  </si>
  <si>
    <t>RU000A0JVS36</t>
  </si>
  <si>
    <t>ТрансФБО41</t>
  </si>
  <si>
    <t>ТрансмхПБ4 [МБ ФР: Т+: Корпоративные облигации]</t>
  </si>
  <si>
    <t>4B02-04-35992-H-001P</t>
  </si>
  <si>
    <t>RU000A1018C8</t>
  </si>
  <si>
    <t>ТрансмхПБ4</t>
  </si>
  <si>
    <t>ТрансмхПБ6 [МБ ФР: Т+: Корпоративные облигации]</t>
  </si>
  <si>
    <t>4B02-06-35992-H-001P</t>
  </si>
  <si>
    <t>RU000A1038D4</t>
  </si>
  <si>
    <t>ТрансмхПБ6</t>
  </si>
  <si>
    <t>ТрансмхПБ7 [МБ ФР: Т+: Корпоративные облигации]</t>
  </si>
  <si>
    <t>4B02-07-35992-H-001P</t>
  </si>
  <si>
    <t>RU000A106CU5</t>
  </si>
  <si>
    <t>ТрансмхПБ7</t>
  </si>
  <si>
    <t>ТрнфБО1P13 [МБ ФР: Т+: Корпоративные облигации]</t>
  </si>
  <si>
    <t>4B02-13-00206-A-001P</t>
  </si>
  <si>
    <t>RU000A1010B7</t>
  </si>
  <si>
    <t>ТрнфБО1P13</t>
  </si>
  <si>
    <t>ТрнфБО1P8 [МБ ФР: Т+: Корпоративные облигации]</t>
  </si>
  <si>
    <t>4B02-08-00206-A-001P</t>
  </si>
  <si>
    <t>RU000A0ZYDD9</t>
  </si>
  <si>
    <t>ТрнфБО1P8</t>
  </si>
  <si>
    <t>Удмурт2016 [МБ ФР: Т+: Корпоративные облигации]</t>
  </si>
  <si>
    <t>RU35002UDM0</t>
  </si>
  <si>
    <t>RU000A0JWT91</t>
  </si>
  <si>
    <t>Удмурт2016</t>
  </si>
  <si>
    <t>Ульоб34003 [МБ ФР: Т+: Корпоративные облигации]</t>
  </si>
  <si>
    <t>RU34003ULN0</t>
  </si>
  <si>
    <t>RU000A102CX8</t>
  </si>
  <si>
    <t>Ульоб34003</t>
  </si>
  <si>
    <t>Ульоб34004 [МБ ФР: Т+: Корпоративные облигации]</t>
  </si>
  <si>
    <t>RU34004ULN0</t>
  </si>
  <si>
    <t>RU000A1040S8</t>
  </si>
  <si>
    <t>Ульоб34004</t>
  </si>
  <si>
    <t>Ульоб34005 [МБ ФР: Т+: Корпоративные облигации]</t>
  </si>
  <si>
    <t>RU34005ULN0</t>
  </si>
  <si>
    <t>RU000A106607</t>
  </si>
  <si>
    <t>Ульоб34005</t>
  </si>
  <si>
    <t>Ульоб34006 [МБ ФР: Т+: Корпоративные облигации]</t>
  </si>
  <si>
    <t>RU34006ULN0</t>
  </si>
  <si>
    <t>RU000A1077U6</t>
  </si>
  <si>
    <t>Ульоб34006</t>
  </si>
  <si>
    <t>Ульоб34008 [МБ ФР: Т+: Корпоративные облигации]</t>
  </si>
  <si>
    <t>RU34008ULN0</t>
  </si>
  <si>
    <t>RU000A1087F6</t>
  </si>
  <si>
    <t>Ульоб34008</t>
  </si>
  <si>
    <t>Ульоб34009 [МБ ФР: Т+: Корпоративные облигации]</t>
  </si>
  <si>
    <t>RU34009ULN0</t>
  </si>
  <si>
    <t>RU000A109RR3</t>
  </si>
  <si>
    <t>Ульоб34009</t>
  </si>
  <si>
    <t>Ульоб35002 [МБ ФР: Т+: Корпоративные облигации]</t>
  </si>
  <si>
    <t>RU35002ULN0</t>
  </si>
  <si>
    <t>RU000A101U61</t>
  </si>
  <si>
    <t>Ульоб35002</t>
  </si>
  <si>
    <t>УльтраБО1 [МБ ФР: Т+: Корпоративные облигации]</t>
  </si>
  <si>
    <t>4B02-01-00481-R</t>
  </si>
  <si>
    <t>RU000A106AU9</t>
  </si>
  <si>
    <t>УльтраБО1</t>
  </si>
  <si>
    <t>УльтраБО2 [МБ ФР: Т+: Корпоративные облигации]</t>
  </si>
  <si>
    <t>4B02-02-00481-R</t>
  </si>
  <si>
    <t>RU000A1078K5</t>
  </si>
  <si>
    <t>УльтраБО2</t>
  </si>
  <si>
    <t>Ульян.об17 [МБ ФР: Т+: Корпоративные облигации]</t>
  </si>
  <si>
    <t>RU35001ULN0</t>
  </si>
  <si>
    <t>RU000A0ZYJB0</t>
  </si>
  <si>
    <t>Ульян.об17</t>
  </si>
  <si>
    <t>Унител БО1 [МБ ФР: Т+: Корпоративные облигации]</t>
  </si>
  <si>
    <t>4B02-01-00124-L-001P</t>
  </si>
  <si>
    <t>RU000A107F07</t>
  </si>
  <si>
    <t>Унител БО1</t>
  </si>
  <si>
    <t>УрКаПБО6P [МБ ФР: Т+: Корпоративные облигации]</t>
  </si>
  <si>
    <t>4B02-06-00296-A-001P</t>
  </si>
  <si>
    <t>RU000A101GZ6</t>
  </si>
  <si>
    <t>УрКаПБО6P</t>
  </si>
  <si>
    <t>УралСт1Р01 [МБ ФР: Т+: Корпоративные облигации]</t>
  </si>
  <si>
    <t>4B02-01-55163-E-001P</t>
  </si>
  <si>
    <t>RU000A105Q63</t>
  </si>
  <si>
    <t>УралСт1Р01</t>
  </si>
  <si>
    <t>УралСт1Р02 [МБ ФР: Т+: Корпоративные облигации]</t>
  </si>
  <si>
    <t>4B02-02-55163-E-001P</t>
  </si>
  <si>
    <t>RU000A1066A1</t>
  </si>
  <si>
    <t>УралСт1Р02</t>
  </si>
  <si>
    <t>УралСт1Р03 [МБ ФР: Т+: Корпоративные облигации]</t>
  </si>
  <si>
    <t>ФАРМФРД БО [МБ ФР: Т+: Корпоративные облигации]</t>
  </si>
  <si>
    <t>4B02-01-00123-L</t>
  </si>
  <si>
    <t>RU000A107BD1</t>
  </si>
  <si>
    <t>ФАРМФРД БО</t>
  </si>
  <si>
    <t>ФИНСИСТ 01 [МБ ФР: Т+: Корпоративные облигации]</t>
  </si>
  <si>
    <t>4B02-01-87071-H</t>
  </si>
  <si>
    <t>RU000A106TJ2</t>
  </si>
  <si>
    <t>ФИНСИСТ 01</t>
  </si>
  <si>
    <t>ФИНСИСТ1Р1 [МБ ФР: Т+: Корпоративные облигации]</t>
  </si>
  <si>
    <t>4B02-01-87071-H-001P</t>
  </si>
  <si>
    <t>RU000A1094L0</t>
  </si>
  <si>
    <t>ФИНСИСТ1Р1</t>
  </si>
  <si>
    <t>ФПК 1P-05 [МБ ФР: Т+: Корпоративные облигации]</t>
  </si>
  <si>
    <t>4B02-05-55465-E-001P</t>
  </si>
  <si>
    <t>RU000A0ZZTL5</t>
  </si>
  <si>
    <t>ФПК 1P-05</t>
  </si>
  <si>
    <t>ФПК 1P-07 [МБ ФР: Т+: Корпоративные облигации]</t>
  </si>
  <si>
    <t>4B02-07-55465-E-001P</t>
  </si>
  <si>
    <t>RU000A1012B3</t>
  </si>
  <si>
    <t>ФПК 1P-07</t>
  </si>
  <si>
    <t>ФСК РС Б2 [МБ ФР: Т+: Корпоративные облигации]</t>
  </si>
  <si>
    <t>4B02-02-65018-D</t>
  </si>
  <si>
    <t>RU000A0JX090</t>
  </si>
  <si>
    <t>ФСК РС Б2</t>
  </si>
  <si>
    <t>ФСК РС Б4 [МБ ФР: Т+: Корпоративные облигации]</t>
  </si>
  <si>
    <t>4B02-04-65018-D</t>
  </si>
  <si>
    <t>RU000A0ZYJ91</t>
  </si>
  <si>
    <t>ФСК РС Б4</t>
  </si>
  <si>
    <t>ФСК РС Б5 [МБ ФР: Т+: Корпоративные облигации]</t>
  </si>
  <si>
    <t>4B02-05-65018-D</t>
  </si>
  <si>
    <t>RU000A1056S4</t>
  </si>
  <si>
    <t>ФСК РС Б5</t>
  </si>
  <si>
    <t>ФСК РС БО6 [МБ ФР: Т+: Корпоративные облигации]</t>
  </si>
  <si>
    <t>4B02-06-65018-D</t>
  </si>
  <si>
    <t>RU000A105DN0</t>
  </si>
  <si>
    <t>ФСК РС БО6</t>
  </si>
  <si>
    <t>ФСК РС БО7 [МБ ФР: Т+: Корпоративные облигации]</t>
  </si>
  <si>
    <t>4B02-07-65018-D</t>
  </si>
  <si>
    <t>RU000A105DR1</t>
  </si>
  <si>
    <t>ФСК РС БО7</t>
  </si>
  <si>
    <t>ФСК РС-21 [МБ ФР: Т+: Корпоративные облигации]</t>
  </si>
  <si>
    <t>4-21-65018-D</t>
  </si>
  <si>
    <t>RU000A0JT7T2</t>
  </si>
  <si>
    <t>ФСК РС-21</t>
  </si>
  <si>
    <t>ФСК РС-22 [МБ ФР: Т+: Корпоративные облигации]</t>
  </si>
  <si>
    <t>4-22-65018-D</t>
  </si>
  <si>
    <t>RU000A0JSQ58</t>
  </si>
  <si>
    <t>ФСК РС-22</t>
  </si>
  <si>
    <t>ФСК РС-23 [МБ ФР: Т+: Корпоративные облигации]</t>
  </si>
  <si>
    <t>4-23-65018-D</t>
  </si>
  <si>
    <t>RU000A0JTYJ6</t>
  </si>
  <si>
    <t>ФСК РС-23</t>
  </si>
  <si>
    <t>ФСК РС-26 [МБ ФР: Т+: Корпоративные облигации]</t>
  </si>
  <si>
    <t>4-26-65018-D</t>
  </si>
  <si>
    <t>RU000A0JU2K9</t>
  </si>
  <si>
    <t>ФСК РС-26</t>
  </si>
  <si>
    <t>ФСК РС-27 [МБ ФР: Т+: Корпоративные облигации]</t>
  </si>
  <si>
    <t>4-27-65018-D</t>
  </si>
  <si>
    <t>RU000A0JU2L7</t>
  </si>
  <si>
    <t>ФСК РС-27</t>
  </si>
  <si>
    <t>ФСК РС-28 [МБ ФР: Т+: Корпоративные облигации]</t>
  </si>
  <si>
    <t>4-28-65018-D</t>
  </si>
  <si>
    <t>RU000A0JTYK4</t>
  </si>
  <si>
    <t>ФСК РС-28</t>
  </si>
  <si>
    <t>ФСК РС-29 [МБ ФР: Т+: Корпоративные облигации]</t>
  </si>
  <si>
    <t>4-29-65018-D</t>
  </si>
  <si>
    <t>RU000A0JU7S1</t>
  </si>
  <si>
    <t>ФСК РС-29</t>
  </si>
  <si>
    <t>ФСК РС-30 [МБ ФР: Т+: Корпоративные облигации]</t>
  </si>
  <si>
    <t>4-30-65018-D</t>
  </si>
  <si>
    <t>RU000A0JUC92</t>
  </si>
  <si>
    <t>ФСК РС-30</t>
  </si>
  <si>
    <t>ФСК РС-34 [МБ ФР: Т+: Корпоративные облигации]</t>
  </si>
  <si>
    <t>4-34-65018-D</t>
  </si>
  <si>
    <t>RU000A0JUCA9</t>
  </si>
  <si>
    <t>ФСК РС-34</t>
  </si>
  <si>
    <t>ФСК РС-37 [МБ ФР: Т+: Корпоративные облигации]</t>
  </si>
  <si>
    <t>4-37-65018-D</t>
  </si>
  <si>
    <t>RU000A0JVCB5</t>
  </si>
  <si>
    <t>ФСК РС-37</t>
  </si>
  <si>
    <t>ФСК РС-38 [МБ ФР: Т+: Корпоративные облигации]</t>
  </si>
  <si>
    <t>4-38-65018-D</t>
  </si>
  <si>
    <t>RU000A0JVDD9</t>
  </si>
  <si>
    <t>ФСК РС-38</t>
  </si>
  <si>
    <t>ФСК РС1Р2 [МБ ФР: Т+: Корпоративные облигации]</t>
  </si>
  <si>
    <t>4B02-02-65018-D-001P</t>
  </si>
  <si>
    <t>RU000A1028T1</t>
  </si>
  <si>
    <t>ФСК РС1Р2</t>
  </si>
  <si>
    <t>ФСК РС1Р3 [МБ ФР: Т+: Корпоративные облигации]</t>
  </si>
  <si>
    <t>4B02-03-65018-D-001P</t>
  </si>
  <si>
    <t>RU000A1036S6</t>
  </si>
  <si>
    <t>ФСК РС1Р3</t>
  </si>
  <si>
    <t>ФСК РС1Р4 [МБ ФР: Т+: Корпоративные облигации]</t>
  </si>
  <si>
    <t>4B02-04-65018-D-001P</t>
  </si>
  <si>
    <t>RU000A101CL5</t>
  </si>
  <si>
    <t>ФСК РС1Р4</t>
  </si>
  <si>
    <t>ФСК РС1Р5 [МБ ФР: Т+: Корпоративные облигации]</t>
  </si>
  <si>
    <t>4B02-05-65018-D-001P</t>
  </si>
  <si>
    <t>RU000A101LX1</t>
  </si>
  <si>
    <t>ФСК РС1Р5</t>
  </si>
  <si>
    <t>ФСК РС1Р6 [МБ ФР: Т+: Корпоративные облигации]</t>
  </si>
  <si>
    <t>4B02-06-65018-D-001P</t>
  </si>
  <si>
    <t>RU000A105559</t>
  </si>
  <si>
    <t>ФСК РС1Р6</t>
  </si>
  <si>
    <t>ФЭСАгро1Р1 [МБ ФР: Т+: Корпоративные облигации]</t>
  </si>
  <si>
    <t>4B02-01-00435-R-001P</t>
  </si>
  <si>
    <t>RU000A106P63</t>
  </si>
  <si>
    <t>ФЭСАгро1Р1</t>
  </si>
  <si>
    <t>ФеррумБП1 [МБ ФР: Т+: Корпоративные облигации]</t>
  </si>
  <si>
    <t>4B02-01-00110-L-001P</t>
  </si>
  <si>
    <t>RU000A106ZQ4</t>
  </si>
  <si>
    <t>ФеррумБП1</t>
  </si>
  <si>
    <t>ФосА1П1USD [МБ ФР: Т+: Корпоративные облигации]</t>
  </si>
  <si>
    <t>4B02-03-06556-A-001P</t>
  </si>
  <si>
    <t>RU000A108LP2</t>
  </si>
  <si>
    <t>ФосА1П1USD</t>
  </si>
  <si>
    <t>ФосАЗО25-Д [МБ ФР: Т+: Корпоративные облигации]</t>
  </si>
  <si>
    <t>4-01-06556-A</t>
  </si>
  <si>
    <t>RU000A106G31</t>
  </si>
  <si>
    <t>ФосАЗО25-Д</t>
  </si>
  <si>
    <t>ФосАЗО28-Д [МБ ФР: Т+: Корпоративные облигации]</t>
  </si>
  <si>
    <t>4-02-06556-A</t>
  </si>
  <si>
    <t>RU000A106G56</t>
  </si>
  <si>
    <t>ФосАЗО28-Д</t>
  </si>
  <si>
    <t>ФосАгро П1 [МБ ФР: Т+: Корпоративные облигации]</t>
  </si>
  <si>
    <t>4B02-01-06556-A-001P</t>
  </si>
  <si>
    <t>RU000A106516</t>
  </si>
  <si>
    <t>ФосАгро П1</t>
  </si>
  <si>
    <t>ФосАгро П2 [МБ ФР: Т+: Корпоративные облигации]</t>
  </si>
  <si>
    <t>4B02-04-06556-A-001P</t>
  </si>
  <si>
    <t>RU000A109K40</t>
  </si>
  <si>
    <t>ФосАгро П2</t>
  </si>
  <si>
    <t>ФосАгро2П1 [МБ ФР: Т+: Корпоративные облигации]</t>
  </si>
  <si>
    <t>4B02-01-06556-A-002P</t>
  </si>
  <si>
    <t>RU000A10A4S7</t>
  </si>
  <si>
    <t>ФосАгро2П1</t>
  </si>
  <si>
    <t>ХКФБ Т1-01 [МБ ФР: Т+: Корпоративные облигации]</t>
  </si>
  <si>
    <t>4-08-00316-B</t>
  </si>
  <si>
    <t>RU000A107L82</t>
  </si>
  <si>
    <t>ХКФБ Т1-01</t>
  </si>
  <si>
    <t>ХКФБанкБ04 [МБ ФР: Т+: Корпоративные облигации]</t>
  </si>
  <si>
    <t>4B020400316B</t>
  </si>
  <si>
    <t>RU000A103760</t>
  </si>
  <si>
    <t>ХКФБанкБ04</t>
  </si>
  <si>
    <t>ХКФБанкБ07 [МБ ФР: Т+: Корпоративные облигации]</t>
  </si>
  <si>
    <t>4B020700316B</t>
  </si>
  <si>
    <t>RU000A102RF3</t>
  </si>
  <si>
    <t>ХКФБанкБ07</t>
  </si>
  <si>
    <t>ХКФинБ1P8 [МБ ФР: Т+: Корпоративные облигации]</t>
  </si>
  <si>
    <t>4B02-08-36426-R-001P</t>
  </si>
  <si>
    <t>RU000A104XU6</t>
  </si>
  <si>
    <t>ХКФинБ1P8</t>
  </si>
  <si>
    <t>ХМАО 11 [МБ ФР: Т+: Корпоративные облигации]</t>
  </si>
  <si>
    <t>RU35002HMN0</t>
  </si>
  <si>
    <t>RU000A0ZYKW4</t>
  </si>
  <si>
    <t>ХМАО 11</t>
  </si>
  <si>
    <t>ХРОМОС Б2 [МБ ФР: Т+: Корпоративные облигации]</t>
  </si>
  <si>
    <t>4B02-02-00138-L</t>
  </si>
  <si>
    <t>RU000A1094W7</t>
  </si>
  <si>
    <t>ХРОМОС Б2</t>
  </si>
  <si>
    <t>ХабарКрай7 [МБ ФР: Т+: Корпоративные облигации]</t>
  </si>
  <si>
    <t>RU35007HAB0</t>
  </si>
  <si>
    <t>RU000A0ZZQQ0</t>
  </si>
  <si>
    <t>ХабарКрай7</t>
  </si>
  <si>
    <t>ХайТэк 01 [МБ ФР: Т+: Корпоративные облигации]</t>
  </si>
  <si>
    <t>4B02-01-00072-L</t>
  </si>
  <si>
    <t>RU000A104TM1</t>
  </si>
  <si>
    <t>ХайТэк 01</t>
  </si>
  <si>
    <t>ХайТэк 1P1 [МБ ФР: Т+: Корпоративные облигации]</t>
  </si>
  <si>
    <t>4B02-01-00072-L-001P</t>
  </si>
  <si>
    <t>RU000A106151</t>
  </si>
  <si>
    <t>ХайТэк 1P1</t>
  </si>
  <si>
    <t>ХимТэк 1Р1 [МБ ФР: Т+: Корпоративные облигации]</t>
  </si>
  <si>
    <t>4B02-01-00602-R-001P</t>
  </si>
  <si>
    <t>RU000A103H25</t>
  </si>
  <si>
    <t>ХимТэк 1Р1</t>
  </si>
  <si>
    <t>ХэндрснБ01 [МБ ФР: Т+: Корпоративные облигации]</t>
  </si>
  <si>
    <t>4B02-01-00044-L</t>
  </si>
  <si>
    <t>RU000A103Q08</t>
  </si>
  <si>
    <t>ХэндрснБ01</t>
  </si>
  <si>
    <t>ЦППК П1Б1 [МБ ФР: Т+: Корпоративные облигации]</t>
  </si>
  <si>
    <t>4B02-01-11252-A-001P</t>
  </si>
  <si>
    <t>RU000A0ZYM54</t>
  </si>
  <si>
    <t>ЦППК П1Б1</t>
  </si>
  <si>
    <t>ЦР БО-01 [МБ ФР: Т+: Корпоративные облигации]</t>
  </si>
  <si>
    <t>4B02-01-00073-L</t>
  </si>
  <si>
    <t>RU000A104TG3</t>
  </si>
  <si>
    <t>ЦР БО-01</t>
  </si>
  <si>
    <t>ЦР БО-02 [МБ ФР: Т+: Корпоративные облигации]</t>
  </si>
  <si>
    <t>4B02-02-00073-L</t>
  </si>
  <si>
    <t>RU000A1056T2</t>
  </si>
  <si>
    <t>ЦР БО-02</t>
  </si>
  <si>
    <t>ЦР БО-03 [МБ ФР: Т+: Корпоративные облигации]</t>
  </si>
  <si>
    <t>4B02-03-00073-L</t>
  </si>
  <si>
    <t>RU000A107P47</t>
  </si>
  <si>
    <t>ЦР БО-03</t>
  </si>
  <si>
    <t>ЦентрИБ13 [МБ ФР: Т+: Корпоративные облигации]</t>
  </si>
  <si>
    <t>4B02-12-02225-B</t>
  </si>
  <si>
    <t>RU000A108BQ1</t>
  </si>
  <si>
    <t>ЦентрИБ13</t>
  </si>
  <si>
    <t>ЦифрБро1П2 [МБ ФР: Т+: Корпоративные облигации]</t>
  </si>
  <si>
    <t>ЧЗПСНП БП2 [МБ ФР: Т+: Корпоративные облигации]</t>
  </si>
  <si>
    <t>4B02-02-45194-D-001P</t>
  </si>
  <si>
    <t>RU000A101NJ6</t>
  </si>
  <si>
    <t>ЧЗПСНП БП2</t>
  </si>
  <si>
    <t>ЧТПЗ 1P4 [МБ ФР: Т+: Корпоративные облигации]</t>
  </si>
  <si>
    <t>4B02-04-00182-A-001P</t>
  </si>
  <si>
    <t>RU000A0JXTY7</t>
  </si>
  <si>
    <t>ЧТПЗ 1P4</t>
  </si>
  <si>
    <t>Челяб35001 [МБ ФР: Т+: Корпоративные облигации]</t>
  </si>
  <si>
    <t>RU35001CLB0</t>
  </si>
  <si>
    <t>RU000A102FV5</t>
  </si>
  <si>
    <t>Челяб35001</t>
  </si>
  <si>
    <t>Челяб35002 [МБ ФР: Т+: Корпоративные облигации]</t>
  </si>
  <si>
    <t>RU35002CLB0</t>
  </si>
  <si>
    <t>RU000A102L61</t>
  </si>
  <si>
    <t>Челяб35002</t>
  </si>
  <si>
    <t>Челяб35003 [МБ ФР: Т+: Корпоративные облигации]</t>
  </si>
  <si>
    <t>RU35003CLB0</t>
  </si>
  <si>
    <t>RU000A102L79</t>
  </si>
  <si>
    <t>Челяб35003</t>
  </si>
  <si>
    <t>ЧеркизБ1P4 [МБ ФР: Т+: Корпоративные облигации]</t>
  </si>
  <si>
    <t>4B02-04-10797-A-001P</t>
  </si>
  <si>
    <t>RU000A102LD1</t>
  </si>
  <si>
    <t>ЧеркизБ1P4</t>
  </si>
  <si>
    <t>ЧеркизБ1P5 [МБ ФР: Т+: Корпоративные облигации]</t>
  </si>
  <si>
    <t>4B02-05-10797-A-001P</t>
  </si>
  <si>
    <t>RU000A105C28</t>
  </si>
  <si>
    <t>ЧеркизБ1P5</t>
  </si>
  <si>
    <t>ЧеркизБ1P6 [МБ ФР: Т+: Корпоративные облигации]</t>
  </si>
  <si>
    <t>4B02-06-10797-A-001P</t>
  </si>
  <si>
    <t>RU000A105M67</t>
  </si>
  <si>
    <t>ЧеркизБ1P6</t>
  </si>
  <si>
    <t>ЧеркизБ1P7 [МБ ФР: Т+: Корпоративные облигации]</t>
  </si>
  <si>
    <t>4B02-07-10797-A-001P</t>
  </si>
  <si>
    <t>RU000A1094F2</t>
  </si>
  <si>
    <t>ЧеркизБ1P7</t>
  </si>
  <si>
    <t>ЧистПлан01 [МБ ФР: Т+: Корпоративные облигации]</t>
  </si>
  <si>
    <t>4B02-01-00120-L</t>
  </si>
  <si>
    <t>RU000A1070P1</t>
  </si>
  <si>
    <t>ЧистПлан01</t>
  </si>
  <si>
    <t>ЭЛРЕШ 1Р1 [МБ ФР: Т+: Корпоративные облигации]</t>
  </si>
  <si>
    <t>4B02-01-00067-L-001P</t>
  </si>
  <si>
    <t>RU000A106HF5</t>
  </si>
  <si>
    <t>ЭЛРЕШ 1Р1</t>
  </si>
  <si>
    <t>ЭНИКА 1Р01 [МБ ФР: Т+: Корпоративные облигации]</t>
  </si>
  <si>
    <t>4B02-01-00518-R-001P</t>
  </si>
  <si>
    <t>RU000A102028</t>
  </si>
  <si>
    <t>ЭНИКА 1Р01</t>
  </si>
  <si>
    <t>ЭНИКА 1Р02 [МБ ФР: Т+: Корпоративные облигации]</t>
  </si>
  <si>
    <t>4B02-02-00518-R-001P</t>
  </si>
  <si>
    <t>RU000A103604</t>
  </si>
  <si>
    <t>ЭНИКА 1Р02</t>
  </si>
  <si>
    <t>ЭНИКА 1Р03 [МБ ФР: Т+: Корпоративные облигации]</t>
  </si>
  <si>
    <t>4B02-03-00518-R-001P</t>
  </si>
  <si>
    <t>RU000A105492</t>
  </si>
  <si>
    <t>ЭНИКА 1Р03</t>
  </si>
  <si>
    <t>ЭНИКА 1Р04 [МБ ФР: Т+: Корпоративные облигации]</t>
  </si>
  <si>
    <t>4B02-04-00518-R-001P</t>
  </si>
  <si>
    <t>RU000A106R79</t>
  </si>
  <si>
    <t>ЭНИКА 1Р04</t>
  </si>
  <si>
    <t>ЭНИКА 1Р05 [МБ ФР: Т+: Корпоративные облигации]</t>
  </si>
  <si>
    <t>4B02-05-00518-R-001P</t>
  </si>
  <si>
    <t>RU000A10A4C1</t>
  </si>
  <si>
    <t>ЭНИКА 1Р05</t>
  </si>
  <si>
    <t>ЭТС 1Р04 [МБ ФР: Т+: Корпоративные облигации]</t>
  </si>
  <si>
    <t>4B02-04-00490-R-001P</t>
  </si>
  <si>
    <t>RU000A103828</t>
  </si>
  <si>
    <t>ЭТС 1Р04</t>
  </si>
  <si>
    <t>ЭТС 1Р05 [МБ ФР: Т+: Корпоративные облигации]</t>
  </si>
  <si>
    <t>4B02-05-00490-R-001P</t>
  </si>
  <si>
    <t>RU000A107D74</t>
  </si>
  <si>
    <t>ЭТС 1Р05</t>
  </si>
  <si>
    <t>ЭконЛиз1Р4 [МБ ФР: Т+: Корпоративные облигации]</t>
  </si>
  <si>
    <t>4B02-04-00461-R-001P</t>
  </si>
  <si>
    <t>RU000A1067T9</t>
  </si>
  <si>
    <t>ЭконЛиз1Р4</t>
  </si>
  <si>
    <t>ЭконЛиз1Р5 [МБ ФР: Т+: Корпоративные облигации]</t>
  </si>
  <si>
    <t>4B02-05-00461-R-001P</t>
  </si>
  <si>
    <t>RU000A106R12</t>
  </si>
  <si>
    <t>ЭконЛиз1Р5</t>
  </si>
  <si>
    <t>ЭконЛиз1Р6 [МБ ФР: Т+: Корпоративные облигации]</t>
  </si>
  <si>
    <t>4B02-06-00461-R-001P</t>
  </si>
  <si>
    <t>RU000A1078Y6</t>
  </si>
  <si>
    <t>ЭконЛиз1Р6</t>
  </si>
  <si>
    <t>ЭконЛиз1Р7 [МБ ФР: Т+: Корпоративные облигации]</t>
  </si>
  <si>
    <t>4B02-07-00461-R-001P</t>
  </si>
  <si>
    <t>RU000A107SX3</t>
  </si>
  <si>
    <t>ЭконЛиз1Р7</t>
  </si>
  <si>
    <t>Экспо1П02 [МБ ФР: Т+: Корпоративные облигации]</t>
  </si>
  <si>
    <t>4B02-02-02998-B-001P</t>
  </si>
  <si>
    <t>RU000A109QN4</t>
  </si>
  <si>
    <t>Экспо1П02</t>
  </si>
  <si>
    <t>ЭлАп БО-01 [МБ ФР: Т+: Корпоративные облигации]</t>
  </si>
  <si>
    <t>4B02-01-00012-L-001P</t>
  </si>
  <si>
    <t>RU000A104WZ7</t>
  </si>
  <si>
    <t>ЭлАп БО-01</t>
  </si>
  <si>
    <t>ЭлАп БО-02 [МБ ФР: Т+: Корпоративные облигации]</t>
  </si>
  <si>
    <t>4B02-02-00012-L-001P</t>
  </si>
  <si>
    <t>RU000A106UL6</t>
  </si>
  <si>
    <t>ЭлАп БО-02</t>
  </si>
  <si>
    <t>ЭлемЛиз1P4 [МБ ФР: Т+: Корпоративные облигации]</t>
  </si>
  <si>
    <t>4B02-04-36193-R-001P</t>
  </si>
  <si>
    <t>RU000A105V74</t>
  </si>
  <si>
    <t>ЭлемЛиз1P4</t>
  </si>
  <si>
    <t>ЭлемЛиз1P5 [МБ ФР: Т+: Корпоративные облигации]</t>
  </si>
  <si>
    <t>4B02-05-36193-R-001P</t>
  </si>
  <si>
    <t>RU000A106KW4</t>
  </si>
  <si>
    <t>ЭлемЛиз1P5</t>
  </si>
  <si>
    <t>ЭлемЛиз1P6 [МБ ФР: Т+: Корпоративные облигации]</t>
  </si>
  <si>
    <t>4B02-06-36193-R-001P</t>
  </si>
  <si>
    <t>RU000A1071U9</t>
  </si>
  <si>
    <t>ЭлемЛиз1P6</t>
  </si>
  <si>
    <t>ЭлемЛиз1P7 [МБ ФР: Т+: Корпоративные облигации]</t>
  </si>
  <si>
    <t>4B02-07-36193-R-001P</t>
  </si>
  <si>
    <t>RU000A1080N5</t>
  </si>
  <si>
    <t>ЭлемЛиз1P7</t>
  </si>
  <si>
    <t>ЭлемЛиз1P8 [МБ ФР: Т+: Корпоративные облигации]</t>
  </si>
  <si>
    <t>4B02-08-36193-R-001P</t>
  </si>
  <si>
    <t>RU000A108C58</t>
  </si>
  <si>
    <t>ЭлемЛиз1P8</t>
  </si>
  <si>
    <t>ЭлемЛиз1P9 [МБ ФР: Т+: Корпоративные облигации]</t>
  </si>
  <si>
    <t>4B02-09-36193-R-001P</t>
  </si>
  <si>
    <t>RU000A1092S9</t>
  </si>
  <si>
    <t>ЭлемЛиз1P9</t>
  </si>
  <si>
    <t>ЭлщитСтБП2 [МБ ФР: Т+: Корпоративные облигации]</t>
  </si>
  <si>
    <t>4B02-02-00427-R-001P</t>
  </si>
  <si>
    <t>RU000A101UD4</t>
  </si>
  <si>
    <t>ЭлщитСтБП2</t>
  </si>
  <si>
    <t>ЭталФинП03 [МБ ФР: Т+: Корпоративные облигации]</t>
  </si>
  <si>
    <t>4B02-03-55338-H-001P</t>
  </si>
  <si>
    <t>RU000A103QH9</t>
  </si>
  <si>
    <t>ЭталФинП03</t>
  </si>
  <si>
    <t>ЭталонФин1 [МБ ФР: Т+: Корпоративные облигации]</t>
  </si>
  <si>
    <t>4B02-01-55338-H-002P</t>
  </si>
  <si>
    <t>RU000A105VU7</t>
  </si>
  <si>
    <t>ЭталонФин1</t>
  </si>
  <si>
    <t>ЭталонФин2 [МБ ФР: Т+: Корпоративные облигации]</t>
  </si>
  <si>
    <t>4B02-02-55338-H-002P</t>
  </si>
  <si>
    <t>RU000A109SP5</t>
  </si>
  <si>
    <t>ЭталонФин2</t>
  </si>
  <si>
    <t>Эфферон01 [МБ ФР: Т+: Корпоративные облигации]</t>
  </si>
  <si>
    <t>4B02-01-84943-H</t>
  </si>
  <si>
    <t>RU000A105H98</t>
  </si>
  <si>
    <t>Эфферон01</t>
  </si>
  <si>
    <t>ЮГК 1P2 [МБ ФР: Т+: Корпоративные облигации]</t>
  </si>
  <si>
    <t>ЮГК 1P3 [МБ ФР: Т+: Корпоративные облигации]</t>
  </si>
  <si>
    <t>4B02-03-33010-D-001P</t>
  </si>
  <si>
    <t>RU000A106656</t>
  </si>
  <si>
    <t>ЮГК 1P3</t>
  </si>
  <si>
    <t>ЮДПАвтО Б1 [МБ ФР: Т+: Корпоративные облигации]</t>
  </si>
  <si>
    <t>4B02-01-00149-L</t>
  </si>
  <si>
    <t>RU000A108CE5</t>
  </si>
  <si>
    <t>ЮДПАвтО Б1</t>
  </si>
  <si>
    <t>Ювелит 1P1 [МБ ФР: Т+: Корпоративные облигации]</t>
  </si>
  <si>
    <t>4B02-01-87270-H-001P</t>
  </si>
  <si>
    <t>RU000A105PK0</t>
  </si>
  <si>
    <t>Ювелит 1P1</t>
  </si>
  <si>
    <t>ЮниСКап02К [МБ ФР: Т+: Корпоративные облигации]</t>
  </si>
  <si>
    <t>4-02-00534-R</t>
  </si>
  <si>
    <t>RU000A102TK9</t>
  </si>
  <si>
    <t>ЮниСКап02К</t>
  </si>
  <si>
    <t>ЯНАО2017-2 [МБ ФР: Т+: Корпоративные облигации]</t>
  </si>
  <si>
    <t>RU35004YML0</t>
  </si>
  <si>
    <t>RU000A0ZYM47</t>
  </si>
  <si>
    <t>ЯНАО2017-2</t>
  </si>
  <si>
    <t>ЯТЭК 1P-2 [МБ ФР: Т+: Корпоративные облигации]</t>
  </si>
  <si>
    <t>4B02-02-20510-F-001P</t>
  </si>
  <si>
    <t>RU000A102ZH2</t>
  </si>
  <si>
    <t>ЯТЭК 1P-2</t>
  </si>
  <si>
    <t>ЯТЭК 1P-3 [МБ ФР: Т+: Корпоративные облигации]</t>
  </si>
  <si>
    <t>4B02-03-20510-F-001P</t>
  </si>
  <si>
    <t>RU000A1070L0</t>
  </si>
  <si>
    <t>ЯТЭК 1P-3</t>
  </si>
  <si>
    <t>ЯТЭК 1P-4 [МБ ФР: Т+: Корпоративные облигации]</t>
  </si>
  <si>
    <t>4B02-04-20510-F-001P</t>
  </si>
  <si>
    <t>RU000A109NF7</t>
  </si>
  <si>
    <t>ЯТЭК 1P-4</t>
  </si>
  <si>
    <t>Якут-10 об [МБ ФР: Т+: Корпоративные облигации]</t>
  </si>
  <si>
    <t>RU35010RSY0</t>
  </si>
  <si>
    <t>RU000A0ZZ7E6</t>
  </si>
  <si>
    <t>Якут-10 об</t>
  </si>
  <si>
    <t>Якут-11 об [МБ ФР: Т+: Корпоративные облигации]</t>
  </si>
  <si>
    <t>RU35011RSY0</t>
  </si>
  <si>
    <t>RU000A0ZZNJ2</t>
  </si>
  <si>
    <t>Якут-11 об</t>
  </si>
  <si>
    <t>Якут-12 об [МБ ФР: Т+: Корпоративные облигации]</t>
  </si>
  <si>
    <t>RU35012RSY0</t>
  </si>
  <si>
    <t>RU000A100CN3</t>
  </si>
  <si>
    <t>Якут-12 об</t>
  </si>
  <si>
    <t>Якут-13 об [МБ ФР: Т+: Корпоративные облигации]</t>
  </si>
  <si>
    <t>RU35013RSY0</t>
  </si>
  <si>
    <t>RU000A1010D3</t>
  </si>
  <si>
    <t>Якут-13 об</t>
  </si>
  <si>
    <t>Якут-35014 [МБ ФР: Т+: Корпоративные облигации]</t>
  </si>
  <si>
    <t>RU35014RSY0</t>
  </si>
  <si>
    <t>RU000A101P27</t>
  </si>
  <si>
    <t>Якут-35014</t>
  </si>
  <si>
    <t>Якут-35015 [МБ ФР: Т+: Корпоративные облигации]</t>
  </si>
  <si>
    <t>RU35015RSY0</t>
  </si>
  <si>
    <t>RU000A1033B9</t>
  </si>
  <si>
    <t>Якут-35015</t>
  </si>
  <si>
    <t>Якут-35016 [МБ ФР: Т+: Корпоративные облигации]</t>
  </si>
  <si>
    <t>RU35016RSY0</t>
  </si>
  <si>
    <t>RU000A109L72</t>
  </si>
  <si>
    <t>Якут-35016</t>
  </si>
  <si>
    <t>ЯрОбл 2017 [МБ ФР: Т+: Корпоративные облигации]</t>
  </si>
  <si>
    <t>RU35015YRS0</t>
  </si>
  <si>
    <t>RU000A0JXS83</t>
  </si>
  <si>
    <t>ЯрОбл 2017</t>
  </si>
  <si>
    <t>ЯрОбл35016 [МБ ФР: Т+: Корпоративные облигации]</t>
  </si>
  <si>
    <t>RU35016YRS0</t>
  </si>
  <si>
    <t>RU000A0ZZEM5</t>
  </si>
  <si>
    <t>ЯрОбл35016</t>
  </si>
  <si>
    <t>ЯрОбл35017 [МБ ФР: Т+: Корпоративные облигации]</t>
  </si>
  <si>
    <t>RU35017YRS0</t>
  </si>
  <si>
    <t>RU000A100PR6</t>
  </si>
  <si>
    <t>ЯрОбл35017</t>
  </si>
  <si>
    <t>ЯрОбл35018 [МБ ФР: Т+: Корпоративные облигации]</t>
  </si>
  <si>
    <t>RU35018YRS0</t>
  </si>
  <si>
    <t>RU000A101WD0</t>
  </si>
  <si>
    <t>ЯрОбл35018</t>
  </si>
  <si>
    <t>CNYM ETF [МБ ФР: Т+: ETF (расч. в CNY)]</t>
  </si>
  <si>
    <t>TQTY</t>
  </si>
  <si>
    <t>МБ ФР: Т+: ETF (расч. в CNY)</t>
  </si>
  <si>
    <t>SBBY ETF [МБ ФР: Т+: ETF (расч. в CNY)]</t>
  </si>
  <si>
    <t>SBCN ETF [МБ ФР: Т+: ETF (расч. в CNY)]</t>
  </si>
  <si>
    <t>шаг 4</t>
  </si>
  <si>
    <t>Финстар</t>
  </si>
  <si>
    <t>0.31 %</t>
  </si>
  <si>
    <t>RUB</t>
  </si>
  <si>
    <t>АТОН</t>
  </si>
  <si>
    <t>Система Капитал</t>
  </si>
  <si>
    <t>0.40 %</t>
  </si>
  <si>
    <t>0.82 %</t>
  </si>
  <si>
    <t>ВИМ Инвестиции (ВТБ)</t>
  </si>
  <si>
    <t>Альфа Капитал</t>
  </si>
  <si>
    <t>0.60 %</t>
  </si>
  <si>
    <t>Первая (Сбер)</t>
  </si>
  <si>
    <t>0.39 %</t>
  </si>
  <si>
    <t>0.33 %</t>
  </si>
  <si>
    <t>ААА (Газпромбанк)</t>
  </si>
  <si>
    <t>0.55 %</t>
  </si>
  <si>
    <t>Промсвязь</t>
  </si>
  <si>
    <t>0.76 %</t>
  </si>
  <si>
    <t>Тинькофф</t>
  </si>
  <si>
    <t>1.09 %</t>
  </si>
  <si>
    <t>Финам</t>
  </si>
  <si>
    <t>Тикер</t>
  </si>
  <si>
    <t>БКС</t>
  </si>
  <si>
    <t>Эмитент</t>
  </si>
  <si>
    <t>СЧА</t>
  </si>
  <si>
    <t>Комиссия</t>
  </si>
  <si>
    <t>мин шаг доли клиента</t>
  </si>
  <si>
    <t>Доля в портфеле клиента</t>
  </si>
  <si>
    <t>Позиции на продажу (без LQDT и балансировки текущих позиций):</t>
  </si>
  <si>
    <t>Позиции на покупку:</t>
  </si>
  <si>
    <t>Разница:</t>
  </si>
  <si>
    <t>Расчет кол лотов для исполнения</t>
  </si>
  <si>
    <t>шт в портфеле</t>
  </si>
  <si>
    <t>Полностью продать:</t>
  </si>
  <si>
    <t>Частично купить/продать или купить новую:</t>
  </si>
  <si>
    <t>Расчет суммы грязной для исполнения</t>
  </si>
  <si>
    <t>Расчет суммы Чистой для исполнения</t>
  </si>
  <si>
    <t>Тип облигаций:</t>
  </si>
  <si>
    <t>Номинал (только для облигаций)</t>
  </si>
  <si>
    <t>Тип бумаги (ур 2)</t>
  </si>
  <si>
    <t>Тип бумаги (ур 1)</t>
  </si>
  <si>
    <t>Позиции в денежном рынке:</t>
  </si>
  <si>
    <t>Шт  после исполения</t>
  </si>
  <si>
    <t>сумма  после исполения</t>
  </si>
  <si>
    <t>Ликвидность:</t>
  </si>
  <si>
    <t>доля после исполнения</t>
  </si>
  <si>
    <t>проверка</t>
  </si>
  <si>
    <t>1. Загрузка портфеля клиента и сравнение его с портфелем для автоследования</t>
  </si>
  <si>
    <t>Портфель Ranks по выбранной стратегии:</t>
  </si>
  <si>
    <t xml:space="preserve">Сравниваются идентификаторы бумаг (Ticker, ISIN или др.) </t>
  </si>
  <si>
    <t>Выборка 1 (Позиции которые уже есть в портфеле клиента и то что нужно купить):</t>
  </si>
  <si>
    <t>Выборка 2 (Позиции которые нужно продать - нет в портфеле для Автоследования):</t>
  </si>
  <si>
    <t>статус</t>
  </si>
  <si>
    <t>В портфеле</t>
  </si>
  <si>
    <t>Выборка 3 (Ликвидность - все что припарковано в фондах денежного рынка, или в деньгах):</t>
  </si>
  <si>
    <t>Список всех фондов денежного рынка на странице LQDT</t>
  </si>
  <si>
    <t>2. Портфель Ranks для конкретного счета после сравнения делиться на 3 выборки:</t>
  </si>
  <si>
    <t>брокер</t>
  </si>
  <si>
    <t>Источник даных:</t>
  </si>
  <si>
    <t>расчет</t>
  </si>
  <si>
    <t>брокер+расчет</t>
  </si>
  <si>
    <t>rates</t>
  </si>
  <si>
    <t>SECID</t>
  </si>
  <si>
    <t>SHORTNAME</t>
  </si>
  <si>
    <t>NAME</t>
  </si>
  <si>
    <t>TYPENAME</t>
  </si>
  <si>
    <t>PRIMARY_BOARDID</t>
  </si>
  <si>
    <t>EMITENTNAME</t>
  </si>
  <si>
    <t>INDEX_IMOEX</t>
  </si>
  <si>
    <t>ПАО "Артген"</t>
  </si>
  <si>
    <t>Акции обыкновенные</t>
  </si>
  <si>
    <t>Публичное акционерное общество "Артген биотех"</t>
  </si>
  <si>
    <t>Абрау-Дюрсо ПАО ао</t>
  </si>
  <si>
    <t>Публичное акционерное общество "Абрау – Дюрсо"</t>
  </si>
  <si>
    <t>АСКО ПАО ао</t>
  </si>
  <si>
    <t>Публичное акционерное общество "АСКО"</t>
  </si>
  <si>
    <t>АФК "Система" ПАО ао</t>
  </si>
  <si>
    <t>Публичное акционерное общество "Акционерная финансовая корпорация "Система"</t>
  </si>
  <si>
    <t>Аэрофлот-росс.авиалин(ПАО)ао</t>
  </si>
  <si>
    <t>Публичное акционерное общество "Аэрофлот – российские авиалинии"</t>
  </si>
  <si>
    <t>ГДР ROS AGRO PLC ORD SHS</t>
  </si>
  <si>
    <t>DR на иностранные акции</t>
  </si>
  <si>
    <t>ROS AGRO PLC</t>
  </si>
  <si>
    <t>Акрон ПАО ао</t>
  </si>
  <si>
    <t>Публичное акционерное общество "Акрон"</t>
  </si>
  <si>
    <t>АЛРОСА ПАО ао</t>
  </si>
  <si>
    <t>Акционерная компания "АЛРОСА" (публичное акционерное общество)</t>
  </si>
  <si>
    <t>Ашинский метзавод ПАО ао</t>
  </si>
  <si>
    <t>Публичное акционерное общество "Ашинский металлургический завод"</t>
  </si>
  <si>
    <t>Публичное акционерное общество "АПРИ"</t>
  </si>
  <si>
    <t>ПАО "Аптечная сеть 36,6" ао</t>
  </si>
  <si>
    <t>Публичное акционерное общество "Аптечная сеть 36,6"</t>
  </si>
  <si>
    <t>ПАО ИНАРКТИКА</t>
  </si>
  <si>
    <t>Публичное  акционерное общество "ИНАРКТИКА"</t>
  </si>
  <si>
    <t>УК Арсагера ПАО-ао</t>
  </si>
  <si>
    <t>публичное акционерное общество "Управляющая компания "Арсагера"</t>
  </si>
  <si>
    <t>"Астраханская ЭСК" ПАО</t>
  </si>
  <si>
    <t>Публичное акционерное общество "Астраханская энергосбытовая компания"</t>
  </si>
  <si>
    <t>Группа Астра ао</t>
  </si>
  <si>
    <t>Публичное акционерное общество Группа Астра</t>
  </si>
  <si>
    <t>АКБ "АВАНГАРД" ПАО ао</t>
  </si>
  <si>
    <t>Акционерный Коммерческий банк "АВАНГАРД" - публичное акционерное общество</t>
  </si>
  <si>
    <t>Башнефть АНК ао</t>
  </si>
  <si>
    <t>Публичное акционерное общество "Акционерная нефтяная Компания "Башнефть"</t>
  </si>
  <si>
    <t>Башнефть АНК ап</t>
  </si>
  <si>
    <t>Акции привилегированные</t>
  </si>
  <si>
    <t>НоваБев Групп ПАО ао</t>
  </si>
  <si>
    <t>Публичное акционерное общество "НоваБев Групп"</t>
  </si>
  <si>
    <t>Башинформсвязь(ПАО) ап</t>
  </si>
  <si>
    <t>Публичное акционерное общество "Башинформсвязь"</t>
  </si>
  <si>
    <t>Белон ОАО ао</t>
  </si>
  <si>
    <t>Открытое акционерное общество "Белон"</t>
  </si>
  <si>
    <t>Бурятзолото ПАО ао</t>
  </si>
  <si>
    <t>Публичное акционерное общество "Бурятзолото"</t>
  </si>
  <si>
    <t>ПАО "Банк "Санкт-Петербург" ао</t>
  </si>
  <si>
    <t>ПУБЛИЧНОЕ АКЦИОНЕРНОЕ ОБЩЕСТВО "БАНК "САНКТ-ПЕТЕРБУРГ"</t>
  </si>
  <si>
    <t>Банк Санкт-Петербург ап</t>
  </si>
  <si>
    <t>СТГ ао</t>
  </si>
  <si>
    <t>Публичное акционерное общество "СмартТехГрупп"</t>
  </si>
  <si>
    <t>"МКБ" ПАО ао</t>
  </si>
  <si>
    <t>"МОСКОВСКИЙ КРЕДИТНЫЙ БАНК" (публичное акционерное общество)</t>
  </si>
  <si>
    <t>РН-Западная Сибирь ПАО ао</t>
  </si>
  <si>
    <t>Публичное акционерное общество "РН-Западная Сибирь"</t>
  </si>
  <si>
    <t>"ЧКПЗ" ПАО ао</t>
  </si>
  <si>
    <t>Публичное акционерное общество "Челябинский кузнечно-прессовый завод"</t>
  </si>
  <si>
    <t>Северсталь (ПАО)ао</t>
  </si>
  <si>
    <t>Публичное акционерное общество "Северсталь"</t>
  </si>
  <si>
    <t>"ЧМК" ПАО ао</t>
  </si>
  <si>
    <t>Публичное акционерное общество "Челябинский металлургический комбинат"</t>
  </si>
  <si>
    <t>АДР Cian PLC ORD SHS</t>
  </si>
  <si>
    <t>Cian PLC</t>
  </si>
  <si>
    <t>"Центральный Телеграф" ПАО ао</t>
  </si>
  <si>
    <t>Публичное акционерное общество "Центральный телеграф"</t>
  </si>
  <si>
    <t>"Центральный Телеграф" ПАО ап</t>
  </si>
  <si>
    <t>Группа Аренадата</t>
  </si>
  <si>
    <t>Публичное акционерное общество "Группа Аренадата"</t>
  </si>
  <si>
    <t>Каршеринг Руссия ао</t>
  </si>
  <si>
    <t>Публичное акционерное общество "Каршеринг Руссия"</t>
  </si>
  <si>
    <t>Диасофт ао</t>
  </si>
  <si>
    <t>Публичное акционерное общество "Диасофт"</t>
  </si>
  <si>
    <t>Завод ДИОД ПАО ао</t>
  </si>
  <si>
    <t>Публичное акционерное общество Завод экологической техники и экопитания "ДИОД"</t>
  </si>
  <si>
    <t>ПАО Детский мир</t>
  </si>
  <si>
    <t>Публичное акционерное общество "Детский мир"</t>
  </si>
  <si>
    <t>"ДЭК" ПАО ао</t>
  </si>
  <si>
    <t>Публичное акционерное общество "Дальневосточная энергетическая компания"</t>
  </si>
  <si>
    <t>Донской завод радиодеталей ао</t>
  </si>
  <si>
    <t>Открытое акционерное общество "Донской завод радиодеталей"</t>
  </si>
  <si>
    <t>Донской завод радиодеталей ап</t>
  </si>
  <si>
    <t>"ЕвропЭлектротехника" ПАО ао</t>
  </si>
  <si>
    <t>Публичное акционерное общество "Европейская Электротехника"</t>
  </si>
  <si>
    <t>"ЭЛ5-Энерго" ПАО</t>
  </si>
  <si>
    <t>Публичное акционерное общество "ЭЛ5-Энерго"</t>
  </si>
  <si>
    <t>Публичное акционерное общество "Элемент"</t>
  </si>
  <si>
    <t>МКПАО ЭН+ ГРУП ао</t>
  </si>
  <si>
    <t>Международная компания публичное акционерное общество "ЭН+ ГРУП"</t>
  </si>
  <si>
    <t>ГДР ETALON GROUP PLC ORD SHS</t>
  </si>
  <si>
    <t>ETALON GROUP PLC</t>
  </si>
  <si>
    <t>ЕвроТранс ао</t>
  </si>
  <si>
    <t>Публичное акционерное общество "ЕвроТранс"</t>
  </si>
  <si>
    <t>"ФСК - Россети" ПАО</t>
  </si>
  <si>
    <t>Публичное акционерное общество "Федеральная сетевая компания - Россети"</t>
  </si>
  <si>
    <t>ДВ морское пароходство ПАО ао</t>
  </si>
  <si>
    <t>Публичное акционерное общество "Дальневосточное морское пароходство"</t>
  </si>
  <si>
    <t>ГДР FixPrice Group PLC ORD SHS</t>
  </si>
  <si>
    <t>FIX PRICE GROUP PLC</t>
  </si>
  <si>
    <t>Совкомфлот ао</t>
  </si>
  <si>
    <t>Публичное акционерное общество "Современный коммерческий флот"</t>
  </si>
  <si>
    <t>ГАЗ ПАО ао</t>
  </si>
  <si>
    <t>Публичное акционерное общество "ГАЗ"</t>
  </si>
  <si>
    <t>ГАЗ ПАО ап</t>
  </si>
  <si>
    <t>ГАЗКОН (ПАО) ао</t>
  </si>
  <si>
    <t>Публичное акционерное общество "ГАЗКОН"</t>
  </si>
  <si>
    <t>"Газпром" (ПАО) ао</t>
  </si>
  <si>
    <t>Публичное акционерное общество "Газпром"</t>
  </si>
  <si>
    <t>ГАЗ-сервис (ПАО) ао</t>
  </si>
  <si>
    <t>Публичное акционерное общество "ГАЗ-сервис"</t>
  </si>
  <si>
    <t>ГАЗ-Тек ПАО ао</t>
  </si>
  <si>
    <t>Публичное акционерное общество "ГАЗ-Тек"</t>
  </si>
  <si>
    <t>Группа Черкизово ПАО-ао</t>
  </si>
  <si>
    <t>Публичное акционерное общество "Группа Черкизово"</t>
  </si>
  <si>
    <t>ЦГРМ ГЕНЕТИКО ао</t>
  </si>
  <si>
    <t>Публичное акционерное общество "Центр Генетики и Репродуктивной Медицины "ГЕНЕТИКО"</t>
  </si>
  <si>
    <t>ПАО ММЦБ ао</t>
  </si>
  <si>
    <t>Публичное акционерное общество  "Международный Медицинский Центр Обработки и Криохранения Биоматериалов"</t>
  </si>
  <si>
    <t>Юнайтед Медикал Груп ПАО</t>
  </si>
  <si>
    <t>Международная Компания Публичное Акционерное Общество Юнайтед Медикал Груп</t>
  </si>
  <si>
    <t>ГМК "Нор.Никель" ПАО ао</t>
  </si>
  <si>
    <t>Публичное акционерное общество "Горно-металлургическая компания "Норильский никель"</t>
  </si>
  <si>
    <t>ПАО "ГТМ" ао</t>
  </si>
  <si>
    <t>Публичное акционерное общество "ГЛОБАЛТРАК МЕНЕДЖМЕНТ"</t>
  </si>
  <si>
    <t>МКПАО Хэдхантер</t>
  </si>
  <si>
    <t>Международная компания публичное акционерное общество "Хэдхантер"</t>
  </si>
  <si>
    <t>Химпром ПАО ап</t>
  </si>
  <si>
    <t>Публичное акционерное общество "Химпром"</t>
  </si>
  <si>
    <t>ХЭНДЕРСОН ао</t>
  </si>
  <si>
    <t>ПУБЛИЧНОЕ АКЦИОНЕРНОЕ ОБЩЕСТВО ХЭНДЕРСОН ФЭШН ГРУПП</t>
  </si>
  <si>
    <t>ПАО "РусГидро"</t>
  </si>
  <si>
    <t>Публичное акционерное общество "Федеральная гидрогенерирующая компания - РусГидро"</t>
  </si>
  <si>
    <t>Ижсталь ПАО ао 2в.</t>
  </si>
  <si>
    <t>Публичное акционерное общество "Ижсталь"</t>
  </si>
  <si>
    <t>Ижсталь ПАО ап</t>
  </si>
  <si>
    <t>ИНГРАД ПАО ао</t>
  </si>
  <si>
    <t>Публичное акционерное общество "ИНГРАД"</t>
  </si>
  <si>
    <t>"Интер РАО" ПАО ао</t>
  </si>
  <si>
    <t>Публичное акционерное общество "Интер РАО ЕЭС"</t>
  </si>
  <si>
    <t>"Яковлев" ПАО ак.об.-3</t>
  </si>
  <si>
    <t>Публичное акционерное общество "Яковлев"</t>
  </si>
  <si>
    <t>ПАО ИВА ао</t>
  </si>
  <si>
    <t>Публичное акционерное общество "ИВА"</t>
  </si>
  <si>
    <t>Славнефть-ЯНОС (ПАО) ао</t>
  </si>
  <si>
    <t>Публичное акционерное общество "Славнефть-Ярославнефтеоргсинтез"</t>
  </si>
  <si>
    <t>Славнефть-ЯНОС (ПАО) ап</t>
  </si>
  <si>
    <t>Куйбышевазот ПАО ао</t>
  </si>
  <si>
    <t>Публичное акционерное общество "КуйбышевАзот"</t>
  </si>
  <si>
    <t>Куйбышевазот ПАО ап</t>
  </si>
  <si>
    <t>ТНС энерго Кубань ПАО ао</t>
  </si>
  <si>
    <t>Публичное акционерное общество "ТНС энерго Кубань"</t>
  </si>
  <si>
    <t>Камчатскэнерго ПАО ао</t>
  </si>
  <si>
    <t>Публичное акционерное общество энергетики и электрификации "Камчатскэнерго"</t>
  </si>
  <si>
    <t>Камчатскэнерго ПАО ап</t>
  </si>
  <si>
    <t>Курганская генер.комп.ПАО ао</t>
  </si>
  <si>
    <t>Публичное акционерное общество "Курганская генерирующая компания"</t>
  </si>
  <si>
    <t>Курганская генер. комп. ПАО ап</t>
  </si>
  <si>
    <t>ао"Калужская сбыт.комп."ПАО</t>
  </si>
  <si>
    <t>Публичное акционерное общество "Калужская сбытовая компания"</t>
  </si>
  <si>
    <t>Алкогольная Группа Кристалл</t>
  </si>
  <si>
    <t>Публичное акционерное общество "АЛКОГОЛЬНАЯ ГРУППА КРИСТАЛЛ"</t>
  </si>
  <si>
    <t>КАМАЗ ПАО</t>
  </si>
  <si>
    <t>Публичное акционерное общество "КАМАЗ"</t>
  </si>
  <si>
    <t>Ковровский механический завод</t>
  </si>
  <si>
    <t>публичное акционерное общество "Ковровский механический завод"</t>
  </si>
  <si>
    <t>Коршуновский ГОК ПАО ао</t>
  </si>
  <si>
    <t>Публичное акционерное общество "Коршуновский горно-обогатительный комбинат"</t>
  </si>
  <si>
    <t>Саратовский НПЗ ПАО ао</t>
  </si>
  <si>
    <t>Публичное акционерное общество "Саратовский нефтеперерабатывающий завод"</t>
  </si>
  <si>
    <t>Саратовский НПЗ ПАО ап</t>
  </si>
  <si>
    <t>ТКЗ Красный котельщик ПАО ап</t>
  </si>
  <si>
    <t>Публичное акционерное общество "Таганрогский котлостроительный завод "Красный котельщик"</t>
  </si>
  <si>
    <t>"КрасныйОктябрь" ПАО - ао</t>
  </si>
  <si>
    <t>Публичное акционерное общество "Московская кондитерская фабрика "Красный Октябрь"</t>
  </si>
  <si>
    <t>КрасныйОктябрь-1п</t>
  </si>
  <si>
    <t>Красноярскэнергосбыт ао</t>
  </si>
  <si>
    <t>Публичное акционерное общество "Красноярскэнергосбыт"</t>
  </si>
  <si>
    <t>Красноярскэнергосбыт ап</t>
  </si>
  <si>
    <t>Банк "Кузнецкий" ПАО ао</t>
  </si>
  <si>
    <t>Публичное акционерное общество Банк "Кузнецкий"</t>
  </si>
  <si>
    <t>ПАО "Органический синтез" ао</t>
  </si>
  <si>
    <t>Казанское публичное акционерное общество "Органический синтез"</t>
  </si>
  <si>
    <t>ПАО "Органический синтез" ап</t>
  </si>
  <si>
    <t>ПАО «ЛК «Европлан»</t>
  </si>
  <si>
    <t>Публичное акционерное общество "Лизинговая компания "Европлан"</t>
  </si>
  <si>
    <t>Лента МКПАО ао</t>
  </si>
  <si>
    <t>Международная компания публичное акционерное общество "Лента"</t>
  </si>
  <si>
    <t>Фармсинтез ПАО ао</t>
  </si>
  <si>
    <t>Публичное акционерное общество "Фармсинтез"</t>
  </si>
  <si>
    <t>НК ЛУКОЙЛ (ПАО) - ао</t>
  </si>
  <si>
    <t>Публичное акционерное общество "Нефтяная компания "ЛУКОЙЛ"</t>
  </si>
  <si>
    <t>Публичное акционерное общество "Ламбумиз"</t>
  </si>
  <si>
    <t>"Лензолото" ПАО ао</t>
  </si>
  <si>
    <t>Ленское золотодобывающее публичное акционерное общество "Лензолото"</t>
  </si>
  <si>
    <t>"Лензолото" ПАО ап</t>
  </si>
  <si>
    <t>Липецкая энергосбыт.ком.ОАО ао</t>
  </si>
  <si>
    <t>Публичное акционерное общество "Липецкая энергосбытовая компания"</t>
  </si>
  <si>
    <t>Россети Ленэнерго ПАО-ао</t>
  </si>
  <si>
    <t>Публичное акционерное общество "Россети Ленэнерго"</t>
  </si>
  <si>
    <t>Россети Ленэнерго ПАО-ап</t>
  </si>
  <si>
    <t>Группа ЛСР ПАО ао</t>
  </si>
  <si>
    <t>Публичное акционерное общество "Группа ЛСР"</t>
  </si>
  <si>
    <t>Левенгук ПАО ао</t>
  </si>
  <si>
    <t>Публичное акционерное общество "Левенгук"</t>
  </si>
  <si>
    <t>"Магаданэнерго" ПАО ао</t>
  </si>
  <si>
    <t>Публичное акционерное общество энергетики и электрификации "Магаданэнерго"</t>
  </si>
  <si>
    <t>"Магаданэнерго" ПАО ап</t>
  </si>
  <si>
    <t>"Магнитогорск.мет.комб" ПАО ао</t>
  </si>
  <si>
    <t>Публичное акционерное общество "Магнитогорский металлургический комбинат"</t>
  </si>
  <si>
    <t>МТС-Банк ао</t>
  </si>
  <si>
    <t>Публичное акционерное общество "МТС-Банк"</t>
  </si>
  <si>
    <t>МКПАО «МД Медикал Груп»</t>
  </si>
  <si>
    <t>Международная Компания Публичное Акционерное Общество "МД Медикал Груп Инвестментс"</t>
  </si>
  <si>
    <t>ао "Славнефть-Мегионнефтегаз"</t>
  </si>
  <si>
    <t>Публичное акционерное общество "Славнефть - Мегионнефтегаз"</t>
  </si>
  <si>
    <t>ап Мегионнефтегаз</t>
  </si>
  <si>
    <t>МГКЛ ао</t>
  </si>
  <si>
    <t>Публичное акционерное общество "МГКЛ"</t>
  </si>
  <si>
    <t>"Магнит" ПАО ао</t>
  </si>
  <si>
    <t>Публичное акционерное общество "Магнит"</t>
  </si>
  <si>
    <t>Соликамский магн.завод(ОАО)ао</t>
  </si>
  <si>
    <t>Открытое акционерное общество "Соликамский магниевый завод"</t>
  </si>
  <si>
    <t>ПАО "МГТС" ао (5 в)</t>
  </si>
  <si>
    <t>Публичное акционерное общество "Московская городская телефонная сеть"</t>
  </si>
  <si>
    <t>ПАО "МГТС" ап (4 в)</t>
  </si>
  <si>
    <t>ТНС энерго Марий Эл ПАО ао</t>
  </si>
  <si>
    <t>Публичное акционерное общество "ТНС энерго Марий Эл"</t>
  </si>
  <si>
    <t>ТНС энерго Марий Эл ПАО ап</t>
  </si>
  <si>
    <t>ПАО Московская Биржа</t>
  </si>
  <si>
    <t>Публичное акционерное общество "Московская Биржа ММВБ-РТС"</t>
  </si>
  <si>
    <t>ПАО "Россети Центр" ао</t>
  </si>
  <si>
    <t>Публичное акционерное общество "Россети Центр"</t>
  </si>
  <si>
    <t>Россети Сев. Кавказ ао</t>
  </si>
  <si>
    <t>Публичное акционерное общество "Россети Северный Кавказ"</t>
  </si>
  <si>
    <t>Россети Центр и Приволжье ао</t>
  </si>
  <si>
    <t>Публичное акционерное общество "Россети Центр и Приволжье"</t>
  </si>
  <si>
    <t>Россети Сибирь ао</t>
  </si>
  <si>
    <t>Публичное акционерное общество "Россети Сибирь"</t>
  </si>
  <si>
    <t>Россети Урал (ПАО) ао</t>
  </si>
  <si>
    <t>Публичное акционерное общество "Россети Урал"</t>
  </si>
  <si>
    <t>Россети Волга ао</t>
  </si>
  <si>
    <t>Публичное акционерное общество "Россети Волга"</t>
  </si>
  <si>
    <t>Россети Юг  (ПАО) ао</t>
  </si>
  <si>
    <t>Публичное акционерное общество "Россети Юг"</t>
  </si>
  <si>
    <t>ПАО Россети Северо-Запад ао</t>
  </si>
  <si>
    <t>Публичное акционерное общество "Россети Северо-Запад"</t>
  </si>
  <si>
    <t>Мордовск.энергсбыт.комп.ПАО ао</t>
  </si>
  <si>
    <t>Публичное акционерное общество "Мордовская энергосбытовая компания"</t>
  </si>
  <si>
    <t>МосЭнерго акции обыкн.</t>
  </si>
  <si>
    <t>Публичное акционерное общество энергетики и электрификации "Мосэнерго"</t>
  </si>
  <si>
    <t>ПАО Россети Моск.рег. ао</t>
  </si>
  <si>
    <t>Публичное акционерное общество "Россети Московский регион"</t>
  </si>
  <si>
    <t>ПАО "МОСТОТРЕСТ" ао</t>
  </si>
  <si>
    <t>Публичное акционерное общество "МОСТОТРЕСТ"</t>
  </si>
  <si>
    <t>Мечел ПАО ао</t>
  </si>
  <si>
    <t>Публичное акционерное общество "Мечел"</t>
  </si>
  <si>
    <t>Мечел ПАО ап</t>
  </si>
  <si>
    <t>Мобильные ТелеСистемы ПАО ао</t>
  </si>
  <si>
    <t>Публичное акционерное общество "Мобильные ТелеСистемы"</t>
  </si>
  <si>
    <t>"М.видео" ПАО ао</t>
  </si>
  <si>
    <t>Публичное акционерное общество "М.видео"</t>
  </si>
  <si>
    <t>НПО Наука ао</t>
  </si>
  <si>
    <t>Публичное акционерное общество Научно-производственное объединение "Наука"</t>
  </si>
  <si>
    <t>НЕФАЗ ПАО ао</t>
  </si>
  <si>
    <t>Публичное акционерное общество "НЕФАЗ"</t>
  </si>
  <si>
    <t>НКХП ПАО ао</t>
  </si>
  <si>
    <t>Публичное акционерное общество "Новороссийский комбинат хлебопродуктов"</t>
  </si>
  <si>
    <t>"Нижнекамскнефтехим" ПАО ао</t>
  </si>
  <si>
    <t>Публичное Акционерное Общество "Нижнекамскнефтехим"</t>
  </si>
  <si>
    <t>"Нижнекамскнефтехим" ПАО ап</t>
  </si>
  <si>
    <t>Нижнекамскшина ПАО ао</t>
  </si>
  <si>
    <t>Публичное акционерное общество "Нижнекамскшина"</t>
  </si>
  <si>
    <t>ПАО "НЛМК" ао</t>
  </si>
  <si>
    <t>Публичное акционерное общество "Новолипецкий металлургический комбинат"</t>
  </si>
  <si>
    <t>НМТП (ПАО) ао</t>
  </si>
  <si>
    <t>Публичное акционерное общество "Новороссийский морской торговый порт"</t>
  </si>
  <si>
    <t>ТНС энерго Нижний Новг.ПАО ао</t>
  </si>
  <si>
    <t>Публичное акционерное общество "ТНС энерго Нижний Новгород"</t>
  </si>
  <si>
    <t>ТНС энерго Нижний Новг.ПАО ап</t>
  </si>
  <si>
    <t>Наука-Связь ПАО ао</t>
  </si>
  <si>
    <t>Публичное акционерное общество "Наука-Связь"</t>
  </si>
  <si>
    <t>ПАО "НОВАТЭК" ао</t>
  </si>
  <si>
    <t>публичное акционерное общество "НОВАТЭК"</t>
  </si>
  <si>
    <t>ОГК-2 ПАО ао</t>
  </si>
  <si>
    <t>Публичное акционерное общество "Вторая генерирующая компания оптового рынка электроэнергии"</t>
  </si>
  <si>
    <t>ГДР OKEY Group S.A. ORD SHS</t>
  </si>
  <si>
    <t>O'KEY Group S.A.</t>
  </si>
  <si>
    <t>ап"Объединён.  маш. заводы"</t>
  </si>
  <si>
    <t>Публичное акционерное общество Объединенные машиностроительные заводы (Группа Уралмаш-Ижора)</t>
  </si>
  <si>
    <t>АДР Ozon Holdings PLC ORD SHS</t>
  </si>
  <si>
    <t>Ozon Holdings PLC</t>
  </si>
  <si>
    <t>Озон Фармацевтика</t>
  </si>
  <si>
    <t>Публичное акционерное общество "Озон Фармацевтика"</t>
  </si>
  <si>
    <t>Павловский автобус ПАО ао</t>
  </si>
  <si>
    <t>Публичное акционерное общество "Павловский автобус"</t>
  </si>
  <si>
    <t>ФосАгро ПАО ао</t>
  </si>
  <si>
    <t>Публичное акционерное общество "ФосАгро"</t>
  </si>
  <si>
    <t>ПИК СЗ (ПАО) ао</t>
  </si>
  <si>
    <t>Публичное акционерное общество "ПИК-специализированный застройщик"</t>
  </si>
  <si>
    <t>Полюс ПАО ао</t>
  </si>
  <si>
    <t>Публичное акционерное общество "Полюс"</t>
  </si>
  <si>
    <t>"Пермэнергосбыт" ПАО ао</t>
  </si>
  <si>
    <t>Публичное акционерное общество "Пермская энергосбытовая компания"</t>
  </si>
  <si>
    <t>"Пермэнергосбыт" ПАО ап</t>
  </si>
  <si>
    <t>Группа Позитив ао</t>
  </si>
  <si>
    <t>Публичное акционерное общество "Группа Позитив"</t>
  </si>
  <si>
    <t>ЧЗПСН-Профнастил (ПАО) ао</t>
  </si>
  <si>
    <t>Публичное акционерное общество "Челябинский завод профилированного стального настила"</t>
  </si>
  <si>
    <t>АКБ "Приморье" ао</t>
  </si>
  <si>
    <t>акционерный коммерческий банк "Приморье"  (публичное акционерное общество)</t>
  </si>
  <si>
    <t>ПУБЛИЧНОЕ АКЦИОНЕРНОЕ ОБЩЕСТВО "ПРОМОМЕД"</t>
  </si>
  <si>
    <t>QIWI PLC</t>
  </si>
  <si>
    <t>ПАО Распадская ао</t>
  </si>
  <si>
    <t>Публичное акционерное общество "Распадская"</t>
  </si>
  <si>
    <t>ГК РБК ПАО ао</t>
  </si>
  <si>
    <t>Публичное акционерное общество "Группа компаний РБК"</t>
  </si>
  <si>
    <t>РоссийскийДорож Банк ПАО ао</t>
  </si>
  <si>
    <t>"Российский акционерный коммерческий дорожный банк" (публичное акционерное общество)</t>
  </si>
  <si>
    <t>Ренессанс Страхование ао</t>
  </si>
  <si>
    <t>Публичное акционерное общество "Группа Ренессанс Страхование"</t>
  </si>
  <si>
    <t>Росгосстрах СК ПАО ао</t>
  </si>
  <si>
    <t>Публичное акционерное общество Страховая Компания "Росгосстрах"</t>
  </si>
  <si>
    <t>РКК Энергия им.С.П.Королева ао</t>
  </si>
  <si>
    <t>Публичное акционерное общество "Ракетно-космическая корпорация "Энергия" имени С.П. Королёва"</t>
  </si>
  <si>
    <t>РуссНефть НК ПАО ао</t>
  </si>
  <si>
    <t>Публичное акционерное общество Нефтегазовая компания "РуссНефть"</t>
  </si>
  <si>
    <t>"Русолово" ПАО ао</t>
  </si>
  <si>
    <t>Публичное акционерное общество "Русолово"</t>
  </si>
  <si>
    <t>ПАО НК Роснефть</t>
  </si>
  <si>
    <t>публичное акционерное общество "Нефтяная компания "Роснефть"</t>
  </si>
  <si>
    <t>РОСИНТЕР РЕСТОРАНТС (ПАО)</t>
  </si>
  <si>
    <t>Публичное акционерное общество "РОСИНТЕР РЕСТОРАНТС ХОЛДИНГ"</t>
  </si>
  <si>
    <t>Газпром газорасп Р-н-Д ПАО ао</t>
  </si>
  <si>
    <t>Публичное акционерное общество "Газпром газораспределение Ростов-на-Дону"</t>
  </si>
  <si>
    <t>Ростелеком (ПАО) ао.</t>
  </si>
  <si>
    <t>Публичное акционерное общество "Ростелеком"</t>
  </si>
  <si>
    <t>Ростелеком (ПАО) ап.</t>
  </si>
  <si>
    <t>ТНС энерго Ростов. ПАО ао</t>
  </si>
  <si>
    <t>Публичное акционерное общество "ТНС энерго Ростов-на-Дону"</t>
  </si>
  <si>
    <t>ТНС энерго Ростов. ПАО ап</t>
  </si>
  <si>
    <t>РУСАЛ ОК МКПАО ао</t>
  </si>
  <si>
    <t>Международная компания публичное акционерное общество "Объединённая Компания "РУСАЛ""</t>
  </si>
  <si>
    <t>РУСС-ИНВЕСТ ИК ПАО ао</t>
  </si>
  <si>
    <t>Публичное акционерное общество "ИНВЕСТИЦИОННАЯ КОМПАНИЯ ИК РУСС-ИНВЕСТ"</t>
  </si>
  <si>
    <t>"Рязанская энергосб.комп" ПАО</t>
  </si>
  <si>
    <t>Публичное акционерное общество "Рязанская энергетическая сбытовая компания"</t>
  </si>
  <si>
    <t>Самараэнерго (ПАО) - ао</t>
  </si>
  <si>
    <t>Публичное акционерное общество энергетики и электрификации "Самараэнерго"</t>
  </si>
  <si>
    <t>Самараэнерго (ПАО) - ап</t>
  </si>
  <si>
    <t>Саратовэнерго(ПАО)-ао</t>
  </si>
  <si>
    <t>Публичное акционерное общество "Саратовэнерго"</t>
  </si>
  <si>
    <t>Саратовэнерго(ПАО)-ап</t>
  </si>
  <si>
    <t>Сбербанк России ПАО ао</t>
  </si>
  <si>
    <t>Публичное акционерное общество "Сбербанк России"</t>
  </si>
  <si>
    <t>Сбербанк России ПАО ап</t>
  </si>
  <si>
    <t>ПАО "Селигдар"  ао</t>
  </si>
  <si>
    <t>Публичное акционерное общество "Селигдар"</t>
  </si>
  <si>
    <t>ЭсЭфАй ПАО ао</t>
  </si>
  <si>
    <t>Публичное акционерное общество "ЭсЭфАй"</t>
  </si>
  <si>
    <t>Сегежа ао</t>
  </si>
  <si>
    <t>Публичное акционерное общество Группа компаний "Сегежа"</t>
  </si>
  <si>
    <t>Газпром нефть ПАО ао</t>
  </si>
  <si>
    <t>Публичное акционерное общество "Газпром нефть"</t>
  </si>
  <si>
    <t>ПАО "Сахалинэнерго" ао</t>
  </si>
  <si>
    <t>Публичное акционерное общество энергетики и электрификации "Сахалинэнерго"</t>
  </si>
  <si>
    <t>ГК Самолет ао</t>
  </si>
  <si>
    <t>публичное акционерное общество "Группа компаний "Самолет"</t>
  </si>
  <si>
    <t>Сургутнефтегаз ПАО акции об.</t>
  </si>
  <si>
    <t>Публичное акционерное общество "Сургутнефтегаз"</t>
  </si>
  <si>
    <t>Сургутнефтегаз ПАО ап</t>
  </si>
  <si>
    <t>Софтлайн ао</t>
  </si>
  <si>
    <t>Публичное акционерное общество "Софтлайн"</t>
  </si>
  <si>
    <t>СПБ Биржа ао</t>
  </si>
  <si>
    <t>Публичное акционерное общество "СПБ Биржа"</t>
  </si>
  <si>
    <t>Ставрополэнергосбыт ПАО ао</t>
  </si>
  <si>
    <t>Публичное акционерное общество "Ставропольэнергосбыт"</t>
  </si>
  <si>
    <t>Ставрополэнергосбыт ПАО ап</t>
  </si>
  <si>
    <t>ПАО "СОЛЛЕРС"</t>
  </si>
  <si>
    <t>Публичное акционерное общество "СОЛЛЕРС"</t>
  </si>
  <si>
    <t>Совкомбанк ао</t>
  </si>
  <si>
    <t>Публичное акционерное общество "Совкомбанк"</t>
  </si>
  <si>
    <t>Светофор Групп ао</t>
  </si>
  <si>
    <t>Публичное акционерное общество "Светофор Групп"</t>
  </si>
  <si>
    <t>Светофор Групп ап</t>
  </si>
  <si>
    <t>Т-Техно ао</t>
  </si>
  <si>
    <t>Т-Технологии МКПАО ао</t>
  </si>
  <si>
    <t>Международная компания публичное акционерное общество "Т-Технологии"</t>
  </si>
  <si>
    <t>ао"Тамбов.энергсбыт.комп."ПАО</t>
  </si>
  <si>
    <t>Публичное акционерное общество "Тамбовская энергосбытовая компания"</t>
  </si>
  <si>
    <t>ап"Тамбов.энергсбыт.комп."ПАО</t>
  </si>
  <si>
    <t>ПАО "Татнефть" ао</t>
  </si>
  <si>
    <t>публичное акционерное общество "Татнефть" имени В.Д. Шашина</t>
  </si>
  <si>
    <t>ПАО "Татнефть" ап 3 вып.</t>
  </si>
  <si>
    <t>ао ПАО "ТГК-1"</t>
  </si>
  <si>
    <t>Публичное акционерное общество "Территориальная генерирующая компания №1"</t>
  </si>
  <si>
    <t>ао ПАО "ТГК-2"</t>
  </si>
  <si>
    <t>Публичное акционерное общество "Территориальная генерирующая компания №2"</t>
  </si>
  <si>
    <t>ап ПАО "ТГК-2"</t>
  </si>
  <si>
    <t>ао ПАО "ТГК-14"</t>
  </si>
  <si>
    <t>Публичное акционерное общество "Территориальная генерирующая компания № 14"</t>
  </si>
  <si>
    <t>ПАО ГК "ТНС энерго" ао</t>
  </si>
  <si>
    <t>Публичное акционерное общество Группа компаний "ТНС энерго"</t>
  </si>
  <si>
    <t>ао ПАО "Россети Томск"</t>
  </si>
  <si>
    <t>Публичное акционерное общество "Россети Томск"</t>
  </si>
  <si>
    <t>ап ПАО "Россети Томск"</t>
  </si>
  <si>
    <t>ПАО ТМК</t>
  </si>
  <si>
    <t>Публичное акционерное общество "Трубная Металлургическая Компания"</t>
  </si>
  <si>
    <t>Транснефть ПАО акц.пр.</t>
  </si>
  <si>
    <t>Публичное акционерное общество "Транснефть"</t>
  </si>
  <si>
    <t>"Таттелеком" ПАО ао</t>
  </si>
  <si>
    <t>Публичное акционерное общество "Таттелеком"</t>
  </si>
  <si>
    <t>Туймаз. завод автобетоновозов</t>
  </si>
  <si>
    <t>Публичное акционерное общество "Туймазинский завод автобетоновозов"</t>
  </si>
  <si>
    <t>Публичное акционерное общество "Южуралзолото Группа Компаний"</t>
  </si>
  <si>
    <t>Южный Кузбасс ПАО ао</t>
  </si>
  <si>
    <t>Публичное акционерное общество "Угольная компания "Южный Кузбасс"</t>
  </si>
  <si>
    <t>Об.авиастр.корп. ПАО ао</t>
  </si>
  <si>
    <t>Публичное акционерное общество "Объединенная авиастроительная корпорация"</t>
  </si>
  <si>
    <t>Южно-Уральский никел. комб. ао</t>
  </si>
  <si>
    <t>Публичное акционерное общество "Южно-Уральский никелевый комбинат"</t>
  </si>
  <si>
    <t>Юнипро ПАО ао</t>
  </si>
  <si>
    <t>Публичное акционерное общество "Юнипро"</t>
  </si>
  <si>
    <t>ПАО "Уральская кузница" ао</t>
  </si>
  <si>
    <t>Публичное акционерное общество "Уральская кузница"</t>
  </si>
  <si>
    <t>БАНК УРАЛСИБ ПАО ао</t>
  </si>
  <si>
    <t>Публичное акционерное общество "БАНК УРАЛСИБ"</t>
  </si>
  <si>
    <t>Авиакомпания "ЮТэйр" (ПАО) ао</t>
  </si>
  <si>
    <t>Публичное акционерное общество "Авиакомпания "ЮТэйр"</t>
  </si>
  <si>
    <t>ПАО НПК ОВК ао</t>
  </si>
  <si>
    <t>Публичное акционерное общество "Научно-производственная корпорация "Объединенная Вагонная Компания"</t>
  </si>
  <si>
    <t>VEON Ltd. ORD SHS</t>
  </si>
  <si>
    <t>Иностранные акции</t>
  </si>
  <si>
    <t>VEON Ltd.</t>
  </si>
  <si>
    <t>"Волгоград.энергосбыткомп" ПАО</t>
  </si>
  <si>
    <t>Публичное акционерное общество "Волгоградэнергосбыт"</t>
  </si>
  <si>
    <t>ННК-Варьеганнефтегаз ПАО ао</t>
  </si>
  <si>
    <t>Публичное акционерное общество "ННК-Варьеганнефтегаз"</t>
  </si>
  <si>
    <t>ННК-Варьеганнефтегаз ПАО ап</t>
  </si>
  <si>
    <t>Международная компания ПАО ВК</t>
  </si>
  <si>
    <t>Международная компания Публичное акционерное общество "ВК"</t>
  </si>
  <si>
    <t>Владимирский химич.з-д(ПАО) ао</t>
  </si>
  <si>
    <t>Публичное акционерное общество "Владимирский химический завод"</t>
  </si>
  <si>
    <t>ТНС энерго Воронеж ПАО ао</t>
  </si>
  <si>
    <t>Публичное акционерное общество "ТНС энерго Воронеж"</t>
  </si>
  <si>
    <t>ТНС энерго Воронеж ПАО ап</t>
  </si>
  <si>
    <t>Публичное акционерное общество "ВИ.ру"</t>
  </si>
  <si>
    <t>Корп. ВСМПО-АВИСМА (ПАО) ао</t>
  </si>
  <si>
    <t>публичное акционерное общество "Корпорация ВСМПО-АВИСМА"</t>
  </si>
  <si>
    <t>Выборгский Суд.Завод ПАО ао</t>
  </si>
  <si>
    <t>Публичное акционерное общество "Выборгский судостроительный завод"</t>
  </si>
  <si>
    <t>Выборгский Суд.Завод ПАО ап</t>
  </si>
  <si>
    <t>ао ПАО Банк ВТБ</t>
  </si>
  <si>
    <t>Банк ВТБ (публичное акционерное общество)</t>
  </si>
  <si>
    <t>"Центр междун. торговли"ПАО ао</t>
  </si>
  <si>
    <t>Публичное акционерное общество "Центр международной торговли"</t>
  </si>
  <si>
    <t>"Центр междун. торговли"ПАО ап</t>
  </si>
  <si>
    <t>ВУШ Холдинг ао</t>
  </si>
  <si>
    <t>Публичное акционерное общество "ВУШ Холдинг"</t>
  </si>
  <si>
    <t>X5</t>
  </si>
  <si>
    <t>КЦ ИКС 5</t>
  </si>
  <si>
    <t>Корпоративный центр ИКС 5</t>
  </si>
  <si>
    <t>RU000A108X38</t>
  </si>
  <si>
    <t>Публичное акционерное общество "Корпоративный центр ИКС 5"</t>
  </si>
  <si>
    <t>Якутская топл.-энерг. комп. ао</t>
  </si>
  <si>
    <t>Публичное акционерное общество "Якутская топливно-энергетическая компания"</t>
  </si>
  <si>
    <t>МКПАО ЯНДЕКС</t>
  </si>
  <si>
    <t>Международная компания публичное акционерное общество "ЯНДЕКС"</t>
  </si>
  <si>
    <t>АК "Якутскэнерго" (ПАО) ао</t>
  </si>
  <si>
    <t>Публичное акционерное общество "Якутскэнерго"</t>
  </si>
  <si>
    <t>АК "Якутскэнерго" (ПАО) ап</t>
  </si>
  <si>
    <t>ТНС энерго Ярославль ПАО ао</t>
  </si>
  <si>
    <t>Публичное акционерное общество "ТНС энерго Ярославль"</t>
  </si>
  <si>
    <t>ТНС энерго Ярославль ПАО ап</t>
  </si>
  <si>
    <t>Публичное акционерное общество Микрофинансовая компания "Займер"</t>
  </si>
  <si>
    <t>Завод им. И.А.Лихачева ПАО ао</t>
  </si>
  <si>
    <t>Публичное акционерное общество "Завод имени И.А. Лихачева"</t>
  </si>
  <si>
    <t>ЗВЕЗДА ПАО ао</t>
  </si>
  <si>
    <t>Публичное акционерное общество "ЗВЕЗДА"</t>
  </si>
  <si>
    <t>Деньги</t>
  </si>
  <si>
    <t>дс</t>
  </si>
  <si>
    <t>ликв</t>
  </si>
  <si>
    <t>После разделения позиций и подтягивания доп справочных данных по позициям делаются расчеты</t>
  </si>
  <si>
    <t>3. Расчеты по 3 выборкам:</t>
  </si>
  <si>
    <t>Портфель (По значению от брокера):</t>
  </si>
  <si>
    <t>Портфель (сумме позиций):</t>
  </si>
  <si>
    <t>4. Проверка достаточности средств</t>
  </si>
  <si>
    <t>Позиции на покупку и балансировку</t>
  </si>
  <si>
    <t>В ликвидности:</t>
  </si>
  <si>
    <t>Объем</t>
  </si>
  <si>
    <t>В деньгах:</t>
  </si>
  <si>
    <t>Проверка ДС 1</t>
  </si>
  <si>
    <t>Проверка ДС 2</t>
  </si>
  <si>
    <t>Проверка ДС 3</t>
  </si>
  <si>
    <t>Если средств не достаточно, после 3 проверки - значит счет идет на ручную проверку. Со счетом какие-то проблемы!</t>
  </si>
  <si>
    <t>Всегда исполнение идет в следующей последовательности:</t>
  </si>
  <si>
    <t>5. Алгоритм исполнения</t>
  </si>
  <si>
    <t>2. Продажа недостающей ликвидности с выборки 3</t>
  </si>
  <si>
    <t>1. Продажа всех позиций с выборки 2 (То что полностью продается)</t>
  </si>
  <si>
    <t>3.Балансировка/покупка с выборки 1 (на покупку)</t>
  </si>
  <si>
    <t>Полностью продаем все позиции с этой выборки</t>
  </si>
  <si>
    <t xml:space="preserve">Шаг делается если Проверка ДС3 - успешная, но Проверка ДС2 не успешная, т.е. когда денег не хватает, но если продать фонды ликвидности хватает </t>
  </si>
  <si>
    <t>Если хватает на первых 2 проверках (успешные проверки ДС1 или ДС2), тогда шаг пропускается.</t>
  </si>
  <si>
    <t>Необходимый объем для исполнения</t>
  </si>
  <si>
    <t>4. Покупка денежного рынка</t>
  </si>
  <si>
    <t>6. Исполнение шаг 1 (по выборке 2)</t>
  </si>
  <si>
    <t>7. Исполнение шаг 2 (продажа по выборке 3)</t>
  </si>
  <si>
    <t>Продаем необходимое кол лотов для исполнения по денежному рынку</t>
  </si>
  <si>
    <t>8. Проверка достаточности средств</t>
  </si>
  <si>
    <t>После всех продаж проверяется все ли продалось что нужно было продать и хватает ли средств на счете</t>
  </si>
  <si>
    <t>Проверка ДС 4</t>
  </si>
  <si>
    <r>
      <t xml:space="preserve">Если средств достаточно, тогда идем дальше, если нет тогда </t>
    </r>
    <r>
      <rPr>
        <b/>
        <sz val="11"/>
        <color theme="1"/>
        <rFont val="Aptos Narrow"/>
        <family val="2"/>
        <scheme val="minor"/>
      </rPr>
      <t>!!!снимаем все активные заяки</t>
    </r>
    <r>
      <rPr>
        <sz val="11"/>
        <color theme="1"/>
        <rFont val="Aptos Narrow"/>
        <family val="2"/>
        <charset val="204"/>
        <scheme val="minor"/>
      </rPr>
      <t xml:space="preserve"> и возращаемся на шаг 4. и проходим по новой</t>
    </r>
  </si>
  <si>
    <t>9. Балансировка/покупка с выборки 1 (на покупку)</t>
  </si>
  <si>
    <t>С выборки 1 всегда в начале делаются продажи, а потом покупки проводятся по позициям начиная с самых крупных покупок (столбец "Расчет суммы чистой для исполнения"), и заканчиваются самыми мелкими:</t>
  </si>
  <si>
    <t xml:space="preserve">10. Проверка исполнения всех заявок. </t>
  </si>
  <si>
    <t>После выставления заявок на покупку. Нужно проверить все ли заявки исполнились, или есть те которые не исполнились полностью или не исполнились частично.</t>
  </si>
  <si>
    <t>1) Заявки которые полностью не исполнились снимаются и выставляются по новой цене (согласно тому же правилу заявки на крупные суммы первые, а дальше по убывающей)</t>
  </si>
  <si>
    <r>
      <t xml:space="preserve">2) Заявки которые исполнились частично. Нужно снять и оставшееся количество бумаг выставить на покупку по новой </t>
    </r>
    <r>
      <rPr>
        <sz val="11"/>
        <color theme="1"/>
        <rFont val="Aptos Narrow"/>
        <family val="2"/>
        <scheme val="minor"/>
      </rPr>
      <t>(согласно тому же правилу заявки на крупные суммы первые, а дальше по убывающей)</t>
    </r>
  </si>
  <si>
    <t>Цена продажи выставляется на 0,5% ниже рыночной</t>
  </si>
  <si>
    <t>Цена покупки выставляется на 0,5% выше рыночной.</t>
  </si>
  <si>
    <t>5S - РФ Облигации</t>
  </si>
  <si>
    <t>доля акций</t>
  </si>
  <si>
    <t>доля облигаций</t>
  </si>
  <si>
    <t>Консервативный.</t>
  </si>
  <si>
    <t>Умеренно консервативный.</t>
  </si>
  <si>
    <t xml:space="preserve">Рациональный. </t>
  </si>
  <si>
    <t xml:space="preserve">Это золотая середина. Инвесторы с таким профилем распределяют активы между стабильными и рискованными инструментами так, чтобы потенциальная доходность составляла +5–8% к ставке по вкладам в крупных банках, а капитал не снижался более чем на 15%. </t>
  </si>
  <si>
    <t>Умеренно агрессивный.</t>
  </si>
  <si>
    <t>Агрессивный.</t>
  </si>
  <si>
    <t xml:space="preserve">Сверхагрессивный. </t>
  </si>
  <si>
    <t>Инвесторы ориентируются на доходность от +18% к ставке по депозитам и понимают, что стоимость их вложений может снизиться в пределах 60%. 1</t>
  </si>
  <si>
    <t>Только ОФЗ</t>
  </si>
  <si>
    <t>ОФЗ+Муни+корпораты</t>
  </si>
  <si>
    <t>стратегия стандарт акций</t>
  </si>
  <si>
    <t>стратегия концентрированная акций</t>
  </si>
  <si>
    <t xml:space="preserve">Этот тип предполагает высокую склонность к риску и большой опыт самостоятельной торговли на бирже. Агрессивный инвестор допускает сильную просадку портфеля в обмен на потенциальную доходность +13–18% к ставке по депозитам в крупных банках. При этом инвестор должен быть готов к риску в размере 35% вложенного капитала. </t>
  </si>
  <si>
    <t xml:space="preserve">Означает готовность инвестора принять относительно высокий уровень риска и колебаний стоимости в кратко- и среднесрочной перспективе в обмен на потенциальную возможность получить доход порядка 20% годовых. Риск потери капитала — в пределах 25%. </t>
  </si>
  <si>
    <t>США</t>
  </si>
  <si>
    <t>комент</t>
  </si>
  <si>
    <t>ETF на гос облигации</t>
  </si>
  <si>
    <t>ETF на облигации с инвест рейтингом BBB- и выше</t>
  </si>
  <si>
    <t>Продумать как происходит ребалансировка на разных портфлелях</t>
  </si>
  <si>
    <t>Интрефейс</t>
  </si>
  <si>
    <t>Стратегия акций</t>
  </si>
  <si>
    <t>Стратегия облигаций</t>
  </si>
  <si>
    <t>6S - РФ ОФЗ</t>
  </si>
  <si>
    <t xml:space="preserve">Главная цель — сохранение и защита капитала. Инвесторам с таким профилем подходят наиболее безопасные финансовые инструменты: депозиты и облигации федерального займа. Риски потери капитала — около 5% вложений. </t>
  </si>
  <si>
    <t xml:space="preserve">Подразумевает готовность принять разумный уровень риска в обмен на потенциальную возможность получить доход на уровне существующих процентных ставок по депозитам. Среди подходящих инструментов — ОФЗ и облигации крупных компаний. Допустимый риск — 10% изначальных вложений. </t>
  </si>
  <si>
    <t>риск</t>
  </si>
  <si>
    <t>доход</t>
  </si>
  <si>
    <t>Сбалансированный</t>
  </si>
  <si>
    <t>property</t>
  </si>
  <si>
    <t>period</t>
  </si>
  <si>
    <t>RUGBITR5Y.INDX</t>
  </si>
  <si>
    <t>RUCBTRA5YNS.INDX</t>
  </si>
  <si>
    <t>RUCBTR5YNS.INDX</t>
  </si>
  <si>
    <t>IMOEX.INDX</t>
  </si>
  <si>
    <t>Compound return</t>
  </si>
  <si>
    <t>YTD</t>
  </si>
  <si>
    <t>CAGR</t>
  </si>
  <si>
    <t>1 years</t>
  </si>
  <si>
    <t>5 years</t>
  </si>
  <si>
    <t>10 years</t>
  </si>
  <si>
    <t>4 years, 8 months</t>
  </si>
  <si>
    <t>Annualized mean return</t>
  </si>
  <si>
    <t>Dividend yield</t>
  </si>
  <si>
    <t>LTM</t>
  </si>
  <si>
    <t>Risk</t>
  </si>
  <si>
    <t>CVAR</t>
  </si>
  <si>
    <t>Max drawdowns</t>
  </si>
  <si>
    <t>Sharpe ratio (risk free rate: 5.00)</t>
  </si>
  <si>
    <t>ОФЗ</t>
  </si>
  <si>
    <t>корп</t>
  </si>
  <si>
    <t>акции</t>
  </si>
  <si>
    <t>https://cbr.ru/hd_base/zcyc_params/zcyc/</t>
  </si>
  <si>
    <t>1Y</t>
  </si>
  <si>
    <t>Риск потери капитала. 
Под риском понимается среднегодовая историческая макс просадка.</t>
  </si>
  <si>
    <t>Ориентировочная доходность.
Ожидаемая среднегодовая доходность.</t>
  </si>
  <si>
    <t>Это золотая середина. Инвесторы с таким профилем распределяют активы между стабильными облигациями и более рискованными акциями. 
50% портфеля занимают облигации. 50% акции.</t>
  </si>
  <si>
    <t>Главная цель — сохранение и защита капитала. Инвесторам с таким профилем подходят наиболее безопасные финансовые инструменты: депозиты и облигации федерального займа. 
До 100% - государтственные облигации федерального займа РФ</t>
  </si>
  <si>
    <t xml:space="preserve">Подразумевает готовность принять разумный уровень риска в обмен на потенциальную возможность получить доход на уровне существующих процентных ставок по депозитам. До 100% портфеля — ОФЗ, муниципальные облигации и корпоративные облигации. </t>
  </si>
  <si>
    <t>Повышенный уровень риска и повышенная волотильность стоимости портфеля в обмен на повышенный доход.
Портфель на 75% состоит из акций, на 25% облигаций.</t>
  </si>
  <si>
    <t xml:space="preserve">Высокую склонность к риску и большой опыт самостоятельной торговли на бирже. Агрессивный инвестор допускает сильную просадку портфеля в обмен на высокую потенциальную доходность. 
100% - портфеля в акциях </t>
  </si>
  <si>
    <t>Максимально агрессивная стратегия с низкой диверсификацией, с высоким риском и с макимальным потенциалом доходности.
100% портфеля в акциях. Сильная конетрация (низкая дивересификация)</t>
  </si>
  <si>
    <t>Сверхагрессивный</t>
  </si>
  <si>
    <t>Агрессивный</t>
  </si>
  <si>
    <t>Умеренно агрессивный</t>
  </si>
  <si>
    <t>Умеренно консервативный</t>
  </si>
  <si>
    <t>Консервативный</t>
  </si>
  <si>
    <t>Доходность</t>
  </si>
  <si>
    <t>До погашения</t>
  </si>
  <si>
    <t>Погашение</t>
  </si>
  <si>
    <t>Размер купона</t>
  </si>
  <si>
    <t>Длит. купона</t>
  </si>
  <si>
    <t>НКД</t>
  </si>
  <si>
    <t>Дата выпл. куп.</t>
  </si>
  <si>
    <t>ОФЗ-ПД 26236 17/05/2028</t>
  </si>
  <si>
    <t>1 000,00</t>
  </si>
  <si>
    <t>ОФЗ-ПД 26234 16/07/2025</t>
  </si>
  <si>
    <t>ОФЗ-ПД 26226 07/10/26</t>
  </si>
  <si>
    <t>ОФЗ-ПД 26229 12/11/25</t>
  </si>
  <si>
    <t>ОФЗ-ПД 26237 14/03/2029</t>
  </si>
  <si>
    <t>ОФЗ-ПД 26207 03/02/27</t>
  </si>
  <si>
    <t>ОФЗ-ПД 26212 19/01/28</t>
  </si>
  <si>
    <t>Сбербанк ПАО 001Р-SBER25</t>
  </si>
  <si>
    <t>Магнит ПАО БО-005Р-01</t>
  </si>
  <si>
    <t>Сбербанк ПАО 001Р-SBER27</t>
  </si>
  <si>
    <t>Автодор ГК БО-003Р-02</t>
  </si>
  <si>
    <t>Ростелеком ПАО 002P-14R</t>
  </si>
  <si>
    <t>ПАО ЛК Европлан 001P-06</t>
  </si>
  <si>
    <t>Тип:</t>
  </si>
  <si>
    <t>Акции</t>
  </si>
  <si>
    <t xml:space="preserve">&lt;---- кнопки для фильтрации модельных портфелей </t>
  </si>
  <si>
    <t>Название</t>
  </si>
  <si>
    <t>Поля в голубых столбцах(ISIN) и красных (доля) в таблице можно менять. Остальные нельзя. При вводе ISIN - должны подтягиваться остальные поля с обновляемой таблицы все бумаг (по рф сейчас это таблица QUIK). Поля разные для акции и облигаций</t>
  </si>
  <si>
    <t>Стратегии:</t>
  </si>
  <si>
    <t>Полное название</t>
  </si>
  <si>
    <t>номер</t>
  </si>
  <si>
    <t>3S</t>
  </si>
  <si>
    <t>5S</t>
  </si>
  <si>
    <t>6S</t>
  </si>
  <si>
    <t>1F</t>
  </si>
  <si>
    <t>2F</t>
  </si>
  <si>
    <t>4S</t>
  </si>
  <si>
    <t>Номер</t>
  </si>
  <si>
    <t>Россия</t>
  </si>
  <si>
    <t>Рынок:</t>
  </si>
  <si>
    <t>Комментарий:</t>
  </si>
  <si>
    <t>+</t>
  </si>
  <si>
    <t>добавить новую стратегию</t>
  </si>
  <si>
    <t>Название стратегии</t>
  </si>
  <si>
    <t>РФ Стандарт</t>
  </si>
  <si>
    <t>РФ Концентированная</t>
  </si>
  <si>
    <t>РФ Облигации</t>
  </si>
  <si>
    <t>РФ ОФЗ</t>
  </si>
  <si>
    <t>США Стандарт</t>
  </si>
  <si>
    <t>США Концентрированная</t>
  </si>
  <si>
    <t>&lt;--- это кнопка создания новой стратегии, при нажатии выходит меню в одну строку</t>
  </si>
  <si>
    <t>Ввод новой стратегии:</t>
  </si>
  <si>
    <t>Название стратегии:</t>
  </si>
  <si>
    <t>Номер:</t>
  </si>
  <si>
    <t>иконка карандаша для редактирования с таким же меню как при вводе новой стратегии, но в поля которые уже вставленны ранее сохарненные значения, которые можно изменить</t>
  </si>
  <si>
    <t>&lt;--- кнопка подтверждения ввода стратегии. Когда все заполнил и нажал на кнопку. Она сохраняется и попадает в список стратегий</t>
  </si>
  <si>
    <t>Инструмент:</t>
  </si>
  <si>
    <t>риск акций</t>
  </si>
  <si>
    <t>риск облигаций</t>
  </si>
  <si>
    <t>1 - низкий</t>
  </si>
  <si>
    <t>2 - средний</t>
  </si>
  <si>
    <t>можно выбрать из раскрывающего меню. 1 или 2</t>
  </si>
  <si>
    <t>облигации</t>
  </si>
  <si>
    <t>потенциальная доходность облигаций (доля*доходность)</t>
  </si>
  <si>
    <t>потенциальная доходность акций (доля*доходность)</t>
  </si>
  <si>
    <t>значение может быть от 0 - 100%</t>
  </si>
  <si>
    <t>&lt;--- значение должно подтягиваться автоматически с сайта ЦБ (1 летнее значение доходности)</t>
  </si>
  <si>
    <t>выпадающий спискок стратегий из "Меню стратегий" и только которые Акции РФ</t>
  </si>
  <si>
    <t>выпадающий спискок стратегий из "Меню стратегий" и только которые Облигации РФ</t>
  </si>
  <si>
    <t>Страна</t>
  </si>
  <si>
    <t>https://www.tradingview.com/symbols/TVC-US01Y/</t>
  </si>
  <si>
    <t>&lt;--- значение должно подтягиваться автоматически (1 летнее значение доходности)</t>
  </si>
  <si>
    <t>https://www.tradingview.com/symbols/TVC-RU01Y/</t>
  </si>
  <si>
    <t>поле можно редактировать на другое значение</t>
  </si>
  <si>
    <t>если какое-то поле изменено в ручную, то рядом появлется кнопка обновить на значение по дефолту (по формуле)</t>
  </si>
  <si>
    <t>Профиль РФ:</t>
  </si>
  <si>
    <t>Профиль США:</t>
  </si>
  <si>
    <t>Бенчмарки РФ:</t>
  </si>
  <si>
    <t>Бенчмарки США:</t>
  </si>
  <si>
    <t>США Трежериз</t>
  </si>
  <si>
    <t>США Бондс</t>
  </si>
  <si>
    <t>7F - США Бондс</t>
  </si>
  <si>
    <t>8F - США Трежериз</t>
  </si>
  <si>
    <t>7F</t>
  </si>
  <si>
    <t>8F</t>
  </si>
  <si>
    <t>Главная цель — сохранение и защита капитала. Инвесторам с таким профилем подходят наиболее безопасные финансовые инструменты: депозиты и государственные облигации.
До 100% - государтственные облигации.</t>
  </si>
  <si>
    <t xml:space="preserve">Подразумевает готовность принять разумный уровень риска в обмен на потенциальную возможность получить доход на уровне существующих процентных ставок по депозитам. До 100% портфеля —  корпоративные, муниципальные и государственные облигации. </t>
  </si>
  <si>
    <t>Максимально агрессивная стратегия с низкой диверсификацией, с высоким риском и с макимальным потенциалом доходности.
100% портфеля в акциях. Сильная концетрация (низкая дивересификация)</t>
  </si>
  <si>
    <t>&lt;--- Это фильтр. Здесь выпадающее меню пока из 2х стран РФ и США. Если потом будем расширять, чтобы можно было фильтровать.</t>
  </si>
  <si>
    <t>Гео:</t>
  </si>
  <si>
    <t>Риск профили:</t>
  </si>
  <si>
    <t>1pR</t>
  </si>
  <si>
    <t>2pR</t>
  </si>
  <si>
    <t>3pR</t>
  </si>
  <si>
    <t>4pR</t>
  </si>
  <si>
    <t>5pR</t>
  </si>
  <si>
    <t>6pR</t>
  </si>
  <si>
    <t>1pU</t>
  </si>
  <si>
    <t>2pU</t>
  </si>
  <si>
    <t>3pU</t>
  </si>
  <si>
    <t>4pU</t>
  </si>
  <si>
    <t>5pU</t>
  </si>
  <si>
    <t>6pU</t>
  </si>
  <si>
    <t>номер профиля генерируется по принципу: 1 - порядковый номер профиля, p - разделитель (всегда p), R или U - профиль R - Россия, U - Сша</t>
  </si>
  <si>
    <t>1pR Консервативный</t>
  </si>
  <si>
    <t>2pR Умеренно консервативный</t>
  </si>
  <si>
    <t>3pR Сбалансированный</t>
  </si>
  <si>
    <t>4pR Умеренно агрессивный</t>
  </si>
  <si>
    <t>5pR Агрессивный</t>
  </si>
  <si>
    <t>6pR Сверхагрессивный</t>
  </si>
  <si>
    <t>1pU Консервативный</t>
  </si>
  <si>
    <t>2pU Умеренно консервативный</t>
  </si>
  <si>
    <t>3pU Сбалансированный</t>
  </si>
  <si>
    <t>4pU Умеренно агрессивный</t>
  </si>
  <si>
    <t>5pU Агрессивный</t>
  </si>
  <si>
    <t>6pU Сверхагрессивный</t>
  </si>
  <si>
    <t xml:space="preserve">&lt;--- сюда для проверки подтягивает </t>
  </si>
  <si>
    <t>доля в портфеле акций</t>
  </si>
  <si>
    <t>доля в портфлее облтгаций</t>
  </si>
  <si>
    <t>доля в портфеле</t>
  </si>
  <si>
    <t>Всего акций</t>
  </si>
  <si>
    <t>Всего облигаций</t>
  </si>
  <si>
    <t>акций</t>
  </si>
  <si>
    <t>облигаций</t>
  </si>
  <si>
    <t>Допустимая доля акций по риск профилю:</t>
  </si>
  <si>
    <t>Допустимая доля облигаций по риск профилю:</t>
  </si>
  <si>
    <t>тек доля в портфеле</t>
  </si>
  <si>
    <t>&lt;---- кнопка в которой можно выбрать какие столбцы можно отображать. ISIN, Название и доля в портфеле являются обязательными, остальные (можно выключать столбцы: Тикер, Лот, Цена послед., Валюта, Листинг, Сложный продукт, П.И.Р., Квал инвестор, Статус, Доля в портфеле облигаций в акциях и Доходность, Номинал, Цена. послед.,Валюта, До погашения, НКД, Дата выпл. куп., Тип, Доля в портфеле облигаций. Важно  чтобы обязательно сохранялся выбор.</t>
  </si>
  <si>
    <t>S100</t>
  </si>
  <si>
    <t>доля на покупку</t>
  </si>
  <si>
    <t>После разделения позиций по выборкам и подтягивания доп справочных данных по позициям делаются расчеты</t>
  </si>
  <si>
    <t>2. Портфель Ranks для конкретного счета после сравнения с портфелем риск профиля делиться на 3 выборки. Расчеты по 3 выборкам:</t>
  </si>
  <si>
    <t>3. Проверка достаточности средств</t>
  </si>
  <si>
    <t>Портфель Акций Ranks по выбранной стратегии(профилю):</t>
  </si>
  <si>
    <t>Портфель Облигаций Ranks по выбранной стратегии(профилю):</t>
  </si>
  <si>
    <t>Профиль:</t>
  </si>
  <si>
    <t>Доля акций по профилю:</t>
  </si>
  <si>
    <t>Доля облигаций по профилю:</t>
  </si>
  <si>
    <t>Доля в портфеле акций:</t>
  </si>
  <si>
    <t>Доля в портфеле:</t>
  </si>
  <si>
    <t>доля в портфеле облигаций</t>
  </si>
  <si>
    <t>доля в портфеле по профилю:</t>
  </si>
  <si>
    <t>нет</t>
  </si>
  <si>
    <t>статус наличия в портфеле</t>
  </si>
  <si>
    <t>Если в этом столбце не пусто, подсветить красным цветом</t>
  </si>
  <si>
    <t>сделать примечание как расшифровываются эти цифры</t>
  </si>
  <si>
    <t>Подсвечивать 3 уровень красным!</t>
  </si>
  <si>
    <t>Зеленная голочка выходит когда вбит ISIN в столбец и когда в справочнике все данные корректны (без ошибок - нет данных и т.д.). Красная галочка выходит если есть ошибки - какое то поле не подгрузилось(нет данных! Если просто пусто это норм.</t>
  </si>
  <si>
    <t>ранг дюрации</t>
  </si>
  <si>
    <t>для облигаций формула изменена!</t>
  </si>
  <si>
    <t>3. Балансировка/покупка с выборки 1 (на покупку)</t>
  </si>
  <si>
    <t>инструмент</t>
  </si>
  <si>
    <t>наименование</t>
  </si>
  <si>
    <t>тип инструмента</t>
  </si>
  <si>
    <t>Примечание</t>
  </si>
  <si>
    <t>направление</t>
  </si>
  <si>
    <t>спец отметка1 (ПФИ)</t>
  </si>
  <si>
    <t>спец отметка2 (Квал)</t>
  </si>
  <si>
    <t>Продажа</t>
  </si>
  <si>
    <t>кол (в лотах)</t>
  </si>
  <si>
    <t>цена текущая</t>
  </si>
  <si>
    <t>объем (по текущей цене)</t>
  </si>
  <si>
    <t>4. Формирование Инвестиционной рекомендации для пользователя</t>
  </si>
  <si>
    <r>
      <t xml:space="preserve">Если средств достаточно, тогда идем дальше, если нет тогда </t>
    </r>
    <r>
      <rPr>
        <b/>
        <sz val="11"/>
        <color theme="1"/>
        <rFont val="Aptos Narrow"/>
        <family val="2"/>
        <scheme val="minor"/>
      </rPr>
      <t>!!!снимаем все активные заяки</t>
    </r>
    <r>
      <rPr>
        <sz val="11"/>
        <color theme="1"/>
        <rFont val="Aptos Narrow"/>
        <family val="2"/>
        <charset val="204"/>
        <scheme val="minor"/>
      </rPr>
      <t xml:space="preserve"> и возращаемся на шаг 5. и проходим по новой</t>
    </r>
  </si>
  <si>
    <t>Акций:</t>
  </si>
  <si>
    <t>Обигаций:</t>
  </si>
  <si>
    <t>Кэш или Ликвидность:</t>
  </si>
  <si>
    <t>Отобразить построчно остальние валюты если есть</t>
  </si>
  <si>
    <t>Отобразить построчно остальние позиции если есть</t>
  </si>
  <si>
    <t>доля на продажу</t>
  </si>
  <si>
    <t>Кэш или LQDT</t>
  </si>
  <si>
    <t>Продать недостающее в ликвидности</t>
  </si>
  <si>
    <t>Купить нужное по стратегии</t>
  </si>
  <si>
    <t>Купить ликвидность на остатки</t>
  </si>
  <si>
    <t>Продать нужное по стратегии</t>
  </si>
  <si>
    <t>.</t>
  </si>
  <si>
    <t>при нажатии кнопки "ИСПОЛНИТЬ!" должен выйти попап где спрашивается "Вы точно хотите совершить сделки по стратегии?" - "Да" "Нет". Если "Да", тогда портфель проходит по алгоритму который описан на странице "Процесс_last"</t>
  </si>
  <si>
    <t>Подумать куда они складываются и как?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</si>
</sst>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#,##0.0"/>
    <numFmt numFmtId="165" formatCode="#,##0_ ;\-#,##0\ "/>
    <numFmt numFmtId="166" formatCode="_-* #,##0_-;\-* #,##0_-;_-* &quot;-&quot;??_-;_-@_-"/>
    <numFmt numFmtId="167" formatCode="0.000%"/>
    <numFmt numFmtId="168" formatCode="_-* #,##0.00\ _₽_-;\-* #,##0.00\ _₽_-;_-* &quot;-&quot;??\ _₽_-;_-@_-"/>
    <numFmt numFmtId="169" formatCode="_-* #,##0\ _₽_-;\-* #,##0\ _₽_-;_-* &quot;-&quot;??\ _₽_-;_-@_-"/>
    <numFmt numFmtId="170" formatCode="_-* #,##0.0000_-;\-* #,##0.0000_-;_-* &quot;-&quot;??_-;_-@_-"/>
    <numFmt numFmtId="171" formatCode="_-* #,##0\ _₽_-;\-* #,##0\ _₽_-;_-* &quot;-&quot;????\ _₽_-;_-@_-"/>
    <numFmt numFmtId="172" formatCode="0.0%"/>
    <numFmt numFmtId="173" formatCode="_-* #,##0.0_-;\-* #,##0.0_-;_-* &quot;-&quot;??_-;_-@_-"/>
  </numFmts>
  <fonts count="54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b/>
      <sz val="10"/>
      <color rgb="FFFFFFFF"/>
      <name val="Arial"/>
      <family val="2"/>
      <charset val="204"/>
    </font>
    <font>
      <b/>
      <sz val="11"/>
      <color rgb="FF1F1F1F"/>
      <name val="Google Sans"/>
    </font>
    <font>
      <b/>
      <sz val="10"/>
      <color theme="1"/>
      <name val="Arial"/>
      <family val="2"/>
      <charset val="204"/>
    </font>
    <font>
      <sz val="10"/>
      <color rgb="FFFFFFFF"/>
      <name val="Arial"/>
      <family val="2"/>
      <charset val="204"/>
    </font>
    <font>
      <b/>
      <sz val="8"/>
      <color rgb="FFFFFFFF"/>
      <name val="Arial"/>
      <family val="2"/>
      <charset val="204"/>
    </font>
    <font>
      <sz val="11"/>
      <color rgb="FF808080"/>
      <name val="Segoe UI"/>
      <family val="2"/>
      <charset val="204"/>
    </font>
    <font>
      <sz val="11"/>
      <color rgb="FF333333"/>
      <name val="Segoe UI"/>
      <family val="2"/>
      <charset val="204"/>
    </font>
    <font>
      <b/>
      <sz val="11"/>
      <color rgb="FF333333"/>
      <name val="Segoe UI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ptos Narrow"/>
      <family val="2"/>
      <charset val="204"/>
      <scheme val="minor"/>
    </font>
    <font>
      <b/>
      <sz val="11"/>
      <color theme="1"/>
      <name val="Arial"/>
      <family val="2"/>
      <charset val="204"/>
    </font>
    <font>
      <b/>
      <sz val="14"/>
      <color rgb="FFFFFFFF"/>
      <name val="Arial"/>
      <family val="2"/>
      <charset val="204"/>
    </font>
    <font>
      <b/>
      <sz val="16"/>
      <color rgb="FFFFFFFF"/>
      <name val="Arial"/>
      <family val="2"/>
      <charset val="204"/>
    </font>
    <font>
      <b/>
      <sz val="12"/>
      <color theme="1"/>
      <name val="Aptos Narrow"/>
      <family val="2"/>
      <scheme val="minor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theme="1"/>
      <name val="Aptos Narrow"/>
      <family val="2"/>
      <charset val="204"/>
      <scheme val="minor"/>
    </font>
    <font>
      <sz val="9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charset val="204"/>
      <scheme val="minor"/>
    </font>
    <font>
      <u/>
      <sz val="11"/>
      <color theme="10"/>
      <name val="Aptos Narrow"/>
      <family val="2"/>
      <charset val="204"/>
      <scheme val="minor"/>
    </font>
    <font>
      <u/>
      <sz val="11"/>
      <name val="Aptos Narrow"/>
      <family val="2"/>
      <charset val="204"/>
      <scheme val="minor"/>
    </font>
    <font>
      <sz val="11"/>
      <name val="Arial"/>
      <family val="2"/>
      <charset val="204"/>
    </font>
    <font>
      <sz val="11"/>
      <name val="Aptos Narrow"/>
      <family val="2"/>
      <charset val="204"/>
      <scheme val="minor"/>
    </font>
    <font>
      <u/>
      <sz val="10"/>
      <color theme="1"/>
      <name val="Arial"/>
      <family val="2"/>
      <charset val="204"/>
    </font>
    <font>
      <u/>
      <sz val="11"/>
      <color theme="1"/>
      <name val="Aptos Narrow"/>
      <family val="2"/>
      <charset val="204"/>
      <scheme val="minor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rgb="FF333333"/>
      <name val="Arial"/>
      <family val="2"/>
      <charset val="204"/>
    </font>
    <font>
      <b/>
      <sz val="10"/>
      <color rgb="FF333333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04"/>
      <scheme val="minor"/>
    </font>
    <font>
      <sz val="10"/>
      <color theme="0"/>
      <name val="Aptos Narrow"/>
      <family val="2"/>
      <charset val="204"/>
      <scheme val="minor"/>
    </font>
    <font>
      <sz val="11"/>
      <color rgb="FF000000"/>
      <name val="Aptos Narrow"/>
      <family val="2"/>
    </font>
    <font>
      <b/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8"/>
      <color rgb="FF000000"/>
      <name val="Segoe UI"/>
      <family val="2"/>
      <charset val="204"/>
    </font>
    <font>
      <u/>
      <sz val="10"/>
      <color rgb="FFFF0000"/>
      <name val="Arial"/>
      <family val="2"/>
      <charset val="204"/>
    </font>
    <font>
      <u/>
      <sz val="11"/>
      <color rgb="FF00B050"/>
      <name val="Aptos Narrow"/>
      <family val="2"/>
      <charset val="204"/>
      <scheme val="minor"/>
    </font>
    <font>
      <b/>
      <sz val="11"/>
      <color rgb="FFFFFFFF"/>
      <name val="Arial"/>
      <family val="2"/>
      <charset val="204"/>
    </font>
    <font>
      <b/>
      <sz val="9"/>
      <color rgb="FFFFFFFF"/>
      <name val="Arial"/>
      <family val="2"/>
      <charset val="204"/>
    </font>
    <font>
      <sz val="8"/>
      <color theme="1"/>
      <name val="Aptos Narrow"/>
      <family val="2"/>
      <charset val="204"/>
      <scheme val="minor"/>
    </font>
    <font>
      <sz val="10"/>
      <color theme="1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6FA8D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C3E7D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2D9BD"/>
        <bgColor indexed="64"/>
      </patternFill>
    </fill>
    <fill>
      <patternFill patternType="solid">
        <fgColor rgb="FFDCF1E7"/>
        <bgColor indexed="64"/>
      </patternFill>
    </fill>
    <fill>
      <patternFill patternType="solid">
        <fgColor rgb="FF99D5B4"/>
        <bgColor indexed="64"/>
      </patternFill>
    </fill>
    <fill>
      <patternFill patternType="solid">
        <fgColor rgb="FF90D1AB"/>
        <bgColor indexed="64"/>
      </patternFill>
    </fill>
    <fill>
      <patternFill patternType="solid">
        <fgColor rgb="FFF4C7C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rgb="FFED0000"/>
        <bgColor theme="4" tint="-0.249977111117893"/>
      </patternFill>
    </fill>
    <fill>
      <patternFill patternType="solid">
        <fgColor rgb="FFA3DBFF"/>
        <bgColor indexed="64"/>
      </patternFill>
    </fill>
    <fill>
      <patternFill patternType="solid">
        <fgColor rgb="FFA3DBFF"/>
        <bgColor theme="4" tint="-0.249977111117893"/>
      </patternFill>
    </fill>
    <fill>
      <patternFill patternType="solid">
        <fgColor theme="6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n">
        <color theme="4" tint="0.7999816888943144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8" fillId="0" borderId="0"/>
  </cellStyleXfs>
  <cellXfs count="334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/>
    <xf numFmtId="0" fontId="0" fillId="0" borderId="4" xfId="0" applyBorder="1"/>
    <xf numFmtId="164" fontId="0" fillId="0" borderId="1" xfId="1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7" fillId="0" borderId="8" xfId="0" applyFont="1" applyBorder="1"/>
    <xf numFmtId="0" fontId="7" fillId="0" borderId="9" xfId="0" applyFont="1" applyBorder="1"/>
    <xf numFmtId="0" fontId="2" fillId="5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wrapText="1"/>
    </xf>
    <xf numFmtId="0" fontId="4" fillId="8" borderId="1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43" fontId="0" fillId="0" borderId="1" xfId="1" applyFont="1" applyBorder="1"/>
    <xf numFmtId="164" fontId="0" fillId="10" borderId="1" xfId="1" applyNumberFormat="1" applyFont="1" applyFill="1" applyBorder="1" applyAlignment="1">
      <alignment horizontal="center" vertical="center"/>
    </xf>
    <xf numFmtId="0" fontId="0" fillId="10" borderId="1" xfId="0" applyFill="1" applyBorder="1"/>
    <xf numFmtId="0" fontId="0" fillId="10" borderId="4" xfId="0" applyFill="1" applyBorder="1"/>
    <xf numFmtId="0" fontId="0" fillId="10" borderId="0" xfId="0" applyFill="1"/>
    <xf numFmtId="43" fontId="0" fillId="10" borderId="1" xfId="1" applyFont="1" applyFill="1" applyBorder="1"/>
    <xf numFmtId="0" fontId="2" fillId="5" borderId="10" xfId="0" applyFont="1" applyFill="1" applyBorder="1" applyAlignment="1">
      <alignment vertical="center" wrapText="1"/>
    </xf>
    <xf numFmtId="0" fontId="0" fillId="8" borderId="10" xfId="0" applyFill="1" applyBorder="1"/>
    <xf numFmtId="43" fontId="0" fillId="8" borderId="10" xfId="1" applyFont="1" applyFill="1" applyBorder="1"/>
    <xf numFmtId="0" fontId="4" fillId="8" borderId="10" xfId="0" applyFont="1" applyFill="1" applyBorder="1" applyAlignment="1">
      <alignment wrapText="1"/>
    </xf>
    <xf numFmtId="3" fontId="2" fillId="5" borderId="13" xfId="1" applyNumberFormat="1" applyFont="1" applyFill="1" applyBorder="1" applyAlignment="1">
      <alignment horizontal="center" vertical="center" wrapText="1"/>
    </xf>
    <xf numFmtId="3" fontId="2" fillId="5" borderId="14" xfId="1" applyNumberFormat="1" applyFont="1" applyFill="1" applyBorder="1" applyAlignment="1">
      <alignment horizontal="center" vertical="center" wrapText="1"/>
    </xf>
    <xf numFmtId="9" fontId="2" fillId="5" borderId="15" xfId="2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10" fontId="0" fillId="0" borderId="17" xfId="0" applyNumberFormat="1" applyBorder="1"/>
    <xf numFmtId="0" fontId="4" fillId="0" borderId="16" xfId="0" applyFont="1" applyBorder="1" applyAlignment="1">
      <alignment horizontal="center" wrapText="1"/>
    </xf>
    <xf numFmtId="0" fontId="0" fillId="0" borderId="17" xfId="0" applyBorder="1"/>
    <xf numFmtId="0" fontId="4" fillId="4" borderId="16" xfId="0" applyFont="1" applyFill="1" applyBorder="1" applyAlignment="1">
      <alignment horizontal="center" wrapText="1"/>
    </xf>
    <xf numFmtId="0" fontId="0" fillId="4" borderId="16" xfId="0" applyFill="1" applyBorder="1" applyAlignment="1">
      <alignment horizontal="center"/>
    </xf>
    <xf numFmtId="0" fontId="4" fillId="4" borderId="16" xfId="0" applyFont="1" applyFill="1" applyBorder="1" applyAlignment="1">
      <alignment wrapText="1"/>
    </xf>
    <xf numFmtId="0" fontId="4" fillId="4" borderId="18" xfId="0" applyFont="1" applyFill="1" applyBorder="1" applyAlignment="1">
      <alignment wrapText="1"/>
    </xf>
    <xf numFmtId="164" fontId="0" fillId="0" borderId="19" xfId="1" applyNumberFormat="1" applyFont="1" applyBorder="1" applyAlignment="1">
      <alignment horizontal="center" vertical="center"/>
    </xf>
    <xf numFmtId="0" fontId="0" fillId="0" borderId="20" xfId="0" applyBorder="1"/>
    <xf numFmtId="10" fontId="0" fillId="10" borderId="16" xfId="0" applyNumberFormat="1" applyFill="1" applyBorder="1"/>
    <xf numFmtId="0" fontId="0" fillId="10" borderId="17" xfId="0" applyFill="1" applyBorder="1"/>
    <xf numFmtId="10" fontId="0" fillId="10" borderId="17" xfId="0" applyNumberFormat="1" applyFill="1" applyBorder="1"/>
    <xf numFmtId="0" fontId="0" fillId="10" borderId="16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2" fillId="2" borderId="10" xfId="0" applyFont="1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10" borderId="27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2" fillId="6" borderId="13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3" fontId="2" fillId="9" borderId="31" xfId="1" applyNumberFormat="1" applyFont="1" applyFill="1" applyBorder="1" applyAlignment="1">
      <alignment horizontal="center" vertical="center" wrapText="1"/>
    </xf>
    <xf numFmtId="3" fontId="2" fillId="9" borderId="32" xfId="1" applyNumberFormat="1" applyFont="1" applyFill="1" applyBorder="1" applyAlignment="1">
      <alignment horizontal="center" vertical="center" wrapText="1"/>
    </xf>
    <xf numFmtId="9" fontId="2" fillId="9" borderId="33" xfId="2" applyFont="1" applyFill="1" applyBorder="1" applyAlignment="1">
      <alignment horizontal="center" vertical="center" wrapText="1"/>
    </xf>
    <xf numFmtId="43" fontId="0" fillId="0" borderId="16" xfId="1" applyFont="1" applyBorder="1"/>
    <xf numFmtId="0" fontId="11" fillId="11" borderId="16" xfId="0" applyFont="1" applyFill="1" applyBorder="1" applyAlignment="1">
      <alignment horizontal="center" vertical="center"/>
    </xf>
    <xf numFmtId="164" fontId="11" fillId="11" borderId="1" xfId="1" applyNumberFormat="1" applyFont="1" applyFill="1" applyBorder="1" applyAlignment="1">
      <alignment horizontal="center" vertical="center"/>
    </xf>
    <xf numFmtId="10" fontId="11" fillId="11" borderId="17" xfId="2" applyNumberFormat="1" applyFont="1" applyFill="1" applyBorder="1" applyAlignment="1">
      <alignment horizontal="center" vertical="center"/>
    </xf>
    <xf numFmtId="0" fontId="4" fillId="0" borderId="34" xfId="0" applyFont="1" applyBorder="1" applyAlignment="1">
      <alignment wrapText="1"/>
    </xf>
    <xf numFmtId="0" fontId="16" fillId="0" borderId="34" xfId="0" applyFont="1" applyBorder="1" applyAlignment="1">
      <alignment wrapText="1"/>
    </xf>
    <xf numFmtId="0" fontId="4" fillId="0" borderId="34" xfId="0" applyFont="1" applyBorder="1" applyAlignment="1">
      <alignment horizontal="center" wrapText="1"/>
    </xf>
    <xf numFmtId="0" fontId="4" fillId="11" borderId="34" xfId="0" applyFont="1" applyFill="1" applyBorder="1" applyAlignment="1">
      <alignment wrapText="1"/>
    </xf>
    <xf numFmtId="9" fontId="4" fillId="12" borderId="34" xfId="0" applyNumberFormat="1" applyFont="1" applyFill="1" applyBorder="1" applyAlignment="1">
      <alignment horizontal="center" wrapText="1"/>
    </xf>
    <xf numFmtId="0" fontId="4" fillId="0" borderId="34" xfId="0" applyFont="1" applyBorder="1" applyAlignment="1">
      <alignment vertical="center" wrapText="1"/>
    </xf>
    <xf numFmtId="0" fontId="4" fillId="13" borderId="34" xfId="0" applyFont="1" applyFill="1" applyBorder="1" applyAlignment="1">
      <alignment horizontal="center" vertical="center" wrapText="1"/>
    </xf>
    <xf numFmtId="10" fontId="0" fillId="0" borderId="0" xfId="0" applyNumberFormat="1"/>
    <xf numFmtId="10" fontId="4" fillId="14" borderId="34" xfId="0" applyNumberFormat="1" applyFont="1" applyFill="1" applyBorder="1" applyAlignment="1">
      <alignment horizontal="center" wrapText="1"/>
    </xf>
    <xf numFmtId="0" fontId="4" fillId="15" borderId="34" xfId="0" applyFont="1" applyFill="1" applyBorder="1" applyAlignment="1">
      <alignment horizontal="center" vertical="center" wrapText="1"/>
    </xf>
    <xf numFmtId="0" fontId="4" fillId="12" borderId="34" xfId="0" applyFont="1" applyFill="1" applyBorder="1" applyAlignment="1">
      <alignment horizontal="center" vertical="center" wrapText="1"/>
    </xf>
    <xf numFmtId="0" fontId="4" fillId="16" borderId="34" xfId="0" applyFont="1" applyFill="1" applyBorder="1" applyAlignment="1">
      <alignment horizontal="center" vertical="center" wrapText="1"/>
    </xf>
    <xf numFmtId="10" fontId="4" fillId="12" borderId="34" xfId="0" applyNumberFormat="1" applyFont="1" applyFill="1" applyBorder="1" applyAlignment="1">
      <alignment horizontal="center" wrapText="1"/>
    </xf>
    <xf numFmtId="10" fontId="4" fillId="17" borderId="34" xfId="0" applyNumberFormat="1" applyFont="1" applyFill="1" applyBorder="1" applyAlignment="1">
      <alignment horizontal="center" wrapText="1"/>
    </xf>
    <xf numFmtId="10" fontId="4" fillId="18" borderId="34" xfId="0" applyNumberFormat="1" applyFont="1" applyFill="1" applyBorder="1" applyAlignment="1">
      <alignment horizontal="center" wrapText="1"/>
    </xf>
    <xf numFmtId="10" fontId="4" fillId="19" borderId="34" xfId="0" applyNumberFormat="1" applyFont="1" applyFill="1" applyBorder="1" applyAlignment="1">
      <alignment horizontal="center" wrapText="1"/>
    </xf>
    <xf numFmtId="10" fontId="4" fillId="20" borderId="34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16" fillId="2" borderId="34" xfId="0" applyFont="1" applyFill="1" applyBorder="1" applyAlignment="1">
      <alignment vertical="center" wrapText="1"/>
    </xf>
    <xf numFmtId="0" fontId="2" fillId="2" borderId="34" xfId="0" applyFont="1" applyFill="1" applyBorder="1" applyAlignment="1">
      <alignment vertical="center" wrapText="1"/>
    </xf>
    <xf numFmtId="0" fontId="2" fillId="16" borderId="34" xfId="0" applyFont="1" applyFill="1" applyBorder="1" applyAlignment="1">
      <alignment vertical="center" wrapText="1"/>
    </xf>
    <xf numFmtId="0" fontId="16" fillId="0" borderId="34" xfId="0" applyFont="1" applyBorder="1" applyAlignment="1">
      <alignment horizontal="right" wrapText="1"/>
    </xf>
    <xf numFmtId="10" fontId="16" fillId="0" borderId="34" xfId="0" applyNumberFormat="1" applyFont="1" applyBorder="1" applyAlignment="1">
      <alignment horizontal="right" wrapText="1"/>
    </xf>
    <xf numFmtId="0" fontId="16" fillId="16" borderId="34" xfId="0" applyFont="1" applyFill="1" applyBorder="1" applyAlignment="1">
      <alignment horizontal="center" wrapText="1"/>
    </xf>
    <xf numFmtId="0" fontId="16" fillId="0" borderId="34" xfId="0" applyFont="1" applyBorder="1" applyAlignment="1">
      <alignment horizontal="center" wrapText="1"/>
    </xf>
    <xf numFmtId="10" fontId="16" fillId="0" borderId="34" xfId="0" applyNumberFormat="1" applyFont="1" applyBorder="1" applyAlignment="1">
      <alignment horizontal="center" wrapText="1"/>
    </xf>
    <xf numFmtId="10" fontId="16" fillId="21" borderId="34" xfId="0" applyNumberFormat="1" applyFont="1" applyFill="1" applyBorder="1" applyAlignment="1">
      <alignment horizontal="center" wrapText="1"/>
    </xf>
    <xf numFmtId="0" fontId="17" fillId="0" borderId="0" xfId="0" applyFont="1"/>
    <xf numFmtId="0" fontId="17" fillId="0" borderId="0" xfId="0" applyFont="1" applyAlignment="1">
      <alignment horizontal="left" vertical="center" indent="1"/>
    </xf>
    <xf numFmtId="0" fontId="19" fillId="0" borderId="0" xfId="0" applyFont="1"/>
    <xf numFmtId="10" fontId="0" fillId="0" borderId="0" xfId="2" applyNumberFormat="1" applyFont="1"/>
    <xf numFmtId="10" fontId="20" fillId="0" borderId="0" xfId="0" applyNumberFormat="1" applyFont="1"/>
    <xf numFmtId="10" fontId="0" fillId="0" borderId="1" xfId="2" applyNumberFormat="1" applyFont="1" applyBorder="1"/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wrapText="1"/>
    </xf>
    <xf numFmtId="0" fontId="16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11" borderId="1" xfId="0" applyFont="1" applyFill="1" applyBorder="1" applyAlignment="1">
      <alignment wrapText="1"/>
    </xf>
    <xf numFmtId="9" fontId="4" fillId="1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4" fillId="13" borderId="1" xfId="0" applyFont="1" applyFill="1" applyBorder="1" applyAlignment="1">
      <alignment horizontal="center" vertical="center" wrapText="1"/>
    </xf>
    <xf numFmtId="10" fontId="4" fillId="14" borderId="1" xfId="0" applyNumberFormat="1" applyFont="1" applyFill="1" applyBorder="1" applyAlignment="1">
      <alignment horizontal="center" wrapText="1"/>
    </xf>
    <xf numFmtId="0" fontId="4" fillId="15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10" fontId="4" fillId="17" borderId="1" xfId="0" applyNumberFormat="1" applyFont="1" applyFill="1" applyBorder="1" applyAlignment="1">
      <alignment horizontal="center" wrapText="1"/>
    </xf>
    <xf numFmtId="10" fontId="4" fillId="18" borderId="1" xfId="0" applyNumberFormat="1" applyFont="1" applyFill="1" applyBorder="1" applyAlignment="1">
      <alignment horizontal="center" wrapText="1"/>
    </xf>
    <xf numFmtId="10" fontId="4" fillId="19" borderId="1" xfId="0" applyNumberFormat="1" applyFont="1" applyFill="1" applyBorder="1" applyAlignment="1">
      <alignment horizontal="center" wrapText="1"/>
    </xf>
    <xf numFmtId="10" fontId="4" fillId="20" borderId="1" xfId="0" applyNumberFormat="1" applyFont="1" applyFill="1" applyBorder="1" applyAlignment="1">
      <alignment horizontal="center" wrapText="1"/>
    </xf>
    <xf numFmtId="166" fontId="20" fillId="0" borderId="0" xfId="1" applyNumberFormat="1" applyFont="1"/>
    <xf numFmtId="0" fontId="0" fillId="0" borderId="0" xfId="0" applyAlignment="1">
      <alignment horizontal="right"/>
    </xf>
    <xf numFmtId="10" fontId="0" fillId="0" borderId="0" xfId="2" applyNumberFormat="1" applyFont="1" applyBorder="1"/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67" fontId="0" fillId="0" borderId="0" xfId="2" applyNumberFormat="1" applyFont="1"/>
    <xf numFmtId="0" fontId="18" fillId="0" borderId="0" xfId="0" applyFont="1" applyAlignment="1">
      <alignment horizontal="center" vertical="center" wrapText="1"/>
    </xf>
    <xf numFmtId="0" fontId="23" fillId="0" borderId="0" xfId="3" applyFont="1" applyFill="1" applyAlignment="1">
      <alignment vertical="center"/>
    </xf>
    <xf numFmtId="0" fontId="24" fillId="0" borderId="0" xfId="0" applyFont="1" applyAlignment="1">
      <alignment vertical="center"/>
    </xf>
    <xf numFmtId="3" fontId="24" fillId="0" borderId="0" xfId="0" applyNumberFormat="1" applyFont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25" fillId="0" borderId="0" xfId="0" applyFont="1"/>
    <xf numFmtId="3" fontId="25" fillId="0" borderId="0" xfId="0" applyNumberFormat="1" applyFont="1"/>
    <xf numFmtId="0" fontId="0" fillId="0" borderId="0" xfId="0" applyAlignment="1">
      <alignment horizontal="center"/>
    </xf>
    <xf numFmtId="168" fontId="0" fillId="0" borderId="0" xfId="0" applyNumberFormat="1"/>
    <xf numFmtId="0" fontId="18" fillId="0" borderId="0" xfId="0" applyFont="1"/>
    <xf numFmtId="43" fontId="0" fillId="0" borderId="0" xfId="1" applyFont="1"/>
    <xf numFmtId="169" fontId="0" fillId="0" borderId="0" xfId="0" applyNumberFormat="1"/>
    <xf numFmtId="0" fontId="4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9" fontId="4" fillId="0" borderId="0" xfId="0" applyNumberFormat="1" applyFont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vertical="center"/>
    </xf>
    <xf numFmtId="10" fontId="4" fillId="14" borderId="1" xfId="0" applyNumberFormat="1" applyFont="1" applyFill="1" applyBorder="1" applyAlignment="1">
      <alignment horizontal="center"/>
    </xf>
    <xf numFmtId="10" fontId="4" fillId="12" borderId="1" xfId="0" applyNumberFormat="1" applyFont="1" applyFill="1" applyBorder="1" applyAlignment="1">
      <alignment horizontal="center"/>
    </xf>
    <xf numFmtId="10" fontId="4" fillId="17" borderId="1" xfId="0" applyNumberFormat="1" applyFont="1" applyFill="1" applyBorder="1" applyAlignment="1">
      <alignment horizontal="center"/>
    </xf>
    <xf numFmtId="10" fontId="4" fillId="18" borderId="1" xfId="0" applyNumberFormat="1" applyFont="1" applyFill="1" applyBorder="1" applyAlignment="1">
      <alignment horizontal="center"/>
    </xf>
    <xf numFmtId="10" fontId="4" fillId="19" borderId="1" xfId="0" applyNumberFormat="1" applyFont="1" applyFill="1" applyBorder="1" applyAlignment="1">
      <alignment horizontal="center"/>
    </xf>
    <xf numFmtId="10" fontId="4" fillId="20" borderId="1" xfId="0" applyNumberFormat="1" applyFont="1" applyFill="1" applyBorder="1" applyAlignment="1">
      <alignment horizontal="center"/>
    </xf>
    <xf numFmtId="0" fontId="28" fillId="0" borderId="0" xfId="0" applyFont="1"/>
    <xf numFmtId="0" fontId="19" fillId="0" borderId="1" xfId="0" applyFont="1" applyBorder="1" applyAlignment="1">
      <alignment horizontal="center" vertical="center" wrapText="1"/>
    </xf>
    <xf numFmtId="0" fontId="29" fillId="11" borderId="0" xfId="0" applyFont="1" applyFill="1"/>
    <xf numFmtId="0" fontId="4" fillId="4" borderId="1" xfId="0" applyFont="1" applyFill="1" applyBorder="1" applyAlignment="1">
      <alignment wrapText="1"/>
    </xf>
    <xf numFmtId="0" fontId="0" fillId="22" borderId="1" xfId="0" applyFill="1" applyBorder="1" applyAlignment="1">
      <alignment horizontal="center" vertical="center"/>
    </xf>
    <xf numFmtId="0" fontId="19" fillId="22" borderId="1" xfId="0" applyFont="1" applyFill="1" applyBorder="1" applyAlignment="1">
      <alignment horizontal="center" vertical="center" wrapText="1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0" fillId="23" borderId="1" xfId="0" applyFill="1" applyBorder="1" applyAlignment="1">
      <alignment horizontal="center" vertical="center" wrapText="1"/>
    </xf>
    <xf numFmtId="0" fontId="20" fillId="23" borderId="1" xfId="0" applyFont="1" applyFill="1" applyBorder="1" applyAlignment="1">
      <alignment vertical="center" wrapText="1"/>
    </xf>
    <xf numFmtId="0" fontId="18" fillId="23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19" fillId="24" borderId="1" xfId="0" applyFont="1" applyFill="1" applyBorder="1" applyAlignment="1">
      <alignment horizontal="center" vertical="center" wrapText="1"/>
    </xf>
    <xf numFmtId="170" fontId="0" fillId="0" borderId="1" xfId="1" applyNumberFormat="1" applyFont="1" applyBorder="1"/>
    <xf numFmtId="170" fontId="0" fillId="0" borderId="0" xfId="1" applyNumberFormat="1" applyFont="1"/>
    <xf numFmtId="171" fontId="0" fillId="0" borderId="0" xfId="0" applyNumberFormat="1"/>
    <xf numFmtId="9" fontId="0" fillId="0" borderId="0" xfId="0" applyNumberFormat="1"/>
    <xf numFmtId="0" fontId="18" fillId="0" borderId="0" xfId="0" applyFont="1" applyAlignment="1">
      <alignment wrapText="1"/>
    </xf>
    <xf numFmtId="4" fontId="0" fillId="0" borderId="0" xfId="0" applyNumberFormat="1"/>
    <xf numFmtId="0" fontId="0" fillId="0" borderId="0" xfId="0" applyAlignment="1">
      <alignment horizontal="left"/>
    </xf>
    <xf numFmtId="169" fontId="20" fillId="0" borderId="0" xfId="0" applyNumberFormat="1" applyFont="1"/>
    <xf numFmtId="169" fontId="15" fillId="0" borderId="0" xfId="0" applyNumberFormat="1" applyFont="1"/>
    <xf numFmtId="0" fontId="36" fillId="23" borderId="1" xfId="0" applyFont="1" applyFill="1" applyBorder="1" applyAlignment="1">
      <alignment vertical="center" wrapText="1"/>
    </xf>
    <xf numFmtId="0" fontId="36" fillId="23" borderId="1" xfId="0" applyFont="1" applyFill="1" applyBorder="1" applyAlignment="1">
      <alignment horizontal="center" vertical="center" wrapText="1"/>
    </xf>
    <xf numFmtId="0" fontId="15" fillId="25" borderId="1" xfId="0" applyFont="1" applyFill="1" applyBorder="1" applyAlignment="1">
      <alignment horizontal="center" vertical="center" wrapText="1"/>
    </xf>
    <xf numFmtId="0" fontId="35" fillId="25" borderId="1" xfId="0" applyFont="1" applyFill="1" applyBorder="1" applyAlignment="1">
      <alignment horizontal="center" vertical="center" wrapText="1"/>
    </xf>
    <xf numFmtId="43" fontId="36" fillId="0" borderId="0" xfId="1" applyFont="1"/>
    <xf numFmtId="0" fontId="4" fillId="0" borderId="0" xfId="0" applyFont="1" applyAlignment="1">
      <alignment vertical="center" wrapText="1"/>
    </xf>
    <xf numFmtId="0" fontId="4" fillId="13" borderId="0" xfId="0" applyFont="1" applyFill="1" applyAlignment="1">
      <alignment horizontal="center" vertical="center" wrapText="1"/>
    </xf>
    <xf numFmtId="10" fontId="4" fillId="14" borderId="0" xfId="0" applyNumberFormat="1" applyFont="1" applyFill="1" applyAlignment="1">
      <alignment horizontal="center" wrapText="1"/>
    </xf>
    <xf numFmtId="0" fontId="36" fillId="0" borderId="0" xfId="0" applyFont="1"/>
    <xf numFmtId="0" fontId="28" fillId="0" borderId="0" xfId="4"/>
    <xf numFmtId="9" fontId="28" fillId="0" borderId="0" xfId="2" applyFont="1"/>
    <xf numFmtId="9" fontId="28" fillId="26" borderId="0" xfId="2" applyFont="1" applyFill="1"/>
    <xf numFmtId="0" fontId="22" fillId="0" borderId="0" xfId="3"/>
    <xf numFmtId="9" fontId="0" fillId="0" borderId="0" xfId="2" applyFont="1"/>
    <xf numFmtId="2" fontId="0" fillId="0" borderId="0" xfId="0" applyNumberFormat="1"/>
    <xf numFmtId="0" fontId="0" fillId="0" borderId="0" xfId="0" applyAlignment="1">
      <alignment wrapText="1"/>
    </xf>
    <xf numFmtId="0" fontId="20" fillId="0" borderId="0" xfId="0" applyFont="1" applyAlignment="1">
      <alignment horizontal="right"/>
    </xf>
    <xf numFmtId="0" fontId="20" fillId="0" borderId="0" xfId="0" applyFont="1"/>
    <xf numFmtId="0" fontId="37" fillId="27" borderId="1" xfId="0" applyFont="1" applyFill="1" applyBorder="1" applyAlignment="1">
      <alignment horizontal="center" vertical="center" wrapText="1"/>
    </xf>
    <xf numFmtId="0" fontId="38" fillId="27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30" fillId="11" borderId="0" xfId="0" applyFont="1" applyFill="1" applyAlignment="1">
      <alignment horizontal="left"/>
    </xf>
    <xf numFmtId="0" fontId="30" fillId="11" borderId="0" xfId="0" applyFont="1" applyFill="1"/>
    <xf numFmtId="0" fontId="20" fillId="0" borderId="1" xfId="0" applyFont="1" applyBorder="1"/>
    <xf numFmtId="0" fontId="20" fillId="26" borderId="1" xfId="0" applyFont="1" applyFill="1" applyBorder="1"/>
    <xf numFmtId="0" fontId="40" fillId="30" borderId="1" xfId="0" applyFont="1" applyFill="1" applyBorder="1" applyAlignment="1">
      <alignment horizontal="center" vertical="center" wrapText="1"/>
    </xf>
    <xf numFmtId="0" fontId="41" fillId="27" borderId="1" xfId="0" applyFont="1" applyFill="1" applyBorder="1" applyAlignment="1">
      <alignment horizontal="center" vertical="center" wrapText="1"/>
    </xf>
    <xf numFmtId="0" fontId="41" fillId="28" borderId="1" xfId="0" applyFont="1" applyFill="1" applyBorder="1" applyAlignment="1">
      <alignment horizontal="center" vertical="center" wrapText="1"/>
    </xf>
    <xf numFmtId="0" fontId="41" fillId="28" borderId="35" xfId="0" applyFont="1" applyFill="1" applyBorder="1" applyAlignment="1">
      <alignment horizontal="center" vertical="center" wrapText="1"/>
    </xf>
    <xf numFmtId="0" fontId="20" fillId="29" borderId="1" xfId="0" applyFont="1" applyFill="1" applyBorder="1" applyAlignment="1">
      <alignment horizontal="center" vertical="center" wrapText="1"/>
    </xf>
    <xf numFmtId="9" fontId="20" fillId="0" borderId="1" xfId="2" applyFont="1" applyBorder="1" applyAlignment="1">
      <alignment horizontal="center"/>
    </xf>
    <xf numFmtId="9" fontId="20" fillId="0" borderId="1" xfId="0" applyNumberFormat="1" applyFont="1" applyBorder="1" applyAlignment="1">
      <alignment horizontal="center"/>
    </xf>
    <xf numFmtId="10" fontId="20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20" fillId="29" borderId="1" xfId="0" applyFont="1" applyFill="1" applyBorder="1" applyAlignment="1">
      <alignment horizontal="center" vertical="center"/>
    </xf>
    <xf numFmtId="0" fontId="0" fillId="22" borderId="1" xfId="0" applyFill="1" applyBorder="1"/>
    <xf numFmtId="0" fontId="0" fillId="31" borderId="1" xfId="0" applyFill="1" applyBorder="1"/>
    <xf numFmtId="0" fontId="42" fillId="0" borderId="0" xfId="0" applyFont="1" applyAlignment="1">
      <alignment horizontal="center"/>
    </xf>
    <xf numFmtId="0" fontId="42" fillId="0" borderId="0" xfId="0" applyFont="1"/>
    <xf numFmtId="0" fontId="44" fillId="27" borderId="1" xfId="0" applyFont="1" applyFill="1" applyBorder="1" applyAlignment="1">
      <alignment horizontal="center" vertical="center" wrapText="1"/>
    </xf>
    <xf numFmtId="0" fontId="35" fillId="29" borderId="1" xfId="0" applyFont="1" applyFill="1" applyBorder="1" applyAlignment="1">
      <alignment horizontal="center" vertical="center" wrapText="1"/>
    </xf>
    <xf numFmtId="0" fontId="45" fillId="11" borderId="0" xfId="0" applyFont="1" applyFill="1"/>
    <xf numFmtId="9" fontId="0" fillId="0" borderId="1" xfId="0" applyNumberFormat="1" applyBorder="1"/>
    <xf numFmtId="10" fontId="0" fillId="0" borderId="1" xfId="0" applyNumberFormat="1" applyBorder="1"/>
    <xf numFmtId="0" fontId="29" fillId="0" borderId="36" xfId="0" applyFont="1" applyBorder="1"/>
    <xf numFmtId="0" fontId="0" fillId="0" borderId="37" xfId="0" applyBorder="1"/>
    <xf numFmtId="0" fontId="43" fillId="11" borderId="37" xfId="0" applyFont="1" applyFill="1" applyBorder="1" applyAlignment="1">
      <alignment horizontal="center" wrapText="1"/>
    </xf>
    <xf numFmtId="0" fontId="0" fillId="0" borderId="38" xfId="0" applyBorder="1"/>
    <xf numFmtId="0" fontId="44" fillId="27" borderId="16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72" fontId="0" fillId="0" borderId="0" xfId="2" applyNumberFormat="1" applyFont="1" applyBorder="1"/>
    <xf numFmtId="9" fontId="0" fillId="0" borderId="0" xfId="2" applyFont="1" applyBorder="1"/>
    <xf numFmtId="0" fontId="46" fillId="0" borderId="26" xfId="0" applyFont="1" applyBorder="1"/>
    <xf numFmtId="0" fontId="43" fillId="11" borderId="0" xfId="0" applyFont="1" applyFill="1" applyAlignment="1">
      <alignment horizontal="center" vertical="center" wrapText="1"/>
    </xf>
    <xf numFmtId="0" fontId="22" fillId="0" borderId="0" xfId="3" applyBorder="1"/>
    <xf numFmtId="0" fontId="46" fillId="0" borderId="0" xfId="0" applyFont="1"/>
    <xf numFmtId="0" fontId="43" fillId="11" borderId="26" xfId="0" applyFont="1" applyFill="1" applyBorder="1"/>
    <xf numFmtId="0" fontId="45" fillId="0" borderId="0" xfId="0" applyFont="1"/>
    <xf numFmtId="1" fontId="0" fillId="0" borderId="0" xfId="0" applyNumberFormat="1"/>
    <xf numFmtId="0" fontId="16" fillId="0" borderId="1" xfId="0" applyFont="1" applyBorder="1" applyAlignment="1">
      <alignment vertical="center"/>
    </xf>
    <xf numFmtId="166" fontId="0" fillId="0" borderId="1" xfId="1" applyNumberFormat="1" applyFont="1" applyBorder="1" applyAlignment="1">
      <alignment horizontal="center"/>
    </xf>
    <xf numFmtId="0" fontId="0" fillId="11" borderId="0" xfId="0" applyFill="1"/>
    <xf numFmtId="0" fontId="44" fillId="28" borderId="35" xfId="0" applyFont="1" applyFill="1" applyBorder="1" applyAlignment="1">
      <alignment horizontal="center" vertical="center" wrapText="1"/>
    </xf>
    <xf numFmtId="10" fontId="4" fillId="4" borderId="1" xfId="0" applyNumberFormat="1" applyFont="1" applyFill="1" applyBorder="1" applyAlignment="1">
      <alignment horizontal="center"/>
    </xf>
    <xf numFmtId="9" fontId="0" fillId="0" borderId="0" xfId="2" applyFont="1" applyAlignment="1">
      <alignment horizontal="left"/>
    </xf>
    <xf numFmtId="0" fontId="45" fillId="0" borderId="0" xfId="0" applyFont="1" applyAlignment="1">
      <alignment horizontal="right"/>
    </xf>
    <xf numFmtId="9" fontId="45" fillId="0" borderId="0" xfId="2" applyFont="1" applyAlignment="1">
      <alignment horizontal="center"/>
    </xf>
    <xf numFmtId="0" fontId="35" fillId="26" borderId="1" xfId="0" applyFont="1" applyFill="1" applyBorder="1"/>
    <xf numFmtId="9" fontId="0" fillId="0" borderId="0" xfId="0" applyNumberFormat="1" applyAlignment="1">
      <alignment horizontal="center"/>
    </xf>
    <xf numFmtId="0" fontId="4" fillId="2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 wrapText="1"/>
    </xf>
    <xf numFmtId="1" fontId="0" fillId="0" borderId="0" xfId="2" applyNumberFormat="1" applyFont="1"/>
    <xf numFmtId="0" fontId="0" fillId="22" borderId="1" xfId="0" applyFill="1" applyBorder="1" applyAlignment="1">
      <alignment horizontal="center" vertical="center" wrapText="1"/>
    </xf>
    <xf numFmtId="0" fontId="30" fillId="11" borderId="0" xfId="0" applyFont="1" applyFill="1" applyAlignment="1">
      <alignment horizontal="left" vertical="center"/>
    </xf>
    <xf numFmtId="169" fontId="30" fillId="11" borderId="0" xfId="0" applyNumberFormat="1" applyFont="1" applyFill="1"/>
    <xf numFmtId="173" fontId="0" fillId="0" borderId="0" xfId="1" applyNumberFormat="1" applyFont="1"/>
    <xf numFmtId="0" fontId="48" fillId="0" borderId="0" xfId="0" applyFont="1" applyAlignment="1">
      <alignment vertical="center"/>
    </xf>
    <xf numFmtId="0" fontId="49" fillId="0" borderId="0" xfId="0" applyFont="1"/>
    <xf numFmtId="10" fontId="0" fillId="0" borderId="1" xfId="0" applyNumberFormat="1" applyBorder="1" applyAlignment="1">
      <alignment horizontal="center" vertical="center"/>
    </xf>
    <xf numFmtId="169" fontId="0" fillId="0" borderId="1" xfId="0" applyNumberFormat="1" applyBorder="1"/>
    <xf numFmtId="0" fontId="18" fillId="22" borderId="1" xfId="0" applyFont="1" applyFill="1" applyBorder="1" applyAlignment="1">
      <alignment horizontal="center" vertical="center" wrapText="1"/>
    </xf>
    <xf numFmtId="10" fontId="0" fillId="0" borderId="1" xfId="0" applyNumberFormat="1" applyBorder="1" applyAlignment="1">
      <alignment horizontal="center"/>
    </xf>
    <xf numFmtId="3" fontId="13" fillId="2" borderId="0" xfId="1" applyNumberFormat="1" applyFont="1" applyFill="1" applyBorder="1" applyAlignment="1">
      <alignment horizontal="center" vertical="center" wrapText="1"/>
    </xf>
    <xf numFmtId="3" fontId="13" fillId="2" borderId="27" xfId="1" applyNumberFormat="1" applyFont="1" applyFill="1" applyBorder="1" applyAlignment="1">
      <alignment horizontal="center" vertical="center" wrapText="1"/>
    </xf>
    <xf numFmtId="43" fontId="2" fillId="5" borderId="15" xfId="1" applyFont="1" applyFill="1" applyBorder="1" applyAlignment="1">
      <alignment horizontal="center" vertical="center" wrapText="1"/>
    </xf>
    <xf numFmtId="166" fontId="2" fillId="5" borderId="15" xfId="1" applyNumberFormat="1" applyFont="1" applyFill="1" applyBorder="1" applyAlignment="1">
      <alignment horizontal="center" vertical="center" wrapText="1"/>
    </xf>
    <xf numFmtId="9" fontId="2" fillId="5" borderId="16" xfId="2" applyFont="1" applyFill="1" applyBorder="1" applyAlignment="1">
      <alignment horizontal="center" vertical="center" wrapText="1"/>
    </xf>
    <xf numFmtId="9" fontId="2" fillId="5" borderId="13" xfId="2" applyFont="1" applyFill="1" applyBorder="1" applyAlignment="1">
      <alignment horizontal="center" vertical="center" wrapText="1"/>
    </xf>
    <xf numFmtId="10" fontId="0" fillId="0" borderId="16" xfId="0" applyNumberFormat="1" applyBorder="1" applyAlignment="1">
      <alignment horizontal="center"/>
    </xf>
    <xf numFmtId="10" fontId="50" fillId="2" borderId="0" xfId="2" applyNumberFormat="1" applyFont="1" applyFill="1" applyBorder="1" applyAlignment="1">
      <alignment horizontal="center" vertical="center" wrapText="1"/>
    </xf>
    <xf numFmtId="3" fontId="51" fillId="2" borderId="0" xfId="1" applyNumberFormat="1" applyFont="1" applyFill="1" applyBorder="1" applyAlignment="1">
      <alignment horizontal="center" vertical="center" wrapText="1"/>
    </xf>
    <xf numFmtId="10" fontId="2" fillId="5" borderId="13" xfId="2" applyNumberFormat="1" applyFont="1" applyFill="1" applyBorder="1" applyAlignment="1">
      <alignment horizontal="center" vertical="center" wrapText="1"/>
    </xf>
    <xf numFmtId="0" fontId="52" fillId="11" borderId="0" xfId="0" applyFont="1" applyFill="1"/>
    <xf numFmtId="0" fontId="0" fillId="22" borderId="7" xfId="0" applyFill="1" applyBorder="1" applyAlignment="1">
      <alignment horizontal="center" vertical="center"/>
    </xf>
    <xf numFmtId="0" fontId="19" fillId="22" borderId="7" xfId="0" applyFont="1" applyFill="1" applyBorder="1" applyAlignment="1">
      <alignment horizontal="center" vertical="center" wrapText="1"/>
    </xf>
    <xf numFmtId="0" fontId="37" fillId="27" borderId="7" xfId="0" applyFont="1" applyFill="1" applyBorder="1" applyAlignment="1">
      <alignment horizontal="center" vertical="center" wrapText="1"/>
    </xf>
    <xf numFmtId="0" fontId="38" fillId="27" borderId="7" xfId="0" applyFont="1" applyFill="1" applyBorder="1" applyAlignment="1">
      <alignment horizontal="center" vertical="center" wrapText="1"/>
    </xf>
    <xf numFmtId="0" fontId="44" fillId="28" borderId="0" xfId="0" applyFont="1" applyFill="1" applyAlignment="1">
      <alignment horizontal="center" vertical="center" wrapText="1"/>
    </xf>
    <xf numFmtId="0" fontId="2" fillId="5" borderId="39" xfId="0" applyFont="1" applyFill="1" applyBorder="1" applyAlignment="1">
      <alignment horizontal="center" vertical="center" wrapText="1"/>
    </xf>
    <xf numFmtId="0" fontId="2" fillId="5" borderId="40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166" fontId="0" fillId="0" borderId="1" xfId="1" applyNumberFormat="1" applyFont="1" applyBorder="1"/>
    <xf numFmtId="0" fontId="53" fillId="0" borderId="0" xfId="0" applyFont="1"/>
    <xf numFmtId="165" fontId="13" fillId="2" borderId="18" xfId="1" applyNumberFormat="1" applyFont="1" applyFill="1" applyBorder="1" applyAlignment="1">
      <alignment horizontal="center" vertical="center" wrapText="1"/>
    </xf>
    <xf numFmtId="165" fontId="13" fillId="2" borderId="19" xfId="1" applyNumberFormat="1" applyFont="1" applyFill="1" applyBorder="1" applyAlignment="1">
      <alignment horizontal="center" vertical="center" wrapText="1"/>
    </xf>
    <xf numFmtId="165" fontId="13" fillId="2" borderId="20" xfId="1" applyNumberFormat="1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right" vertical="center" wrapText="1"/>
    </xf>
    <xf numFmtId="0" fontId="2" fillId="9" borderId="10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 wrapText="1"/>
    </xf>
    <xf numFmtId="0" fontId="2" fillId="2" borderId="10" xfId="0" applyFont="1" applyFill="1" applyBorder="1" applyAlignment="1">
      <alignment horizontal="right" vertical="center" wrapText="1"/>
    </xf>
    <xf numFmtId="3" fontId="13" fillId="2" borderId="18" xfId="1" applyNumberFormat="1" applyFont="1" applyFill="1" applyBorder="1" applyAlignment="1">
      <alignment horizontal="center" vertical="center" wrapText="1"/>
    </xf>
    <xf numFmtId="3" fontId="13" fillId="2" borderId="19" xfId="1" applyNumberFormat="1" applyFont="1" applyFill="1" applyBorder="1" applyAlignment="1">
      <alignment horizontal="center" vertical="center" wrapText="1"/>
    </xf>
    <xf numFmtId="3" fontId="13" fillId="2" borderId="20" xfId="1" applyNumberFormat="1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right" vertical="center" wrapText="1"/>
    </xf>
    <xf numFmtId="0" fontId="2" fillId="5" borderId="11" xfId="0" applyFont="1" applyFill="1" applyBorder="1" applyAlignment="1">
      <alignment horizontal="right" vertical="center" wrapText="1"/>
    </xf>
    <xf numFmtId="0" fontId="4" fillId="7" borderId="1" xfId="0" applyFont="1" applyFill="1" applyBorder="1" applyAlignment="1">
      <alignment horizontal="center" wrapText="1"/>
    </xf>
    <xf numFmtId="0" fontId="4" fillId="7" borderId="10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3" fontId="13" fillId="2" borderId="29" xfId="1" applyNumberFormat="1" applyFont="1" applyFill="1" applyBorder="1" applyAlignment="1">
      <alignment horizontal="center" vertical="center" wrapText="1"/>
    </xf>
    <xf numFmtId="3" fontId="13" fillId="2" borderId="30" xfId="1" applyNumberFormat="1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4" fillId="2" borderId="2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</cellXfs>
  <cellStyles count="5">
    <cellStyle name="Гиперссылка" xfId="3" builtinId="8"/>
    <cellStyle name="Обычный" xfId="0" builtinId="0"/>
    <cellStyle name="Обычный 2" xfId="4" xr:uid="{FB39B775-3098-4510-8B9B-B60537AE674E}"/>
    <cellStyle name="Процентный" xfId="2" builtinId="5"/>
    <cellStyle name="Финансовый" xfId="1" builtinId="3"/>
  </cellStyles>
  <dxfs count="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797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2E2E"/>
      <color rgb="FFFF9797"/>
      <color rgb="FFDFF0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Range="info!$C$2:$C$5" noThreeD="1" sel="2" val="0"/>
</file>

<file path=xl/ctrlProps/ctrlProp5.xml><?xml version="1.0" encoding="utf-8"?>
<formControlPr xmlns="http://schemas.microsoft.com/office/spreadsheetml/2009/9/main" objectType="Drop" dropLines="3" dropStyle="combo" dx="22" fmlaRange="info!$A$2:$A$4" noThreeD="1" sel="1" val="0"/>
</file>

<file path=xl/ctrlProps/ctrlProp6.xml><?xml version="1.0" encoding="utf-8"?>
<formControlPr xmlns="http://schemas.microsoft.com/office/spreadsheetml/2009/9/main" objectType="Drop" dropStyle="combo" dx="22" fmlaLink="$D$5" fmlaRange="info!$G$2:$G$7" noThreeD="1" sel="3" val="0"/>
</file>

<file path=xl/ctrlProps/ctrlProp7.xml><?xml version="1.0" encoding="utf-8"?>
<formControlPr xmlns="http://schemas.microsoft.com/office/spreadsheetml/2009/9/main" objectType="Drop" dropLines="3" dropStyle="combo" dx="22" fmlaRange="info!$A$2:$A$4" noThreeD="1" sel="1" val="0"/>
</file>

<file path=xl/ctrlProps/ctrlProp8.xml><?xml version="1.0" encoding="utf-8"?>
<formControlPr xmlns="http://schemas.microsoft.com/office/spreadsheetml/2009/9/main" objectType="Drop" dropLines="2" dropStyle="combo" dx="22" fmlaRange="info!$E$2:$E$3" noThreeD="1" sel="1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List" dx="22" fmlaRange="'Меню - стратегии'!$A$4:$A$11" noThreeD="1" sel="4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8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20</xdr:row>
          <xdr:rowOff>190500</xdr:rowOff>
        </xdr:from>
        <xdr:to>
          <xdr:col>6</xdr:col>
          <xdr:colOff>523875</xdr:colOff>
          <xdr:row>22</xdr:row>
          <xdr:rowOff>76200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Исполнить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18</xdr:row>
          <xdr:rowOff>57150</xdr:rowOff>
        </xdr:from>
        <xdr:to>
          <xdr:col>5</xdr:col>
          <xdr:colOff>257175</xdr:colOff>
          <xdr:row>19</xdr:row>
          <xdr:rowOff>104775</xdr:rowOff>
        </xdr:to>
        <xdr:sp macro="" textlink="">
          <xdr:nvSpPr>
            <xdr:cNvPr id="1048" name="ToggleButton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18</xdr:row>
          <xdr:rowOff>57150</xdr:rowOff>
        </xdr:from>
        <xdr:to>
          <xdr:col>6</xdr:col>
          <xdr:colOff>533400</xdr:colOff>
          <xdr:row>19</xdr:row>
          <xdr:rowOff>104775</xdr:rowOff>
        </xdr:to>
        <xdr:sp macro="" textlink="">
          <xdr:nvSpPr>
            <xdr:cNvPr id="1049" name="ToggleButton7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20</xdr:row>
          <xdr:rowOff>190500</xdr:rowOff>
        </xdr:from>
        <xdr:to>
          <xdr:col>9</xdr:col>
          <xdr:colOff>523875</xdr:colOff>
          <xdr:row>22</xdr:row>
          <xdr:rowOff>76200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Исполнить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18</xdr:row>
          <xdr:rowOff>57150</xdr:rowOff>
        </xdr:from>
        <xdr:to>
          <xdr:col>8</xdr:col>
          <xdr:colOff>295275</xdr:colOff>
          <xdr:row>19</xdr:row>
          <xdr:rowOff>104775</xdr:rowOff>
        </xdr:to>
        <xdr:sp macro="" textlink="">
          <xdr:nvSpPr>
            <xdr:cNvPr id="1051" name="ToggleButton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18</xdr:row>
          <xdr:rowOff>57150</xdr:rowOff>
        </xdr:from>
        <xdr:to>
          <xdr:col>9</xdr:col>
          <xdr:colOff>542925</xdr:colOff>
          <xdr:row>19</xdr:row>
          <xdr:rowOff>104775</xdr:rowOff>
        </xdr:to>
        <xdr:sp macro="" textlink="">
          <xdr:nvSpPr>
            <xdr:cNvPr id="1052" name="ToggleButton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20</xdr:row>
          <xdr:rowOff>190500</xdr:rowOff>
        </xdr:from>
        <xdr:to>
          <xdr:col>12</xdr:col>
          <xdr:colOff>523875</xdr:colOff>
          <xdr:row>22</xdr:row>
          <xdr:rowOff>76200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Исполнить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18</xdr:row>
          <xdr:rowOff>57150</xdr:rowOff>
        </xdr:from>
        <xdr:to>
          <xdr:col>11</xdr:col>
          <xdr:colOff>247650</xdr:colOff>
          <xdr:row>19</xdr:row>
          <xdr:rowOff>104775</xdr:rowOff>
        </xdr:to>
        <xdr:sp macro="" textlink="">
          <xdr:nvSpPr>
            <xdr:cNvPr id="1054" name="ToggleButton1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18</xdr:row>
          <xdr:rowOff>66675</xdr:rowOff>
        </xdr:from>
        <xdr:to>
          <xdr:col>12</xdr:col>
          <xdr:colOff>533400</xdr:colOff>
          <xdr:row>19</xdr:row>
          <xdr:rowOff>114300</xdr:rowOff>
        </xdr:to>
        <xdr:sp macro="" textlink="">
          <xdr:nvSpPr>
            <xdr:cNvPr id="1055" name="ToggleButton1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57150</xdr:rowOff>
        </xdr:from>
        <xdr:to>
          <xdr:col>1</xdr:col>
          <xdr:colOff>3305175</xdr:colOff>
          <xdr:row>1</xdr:row>
          <xdr:rowOff>66675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28575</xdr:rowOff>
        </xdr:from>
        <xdr:to>
          <xdr:col>7</xdr:col>
          <xdr:colOff>361950</xdr:colOff>
          <xdr:row>1</xdr:row>
          <xdr:rowOff>38100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180975</xdr:colOff>
      <xdr:row>214</xdr:row>
      <xdr:rowOff>57150</xdr:rowOff>
    </xdr:from>
    <xdr:to>
      <xdr:col>19</xdr:col>
      <xdr:colOff>533400</xdr:colOff>
      <xdr:row>216</xdr:row>
      <xdr:rowOff>85725</xdr:rowOff>
    </xdr:to>
    <xdr:sp macro="" textlink="">
      <xdr:nvSpPr>
        <xdr:cNvPr id="2" name="Стрелка: вниз 1">
          <a:extLst>
            <a:ext uri="{FF2B5EF4-FFF2-40B4-BE49-F238E27FC236}">
              <a16:creationId xmlns:a16="http://schemas.microsoft.com/office/drawing/2014/main" id="{726D820B-CAA0-4AB6-BE01-BFC47EB8C942}"/>
            </a:ext>
          </a:extLst>
        </xdr:cNvPr>
        <xdr:cNvSpPr/>
      </xdr:nvSpPr>
      <xdr:spPr>
        <a:xfrm>
          <a:off x="15954375" y="45348525"/>
          <a:ext cx="352425" cy="409575"/>
        </a:xfrm>
        <a:prstGeom prst="down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66675</xdr:rowOff>
        </xdr:from>
        <xdr:to>
          <xdr:col>1</xdr:col>
          <xdr:colOff>2000250</xdr:colOff>
          <xdr:row>3</xdr:row>
          <xdr:rowOff>0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3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0</xdr:rowOff>
        </xdr:from>
        <xdr:to>
          <xdr:col>1</xdr:col>
          <xdr:colOff>2000250</xdr:colOff>
          <xdr:row>4</xdr:row>
          <xdr:rowOff>200025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3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0</xdr:rowOff>
        </xdr:from>
        <xdr:to>
          <xdr:col>1</xdr:col>
          <xdr:colOff>2009775</xdr:colOff>
          <xdr:row>1</xdr:row>
          <xdr:rowOff>0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3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361951</xdr:colOff>
      <xdr:row>27</xdr:row>
      <xdr:rowOff>190499</xdr:rowOff>
    </xdr:from>
    <xdr:to>
      <xdr:col>0</xdr:col>
      <xdr:colOff>571501</xdr:colOff>
      <xdr:row>29</xdr:row>
      <xdr:rowOff>9524</xdr:rowOff>
    </xdr:to>
    <xdr:pic>
      <xdr:nvPicPr>
        <xdr:cNvPr id="3" name="Рисунок 2" descr="Picture background">
          <a:extLst>
            <a:ext uri="{FF2B5EF4-FFF2-40B4-BE49-F238E27FC236}">
              <a16:creationId xmlns:a16="http://schemas.microsoft.com/office/drawing/2014/main" id="{17AB5497-531D-4278-82DD-622D80F46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1" y="7153274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7</xdr:row>
      <xdr:rowOff>228600</xdr:rowOff>
    </xdr:from>
    <xdr:to>
      <xdr:col>0</xdr:col>
      <xdr:colOff>571500</xdr:colOff>
      <xdr:row>9</xdr:row>
      <xdr:rowOff>9525</xdr:rowOff>
    </xdr:to>
    <xdr:pic>
      <xdr:nvPicPr>
        <xdr:cNvPr id="4" name="Рисунок 3" descr="Picture background">
          <a:extLst>
            <a:ext uri="{FF2B5EF4-FFF2-40B4-BE49-F238E27FC236}">
              <a16:creationId xmlns:a16="http://schemas.microsoft.com/office/drawing/2014/main" id="{20DA109F-DEFC-4214-BB75-CCD8CFB72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3009900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381001</xdr:colOff>
      <xdr:row>41</xdr:row>
      <xdr:rowOff>180974</xdr:rowOff>
    </xdr:from>
    <xdr:to>
      <xdr:col>0</xdr:col>
      <xdr:colOff>590551</xdr:colOff>
      <xdr:row>42</xdr:row>
      <xdr:rowOff>190499</xdr:rowOff>
    </xdr:to>
    <xdr:pic>
      <xdr:nvPicPr>
        <xdr:cNvPr id="5" name="Рисунок 4" descr="Picture background">
          <a:extLst>
            <a:ext uri="{FF2B5EF4-FFF2-40B4-BE49-F238E27FC236}">
              <a16:creationId xmlns:a16="http://schemas.microsoft.com/office/drawing/2014/main" id="{16826738-4426-4521-A73F-2000E3749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1" y="10201274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180975</xdr:colOff>
      <xdr:row>4</xdr:row>
      <xdr:rowOff>171450</xdr:rowOff>
    </xdr:from>
    <xdr:to>
      <xdr:col>16</xdr:col>
      <xdr:colOff>619125</xdr:colOff>
      <xdr:row>6</xdr:row>
      <xdr:rowOff>19050</xdr:rowOff>
    </xdr:to>
    <xdr:sp macro="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D80E806E-FAE7-777F-C3CB-1031C15A64EF}"/>
            </a:ext>
          </a:extLst>
        </xdr:cNvPr>
        <xdr:cNvSpPr/>
      </xdr:nvSpPr>
      <xdr:spPr>
        <a:xfrm>
          <a:off x="13373100" y="2190750"/>
          <a:ext cx="1047750" cy="381000"/>
        </a:xfrm>
        <a:prstGeom prst="roundRect">
          <a:avLst>
            <a:gd name="adj" fmla="val 21667"/>
          </a:avLst>
        </a:prstGeom>
        <a:solidFill>
          <a:srgbClr val="FE2E2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ИСПОЛНИТЬ!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180975</xdr:colOff>
      <xdr:row>208</xdr:row>
      <xdr:rowOff>57150</xdr:rowOff>
    </xdr:from>
    <xdr:to>
      <xdr:col>19</xdr:col>
      <xdr:colOff>533400</xdr:colOff>
      <xdr:row>210</xdr:row>
      <xdr:rowOff>85725</xdr:rowOff>
    </xdr:to>
    <xdr:sp macro="" textlink="">
      <xdr:nvSpPr>
        <xdr:cNvPr id="2" name="Стрелка: вниз 1">
          <a:extLst>
            <a:ext uri="{FF2B5EF4-FFF2-40B4-BE49-F238E27FC236}">
              <a16:creationId xmlns:a16="http://schemas.microsoft.com/office/drawing/2014/main" id="{3DE3B5D3-4EC0-670F-EC7C-EB763197ABFF}"/>
            </a:ext>
          </a:extLst>
        </xdr:cNvPr>
        <xdr:cNvSpPr/>
      </xdr:nvSpPr>
      <xdr:spPr>
        <a:xfrm>
          <a:off x="15954375" y="45158025"/>
          <a:ext cx="352425" cy="409575"/>
        </a:xfrm>
        <a:prstGeom prst="down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1928702</xdr:colOff>
      <xdr:row>3</xdr:row>
      <xdr:rowOff>6722</xdr:rowOff>
    </xdr:from>
    <xdr:to>
      <xdr:col>0</xdr:col>
      <xdr:colOff>2107997</xdr:colOff>
      <xdr:row>3</xdr:row>
      <xdr:rowOff>186017</xdr:rowOff>
    </xdr:to>
    <xdr:pic>
      <xdr:nvPicPr>
        <xdr:cNvPr id="5" name="Рисунок 4" descr="Карандаш со сплошной заливкой">
          <a:extLst>
            <a:ext uri="{FF2B5EF4-FFF2-40B4-BE49-F238E27FC236}">
              <a16:creationId xmlns:a16="http://schemas.microsoft.com/office/drawing/2014/main" id="{3BD9C55E-15B5-9C95-BC70-5A9724B1E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8702" y="578222"/>
          <a:ext cx="179295" cy="179295"/>
        </a:xfrm>
        <a:prstGeom prst="rect">
          <a:avLst/>
        </a:prstGeom>
      </xdr:spPr>
    </xdr:pic>
    <xdr:clientData/>
  </xdr:twoCellAnchor>
  <xdr:twoCellAnchor editAs="oneCell">
    <xdr:from>
      <xdr:col>0</xdr:col>
      <xdr:colOff>1917497</xdr:colOff>
      <xdr:row>4</xdr:row>
      <xdr:rowOff>11206</xdr:rowOff>
    </xdr:from>
    <xdr:to>
      <xdr:col>0</xdr:col>
      <xdr:colOff>2096792</xdr:colOff>
      <xdr:row>5</xdr:row>
      <xdr:rowOff>1</xdr:rowOff>
    </xdr:to>
    <xdr:pic>
      <xdr:nvPicPr>
        <xdr:cNvPr id="6" name="Рисунок 5" descr="Карандаш со сплошной заливкой">
          <a:extLst>
            <a:ext uri="{FF2B5EF4-FFF2-40B4-BE49-F238E27FC236}">
              <a16:creationId xmlns:a16="http://schemas.microsoft.com/office/drawing/2014/main" id="{0447B488-31F7-4C79-BAB0-3502E6215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7497" y="773206"/>
          <a:ext cx="179295" cy="179295"/>
        </a:xfrm>
        <a:prstGeom prst="rect">
          <a:avLst/>
        </a:prstGeom>
      </xdr:spPr>
    </xdr:pic>
    <xdr:clientData/>
  </xdr:twoCellAnchor>
  <xdr:twoCellAnchor editAs="oneCell">
    <xdr:from>
      <xdr:col>0</xdr:col>
      <xdr:colOff>1913014</xdr:colOff>
      <xdr:row>5</xdr:row>
      <xdr:rowOff>13445</xdr:rowOff>
    </xdr:from>
    <xdr:to>
      <xdr:col>0</xdr:col>
      <xdr:colOff>2092309</xdr:colOff>
      <xdr:row>6</xdr:row>
      <xdr:rowOff>2240</xdr:rowOff>
    </xdr:to>
    <xdr:pic>
      <xdr:nvPicPr>
        <xdr:cNvPr id="7" name="Рисунок 6" descr="Карандаш со сплошной заливкой">
          <a:extLst>
            <a:ext uri="{FF2B5EF4-FFF2-40B4-BE49-F238E27FC236}">
              <a16:creationId xmlns:a16="http://schemas.microsoft.com/office/drawing/2014/main" id="{131F57EB-0021-4BF7-8AF7-A8C88CC1E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3014" y="965945"/>
          <a:ext cx="179295" cy="179295"/>
        </a:xfrm>
        <a:prstGeom prst="rect">
          <a:avLst/>
        </a:prstGeom>
      </xdr:spPr>
    </xdr:pic>
    <xdr:clientData/>
  </xdr:twoCellAnchor>
  <xdr:twoCellAnchor editAs="oneCell">
    <xdr:from>
      <xdr:col>0</xdr:col>
      <xdr:colOff>1911719</xdr:colOff>
      <xdr:row>6</xdr:row>
      <xdr:rowOff>17929</xdr:rowOff>
    </xdr:from>
    <xdr:to>
      <xdr:col>0</xdr:col>
      <xdr:colOff>2091014</xdr:colOff>
      <xdr:row>7</xdr:row>
      <xdr:rowOff>6724</xdr:rowOff>
    </xdr:to>
    <xdr:pic>
      <xdr:nvPicPr>
        <xdr:cNvPr id="8" name="Рисунок 7" descr="Карандаш со сплошной заливкой">
          <a:extLst>
            <a:ext uri="{FF2B5EF4-FFF2-40B4-BE49-F238E27FC236}">
              <a16:creationId xmlns:a16="http://schemas.microsoft.com/office/drawing/2014/main" id="{6254C5C1-2397-4D5F-ABB5-32368E745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1719" y="1160929"/>
          <a:ext cx="179295" cy="179295"/>
        </a:xfrm>
        <a:prstGeom prst="rect">
          <a:avLst/>
        </a:prstGeom>
      </xdr:spPr>
    </xdr:pic>
    <xdr:clientData/>
  </xdr:twoCellAnchor>
  <xdr:twoCellAnchor editAs="oneCell">
    <xdr:from>
      <xdr:col>0</xdr:col>
      <xdr:colOff>1916200</xdr:colOff>
      <xdr:row>7</xdr:row>
      <xdr:rowOff>11206</xdr:rowOff>
    </xdr:from>
    <xdr:to>
      <xdr:col>0</xdr:col>
      <xdr:colOff>2095495</xdr:colOff>
      <xdr:row>8</xdr:row>
      <xdr:rowOff>1</xdr:rowOff>
    </xdr:to>
    <xdr:pic>
      <xdr:nvPicPr>
        <xdr:cNvPr id="9" name="Рисунок 8" descr="Карандаш со сплошной заливкой">
          <a:extLst>
            <a:ext uri="{FF2B5EF4-FFF2-40B4-BE49-F238E27FC236}">
              <a16:creationId xmlns:a16="http://schemas.microsoft.com/office/drawing/2014/main" id="{ED69E465-6595-4797-B35C-AF076738C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6200" y="1344706"/>
          <a:ext cx="179295" cy="1792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1904995</xdr:colOff>
      <xdr:row>8</xdr:row>
      <xdr:rowOff>15690</xdr:rowOff>
    </xdr:from>
    <xdr:to>
      <xdr:col>0</xdr:col>
      <xdr:colOff>2084290</xdr:colOff>
      <xdr:row>9</xdr:row>
      <xdr:rowOff>4485</xdr:rowOff>
    </xdr:to>
    <xdr:pic>
      <xdr:nvPicPr>
        <xdr:cNvPr id="10" name="Рисунок 9" descr="Карандаш со сплошной заливкой">
          <a:extLst>
            <a:ext uri="{FF2B5EF4-FFF2-40B4-BE49-F238E27FC236}">
              <a16:creationId xmlns:a16="http://schemas.microsoft.com/office/drawing/2014/main" id="{0B99521F-9F58-4108-9E5A-D3F6728B2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4995" y="1539690"/>
          <a:ext cx="179295" cy="179295"/>
        </a:xfrm>
        <a:prstGeom prst="rect">
          <a:avLst/>
        </a:prstGeom>
      </xdr:spPr>
    </xdr:pic>
    <xdr:clientData/>
  </xdr:twoCellAnchor>
  <xdr:twoCellAnchor editAs="oneCell">
    <xdr:from>
      <xdr:col>5</xdr:col>
      <xdr:colOff>112060</xdr:colOff>
      <xdr:row>14</xdr:row>
      <xdr:rowOff>123265</xdr:rowOff>
    </xdr:from>
    <xdr:to>
      <xdr:col>5</xdr:col>
      <xdr:colOff>354106</xdr:colOff>
      <xdr:row>15</xdr:row>
      <xdr:rowOff>174811</xdr:rowOff>
    </xdr:to>
    <xdr:pic>
      <xdr:nvPicPr>
        <xdr:cNvPr id="12" name="Рисунок 11" descr="Флажок со сплошной заливкой">
          <a:extLst>
            <a:ext uri="{FF2B5EF4-FFF2-40B4-BE49-F238E27FC236}">
              <a16:creationId xmlns:a16="http://schemas.microsoft.com/office/drawing/2014/main" id="{3DFDB8C0-BE0C-CC24-B095-DDBA447FA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92236" y="2599765"/>
          <a:ext cx="242046" cy="242046"/>
        </a:xfrm>
        <a:prstGeom prst="rect">
          <a:avLst/>
        </a:prstGeom>
      </xdr:spPr>
    </xdr:pic>
    <xdr:clientData/>
  </xdr:twoCellAnchor>
  <xdr:oneCellAnchor>
    <xdr:from>
      <xdr:col>0</xdr:col>
      <xdr:colOff>1916200</xdr:colOff>
      <xdr:row>8</xdr:row>
      <xdr:rowOff>11206</xdr:rowOff>
    </xdr:from>
    <xdr:ext cx="179295" cy="179295"/>
    <xdr:pic>
      <xdr:nvPicPr>
        <xdr:cNvPr id="13" name="Рисунок 12" descr="Карандаш со сплошной заливкой">
          <a:extLst>
            <a:ext uri="{FF2B5EF4-FFF2-40B4-BE49-F238E27FC236}">
              <a16:creationId xmlns:a16="http://schemas.microsoft.com/office/drawing/2014/main" id="{524DD2CB-83F8-47FE-8B45-DE09F5FBA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6200" y="1344706"/>
          <a:ext cx="179295" cy="179295"/>
        </a:xfrm>
        <a:prstGeom prst="rect">
          <a:avLst/>
        </a:prstGeom>
      </xdr:spPr>
    </xdr:pic>
    <xdr:clientData/>
  </xdr:oneCellAnchor>
  <xdr:oneCellAnchor>
    <xdr:from>
      <xdr:col>0</xdr:col>
      <xdr:colOff>1904995</xdr:colOff>
      <xdr:row>9</xdr:row>
      <xdr:rowOff>15690</xdr:rowOff>
    </xdr:from>
    <xdr:ext cx="179295" cy="179295"/>
    <xdr:pic>
      <xdr:nvPicPr>
        <xdr:cNvPr id="14" name="Рисунок 13" descr="Карандаш со сплошной заливкой">
          <a:extLst>
            <a:ext uri="{FF2B5EF4-FFF2-40B4-BE49-F238E27FC236}">
              <a16:creationId xmlns:a16="http://schemas.microsoft.com/office/drawing/2014/main" id="{55EFC076-5660-42B0-AEAB-6BE50B229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4995" y="1539690"/>
          <a:ext cx="179295" cy="179295"/>
        </a:xfrm>
        <a:prstGeom prst="rect">
          <a:avLst/>
        </a:prstGeom>
      </xdr:spPr>
    </xdr:pic>
    <xdr:clientData/>
  </xdr:oneCellAnchor>
  <xdr:oneCellAnchor>
    <xdr:from>
      <xdr:col>0</xdr:col>
      <xdr:colOff>1916200</xdr:colOff>
      <xdr:row>9</xdr:row>
      <xdr:rowOff>11206</xdr:rowOff>
    </xdr:from>
    <xdr:ext cx="179295" cy="179295"/>
    <xdr:pic>
      <xdr:nvPicPr>
        <xdr:cNvPr id="15" name="Рисунок 14" descr="Карандаш со сплошной заливкой">
          <a:extLst>
            <a:ext uri="{FF2B5EF4-FFF2-40B4-BE49-F238E27FC236}">
              <a16:creationId xmlns:a16="http://schemas.microsoft.com/office/drawing/2014/main" id="{BA62216C-2C79-48DE-B552-AE428DCAE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6200" y="1344706"/>
          <a:ext cx="179295" cy="179295"/>
        </a:xfrm>
        <a:prstGeom prst="rect">
          <a:avLst/>
        </a:prstGeom>
      </xdr:spPr>
    </xdr:pic>
    <xdr:clientData/>
  </xdr:oneCellAnchor>
  <xdr:oneCellAnchor>
    <xdr:from>
      <xdr:col>0</xdr:col>
      <xdr:colOff>1904995</xdr:colOff>
      <xdr:row>10</xdr:row>
      <xdr:rowOff>15690</xdr:rowOff>
    </xdr:from>
    <xdr:ext cx="179295" cy="179295"/>
    <xdr:pic>
      <xdr:nvPicPr>
        <xdr:cNvPr id="16" name="Рисунок 15" descr="Карандаш со сплошной заливкой">
          <a:extLst>
            <a:ext uri="{FF2B5EF4-FFF2-40B4-BE49-F238E27FC236}">
              <a16:creationId xmlns:a16="http://schemas.microsoft.com/office/drawing/2014/main" id="{5CB9C094-541D-47EE-8F0E-31D284197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4995" y="1539690"/>
          <a:ext cx="179295" cy="179295"/>
        </a:xfrm>
        <a:prstGeom prst="rect">
          <a:avLst/>
        </a:prstGeom>
      </xdr:spPr>
    </xdr:pic>
    <xdr:clientData/>
  </xdr:oneCellAnchor>
  <xdr:oneCellAnchor>
    <xdr:from>
      <xdr:col>0</xdr:col>
      <xdr:colOff>1916200</xdr:colOff>
      <xdr:row>10</xdr:row>
      <xdr:rowOff>11206</xdr:rowOff>
    </xdr:from>
    <xdr:ext cx="179295" cy="179295"/>
    <xdr:pic>
      <xdr:nvPicPr>
        <xdr:cNvPr id="17" name="Рисунок 16" descr="Карандаш со сплошной заливкой">
          <a:extLst>
            <a:ext uri="{FF2B5EF4-FFF2-40B4-BE49-F238E27FC236}">
              <a16:creationId xmlns:a16="http://schemas.microsoft.com/office/drawing/2014/main" id="{7E5E443D-E937-4B21-9E6D-9A63FCFA1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6200" y="1535206"/>
          <a:ext cx="179295" cy="17929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152400</xdr:rowOff>
        </xdr:from>
        <xdr:to>
          <xdr:col>3</xdr:col>
          <xdr:colOff>180975</xdr:colOff>
          <xdr:row>4</xdr:row>
          <xdr:rowOff>95250</xdr:rowOff>
        </xdr:to>
        <xdr:sp macro="" textlink="">
          <xdr:nvSpPr>
            <xdr:cNvPr id="18445" name="Group Box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6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География стратегии: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</xdr:row>
          <xdr:rowOff>76200</xdr:rowOff>
        </xdr:from>
        <xdr:to>
          <xdr:col>2</xdr:col>
          <xdr:colOff>0</xdr:colOff>
          <xdr:row>8</xdr:row>
          <xdr:rowOff>9525</xdr:rowOff>
        </xdr:to>
        <xdr:sp macro="" textlink="">
          <xdr:nvSpPr>
            <xdr:cNvPr id="18443" name="ToggleButton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6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6</xdr:row>
          <xdr:rowOff>95250</xdr:rowOff>
        </xdr:from>
        <xdr:to>
          <xdr:col>3</xdr:col>
          <xdr:colOff>104775</xdr:colOff>
          <xdr:row>8</xdr:row>
          <xdr:rowOff>19050</xdr:rowOff>
        </xdr:to>
        <xdr:sp macro="" textlink="">
          <xdr:nvSpPr>
            <xdr:cNvPr id="18444" name="ToggleButton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6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5</xdr:row>
          <xdr:rowOff>9525</xdr:rowOff>
        </xdr:from>
        <xdr:to>
          <xdr:col>3</xdr:col>
          <xdr:colOff>190500</xdr:colOff>
          <xdr:row>8</xdr:row>
          <xdr:rowOff>95250</xdr:rowOff>
        </xdr:to>
        <xdr:sp macro="" textlink="">
          <xdr:nvSpPr>
            <xdr:cNvPr id="18446" name="Group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6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 типу инструмента: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47625</xdr:rowOff>
        </xdr:from>
        <xdr:to>
          <xdr:col>2</xdr:col>
          <xdr:colOff>0</xdr:colOff>
          <xdr:row>3</xdr:row>
          <xdr:rowOff>171450</xdr:rowOff>
        </xdr:to>
        <xdr:sp macro="" textlink="">
          <xdr:nvSpPr>
            <xdr:cNvPr id="18450" name="ToggleButton3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6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57150</xdr:rowOff>
        </xdr:from>
        <xdr:to>
          <xdr:col>3</xdr:col>
          <xdr:colOff>114300</xdr:colOff>
          <xdr:row>3</xdr:row>
          <xdr:rowOff>171450</xdr:rowOff>
        </xdr:to>
        <xdr:sp macro="" textlink="">
          <xdr:nvSpPr>
            <xdr:cNvPr id="18451" name="ToggleButton4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6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47625</xdr:rowOff>
        </xdr:from>
        <xdr:to>
          <xdr:col>5</xdr:col>
          <xdr:colOff>66675</xdr:colOff>
          <xdr:row>15</xdr:row>
          <xdr:rowOff>38100</xdr:rowOff>
        </xdr:to>
        <xdr:sp macro="" textlink="">
          <xdr:nvSpPr>
            <xdr:cNvPr id="18457" name="List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6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9525</xdr:colOff>
      <xdr:row>21</xdr:row>
      <xdr:rowOff>514350</xdr:rowOff>
    </xdr:from>
    <xdr:ext cx="302399" cy="302399"/>
    <xdr:pic>
      <xdr:nvPicPr>
        <xdr:cNvPr id="18441" name="Рисунок 18440" descr="флажок установлен со сплошной заливкой">
          <a:extLst>
            <a:ext uri="{FF2B5EF4-FFF2-40B4-BE49-F238E27FC236}">
              <a16:creationId xmlns:a16="http://schemas.microsoft.com/office/drawing/2014/main" id="{EA79B19C-21E5-485C-B3FA-94E599358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32435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22</xdr:row>
      <xdr:rowOff>152400</xdr:rowOff>
    </xdr:from>
    <xdr:ext cx="302399" cy="302399"/>
    <xdr:pic>
      <xdr:nvPicPr>
        <xdr:cNvPr id="18442" name="Рисунок 18441" descr="флажок установлен со сплошной заливкой">
          <a:extLst>
            <a:ext uri="{FF2B5EF4-FFF2-40B4-BE49-F238E27FC236}">
              <a16:creationId xmlns:a16="http://schemas.microsoft.com/office/drawing/2014/main" id="{9C399CD6-3F54-4BCE-A8B9-1D1F17157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51485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23</xdr:row>
      <xdr:rowOff>142875</xdr:rowOff>
    </xdr:from>
    <xdr:ext cx="302399" cy="302399"/>
    <xdr:pic>
      <xdr:nvPicPr>
        <xdr:cNvPr id="18447" name="Рисунок 18446" descr="флажок установлен со сплошной заливкой">
          <a:extLst>
            <a:ext uri="{FF2B5EF4-FFF2-40B4-BE49-F238E27FC236}">
              <a16:creationId xmlns:a16="http://schemas.microsoft.com/office/drawing/2014/main" id="{A7E02D2E-635E-406C-B421-992E506DC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6958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24</xdr:row>
      <xdr:rowOff>142875</xdr:rowOff>
    </xdr:from>
    <xdr:ext cx="302399" cy="302399"/>
    <xdr:pic>
      <xdr:nvPicPr>
        <xdr:cNvPr id="18448" name="Рисунок 18447" descr="флажок установлен со сплошной заливкой">
          <a:extLst>
            <a:ext uri="{FF2B5EF4-FFF2-40B4-BE49-F238E27FC236}">
              <a16:creationId xmlns:a16="http://schemas.microsoft.com/office/drawing/2014/main" id="{CCBD9ED9-8F46-41E9-AE79-DCB50B9D3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8863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8334</xdr:colOff>
      <xdr:row>25</xdr:row>
      <xdr:rowOff>133350</xdr:rowOff>
    </xdr:from>
    <xdr:ext cx="302399" cy="302399"/>
    <xdr:pic>
      <xdr:nvPicPr>
        <xdr:cNvPr id="18449" name="Рисунок 18448" descr="флажок установлен со сплошной заливкой">
          <a:extLst>
            <a:ext uri="{FF2B5EF4-FFF2-40B4-BE49-F238E27FC236}">
              <a16:creationId xmlns:a16="http://schemas.microsoft.com/office/drawing/2014/main" id="{F8B35E3D-0E45-4D29-BF07-44221A0E9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34" y="50673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17859</xdr:colOff>
      <xdr:row>26</xdr:row>
      <xdr:rowOff>133350</xdr:rowOff>
    </xdr:from>
    <xdr:ext cx="302399" cy="302399"/>
    <xdr:pic>
      <xdr:nvPicPr>
        <xdr:cNvPr id="18452" name="Рисунок 18451" descr="флажок установлен со сплошной заливкой">
          <a:extLst>
            <a:ext uri="{FF2B5EF4-FFF2-40B4-BE49-F238E27FC236}">
              <a16:creationId xmlns:a16="http://schemas.microsoft.com/office/drawing/2014/main" id="{49D590CD-6288-429E-B481-CBA1D59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9" y="52578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27</xdr:row>
      <xdr:rowOff>123825</xdr:rowOff>
    </xdr:from>
    <xdr:ext cx="302399" cy="302399"/>
    <xdr:pic>
      <xdr:nvPicPr>
        <xdr:cNvPr id="18453" name="Рисунок 18452" descr="флажок установлен со сплошной заливкой">
          <a:extLst>
            <a:ext uri="{FF2B5EF4-FFF2-40B4-BE49-F238E27FC236}">
              <a16:creationId xmlns:a16="http://schemas.microsoft.com/office/drawing/2014/main" id="{23FE5E56-B1BB-4E64-A6FB-D987429E7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543877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28</xdr:row>
      <xdr:rowOff>123825</xdr:rowOff>
    </xdr:from>
    <xdr:ext cx="302399" cy="302399"/>
    <xdr:pic>
      <xdr:nvPicPr>
        <xdr:cNvPr id="18454" name="Рисунок 18453" descr="флажок установлен со сплошной заливкой">
          <a:extLst>
            <a:ext uri="{FF2B5EF4-FFF2-40B4-BE49-F238E27FC236}">
              <a16:creationId xmlns:a16="http://schemas.microsoft.com/office/drawing/2014/main" id="{3D9AEC49-DFEF-4431-A78F-D976CF476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562927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29</xdr:row>
      <xdr:rowOff>125015</xdr:rowOff>
    </xdr:from>
    <xdr:ext cx="302399" cy="302399"/>
    <xdr:pic>
      <xdr:nvPicPr>
        <xdr:cNvPr id="18455" name="Рисунок 18454" descr="флажок установлен со сплошной заливкой">
          <a:extLst>
            <a:ext uri="{FF2B5EF4-FFF2-40B4-BE49-F238E27FC236}">
              <a16:creationId xmlns:a16="http://schemas.microsoft.com/office/drawing/2014/main" id="{497EAFB0-7336-4098-9063-5E9AE7964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582096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30</xdr:row>
      <xdr:rowOff>125015</xdr:rowOff>
    </xdr:from>
    <xdr:ext cx="302399" cy="302399"/>
    <xdr:pic>
      <xdr:nvPicPr>
        <xdr:cNvPr id="18456" name="Рисунок 18455" descr="флажок установлен со сплошной заливкой">
          <a:extLst>
            <a:ext uri="{FF2B5EF4-FFF2-40B4-BE49-F238E27FC236}">
              <a16:creationId xmlns:a16="http://schemas.microsoft.com/office/drawing/2014/main" id="{28CF6C7E-6D98-43F8-A133-B09E5C422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601146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31</xdr:row>
      <xdr:rowOff>115490</xdr:rowOff>
    </xdr:from>
    <xdr:ext cx="302399" cy="302399"/>
    <xdr:pic>
      <xdr:nvPicPr>
        <xdr:cNvPr id="18458" name="Рисунок 18457" descr="флажок установлен со сплошной заливкой">
          <a:extLst>
            <a:ext uri="{FF2B5EF4-FFF2-40B4-BE49-F238E27FC236}">
              <a16:creationId xmlns:a16="http://schemas.microsoft.com/office/drawing/2014/main" id="{7FB6CD2C-DC54-4B0E-B0D9-6444433AC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619244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19049</xdr:colOff>
      <xdr:row>32</xdr:row>
      <xdr:rowOff>115490</xdr:rowOff>
    </xdr:from>
    <xdr:ext cx="302399" cy="302399"/>
    <xdr:pic>
      <xdr:nvPicPr>
        <xdr:cNvPr id="18459" name="Рисунок 18458" descr="флажок установлен со сплошной заливкой">
          <a:extLst>
            <a:ext uri="{FF2B5EF4-FFF2-40B4-BE49-F238E27FC236}">
              <a16:creationId xmlns:a16="http://schemas.microsoft.com/office/drawing/2014/main" id="{27A98095-6C0F-47F7-8590-F034008E1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49" y="638294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19049</xdr:colOff>
      <xdr:row>33</xdr:row>
      <xdr:rowOff>115490</xdr:rowOff>
    </xdr:from>
    <xdr:ext cx="302399" cy="302399"/>
    <xdr:pic>
      <xdr:nvPicPr>
        <xdr:cNvPr id="18460" name="Рисунок 18459" descr="флажок установлен со сплошной заливкой">
          <a:extLst>
            <a:ext uri="{FF2B5EF4-FFF2-40B4-BE49-F238E27FC236}">
              <a16:creationId xmlns:a16="http://schemas.microsoft.com/office/drawing/2014/main" id="{FA23CF4C-7C4A-4677-B090-A20510D47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49" y="657344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19049</xdr:colOff>
      <xdr:row>34</xdr:row>
      <xdr:rowOff>115490</xdr:rowOff>
    </xdr:from>
    <xdr:ext cx="302399" cy="302399"/>
    <xdr:pic>
      <xdr:nvPicPr>
        <xdr:cNvPr id="18461" name="Рисунок 18460" descr="флажок установлен со сплошной заливкой">
          <a:extLst>
            <a:ext uri="{FF2B5EF4-FFF2-40B4-BE49-F238E27FC236}">
              <a16:creationId xmlns:a16="http://schemas.microsoft.com/office/drawing/2014/main" id="{30D67A11-3248-4380-B194-82AA0B8BA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49" y="676394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35</xdr:row>
      <xdr:rowOff>105965</xdr:rowOff>
    </xdr:from>
    <xdr:ext cx="302399" cy="302399"/>
    <xdr:pic>
      <xdr:nvPicPr>
        <xdr:cNvPr id="18462" name="Рисунок 18461" descr="флажок установлен со сплошной заливкой">
          <a:extLst>
            <a:ext uri="{FF2B5EF4-FFF2-40B4-BE49-F238E27FC236}">
              <a16:creationId xmlns:a16="http://schemas.microsoft.com/office/drawing/2014/main" id="{8A6A8CF3-2699-4D60-AFF0-F9590DDF5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694491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36</xdr:row>
      <xdr:rowOff>115490</xdr:rowOff>
    </xdr:from>
    <xdr:ext cx="302399" cy="302399"/>
    <xdr:pic>
      <xdr:nvPicPr>
        <xdr:cNvPr id="18463" name="Рисунок 18462" descr="флажок установлен со сплошной заливкой">
          <a:extLst>
            <a:ext uri="{FF2B5EF4-FFF2-40B4-BE49-F238E27FC236}">
              <a16:creationId xmlns:a16="http://schemas.microsoft.com/office/drawing/2014/main" id="{A6F88880-3901-457C-8E42-FCE1D328B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714494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37</xdr:row>
      <xdr:rowOff>134540</xdr:rowOff>
    </xdr:from>
    <xdr:ext cx="302399" cy="302399"/>
    <xdr:pic>
      <xdr:nvPicPr>
        <xdr:cNvPr id="18464" name="Рисунок 18463" descr="флажок установлен со сплошной заливкой">
          <a:extLst>
            <a:ext uri="{FF2B5EF4-FFF2-40B4-BE49-F238E27FC236}">
              <a16:creationId xmlns:a16="http://schemas.microsoft.com/office/drawing/2014/main" id="{D9A0F62C-BA13-42ED-AB67-49E4F90FB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735449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43</xdr:row>
      <xdr:rowOff>1276350</xdr:rowOff>
    </xdr:from>
    <xdr:ext cx="302399" cy="302399"/>
    <xdr:pic>
      <xdr:nvPicPr>
        <xdr:cNvPr id="18465" name="Рисунок 18464" descr="флажок установлен со сплошной заливкой">
          <a:extLst>
            <a:ext uri="{FF2B5EF4-FFF2-40B4-BE49-F238E27FC236}">
              <a16:creationId xmlns:a16="http://schemas.microsoft.com/office/drawing/2014/main" id="{3DB8821B-4E1A-40BD-B3F2-EB13FD486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96393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44</xdr:row>
      <xdr:rowOff>152400</xdr:rowOff>
    </xdr:from>
    <xdr:ext cx="302399" cy="302399"/>
    <xdr:pic>
      <xdr:nvPicPr>
        <xdr:cNvPr id="18466" name="Рисунок 18465" descr="флажок установлен со сплошной заливкой">
          <a:extLst>
            <a:ext uri="{FF2B5EF4-FFF2-40B4-BE49-F238E27FC236}">
              <a16:creationId xmlns:a16="http://schemas.microsoft.com/office/drawing/2014/main" id="{1E272C65-CBA0-44E1-9416-3BBC41C74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51485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45</xdr:row>
      <xdr:rowOff>142875</xdr:rowOff>
    </xdr:from>
    <xdr:ext cx="302399" cy="302399"/>
    <xdr:pic>
      <xdr:nvPicPr>
        <xdr:cNvPr id="18467" name="Рисунок 18466" descr="флажок установлен со сплошной заливкой">
          <a:extLst>
            <a:ext uri="{FF2B5EF4-FFF2-40B4-BE49-F238E27FC236}">
              <a16:creationId xmlns:a16="http://schemas.microsoft.com/office/drawing/2014/main" id="{3449A1A8-5613-4CCB-8D7E-DD054610C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6958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46</xdr:row>
      <xdr:rowOff>142875</xdr:rowOff>
    </xdr:from>
    <xdr:ext cx="302399" cy="302399"/>
    <xdr:pic>
      <xdr:nvPicPr>
        <xdr:cNvPr id="18468" name="Рисунок 18467" descr="флажок установлен со сплошной заливкой">
          <a:extLst>
            <a:ext uri="{FF2B5EF4-FFF2-40B4-BE49-F238E27FC236}">
              <a16:creationId xmlns:a16="http://schemas.microsoft.com/office/drawing/2014/main" id="{730D4BBF-661F-42E5-AD05-705EF87B9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48863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8334</xdr:colOff>
      <xdr:row>47</xdr:row>
      <xdr:rowOff>133350</xdr:rowOff>
    </xdr:from>
    <xdr:ext cx="302399" cy="302399"/>
    <xdr:pic>
      <xdr:nvPicPr>
        <xdr:cNvPr id="18469" name="Рисунок 18468" descr="флажок установлен со сплошной заливкой">
          <a:extLst>
            <a:ext uri="{FF2B5EF4-FFF2-40B4-BE49-F238E27FC236}">
              <a16:creationId xmlns:a16="http://schemas.microsoft.com/office/drawing/2014/main" id="{6539A78B-E11D-405F-9419-80C27218A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34" y="50673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17859</xdr:colOff>
      <xdr:row>48</xdr:row>
      <xdr:rowOff>133350</xdr:rowOff>
    </xdr:from>
    <xdr:ext cx="302399" cy="302399"/>
    <xdr:pic>
      <xdr:nvPicPr>
        <xdr:cNvPr id="18470" name="Рисунок 18469" descr="флажок установлен со сплошной заливкой">
          <a:extLst>
            <a:ext uri="{FF2B5EF4-FFF2-40B4-BE49-F238E27FC236}">
              <a16:creationId xmlns:a16="http://schemas.microsoft.com/office/drawing/2014/main" id="{3DBF3A5D-B01D-4F75-ABBA-9E2C2DB63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9" y="52578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49</xdr:row>
      <xdr:rowOff>123825</xdr:rowOff>
    </xdr:from>
    <xdr:ext cx="302399" cy="302399"/>
    <xdr:pic>
      <xdr:nvPicPr>
        <xdr:cNvPr id="18471" name="Рисунок 18470" descr="флажок установлен со сплошной заливкой">
          <a:extLst>
            <a:ext uri="{FF2B5EF4-FFF2-40B4-BE49-F238E27FC236}">
              <a16:creationId xmlns:a16="http://schemas.microsoft.com/office/drawing/2014/main" id="{4585DFF8-B77A-4C52-BF26-CE42ACBE4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543877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50</xdr:row>
      <xdr:rowOff>123825</xdr:rowOff>
    </xdr:from>
    <xdr:ext cx="302399" cy="302399"/>
    <xdr:pic>
      <xdr:nvPicPr>
        <xdr:cNvPr id="18472" name="Рисунок 18471" descr="флажок установлен со сплошной заливкой">
          <a:extLst>
            <a:ext uri="{FF2B5EF4-FFF2-40B4-BE49-F238E27FC236}">
              <a16:creationId xmlns:a16="http://schemas.microsoft.com/office/drawing/2014/main" id="{B9097428-FF64-460B-A671-63F95289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562927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51</xdr:row>
      <xdr:rowOff>125015</xdr:rowOff>
    </xdr:from>
    <xdr:ext cx="302399" cy="302399"/>
    <xdr:pic>
      <xdr:nvPicPr>
        <xdr:cNvPr id="18473" name="Рисунок 18472" descr="флажок установлен со сплошной заливкой">
          <a:extLst>
            <a:ext uri="{FF2B5EF4-FFF2-40B4-BE49-F238E27FC236}">
              <a16:creationId xmlns:a16="http://schemas.microsoft.com/office/drawing/2014/main" id="{7C4A000F-B978-490E-A382-99FFF9B4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582096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52</xdr:row>
      <xdr:rowOff>125015</xdr:rowOff>
    </xdr:from>
    <xdr:ext cx="302399" cy="302399"/>
    <xdr:pic>
      <xdr:nvPicPr>
        <xdr:cNvPr id="18474" name="Рисунок 18473" descr="флажок установлен со сплошной заливкой">
          <a:extLst>
            <a:ext uri="{FF2B5EF4-FFF2-40B4-BE49-F238E27FC236}">
              <a16:creationId xmlns:a16="http://schemas.microsoft.com/office/drawing/2014/main" id="{DCCF79D0-157F-4B7C-AE99-992638CF6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601146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58</xdr:row>
      <xdr:rowOff>1276350</xdr:rowOff>
    </xdr:from>
    <xdr:ext cx="302399" cy="302399"/>
    <xdr:pic>
      <xdr:nvPicPr>
        <xdr:cNvPr id="18476" name="Рисунок 18475" descr="флажок установлен со сплошной заливкой">
          <a:extLst>
            <a:ext uri="{FF2B5EF4-FFF2-40B4-BE49-F238E27FC236}">
              <a16:creationId xmlns:a16="http://schemas.microsoft.com/office/drawing/2014/main" id="{1E0F1812-4E2E-4835-BDEF-952F45B21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96393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59</xdr:row>
      <xdr:rowOff>152400</xdr:rowOff>
    </xdr:from>
    <xdr:ext cx="302399" cy="302399"/>
    <xdr:pic>
      <xdr:nvPicPr>
        <xdr:cNvPr id="18477" name="Рисунок 18476" descr="флажок установлен со сплошной заливкой">
          <a:extLst>
            <a:ext uri="{FF2B5EF4-FFF2-40B4-BE49-F238E27FC236}">
              <a16:creationId xmlns:a16="http://schemas.microsoft.com/office/drawing/2014/main" id="{4289E162-DEC0-4082-B2A6-2157B28FB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984885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60</xdr:row>
      <xdr:rowOff>142875</xdr:rowOff>
    </xdr:from>
    <xdr:ext cx="302399" cy="302399"/>
    <xdr:pic>
      <xdr:nvPicPr>
        <xdr:cNvPr id="18478" name="Рисунок 18477" descr="флажок установлен со сплошной заливкой">
          <a:extLst>
            <a:ext uri="{FF2B5EF4-FFF2-40B4-BE49-F238E27FC236}">
              <a16:creationId xmlns:a16="http://schemas.microsoft.com/office/drawing/2014/main" id="{7A148DA8-47DD-4B50-84DD-3980DC1D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100298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61</xdr:row>
      <xdr:rowOff>142875</xdr:rowOff>
    </xdr:from>
    <xdr:ext cx="302399" cy="302399"/>
    <xdr:pic>
      <xdr:nvPicPr>
        <xdr:cNvPr id="18479" name="Рисунок 18478" descr="флажок установлен со сплошной заливкой">
          <a:extLst>
            <a:ext uri="{FF2B5EF4-FFF2-40B4-BE49-F238E27FC236}">
              <a16:creationId xmlns:a16="http://schemas.microsoft.com/office/drawing/2014/main" id="{ED3289C9-667E-4EA4-AC58-466E067DE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102203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8334</xdr:colOff>
      <xdr:row>62</xdr:row>
      <xdr:rowOff>133350</xdr:rowOff>
    </xdr:from>
    <xdr:ext cx="302399" cy="302399"/>
    <xdr:pic>
      <xdr:nvPicPr>
        <xdr:cNvPr id="18480" name="Рисунок 18479" descr="флажок установлен со сплошной заливкой">
          <a:extLst>
            <a:ext uri="{FF2B5EF4-FFF2-40B4-BE49-F238E27FC236}">
              <a16:creationId xmlns:a16="http://schemas.microsoft.com/office/drawing/2014/main" id="{2DA0395D-B7C2-42A6-BD17-63A5A5009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34" y="104013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17859</xdr:colOff>
      <xdr:row>63</xdr:row>
      <xdr:rowOff>133350</xdr:rowOff>
    </xdr:from>
    <xdr:ext cx="302399" cy="302399"/>
    <xdr:pic>
      <xdr:nvPicPr>
        <xdr:cNvPr id="18481" name="Рисунок 18480" descr="флажок установлен со сплошной заливкой">
          <a:extLst>
            <a:ext uri="{FF2B5EF4-FFF2-40B4-BE49-F238E27FC236}">
              <a16:creationId xmlns:a16="http://schemas.microsoft.com/office/drawing/2014/main" id="{20D5EAED-6DBF-4A5F-B904-9BCDF604D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9" y="105918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64</xdr:row>
      <xdr:rowOff>123825</xdr:rowOff>
    </xdr:from>
    <xdr:ext cx="302399" cy="302399"/>
    <xdr:pic>
      <xdr:nvPicPr>
        <xdr:cNvPr id="18482" name="Рисунок 18481" descr="флажок установлен со сплошной заливкой">
          <a:extLst>
            <a:ext uri="{FF2B5EF4-FFF2-40B4-BE49-F238E27FC236}">
              <a16:creationId xmlns:a16="http://schemas.microsoft.com/office/drawing/2014/main" id="{885B86BB-63BA-4F4C-BDB1-FD487C7E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1077277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65</xdr:row>
      <xdr:rowOff>123825</xdr:rowOff>
    </xdr:from>
    <xdr:ext cx="302399" cy="302399"/>
    <xdr:pic>
      <xdr:nvPicPr>
        <xdr:cNvPr id="18483" name="Рисунок 18482" descr="флажок установлен со сплошной заливкой">
          <a:extLst>
            <a:ext uri="{FF2B5EF4-FFF2-40B4-BE49-F238E27FC236}">
              <a16:creationId xmlns:a16="http://schemas.microsoft.com/office/drawing/2014/main" id="{A5027BF7-1C1F-48F0-B774-FEDC17EC6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1096327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66</xdr:row>
      <xdr:rowOff>125015</xdr:rowOff>
    </xdr:from>
    <xdr:ext cx="302399" cy="302399"/>
    <xdr:pic>
      <xdr:nvPicPr>
        <xdr:cNvPr id="18484" name="Рисунок 18483" descr="флажок установлен со сплошной заливкой">
          <a:extLst>
            <a:ext uri="{FF2B5EF4-FFF2-40B4-BE49-F238E27FC236}">
              <a16:creationId xmlns:a16="http://schemas.microsoft.com/office/drawing/2014/main" id="{9419E193-2EF4-442A-8493-122A0259F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1115496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67</xdr:row>
      <xdr:rowOff>125015</xdr:rowOff>
    </xdr:from>
    <xdr:ext cx="302399" cy="302399"/>
    <xdr:pic>
      <xdr:nvPicPr>
        <xdr:cNvPr id="18485" name="Рисунок 18484" descr="флажок установлен со сплошной заливкой">
          <a:extLst>
            <a:ext uri="{FF2B5EF4-FFF2-40B4-BE49-F238E27FC236}">
              <a16:creationId xmlns:a16="http://schemas.microsoft.com/office/drawing/2014/main" id="{95CDFF60-76EB-4519-BDC5-AF94A2870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1134546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28574</xdr:colOff>
      <xdr:row>68</xdr:row>
      <xdr:rowOff>134540</xdr:rowOff>
    </xdr:from>
    <xdr:ext cx="302399" cy="302399"/>
    <xdr:pic>
      <xdr:nvPicPr>
        <xdr:cNvPr id="18486" name="Рисунок 18485" descr="флажок установлен со сплошной заливкой">
          <a:extLst>
            <a:ext uri="{FF2B5EF4-FFF2-40B4-BE49-F238E27FC236}">
              <a16:creationId xmlns:a16="http://schemas.microsoft.com/office/drawing/2014/main" id="{806FB58C-4C3F-491A-9D07-88CBC6B99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574" y="1554599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74</xdr:row>
      <xdr:rowOff>1276350</xdr:rowOff>
    </xdr:from>
    <xdr:ext cx="302399" cy="302399"/>
    <xdr:pic>
      <xdr:nvPicPr>
        <xdr:cNvPr id="18487" name="Рисунок 18486" descr="флажок установлен со сплошной заливкой">
          <a:extLst>
            <a:ext uri="{FF2B5EF4-FFF2-40B4-BE49-F238E27FC236}">
              <a16:creationId xmlns:a16="http://schemas.microsoft.com/office/drawing/2014/main" id="{EC0666DC-25EA-4E25-974C-CB33BACEC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136398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75</xdr:row>
      <xdr:rowOff>152400</xdr:rowOff>
    </xdr:from>
    <xdr:ext cx="302399" cy="302399"/>
    <xdr:pic>
      <xdr:nvPicPr>
        <xdr:cNvPr id="18488" name="Рисунок 18487" descr="флажок установлен со сплошной заливкой">
          <a:extLst>
            <a:ext uri="{FF2B5EF4-FFF2-40B4-BE49-F238E27FC236}">
              <a16:creationId xmlns:a16="http://schemas.microsoft.com/office/drawing/2014/main" id="{72EFBFEF-E63E-414E-B145-253D22F0D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1384935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76</xdr:row>
      <xdr:rowOff>142875</xdr:rowOff>
    </xdr:from>
    <xdr:ext cx="302399" cy="302399"/>
    <xdr:pic>
      <xdr:nvPicPr>
        <xdr:cNvPr id="18489" name="Рисунок 18488" descr="флажок установлен со сплошной заливкой">
          <a:extLst>
            <a:ext uri="{FF2B5EF4-FFF2-40B4-BE49-F238E27FC236}">
              <a16:creationId xmlns:a16="http://schemas.microsoft.com/office/drawing/2014/main" id="{4974E52D-4C45-4146-9220-3E1D8F68A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140303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9525</xdr:colOff>
      <xdr:row>77</xdr:row>
      <xdr:rowOff>142875</xdr:rowOff>
    </xdr:from>
    <xdr:ext cx="302399" cy="302399"/>
    <xdr:pic>
      <xdr:nvPicPr>
        <xdr:cNvPr id="18490" name="Рисунок 18489" descr="флажок установлен со сплошной заливкой">
          <a:extLst>
            <a:ext uri="{FF2B5EF4-FFF2-40B4-BE49-F238E27FC236}">
              <a16:creationId xmlns:a16="http://schemas.microsoft.com/office/drawing/2014/main" id="{D308D541-3856-4685-A693-9ED7954CC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" y="14220825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8334</xdr:colOff>
      <xdr:row>78</xdr:row>
      <xdr:rowOff>133350</xdr:rowOff>
    </xdr:from>
    <xdr:ext cx="302399" cy="302399"/>
    <xdr:pic>
      <xdr:nvPicPr>
        <xdr:cNvPr id="18491" name="Рисунок 18490" descr="флажок установлен со сплошной заливкой">
          <a:extLst>
            <a:ext uri="{FF2B5EF4-FFF2-40B4-BE49-F238E27FC236}">
              <a16:creationId xmlns:a16="http://schemas.microsoft.com/office/drawing/2014/main" id="{15E036E4-3814-4C47-9281-35FF39235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34" y="144018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17859</xdr:colOff>
      <xdr:row>79</xdr:row>
      <xdr:rowOff>133350</xdr:rowOff>
    </xdr:from>
    <xdr:ext cx="302399" cy="302399"/>
    <xdr:pic>
      <xdr:nvPicPr>
        <xdr:cNvPr id="18492" name="Рисунок 18491" descr="флажок установлен со сплошной заливкой">
          <a:extLst>
            <a:ext uri="{FF2B5EF4-FFF2-40B4-BE49-F238E27FC236}">
              <a16:creationId xmlns:a16="http://schemas.microsoft.com/office/drawing/2014/main" id="{453F9382-FD6E-426F-8D38-4177FD1B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9" y="14592300"/>
          <a:ext cx="302399" cy="302399"/>
        </a:xfrm>
        <a:prstGeom prst="rect">
          <a:avLst/>
        </a:prstGeom>
      </xdr:spPr>
    </xdr:pic>
    <xdr:clientData/>
  </xdr:oneCellAnchor>
  <xdr:oneCellAnchor>
    <xdr:from>
      <xdr:col>0</xdr:col>
      <xdr:colOff>27384</xdr:colOff>
      <xdr:row>80</xdr:row>
      <xdr:rowOff>123825</xdr:rowOff>
    </xdr:from>
    <xdr:ext cx="302399" cy="302399"/>
    <xdr:pic>
      <xdr:nvPicPr>
        <xdr:cNvPr id="18493" name="Рисунок 18492" descr="флажок установлен со сплошной заливкой">
          <a:extLst>
            <a:ext uri="{FF2B5EF4-FFF2-40B4-BE49-F238E27FC236}">
              <a16:creationId xmlns:a16="http://schemas.microsoft.com/office/drawing/2014/main" id="{675227EA-71A9-4175-93C8-F8FCC58DC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84" y="14773275"/>
          <a:ext cx="302399" cy="30239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15</xdr:row>
          <xdr:rowOff>47625</xdr:rowOff>
        </xdr:from>
        <xdr:to>
          <xdr:col>2</xdr:col>
          <xdr:colOff>466725</xdr:colOff>
          <xdr:row>16</xdr:row>
          <xdr:rowOff>85725</xdr:rowOff>
        </xdr:to>
        <xdr:sp macro="" textlink="">
          <xdr:nvSpPr>
            <xdr:cNvPr id="2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Сбросить (Показать все)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95251</xdr:colOff>
      <xdr:row>17</xdr:row>
      <xdr:rowOff>19050</xdr:rowOff>
    </xdr:from>
    <xdr:to>
      <xdr:col>4</xdr:col>
      <xdr:colOff>257175</xdr:colOff>
      <xdr:row>17</xdr:row>
      <xdr:rowOff>180974</xdr:rowOff>
    </xdr:to>
    <xdr:pic>
      <xdr:nvPicPr>
        <xdr:cNvPr id="5" name="Рисунок 4" descr="Обновить со сплошной заливкой">
          <a:extLst>
            <a:ext uri="{FF2B5EF4-FFF2-40B4-BE49-F238E27FC236}">
              <a16:creationId xmlns:a16="http://schemas.microsoft.com/office/drawing/2014/main" id="{187C7E75-EF16-7D0E-C8E8-F50128F6A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9953625"/>
          <a:ext cx="161924" cy="161924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</xdr:colOff>
      <xdr:row>32</xdr:row>
      <xdr:rowOff>9525</xdr:rowOff>
    </xdr:from>
    <xdr:to>
      <xdr:col>4</xdr:col>
      <xdr:colOff>276224</xdr:colOff>
      <xdr:row>32</xdr:row>
      <xdr:rowOff>171449</xdr:rowOff>
    </xdr:to>
    <xdr:pic>
      <xdr:nvPicPr>
        <xdr:cNvPr id="6" name="Рисунок 5" descr="Обновить со сплошной заливкой">
          <a:extLst>
            <a:ext uri="{FF2B5EF4-FFF2-40B4-BE49-F238E27FC236}">
              <a16:creationId xmlns:a16="http://schemas.microsoft.com/office/drawing/2014/main" id="{EC469A98-58B4-4944-917F-E7B6282ED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13906500"/>
          <a:ext cx="161924" cy="1619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0</xdr:row>
          <xdr:rowOff>9525</xdr:rowOff>
        </xdr:from>
        <xdr:to>
          <xdr:col>2</xdr:col>
          <xdr:colOff>523875</xdr:colOff>
          <xdr:row>2</xdr:row>
          <xdr:rowOff>123825</xdr:rowOff>
        </xdr:to>
        <xdr:sp macro="" textlink="">
          <xdr:nvSpPr>
            <xdr:cNvPr id="34817" name="Group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Страна профиля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133350</xdr:rowOff>
        </xdr:from>
        <xdr:to>
          <xdr:col>1</xdr:col>
          <xdr:colOff>1066800</xdr:colOff>
          <xdr:row>2</xdr:row>
          <xdr:rowOff>66675</xdr:rowOff>
        </xdr:to>
        <xdr:sp macro="" textlink="">
          <xdr:nvSpPr>
            <xdr:cNvPr id="34818" name="ToggleButton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1257300</xdr:colOff>
          <xdr:row>0</xdr:row>
          <xdr:rowOff>142875</xdr:rowOff>
        </xdr:from>
        <xdr:to>
          <xdr:col>2</xdr:col>
          <xdr:colOff>419100</xdr:colOff>
          <xdr:row>2</xdr:row>
          <xdr:rowOff>66675</xdr:rowOff>
        </xdr:to>
        <xdr:sp macro="" textlink="">
          <xdr:nvSpPr>
            <xdr:cNvPr id="34819" name="ToggleButton2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hyperlink" Target="https://cbr.ru/hd_base/zcyc_params/zcyc/" TargetMode="Externa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trlProp" Target="../ctrlProps/ctrlProp11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0.emf"/><Relationship Id="rId11" Type="http://schemas.openxmlformats.org/officeDocument/2006/relationships/ctrlProp" Target="../ctrlProps/ctrlProp9.xml"/><Relationship Id="rId5" Type="http://schemas.openxmlformats.org/officeDocument/2006/relationships/control" Target="../activeX/activeX8.xml"/><Relationship Id="rId15" Type="http://schemas.openxmlformats.org/officeDocument/2006/relationships/comments" Target="../comments4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0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2.xml"/><Relationship Id="rId2" Type="http://schemas.openxmlformats.org/officeDocument/2006/relationships/hyperlink" Target="https://www.tradingview.com/symbols/TVC-US01Y/" TargetMode="External"/><Relationship Id="rId1" Type="http://schemas.openxmlformats.org/officeDocument/2006/relationships/hyperlink" Target="https://www.tradingview.com/symbols/TVC-RU01Y/" TargetMode="External"/><Relationship Id="rId6" Type="http://schemas.openxmlformats.org/officeDocument/2006/relationships/image" Target="../media/image9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7.vml"/><Relationship Id="rId9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rusetfs.com/etf/TMON/overview" TargetMode="External"/><Relationship Id="rId3" Type="http://schemas.openxmlformats.org/officeDocument/2006/relationships/hyperlink" Target="https://rusetfs.com/etf/AKMM/overview" TargetMode="External"/><Relationship Id="rId7" Type="http://schemas.openxmlformats.org/officeDocument/2006/relationships/hyperlink" Target="https://rusetfs.com/etf/PSMM/overview" TargetMode="External"/><Relationship Id="rId2" Type="http://schemas.openxmlformats.org/officeDocument/2006/relationships/hyperlink" Target="https://rusetfs.com/etf/SCLI/overview" TargetMode="External"/><Relationship Id="rId1" Type="http://schemas.openxmlformats.org/officeDocument/2006/relationships/hyperlink" Target="https://rusetfs.com/etf/FINC/overview" TargetMode="External"/><Relationship Id="rId6" Type="http://schemas.openxmlformats.org/officeDocument/2006/relationships/hyperlink" Target="https://rusetfs.com/etf/CASH/overview" TargetMode="External"/><Relationship Id="rId11" Type="http://schemas.openxmlformats.org/officeDocument/2006/relationships/hyperlink" Target="https://rusetfs.com/etf/BCSD/overview" TargetMode="External"/><Relationship Id="rId5" Type="http://schemas.openxmlformats.org/officeDocument/2006/relationships/hyperlink" Target="https://rusetfs.com/etf/LQDT/overview" TargetMode="External"/><Relationship Id="rId10" Type="http://schemas.openxmlformats.org/officeDocument/2006/relationships/hyperlink" Target="https://rusetfs.com/etf/FMMM/overview" TargetMode="External"/><Relationship Id="rId4" Type="http://schemas.openxmlformats.org/officeDocument/2006/relationships/hyperlink" Target="https://rusetfs.com/etf/SBMM/overview" TargetMode="External"/><Relationship Id="rId9" Type="http://schemas.openxmlformats.org/officeDocument/2006/relationships/hyperlink" Target="https://rusetfs.com/etf/AMNR/over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D3A2B-59E4-468E-ADB8-970FD85F5CEA}">
  <sheetPr codeName="Лист1">
    <outlinePr summaryBelow="0"/>
  </sheetPr>
  <dimension ref="A1:O64"/>
  <sheetViews>
    <sheetView zoomScale="85" zoomScaleNormal="85" workbookViewId="0">
      <selection activeCell="E30" sqref="E30"/>
    </sheetView>
  </sheetViews>
  <sheetFormatPr defaultRowHeight="15" outlineLevelRow="1"/>
  <cols>
    <col min="1" max="1" width="9.42578125" customWidth="1"/>
    <col min="2" max="2" width="51.28515625" customWidth="1"/>
    <col min="3" max="3" width="9.5703125" customWidth="1"/>
    <col min="4" max="4" width="9.42578125" customWidth="1"/>
    <col min="5" max="5" width="9.7109375" customWidth="1"/>
    <col min="6" max="6" width="10.5703125" customWidth="1"/>
    <col min="7" max="8" width="9.140625" customWidth="1"/>
    <col min="9" max="9" width="10.42578125" customWidth="1"/>
    <col min="10" max="10" width="8.7109375" customWidth="1"/>
    <col min="11" max="11" width="9.85546875" customWidth="1"/>
    <col min="14" max="14" width="6" customWidth="1"/>
  </cols>
  <sheetData>
    <row r="1" spans="1:15">
      <c r="A1" t="s">
        <v>91</v>
      </c>
      <c r="D1" t="s">
        <v>92</v>
      </c>
    </row>
    <row r="2" spans="1:15" ht="15.75" thickBot="1"/>
    <row r="3" spans="1:15" ht="15.75" customHeight="1">
      <c r="A3" s="303" t="s">
        <v>54</v>
      </c>
      <c r="B3" s="303"/>
      <c r="C3" s="303"/>
      <c r="D3" s="304"/>
      <c r="E3" s="295" t="s">
        <v>55</v>
      </c>
      <c r="F3" s="296"/>
      <c r="G3" s="297"/>
      <c r="H3" s="295" t="s">
        <v>56</v>
      </c>
      <c r="I3" s="296"/>
      <c r="J3" s="297"/>
      <c r="K3" s="295" t="s">
        <v>57</v>
      </c>
      <c r="L3" s="296"/>
      <c r="M3" s="297"/>
    </row>
    <row r="4" spans="1:15" ht="26.25" customHeight="1">
      <c r="A4" s="305" t="s">
        <v>58</v>
      </c>
      <c r="B4" s="305"/>
      <c r="C4" s="305"/>
      <c r="D4" s="306"/>
      <c r="E4" s="298" t="s">
        <v>88</v>
      </c>
      <c r="F4" s="299"/>
      <c r="G4" s="300"/>
      <c r="H4" s="298" t="s">
        <v>88</v>
      </c>
      <c r="I4" s="299"/>
      <c r="J4" s="300"/>
      <c r="K4" s="298" t="s">
        <v>88</v>
      </c>
      <c r="L4" s="299"/>
      <c r="M4" s="300"/>
    </row>
    <row r="5" spans="1:15">
      <c r="A5" s="307" t="s">
        <v>60</v>
      </c>
      <c r="B5" s="307"/>
      <c r="C5" s="307"/>
      <c r="D5" s="308"/>
      <c r="E5" s="298" t="s">
        <v>59</v>
      </c>
      <c r="F5" s="299"/>
      <c r="G5" s="300"/>
      <c r="H5" s="298" t="s">
        <v>59</v>
      </c>
      <c r="I5" s="299"/>
      <c r="J5" s="300"/>
      <c r="K5" s="298" t="s">
        <v>59</v>
      </c>
      <c r="L5" s="299"/>
      <c r="M5" s="300"/>
    </row>
    <row r="6" spans="1:15" ht="18.75" thickBot="1">
      <c r="A6" s="307" t="s">
        <v>61</v>
      </c>
      <c r="B6" s="307"/>
      <c r="C6" s="307"/>
      <c r="D6" s="308"/>
      <c r="E6" s="309">
        <v>106951</v>
      </c>
      <c r="F6" s="310"/>
      <c r="G6" s="311"/>
      <c r="H6" s="292">
        <v>107740</v>
      </c>
      <c r="I6" s="293"/>
      <c r="J6" s="294"/>
      <c r="K6" s="292">
        <v>52132</v>
      </c>
      <c r="L6" s="293"/>
      <c r="M6" s="294"/>
    </row>
    <row r="7" spans="1:15">
      <c r="A7" s="317"/>
      <c r="B7" s="317"/>
      <c r="C7" s="317" t="s">
        <v>52</v>
      </c>
      <c r="D7" s="318"/>
      <c r="E7" s="73"/>
      <c r="F7" s="74" t="s">
        <v>64</v>
      </c>
      <c r="G7" s="75" t="s">
        <v>65</v>
      </c>
      <c r="H7" s="73"/>
      <c r="I7" s="74" t="s">
        <v>64</v>
      </c>
      <c r="J7" s="75" t="s">
        <v>65</v>
      </c>
      <c r="K7" s="73"/>
      <c r="L7" s="74" t="s">
        <v>64</v>
      </c>
      <c r="M7" s="75" t="s">
        <v>65</v>
      </c>
    </row>
    <row r="8" spans="1:15">
      <c r="A8" s="316"/>
      <c r="B8" s="316"/>
      <c r="C8" s="314" t="s">
        <v>2</v>
      </c>
      <c r="D8" s="315"/>
      <c r="E8" s="79"/>
      <c r="F8" s="20">
        <v>10667.36</v>
      </c>
      <c r="G8" s="36">
        <v>9.9699999999999997E-2</v>
      </c>
      <c r="H8" s="45"/>
      <c r="I8" s="25">
        <f>$H$6*J8</f>
        <v>30802.865999999998</v>
      </c>
      <c r="J8" s="47">
        <v>0.28589999999999999</v>
      </c>
      <c r="K8" s="52"/>
      <c r="L8" s="6">
        <f>$K$6*M8</f>
        <v>13429.2032</v>
      </c>
      <c r="M8" s="36">
        <v>0.2576</v>
      </c>
    </row>
    <row r="9" spans="1:15">
      <c r="A9" s="316"/>
      <c r="B9" s="316"/>
      <c r="C9" s="314" t="s">
        <v>3</v>
      </c>
      <c r="D9" s="315"/>
      <c r="E9" s="79"/>
      <c r="F9" s="20">
        <v>9575.92</v>
      </c>
      <c r="G9" s="36">
        <v>8.9999999999999998E-4</v>
      </c>
      <c r="H9" s="45"/>
      <c r="I9" s="25">
        <f>$H$6*J9</f>
        <v>4223.4079999999994</v>
      </c>
      <c r="J9" s="47">
        <v>3.9199999999999999E-2</v>
      </c>
      <c r="K9" s="52"/>
      <c r="L9" s="3"/>
      <c r="M9" s="38" t="s">
        <v>62</v>
      </c>
    </row>
    <row r="10" spans="1:15">
      <c r="A10" s="316"/>
      <c r="B10" s="316"/>
      <c r="C10" s="314" t="s">
        <v>4</v>
      </c>
      <c r="D10" s="315"/>
      <c r="E10" s="52"/>
      <c r="F10" s="3"/>
      <c r="G10" s="38" t="s">
        <v>62</v>
      </c>
      <c r="H10" s="48"/>
      <c r="I10" s="22"/>
      <c r="J10" s="46" t="s">
        <v>62</v>
      </c>
      <c r="K10" s="52"/>
      <c r="L10" s="3"/>
      <c r="M10" s="38" t="s">
        <v>62</v>
      </c>
    </row>
    <row r="11" spans="1:15">
      <c r="A11" s="316"/>
      <c r="B11" s="316"/>
      <c r="C11" s="314" t="s">
        <v>5</v>
      </c>
      <c r="D11" s="315"/>
      <c r="E11" s="52"/>
      <c r="F11" s="3"/>
      <c r="G11" s="38" t="s">
        <v>62</v>
      </c>
      <c r="H11" s="48"/>
      <c r="I11" s="22"/>
      <c r="J11" s="46" t="s">
        <v>62</v>
      </c>
      <c r="K11" s="52"/>
      <c r="L11" s="3"/>
      <c r="M11" s="38" t="s">
        <v>62</v>
      </c>
    </row>
    <row r="12" spans="1:15">
      <c r="A12" s="316"/>
      <c r="B12" s="316"/>
      <c r="C12" s="314" t="s">
        <v>6</v>
      </c>
      <c r="D12" s="315"/>
      <c r="E12" s="52"/>
      <c r="F12" s="3"/>
      <c r="G12" s="38" t="s">
        <v>62</v>
      </c>
      <c r="H12" s="48"/>
      <c r="I12" s="22"/>
      <c r="J12" s="46" t="s">
        <v>62</v>
      </c>
      <c r="K12" s="52"/>
      <c r="L12" s="3"/>
      <c r="M12" s="38" t="s">
        <v>62</v>
      </c>
    </row>
    <row r="13" spans="1:15">
      <c r="A13" s="316"/>
      <c r="B13" s="316"/>
      <c r="C13" s="314" t="s">
        <v>7</v>
      </c>
      <c r="D13" s="315"/>
      <c r="E13" s="52"/>
      <c r="F13" s="3"/>
      <c r="G13" s="38" t="s">
        <v>62</v>
      </c>
      <c r="H13" s="48"/>
      <c r="I13" s="22"/>
      <c r="J13" s="46" t="s">
        <v>62</v>
      </c>
      <c r="K13" s="52"/>
      <c r="L13" s="3"/>
      <c r="M13" s="38" t="s">
        <v>62</v>
      </c>
    </row>
    <row r="14" spans="1:15" ht="15.75" customHeight="1" thickBot="1">
      <c r="A14" s="301" t="s">
        <v>53</v>
      </c>
      <c r="B14" s="301"/>
      <c r="C14" s="301"/>
      <c r="D14" s="302"/>
      <c r="E14" s="76"/>
      <c r="F14" s="77">
        <f>SUM(F8:F13)</f>
        <v>20243.28</v>
      </c>
      <c r="G14" s="78">
        <f>SUM(G8:G13)</f>
        <v>0.10059999999999999</v>
      </c>
      <c r="H14" s="76"/>
      <c r="I14" s="77">
        <f>SUM(I8:I13)</f>
        <v>35026.273999999998</v>
      </c>
      <c r="J14" s="78">
        <f>SUM(J8:J13)</f>
        <v>0.3251</v>
      </c>
      <c r="K14" s="76"/>
      <c r="L14" s="77">
        <f>SUM(L8:L13)</f>
        <v>13429.2032</v>
      </c>
      <c r="M14" s="78">
        <f>SUM(M8:M13)</f>
        <v>0.2576</v>
      </c>
    </row>
    <row r="15" spans="1:15" ht="15.75" thickBot="1">
      <c r="A15" s="16"/>
      <c r="B15" s="17"/>
      <c r="C15" s="18"/>
      <c r="D15" s="19"/>
      <c r="O15" t="s">
        <v>93</v>
      </c>
    </row>
    <row r="16" spans="1:15">
      <c r="A16" s="1" t="s">
        <v>0</v>
      </c>
      <c r="B16" s="7" t="s">
        <v>1</v>
      </c>
      <c r="C16" s="2" t="s">
        <v>52</v>
      </c>
      <c r="D16" s="55" t="s">
        <v>66</v>
      </c>
      <c r="E16" s="56" t="s">
        <v>63</v>
      </c>
      <c r="F16" s="57" t="s">
        <v>64</v>
      </c>
      <c r="G16" s="58" t="s">
        <v>65</v>
      </c>
      <c r="H16" s="56" t="s">
        <v>63</v>
      </c>
      <c r="I16" s="57" t="s">
        <v>64</v>
      </c>
      <c r="J16" s="58" t="s">
        <v>65</v>
      </c>
      <c r="K16" s="56" t="s">
        <v>63</v>
      </c>
      <c r="L16" s="57" t="s">
        <v>64</v>
      </c>
      <c r="M16" s="58" t="s">
        <v>65</v>
      </c>
      <c r="O16" t="s">
        <v>74</v>
      </c>
    </row>
    <row r="17" spans="1:15" ht="15" customHeight="1">
      <c r="A17" s="319" t="s">
        <v>67</v>
      </c>
      <c r="B17" s="8" t="s">
        <v>23</v>
      </c>
      <c r="C17" s="322" t="s">
        <v>2</v>
      </c>
      <c r="D17" s="325">
        <v>298.01</v>
      </c>
      <c r="E17" s="80">
        <v>21</v>
      </c>
      <c r="F17" s="81">
        <v>6256.6334999999999</v>
      </c>
      <c r="G17" s="82">
        <v>5.8500000000000003E-2</v>
      </c>
      <c r="H17" s="80">
        <v>21</v>
      </c>
      <c r="I17" s="81">
        <v>6256.6334999999999</v>
      </c>
      <c r="J17" s="82">
        <v>5.8500000000000003E-2</v>
      </c>
      <c r="K17" s="80">
        <v>21</v>
      </c>
      <c r="L17" s="81">
        <v>6256.6334999999999</v>
      </c>
      <c r="M17" s="82">
        <v>5.8500000000000003E-2</v>
      </c>
      <c r="O17" t="s">
        <v>75</v>
      </c>
    </row>
    <row r="18" spans="1:15" ht="16.5">
      <c r="A18" s="320"/>
      <c r="B18" s="9" t="s">
        <v>68</v>
      </c>
      <c r="C18" s="323"/>
      <c r="D18" s="326"/>
      <c r="E18" s="59"/>
      <c r="F18" s="5"/>
      <c r="G18" s="60"/>
      <c r="H18" s="66"/>
      <c r="I18" s="23"/>
      <c r="J18" s="67"/>
      <c r="K18" s="59"/>
      <c r="L18" s="5"/>
      <c r="M18" s="60"/>
      <c r="O18" t="s">
        <v>76</v>
      </c>
    </row>
    <row r="19" spans="1:15" ht="16.5">
      <c r="A19" s="320"/>
      <c r="B19" s="9" t="s">
        <v>69</v>
      </c>
      <c r="C19" s="323"/>
      <c r="D19" s="326"/>
      <c r="E19" s="61"/>
      <c r="G19" s="62"/>
      <c r="H19" s="68"/>
      <c r="I19" s="24"/>
      <c r="J19" s="69"/>
      <c r="K19" s="61"/>
      <c r="M19" s="62"/>
    </row>
    <row r="20" spans="1:15" ht="16.5">
      <c r="A20" s="320"/>
      <c r="B20" s="9" t="s">
        <v>70</v>
      </c>
      <c r="C20" s="323"/>
      <c r="D20" s="326"/>
      <c r="E20" s="61"/>
      <c r="G20" s="62"/>
      <c r="H20" s="68"/>
      <c r="I20" s="24"/>
      <c r="J20" s="69"/>
      <c r="K20" s="61"/>
      <c r="M20" s="62"/>
      <c r="O20" t="s">
        <v>77</v>
      </c>
    </row>
    <row r="21" spans="1:15" ht="16.5">
      <c r="A21" s="320"/>
      <c r="B21" s="9" t="s">
        <v>71</v>
      </c>
      <c r="C21" s="323"/>
      <c r="D21" s="326"/>
      <c r="E21" s="61"/>
      <c r="G21" s="62"/>
      <c r="H21" s="68"/>
      <c r="I21" s="24"/>
      <c r="J21" s="69"/>
      <c r="K21" s="61"/>
      <c r="M21" s="62"/>
      <c r="O21" t="s">
        <v>78</v>
      </c>
    </row>
    <row r="22" spans="1:15" ht="16.5">
      <c r="A22" s="320"/>
      <c r="B22" s="9" t="s">
        <v>72</v>
      </c>
      <c r="C22" s="323"/>
      <c r="D22" s="326"/>
      <c r="E22" s="61"/>
      <c r="G22" s="62"/>
      <c r="H22" s="68"/>
      <c r="I22" s="24"/>
      <c r="J22" s="69"/>
      <c r="K22" s="61"/>
      <c r="M22" s="62"/>
      <c r="O22" t="s">
        <v>81</v>
      </c>
    </row>
    <row r="23" spans="1:15" ht="17.25" thickBot="1">
      <c r="A23" s="321"/>
      <c r="B23" s="10" t="s">
        <v>73</v>
      </c>
      <c r="C23" s="324"/>
      <c r="D23" s="327"/>
      <c r="E23" s="63"/>
      <c r="F23" s="64"/>
      <c r="G23" s="65"/>
      <c r="H23" s="70"/>
      <c r="I23" s="71"/>
      <c r="J23" s="72"/>
      <c r="K23" s="63"/>
      <c r="L23" s="64"/>
      <c r="M23" s="65"/>
      <c r="O23" t="s">
        <v>79</v>
      </c>
    </row>
    <row r="24" spans="1:15" ht="15.75" thickBot="1">
      <c r="A24" s="16"/>
      <c r="B24" s="17"/>
      <c r="C24" s="18"/>
      <c r="D24" s="19"/>
    </row>
    <row r="25" spans="1:15" ht="15.75" customHeight="1">
      <c r="A25" s="312" t="s">
        <v>80</v>
      </c>
      <c r="B25" s="313"/>
      <c r="C25" s="313"/>
      <c r="D25" s="313"/>
      <c r="E25" s="30"/>
      <c r="F25" s="31">
        <f>SUM(F35:F49)</f>
        <v>39133.370899999994</v>
      </c>
      <c r="G25" s="32">
        <f>SUM(G35:G49)</f>
        <v>0.3659</v>
      </c>
      <c r="H25" s="30"/>
      <c r="I25" s="31">
        <f>SUM(I35:I49)</f>
        <v>37127.203999999998</v>
      </c>
      <c r="J25" s="32">
        <f>SUM(J35:J49)</f>
        <v>0.34459999999999996</v>
      </c>
      <c r="K25" s="30"/>
      <c r="L25" s="31">
        <f>SUM(L35:L49)</f>
        <v>17485.072800000002</v>
      </c>
      <c r="M25" s="32">
        <f>SUM(M35:M49)</f>
        <v>0.33540000000000003</v>
      </c>
    </row>
    <row r="26" spans="1:15" outlineLevel="1">
      <c r="A26" s="11" t="s">
        <v>0</v>
      </c>
      <c r="B26" s="11" t="s">
        <v>1</v>
      </c>
      <c r="C26" s="12" t="s">
        <v>52</v>
      </c>
      <c r="D26" s="26" t="s">
        <v>66</v>
      </c>
      <c r="E26" s="33" t="s">
        <v>63</v>
      </c>
      <c r="F26" s="13" t="s">
        <v>64</v>
      </c>
      <c r="G26" s="34" t="s">
        <v>65</v>
      </c>
      <c r="H26" s="33" t="s">
        <v>63</v>
      </c>
      <c r="I26" s="13" t="s">
        <v>64</v>
      </c>
      <c r="J26" s="34" t="s">
        <v>65</v>
      </c>
      <c r="K26" s="33" t="s">
        <v>63</v>
      </c>
      <c r="L26" s="13" t="s">
        <v>64</v>
      </c>
      <c r="M26" s="34" t="s">
        <v>65</v>
      </c>
    </row>
    <row r="27" spans="1:15" outlineLevel="1">
      <c r="A27" s="14" t="s">
        <v>8</v>
      </c>
      <c r="B27" s="14" t="s">
        <v>9</v>
      </c>
      <c r="C27" s="15" t="s">
        <v>2</v>
      </c>
      <c r="D27" s="27">
        <v>100.35</v>
      </c>
      <c r="E27" s="35">
        <v>155</v>
      </c>
      <c r="F27" s="6">
        <f t="shared" ref="F27:F35" si="0">$E$6*G27</f>
        <v>15550.6754</v>
      </c>
      <c r="G27" s="36">
        <v>0.1454</v>
      </c>
      <c r="H27" s="45"/>
      <c r="I27" s="21"/>
      <c r="J27" s="46" t="s">
        <v>62</v>
      </c>
      <c r="K27" s="52"/>
      <c r="L27" s="3"/>
      <c r="M27" s="38" t="s">
        <v>62</v>
      </c>
    </row>
    <row r="28" spans="1:15" outlineLevel="1">
      <c r="A28" s="14" t="s">
        <v>10</v>
      </c>
      <c r="B28" s="14" t="s">
        <v>11</v>
      </c>
      <c r="C28" s="15" t="s">
        <v>2</v>
      </c>
      <c r="D28" s="27">
        <v>120.53</v>
      </c>
      <c r="E28" s="35">
        <v>74</v>
      </c>
      <c r="F28" s="6">
        <f t="shared" si="0"/>
        <v>8919.7134000000005</v>
      </c>
      <c r="G28" s="36">
        <v>8.3400000000000002E-2</v>
      </c>
      <c r="H28" s="45"/>
      <c r="I28" s="21">
        <f t="shared" ref="I28:I45" si="1">$H$6*J28</f>
        <v>2650.404</v>
      </c>
      <c r="J28" s="47">
        <v>2.46E-2</v>
      </c>
      <c r="K28" s="52"/>
      <c r="L28" s="6">
        <f>$K$6*M28</f>
        <v>4217.4787999999999</v>
      </c>
      <c r="M28" s="36">
        <v>8.09E-2</v>
      </c>
    </row>
    <row r="29" spans="1:15" outlineLevel="1">
      <c r="A29" s="14" t="s">
        <v>12</v>
      </c>
      <c r="B29" s="14" t="s">
        <v>13</v>
      </c>
      <c r="C29" s="15" t="s">
        <v>2</v>
      </c>
      <c r="D29" s="27">
        <v>557.77</v>
      </c>
      <c r="E29" s="35">
        <v>7</v>
      </c>
      <c r="F29" s="6">
        <f t="shared" si="0"/>
        <v>3903.7114999999999</v>
      </c>
      <c r="G29" s="36">
        <v>3.6499999999999998E-2</v>
      </c>
      <c r="H29" s="45"/>
      <c r="I29" s="21">
        <f t="shared" si="1"/>
        <v>4460.4359999999997</v>
      </c>
      <c r="J29" s="47">
        <v>4.1399999999999999E-2</v>
      </c>
      <c r="K29" s="52"/>
      <c r="L29" s="6">
        <f t="shared" ref="L29:L39" si="2">$K$6*M29</f>
        <v>1673.4371999999998</v>
      </c>
      <c r="M29" s="36">
        <v>3.2099999999999997E-2</v>
      </c>
    </row>
    <row r="30" spans="1:15" outlineLevel="1">
      <c r="A30" s="14" t="s">
        <v>14</v>
      </c>
      <c r="B30" s="14" t="s">
        <v>15</v>
      </c>
      <c r="C30" s="15" t="s">
        <v>2</v>
      </c>
      <c r="D30" s="27">
        <v>161.11000000000001</v>
      </c>
      <c r="E30" s="35">
        <v>39</v>
      </c>
      <c r="F30" s="6">
        <f t="shared" si="0"/>
        <v>6278.0237000000006</v>
      </c>
      <c r="G30" s="36">
        <v>5.8700000000000002E-2</v>
      </c>
      <c r="H30" s="45"/>
      <c r="I30" s="21">
        <f t="shared" si="1"/>
        <v>6442.8519999999999</v>
      </c>
      <c r="J30" s="47">
        <v>5.9799999999999999E-2</v>
      </c>
      <c r="K30" s="52"/>
      <c r="L30" s="6">
        <f t="shared" si="2"/>
        <v>3221.7575999999999</v>
      </c>
      <c r="M30" s="36">
        <v>6.1800000000000001E-2</v>
      </c>
    </row>
    <row r="31" spans="1:15" outlineLevel="1">
      <c r="A31" s="14" t="s">
        <v>16</v>
      </c>
      <c r="B31" s="14" t="s">
        <v>17</v>
      </c>
      <c r="C31" s="15" t="s">
        <v>2</v>
      </c>
      <c r="D31" s="28">
        <v>2063.6999999999998</v>
      </c>
      <c r="E31" s="35">
        <v>2</v>
      </c>
      <c r="F31" s="6">
        <f t="shared" si="0"/>
        <v>4128.3086000000003</v>
      </c>
      <c r="G31" s="36">
        <v>3.8600000000000002E-2</v>
      </c>
      <c r="H31" s="45"/>
      <c r="I31" s="21">
        <f t="shared" si="1"/>
        <v>6195.05</v>
      </c>
      <c r="J31" s="47">
        <v>5.7500000000000002E-2</v>
      </c>
      <c r="K31" s="52"/>
      <c r="L31" s="6">
        <f t="shared" si="2"/>
        <v>4128.8544000000002</v>
      </c>
      <c r="M31" s="36">
        <v>7.9200000000000007E-2</v>
      </c>
    </row>
    <row r="32" spans="1:15" outlineLevel="1">
      <c r="A32" s="14" t="s">
        <v>18</v>
      </c>
      <c r="B32" s="14" t="s">
        <v>19</v>
      </c>
      <c r="C32" s="15" t="s">
        <v>2</v>
      </c>
      <c r="D32" s="27">
        <v>122.32</v>
      </c>
      <c r="E32" s="35">
        <v>55</v>
      </c>
      <c r="F32" s="6">
        <f t="shared" si="0"/>
        <v>6727.2178999999996</v>
      </c>
      <c r="G32" s="36">
        <v>6.2899999999999998E-2</v>
      </c>
      <c r="H32" s="45"/>
      <c r="I32" s="21">
        <f t="shared" si="1"/>
        <v>4277.2780000000002</v>
      </c>
      <c r="J32" s="47">
        <v>3.9699999999999999E-2</v>
      </c>
      <c r="K32" s="52"/>
      <c r="L32" s="6">
        <f t="shared" si="2"/>
        <v>2444.9908</v>
      </c>
      <c r="M32" s="36">
        <v>4.6899999999999997E-2</v>
      </c>
    </row>
    <row r="33" spans="1:13" outlineLevel="1">
      <c r="A33" s="14" t="s">
        <v>20</v>
      </c>
      <c r="B33" s="14" t="s">
        <v>21</v>
      </c>
      <c r="C33" s="15" t="s">
        <v>2</v>
      </c>
      <c r="D33" s="27">
        <v>195.78</v>
      </c>
      <c r="E33" s="35">
        <v>27</v>
      </c>
      <c r="F33" s="6">
        <f t="shared" si="0"/>
        <v>5283.3793999999998</v>
      </c>
      <c r="G33" s="36">
        <v>4.9399999999999999E-2</v>
      </c>
      <c r="H33" s="45"/>
      <c r="I33" s="21">
        <f t="shared" si="1"/>
        <v>5290.0339999999997</v>
      </c>
      <c r="J33" s="47">
        <v>4.9099999999999998E-2</v>
      </c>
      <c r="K33" s="52"/>
      <c r="L33" s="6">
        <f t="shared" si="2"/>
        <v>2544.0416</v>
      </c>
      <c r="M33" s="36">
        <v>4.8800000000000003E-2</v>
      </c>
    </row>
    <row r="34" spans="1:13" outlineLevel="1">
      <c r="A34" s="14" t="s">
        <v>22</v>
      </c>
      <c r="B34" s="14" t="s">
        <v>23</v>
      </c>
      <c r="C34" s="15" t="s">
        <v>2</v>
      </c>
      <c r="D34" s="27">
        <v>298.01</v>
      </c>
      <c r="E34" s="35">
        <v>21</v>
      </c>
      <c r="F34" s="6">
        <f t="shared" si="0"/>
        <v>6256.6334999999999</v>
      </c>
      <c r="G34" s="36">
        <v>5.8500000000000003E-2</v>
      </c>
      <c r="H34" s="45"/>
      <c r="I34" s="21">
        <f t="shared" si="1"/>
        <v>6259.6939999999995</v>
      </c>
      <c r="J34" s="47">
        <v>5.8099999999999999E-2</v>
      </c>
      <c r="K34" s="52"/>
      <c r="L34" s="6">
        <f t="shared" si="2"/>
        <v>2981.9504000000002</v>
      </c>
      <c r="M34" s="36">
        <v>5.7200000000000001E-2</v>
      </c>
    </row>
    <row r="35" spans="1:13" outlineLevel="1">
      <c r="A35" s="14" t="s">
        <v>24</v>
      </c>
      <c r="B35" s="14" t="s">
        <v>25</v>
      </c>
      <c r="C35" s="15" t="s">
        <v>2</v>
      </c>
      <c r="D35" s="27">
        <v>170.68</v>
      </c>
      <c r="E35" s="35">
        <v>60</v>
      </c>
      <c r="F35" s="6">
        <f t="shared" si="0"/>
        <v>10245.9058</v>
      </c>
      <c r="G35" s="36">
        <v>9.5799999999999996E-2</v>
      </c>
      <c r="H35" s="45"/>
      <c r="I35" s="21">
        <f t="shared" si="1"/>
        <v>7337.0939999999991</v>
      </c>
      <c r="J35" s="47">
        <v>6.8099999999999994E-2</v>
      </c>
      <c r="K35" s="52"/>
      <c r="L35" s="6">
        <f t="shared" si="2"/>
        <v>3414.6460000000002</v>
      </c>
      <c r="M35" s="36">
        <v>6.5500000000000003E-2</v>
      </c>
    </row>
    <row r="36" spans="1:13" outlineLevel="1">
      <c r="A36" s="14" t="s">
        <v>26</v>
      </c>
      <c r="B36" s="14" t="s">
        <v>27</v>
      </c>
      <c r="C36" s="14"/>
      <c r="D36" s="29"/>
      <c r="E36" s="37"/>
      <c r="F36" s="6"/>
      <c r="G36" s="38" t="s">
        <v>62</v>
      </c>
      <c r="H36" s="48"/>
      <c r="I36" s="21"/>
      <c r="J36" s="46" t="s">
        <v>62</v>
      </c>
      <c r="K36" s="52"/>
      <c r="L36" s="3"/>
      <c r="M36" s="38" t="s">
        <v>62</v>
      </c>
    </row>
    <row r="37" spans="1:13" outlineLevel="1">
      <c r="A37" s="14" t="s">
        <v>28</v>
      </c>
      <c r="B37" s="14" t="s">
        <v>29</v>
      </c>
      <c r="C37" s="15" t="s">
        <v>2</v>
      </c>
      <c r="D37" s="27">
        <v>671.16</v>
      </c>
      <c r="E37" s="35">
        <v>5</v>
      </c>
      <c r="F37" s="6">
        <f>$E$6*G37</f>
        <v>3358.2613999999999</v>
      </c>
      <c r="G37" s="36">
        <v>3.1399999999999997E-2</v>
      </c>
      <c r="H37" s="45"/>
      <c r="I37" s="21">
        <f t="shared" si="1"/>
        <v>3361.4879999999998</v>
      </c>
      <c r="J37" s="47">
        <v>3.1199999999999999E-2</v>
      </c>
      <c r="K37" s="52"/>
      <c r="L37" s="6">
        <f t="shared" si="2"/>
        <v>2012.2952</v>
      </c>
      <c r="M37" s="36">
        <v>3.8600000000000002E-2</v>
      </c>
    </row>
    <row r="38" spans="1:13" outlineLevel="1">
      <c r="A38" s="14" t="s">
        <v>30</v>
      </c>
      <c r="B38" s="14" t="s">
        <v>31</v>
      </c>
      <c r="C38" s="14"/>
      <c r="D38" s="29"/>
      <c r="E38" s="37"/>
      <c r="F38" s="6"/>
      <c r="G38" s="38" t="s">
        <v>62</v>
      </c>
      <c r="H38" s="48"/>
      <c r="I38" s="21"/>
      <c r="J38" s="46" t="s">
        <v>62</v>
      </c>
      <c r="K38" s="52"/>
      <c r="L38" s="3"/>
      <c r="M38" s="38" t="s">
        <v>62</v>
      </c>
    </row>
    <row r="39" spans="1:13" outlineLevel="1">
      <c r="A39" s="14" t="s">
        <v>32</v>
      </c>
      <c r="B39" s="14" t="s">
        <v>33</v>
      </c>
      <c r="C39" s="14"/>
      <c r="D39" s="29"/>
      <c r="E39" s="37"/>
      <c r="F39" s="6"/>
      <c r="G39" s="38" t="s">
        <v>62</v>
      </c>
      <c r="H39" s="48"/>
      <c r="I39" s="21">
        <f t="shared" si="1"/>
        <v>3921.7360000000003</v>
      </c>
      <c r="J39" s="47">
        <v>3.6400000000000002E-2</v>
      </c>
      <c r="K39" s="52"/>
      <c r="L39" s="6">
        <f t="shared" si="2"/>
        <v>1683.8636000000001</v>
      </c>
      <c r="M39" s="36">
        <v>3.2300000000000002E-2</v>
      </c>
    </row>
    <row r="40" spans="1:13" outlineLevel="1">
      <c r="A40" s="14" t="s">
        <v>34</v>
      </c>
      <c r="B40" s="14" t="s">
        <v>35</v>
      </c>
      <c r="C40" s="14"/>
      <c r="D40" s="29"/>
      <c r="E40" s="37"/>
      <c r="F40" s="6"/>
      <c r="G40" s="38" t="s">
        <v>62</v>
      </c>
      <c r="H40" s="48"/>
      <c r="I40" s="21"/>
      <c r="J40" s="46" t="s">
        <v>62</v>
      </c>
      <c r="K40" s="52"/>
      <c r="L40" s="3"/>
      <c r="M40" s="38" t="s">
        <v>62</v>
      </c>
    </row>
    <row r="41" spans="1:13" outlineLevel="1">
      <c r="A41" s="14" t="s">
        <v>36</v>
      </c>
      <c r="B41" s="14" t="s">
        <v>37</v>
      </c>
      <c r="C41" s="14"/>
      <c r="D41" s="29"/>
      <c r="E41" s="37"/>
      <c r="F41" s="6"/>
      <c r="G41" s="38" t="s">
        <v>62</v>
      </c>
      <c r="H41" s="48"/>
      <c r="I41" s="21"/>
      <c r="J41" s="46" t="s">
        <v>62</v>
      </c>
      <c r="K41" s="52"/>
      <c r="L41" s="3"/>
      <c r="M41" s="38" t="s">
        <v>62</v>
      </c>
    </row>
    <row r="42" spans="1:13" outlineLevel="1">
      <c r="A42" s="14" t="s">
        <v>38</v>
      </c>
      <c r="B42" s="14" t="s">
        <v>39</v>
      </c>
      <c r="C42" s="14"/>
      <c r="D42" s="29"/>
      <c r="E42" s="39"/>
      <c r="F42" s="6"/>
      <c r="G42" s="38" t="s">
        <v>62</v>
      </c>
      <c r="H42" s="48"/>
      <c r="I42" s="21"/>
      <c r="J42" s="46" t="s">
        <v>62</v>
      </c>
      <c r="K42" s="52"/>
      <c r="L42" s="3"/>
      <c r="M42" s="38" t="s">
        <v>62</v>
      </c>
    </row>
    <row r="43" spans="1:13" outlineLevel="1">
      <c r="A43" s="14" t="s">
        <v>40</v>
      </c>
      <c r="B43" s="14" t="s">
        <v>41</v>
      </c>
      <c r="C43" s="15" t="s">
        <v>2</v>
      </c>
      <c r="D43" s="27">
        <v>83.09</v>
      </c>
      <c r="E43" s="40">
        <v>24</v>
      </c>
      <c r="F43" s="6">
        <f>$E$6*G43</f>
        <v>1989.2885999999999</v>
      </c>
      <c r="G43" s="36">
        <v>1.8599999999999998E-2</v>
      </c>
      <c r="H43" s="45"/>
      <c r="I43" s="21">
        <f t="shared" si="1"/>
        <v>3070.59</v>
      </c>
      <c r="J43" s="47">
        <v>2.8500000000000001E-2</v>
      </c>
      <c r="K43" s="52"/>
      <c r="L43" s="6">
        <f>$K$6*M43</f>
        <v>995.72119999999995</v>
      </c>
      <c r="M43" s="36">
        <v>1.9099999999999999E-2</v>
      </c>
    </row>
    <row r="44" spans="1:13" outlineLevel="1">
      <c r="A44" s="14" t="s">
        <v>42</v>
      </c>
      <c r="B44" s="14" t="s">
        <v>43</v>
      </c>
      <c r="C44" s="15" t="s">
        <v>2</v>
      </c>
      <c r="D44" s="27">
        <v>486.01</v>
      </c>
      <c r="E44" s="40">
        <v>40</v>
      </c>
      <c r="F44" s="6">
        <f>$E$6*G44</f>
        <v>19443.691800000001</v>
      </c>
      <c r="G44" s="36">
        <v>0.18179999999999999</v>
      </c>
      <c r="H44" s="45"/>
      <c r="I44" s="21">
        <f t="shared" si="1"/>
        <v>15072.825999999999</v>
      </c>
      <c r="J44" s="47">
        <v>0.1399</v>
      </c>
      <c r="K44" s="52"/>
      <c r="L44" s="6">
        <f>$K$6*M44</f>
        <v>7288.0536000000002</v>
      </c>
      <c r="M44" s="36">
        <v>0.13980000000000001</v>
      </c>
    </row>
    <row r="45" spans="1:13" outlineLevel="1">
      <c r="A45" s="14" t="s">
        <v>44</v>
      </c>
      <c r="B45" s="14" t="s">
        <v>45</v>
      </c>
      <c r="C45" s="15" t="s">
        <v>2</v>
      </c>
      <c r="D45" s="27">
        <v>90.99</v>
      </c>
      <c r="E45" s="40">
        <v>45</v>
      </c>
      <c r="F45" s="6">
        <f>$E$6*G45</f>
        <v>4096.2232999999997</v>
      </c>
      <c r="G45" s="36">
        <v>3.8300000000000001E-2</v>
      </c>
      <c r="H45" s="45"/>
      <c r="I45" s="21">
        <f t="shared" si="1"/>
        <v>4363.47</v>
      </c>
      <c r="J45" s="47">
        <v>4.0500000000000001E-2</v>
      </c>
      <c r="K45" s="52"/>
      <c r="L45" s="6">
        <f>$K$6*M45</f>
        <v>2090.4931999999999</v>
      </c>
      <c r="M45" s="36">
        <v>4.0099999999999997E-2</v>
      </c>
    </row>
    <row r="46" spans="1:13" outlineLevel="1">
      <c r="A46" s="14" t="s">
        <v>46</v>
      </c>
      <c r="B46" s="14" t="s">
        <v>47</v>
      </c>
      <c r="C46" s="14"/>
      <c r="D46" s="29"/>
      <c r="E46" s="41"/>
      <c r="F46" s="6"/>
      <c r="G46" s="38" t="s">
        <v>62</v>
      </c>
      <c r="H46" s="48"/>
      <c r="I46" s="22"/>
      <c r="J46" s="46" t="s">
        <v>62</v>
      </c>
      <c r="K46" s="52"/>
      <c r="L46" s="3"/>
      <c r="M46" s="38" t="s">
        <v>62</v>
      </c>
    </row>
    <row r="47" spans="1:13" outlineLevel="1">
      <c r="A47" s="14" t="s">
        <v>48</v>
      </c>
      <c r="B47" s="14" t="s">
        <v>49</v>
      </c>
      <c r="C47" s="14"/>
      <c r="D47" s="29"/>
      <c r="E47" s="41"/>
      <c r="F47" s="6"/>
      <c r="G47" s="38" t="s">
        <v>62</v>
      </c>
      <c r="H47" s="48"/>
      <c r="I47" s="22"/>
      <c r="J47" s="46" t="s">
        <v>62</v>
      </c>
      <c r="K47" s="52"/>
      <c r="L47" s="3"/>
      <c r="M47" s="38" t="s">
        <v>62</v>
      </c>
    </row>
    <row r="48" spans="1:13" ht="15.75" outlineLevel="1" thickBot="1">
      <c r="A48" s="14" t="s">
        <v>50</v>
      </c>
      <c r="B48" s="14" t="s">
        <v>51</v>
      </c>
      <c r="C48" s="14"/>
      <c r="D48" s="29"/>
      <c r="E48" s="42"/>
      <c r="F48" s="43"/>
      <c r="G48" s="44" t="s">
        <v>62</v>
      </c>
      <c r="H48" s="49"/>
      <c r="I48" s="50"/>
      <c r="J48" s="51" t="s">
        <v>62</v>
      </c>
      <c r="K48" s="53"/>
      <c r="L48" s="54"/>
      <c r="M48" s="44" t="s">
        <v>62</v>
      </c>
    </row>
    <row r="57" spans="2:2" ht="16.5">
      <c r="B57" s="4"/>
    </row>
    <row r="58" spans="2:2" ht="16.5">
      <c r="B58" s="4"/>
    </row>
    <row r="59" spans="2:2" ht="16.5">
      <c r="B59" s="4"/>
    </row>
    <row r="60" spans="2:2" ht="16.5">
      <c r="B60" s="4"/>
    </row>
    <row r="61" spans="2:2" ht="16.5">
      <c r="B61" s="4"/>
    </row>
    <row r="62" spans="2:2" ht="16.5">
      <c r="B62" s="4"/>
    </row>
    <row r="63" spans="2:2" ht="16.5">
      <c r="B63" s="4"/>
    </row>
    <row r="64" spans="2:2" ht="16.5">
      <c r="B64" s="4"/>
    </row>
  </sheetData>
  <mergeCells count="30">
    <mergeCell ref="E6:G6"/>
    <mergeCell ref="A25:D25"/>
    <mergeCell ref="C8:D8"/>
    <mergeCell ref="C9:D9"/>
    <mergeCell ref="A8:B13"/>
    <mergeCell ref="A7:B7"/>
    <mergeCell ref="C10:D10"/>
    <mergeCell ref="C11:D11"/>
    <mergeCell ref="C12:D12"/>
    <mergeCell ref="C13:D13"/>
    <mergeCell ref="C7:D7"/>
    <mergeCell ref="A17:A23"/>
    <mergeCell ref="C17:C23"/>
    <mergeCell ref="D17:D23"/>
    <mergeCell ref="K6:M6"/>
    <mergeCell ref="K3:M3"/>
    <mergeCell ref="K4:M4"/>
    <mergeCell ref="K5:M5"/>
    <mergeCell ref="A14:D14"/>
    <mergeCell ref="H3:J3"/>
    <mergeCell ref="H4:J4"/>
    <mergeCell ref="H5:J5"/>
    <mergeCell ref="H6:J6"/>
    <mergeCell ref="A3:D3"/>
    <mergeCell ref="A4:D4"/>
    <mergeCell ref="A5:D5"/>
    <mergeCell ref="A6:D6"/>
    <mergeCell ref="E3:G3"/>
    <mergeCell ref="E4:G4"/>
    <mergeCell ref="E5:G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ToggleButton6">
          <controlPr defaultSize="0" autoLine="0" r:id="rId5">
            <anchor moveWithCells="1">
              <from>
                <xdr:col>4</xdr:col>
                <xdr:colOff>133350</xdr:colOff>
                <xdr:row>18</xdr:row>
                <xdr:rowOff>57150</xdr:rowOff>
              </from>
              <to>
                <xdr:col>5</xdr:col>
                <xdr:colOff>257175</xdr:colOff>
                <xdr:row>19</xdr:row>
                <xdr:rowOff>104775</xdr:rowOff>
              </to>
            </anchor>
          </controlPr>
        </control>
      </mc:Choice>
      <mc:Fallback>
        <control shapeId="1048" r:id="rId4" name="ToggleButton6"/>
      </mc:Fallback>
    </mc:AlternateContent>
    <mc:AlternateContent xmlns:mc="http://schemas.openxmlformats.org/markup-compatibility/2006">
      <mc:Choice Requires="x14">
        <control shapeId="1049" r:id="rId6" name="ToggleButton7">
          <controlPr defaultSize="0" autoLine="0" r:id="rId7">
            <anchor moveWithCells="1">
              <from>
                <xdr:col>5</xdr:col>
                <xdr:colOff>466725</xdr:colOff>
                <xdr:row>18</xdr:row>
                <xdr:rowOff>57150</xdr:rowOff>
              </from>
              <to>
                <xdr:col>6</xdr:col>
                <xdr:colOff>533400</xdr:colOff>
                <xdr:row>19</xdr:row>
                <xdr:rowOff>104775</xdr:rowOff>
              </to>
            </anchor>
          </controlPr>
        </control>
      </mc:Choice>
      <mc:Fallback>
        <control shapeId="1049" r:id="rId6" name="ToggleButton7"/>
      </mc:Fallback>
    </mc:AlternateContent>
    <mc:AlternateContent xmlns:mc="http://schemas.openxmlformats.org/markup-compatibility/2006">
      <mc:Choice Requires="x14">
        <control shapeId="1051" r:id="rId8" name="ToggleButton8">
          <controlPr defaultSize="0" autoLine="0" r:id="rId9">
            <anchor moveWithCells="1">
              <from>
                <xdr:col>7</xdr:col>
                <xdr:colOff>133350</xdr:colOff>
                <xdr:row>18</xdr:row>
                <xdr:rowOff>57150</xdr:rowOff>
              </from>
              <to>
                <xdr:col>8</xdr:col>
                <xdr:colOff>295275</xdr:colOff>
                <xdr:row>19</xdr:row>
                <xdr:rowOff>104775</xdr:rowOff>
              </to>
            </anchor>
          </controlPr>
        </control>
      </mc:Choice>
      <mc:Fallback>
        <control shapeId="1051" r:id="rId8" name="ToggleButton8"/>
      </mc:Fallback>
    </mc:AlternateContent>
    <mc:AlternateContent xmlns:mc="http://schemas.openxmlformats.org/markup-compatibility/2006">
      <mc:Choice Requires="x14">
        <control shapeId="1052" r:id="rId10" name="ToggleButton9">
          <controlPr defaultSize="0" autoLine="0" r:id="rId7">
            <anchor moveWithCells="1">
              <from>
                <xdr:col>8</xdr:col>
                <xdr:colOff>466725</xdr:colOff>
                <xdr:row>18</xdr:row>
                <xdr:rowOff>57150</xdr:rowOff>
              </from>
              <to>
                <xdr:col>9</xdr:col>
                <xdr:colOff>542925</xdr:colOff>
                <xdr:row>19</xdr:row>
                <xdr:rowOff>104775</xdr:rowOff>
              </to>
            </anchor>
          </controlPr>
        </control>
      </mc:Choice>
      <mc:Fallback>
        <control shapeId="1052" r:id="rId10" name="ToggleButton9"/>
      </mc:Fallback>
    </mc:AlternateContent>
    <mc:AlternateContent xmlns:mc="http://schemas.openxmlformats.org/markup-compatibility/2006">
      <mc:Choice Requires="x14">
        <control shapeId="1054" r:id="rId11" name="ToggleButton10">
          <controlPr defaultSize="0" autoLine="0" r:id="rId9">
            <anchor moveWithCells="1">
              <from>
                <xdr:col>10</xdr:col>
                <xdr:colOff>133350</xdr:colOff>
                <xdr:row>18</xdr:row>
                <xdr:rowOff>57150</xdr:rowOff>
              </from>
              <to>
                <xdr:col>11</xdr:col>
                <xdr:colOff>247650</xdr:colOff>
                <xdr:row>19</xdr:row>
                <xdr:rowOff>104775</xdr:rowOff>
              </to>
            </anchor>
          </controlPr>
        </control>
      </mc:Choice>
      <mc:Fallback>
        <control shapeId="1054" r:id="rId11" name="ToggleButton10"/>
      </mc:Fallback>
    </mc:AlternateContent>
    <mc:AlternateContent xmlns:mc="http://schemas.openxmlformats.org/markup-compatibility/2006">
      <mc:Choice Requires="x14">
        <control shapeId="1055" r:id="rId12" name="ToggleButton11">
          <controlPr defaultSize="0" autoLine="0" r:id="rId7">
            <anchor moveWithCells="1">
              <from>
                <xdr:col>11</xdr:col>
                <xdr:colOff>371475</xdr:colOff>
                <xdr:row>18</xdr:row>
                <xdr:rowOff>66675</xdr:rowOff>
              </from>
              <to>
                <xdr:col>12</xdr:col>
                <xdr:colOff>533400</xdr:colOff>
                <xdr:row>19</xdr:row>
                <xdr:rowOff>114300</xdr:rowOff>
              </to>
            </anchor>
          </controlPr>
        </control>
      </mc:Choice>
      <mc:Fallback>
        <control shapeId="1055" r:id="rId12" name="ToggleButton11"/>
      </mc:Fallback>
    </mc:AlternateContent>
    <mc:AlternateContent xmlns:mc="http://schemas.openxmlformats.org/markup-compatibility/2006">
      <mc:Choice Requires="x14">
        <control shapeId="1047" r:id="rId13" name="Button 23">
          <controlPr defaultSize="0" print="0" autoFill="0" autoPict="0">
            <anchor moveWithCells="1" sizeWithCells="1">
              <from>
                <xdr:col>4</xdr:col>
                <xdr:colOff>114300</xdr:colOff>
                <xdr:row>20</xdr:row>
                <xdr:rowOff>190500</xdr:rowOff>
              </from>
              <to>
                <xdr:col>6</xdr:col>
                <xdr:colOff>523875</xdr:colOff>
                <xdr:row>22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4" name="Button 26">
          <controlPr defaultSize="0" print="0" autoFill="0" autoPict="0">
            <anchor moveWithCells="1" sizeWithCells="1">
              <from>
                <xdr:col>7</xdr:col>
                <xdr:colOff>114300</xdr:colOff>
                <xdr:row>20</xdr:row>
                <xdr:rowOff>190500</xdr:rowOff>
              </from>
              <to>
                <xdr:col>9</xdr:col>
                <xdr:colOff>523875</xdr:colOff>
                <xdr:row>22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5" name="Button 29">
          <controlPr defaultSize="0" print="0" autoFill="0" autoPict="0">
            <anchor moveWithCells="1" sizeWithCells="1">
              <from>
                <xdr:col>10</xdr:col>
                <xdr:colOff>114300</xdr:colOff>
                <xdr:row>20</xdr:row>
                <xdr:rowOff>190500</xdr:rowOff>
              </from>
              <to>
                <xdr:col>12</xdr:col>
                <xdr:colOff>523875</xdr:colOff>
                <xdr:row>22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6" name="Drop Down 32">
          <controlPr defaultSize="0" autoLine="0" autoPict="0">
            <anchor moveWithCells="1">
              <from>
                <xdr:col>1</xdr:col>
                <xdr:colOff>9525</xdr:colOff>
                <xdr:row>0</xdr:row>
                <xdr:rowOff>57150</xdr:rowOff>
              </from>
              <to>
                <xdr:col>1</xdr:col>
                <xdr:colOff>3305175</xdr:colOff>
                <xdr:row>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7" name="Drop Down 33">
          <controlPr defaultSize="0" autoLine="0" autoPict="0">
            <anchor moveWithCells="1">
              <from>
                <xdr:col>4</xdr:col>
                <xdr:colOff>47625</xdr:colOff>
                <xdr:row>0</xdr:row>
                <xdr:rowOff>28575</xdr:rowOff>
              </from>
              <to>
                <xdr:col>7</xdr:col>
                <xdr:colOff>361950</xdr:colOff>
                <xdr:row>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B2683-2334-45F2-A375-C022B1ABAE5F}">
  <sheetPr codeName="Лист4"/>
  <dimension ref="A1:W30"/>
  <sheetViews>
    <sheetView workbookViewId="0">
      <selection activeCell="D33" sqref="D33"/>
    </sheetView>
  </sheetViews>
  <sheetFormatPr defaultRowHeight="15"/>
  <cols>
    <col min="1" max="1" width="13.140625" customWidth="1"/>
    <col min="2" max="2" width="17.85546875" customWidth="1"/>
    <col min="4" max="4" width="16.140625" customWidth="1"/>
    <col min="5" max="5" width="4.5703125" customWidth="1"/>
    <col min="6" max="6" width="5.85546875" customWidth="1"/>
    <col min="7" max="7" width="7.7109375" bestFit="1" customWidth="1"/>
    <col min="8" max="8" width="6.140625" bestFit="1" customWidth="1"/>
    <col min="9" max="10" width="6.140625" customWidth="1"/>
    <col min="12" max="12" width="16.5703125" bestFit="1" customWidth="1"/>
    <col min="13" max="13" width="12.5703125" bestFit="1" customWidth="1"/>
    <col min="18" max="18" width="24.5703125" bestFit="1" customWidth="1"/>
    <col min="22" max="22" width="2.5703125" bestFit="1" customWidth="1"/>
  </cols>
  <sheetData>
    <row r="1" spans="1:23">
      <c r="L1" t="s">
        <v>2072</v>
      </c>
    </row>
    <row r="2" spans="1:23" ht="30.75" thickBot="1">
      <c r="A2" t="s">
        <v>229</v>
      </c>
      <c r="B2" t="s">
        <v>1964</v>
      </c>
      <c r="D2" s="100" t="s">
        <v>140</v>
      </c>
      <c r="E2" t="s">
        <v>2075</v>
      </c>
      <c r="F2" t="s">
        <v>2076</v>
      </c>
      <c r="G2" t="s">
        <v>2090</v>
      </c>
      <c r="H2" t="s">
        <v>2091</v>
      </c>
      <c r="I2" t="s">
        <v>2092</v>
      </c>
      <c r="J2" s="112" t="s">
        <v>2094</v>
      </c>
      <c r="L2" t="s">
        <v>229</v>
      </c>
      <c r="M2" t="s">
        <v>1964</v>
      </c>
      <c r="N2" t="s">
        <v>1966</v>
      </c>
      <c r="O2" t="s">
        <v>1967</v>
      </c>
      <c r="P2" t="s">
        <v>1968</v>
      </c>
    </row>
    <row r="3" spans="1:23" ht="15.75" thickBot="1">
      <c r="A3" s="83" t="s">
        <v>94</v>
      </c>
      <c r="B3" s="83" t="s">
        <v>95</v>
      </c>
      <c r="C3" s="84"/>
      <c r="D3" s="85" t="s">
        <v>62</v>
      </c>
      <c r="L3" t="s">
        <v>94</v>
      </c>
      <c r="N3">
        <f>QUIK_деньги!J5</f>
        <v>3518.69</v>
      </c>
      <c r="O3">
        <f>QUIK_деньги!J5</f>
        <v>3518.69</v>
      </c>
      <c r="R3" t="s">
        <v>2073</v>
      </c>
      <c r="S3">
        <f>QUIK_портфель!P5</f>
        <v>963451.3899999999</v>
      </c>
      <c r="V3" t="s">
        <v>2074</v>
      </c>
      <c r="W3" t="s">
        <v>2096</v>
      </c>
    </row>
    <row r="4" spans="1:23" ht="15.75" thickBot="1">
      <c r="A4" s="83" t="s">
        <v>2</v>
      </c>
      <c r="B4" s="83" t="s">
        <v>96</v>
      </c>
      <c r="C4" s="84"/>
      <c r="D4" s="85" t="s">
        <v>62</v>
      </c>
      <c r="L4" t="s">
        <v>99</v>
      </c>
      <c r="M4" t="s">
        <v>188</v>
      </c>
      <c r="N4">
        <v>37000</v>
      </c>
      <c r="O4">
        <v>56894.9</v>
      </c>
      <c r="P4">
        <v>5.7362544125605917</v>
      </c>
      <c r="R4" t="s">
        <v>2093</v>
      </c>
      <c r="S4" t="s">
        <v>2095</v>
      </c>
      <c r="V4" t="s">
        <v>2097</v>
      </c>
      <c r="W4" t="s">
        <v>2107</v>
      </c>
    </row>
    <row r="5" spans="1:23" ht="15.75" thickBot="1">
      <c r="A5" s="83" t="s">
        <v>97</v>
      </c>
      <c r="B5" s="83" t="s">
        <v>98</v>
      </c>
      <c r="C5" s="84"/>
      <c r="D5" s="85" t="s">
        <v>62</v>
      </c>
      <c r="L5" t="s">
        <v>107</v>
      </c>
      <c r="M5" t="s">
        <v>108</v>
      </c>
      <c r="N5">
        <v>6</v>
      </c>
      <c r="O5">
        <v>11618.400000000001</v>
      </c>
      <c r="P5">
        <v>1.1713896723061996</v>
      </c>
      <c r="R5" t="s">
        <v>2106</v>
      </c>
      <c r="S5" t="s">
        <v>2095</v>
      </c>
      <c r="V5" t="s">
        <v>2098</v>
      </c>
      <c r="W5" t="s">
        <v>2108</v>
      </c>
    </row>
    <row r="6" spans="1:23" ht="15.75" thickBot="1">
      <c r="A6" s="86" t="s">
        <v>99</v>
      </c>
      <c r="B6" s="86" t="s">
        <v>100</v>
      </c>
      <c r="C6" s="84"/>
      <c r="D6" s="87">
        <v>0</v>
      </c>
      <c r="L6" t="s">
        <v>132</v>
      </c>
      <c r="M6" t="s">
        <v>133</v>
      </c>
      <c r="N6">
        <v>25</v>
      </c>
      <c r="O6">
        <v>21485</v>
      </c>
      <c r="P6">
        <v>2.1661594633941585</v>
      </c>
      <c r="V6" t="s">
        <v>2100</v>
      </c>
      <c r="W6" t="s">
        <v>2099</v>
      </c>
    </row>
    <row r="7" spans="1:23" ht="15.75" thickBot="1">
      <c r="A7" s="88" t="s">
        <v>101</v>
      </c>
      <c r="B7" s="88" t="s">
        <v>102</v>
      </c>
      <c r="C7" s="89" t="s">
        <v>103</v>
      </c>
      <c r="D7" s="91">
        <v>0.05</v>
      </c>
      <c r="E7">
        <f>VLOOKUP(A7,QUIK!$D:$AL,5,FALSE)</f>
        <v>1</v>
      </c>
      <c r="F7">
        <f>VLOOKUP(A7,QUIK!$D:$AL,9,FALSE)</f>
        <v>6748.5</v>
      </c>
      <c r="G7" t="str">
        <f>VLOOKUP(A7,QUIK!$D:$AL,28,FALSE)</f>
        <v>SUR</v>
      </c>
      <c r="H7">
        <f>VLOOKUP(A7,QUIK!$D:$AL,31,FALSE)</f>
        <v>-100</v>
      </c>
      <c r="I7" t="str">
        <f>VLOOKUP(A7,QUIK!$D:$AL,30,FALSE)</f>
        <v/>
      </c>
      <c r="J7">
        <f>VLOOKUP(A7,QUIK!$D:$AL,4,FALSE)</f>
        <v>1</v>
      </c>
      <c r="L7" t="s">
        <v>128</v>
      </c>
      <c r="M7" t="s">
        <v>129</v>
      </c>
      <c r="N7">
        <v>50</v>
      </c>
      <c r="O7">
        <v>23102.5</v>
      </c>
      <c r="P7">
        <v>2.3292389575547383</v>
      </c>
      <c r="V7" t="s">
        <v>2102</v>
      </c>
      <c r="W7" t="s">
        <v>2101</v>
      </c>
    </row>
    <row r="8" spans="1:23" ht="15.75" thickBot="1">
      <c r="A8" s="88" t="s">
        <v>104</v>
      </c>
      <c r="B8" s="88" t="s">
        <v>105</v>
      </c>
      <c r="C8" s="92" t="s">
        <v>106</v>
      </c>
      <c r="D8" s="91">
        <v>0.05</v>
      </c>
      <c r="E8">
        <f>VLOOKUP(A8,QUIK!$D:$AL,5,FALSE)</f>
        <v>1</v>
      </c>
      <c r="F8">
        <f>VLOOKUP(A8,QUIK!$D:$AL,9,FALSE)</f>
        <v>2719.5</v>
      </c>
      <c r="G8" t="str">
        <f>VLOOKUP(A8,QUIK!$D:$AL,28,FALSE)</f>
        <v>SUR</v>
      </c>
      <c r="H8">
        <f>VLOOKUP(A8,QUIK!$D:$AL,31,FALSE)</f>
        <v>-100</v>
      </c>
      <c r="I8" t="str">
        <f>VLOOKUP(A8,QUIK!$D:$AL,30,FALSE)</f>
        <v/>
      </c>
      <c r="J8">
        <f>VLOOKUP(A8,QUIK!$D:$AL,4,FALSE)</f>
        <v>1</v>
      </c>
      <c r="L8" t="s">
        <v>453</v>
      </c>
      <c r="M8" t="s">
        <v>454</v>
      </c>
      <c r="N8">
        <v>50</v>
      </c>
      <c r="O8">
        <v>56300</v>
      </c>
      <c r="P8">
        <v>5.6762754381704035</v>
      </c>
      <c r="V8" t="s">
        <v>2104</v>
      </c>
      <c r="W8" t="s">
        <v>2103</v>
      </c>
    </row>
    <row r="9" spans="1:23" ht="15.75" thickBot="1">
      <c r="A9" s="88" t="s">
        <v>107</v>
      </c>
      <c r="B9" s="88" t="s">
        <v>108</v>
      </c>
      <c r="C9" s="93" t="s">
        <v>106</v>
      </c>
      <c r="D9" s="91">
        <v>0.05</v>
      </c>
      <c r="E9">
        <f>VLOOKUP(A9,QUIK!$D:$AL,5,FALSE)</f>
        <v>1</v>
      </c>
      <c r="F9">
        <f>VLOOKUP(A9,QUIK!$D:$AL,9,FALSE)</f>
        <v>1798.6</v>
      </c>
      <c r="G9" t="str">
        <f>VLOOKUP(A9,QUIK!$D:$AL,28,FALSE)</f>
        <v>SUR</v>
      </c>
      <c r="H9">
        <f>VLOOKUP(A9,QUIK!$D:$AL,31,FALSE)</f>
        <v>-100</v>
      </c>
      <c r="I9" t="str">
        <f>VLOOKUP(A9,QUIK!$D:$AL,30,FALSE)</f>
        <v/>
      </c>
      <c r="J9">
        <f>VLOOKUP(A9,QUIK!$D:$AL,4,FALSE)</f>
        <v>1</v>
      </c>
      <c r="L9" t="s">
        <v>134</v>
      </c>
      <c r="M9" t="s">
        <v>135</v>
      </c>
      <c r="N9">
        <v>240</v>
      </c>
      <c r="O9">
        <v>78208.800000000003</v>
      </c>
      <c r="P9">
        <v>7.8851632413637915</v>
      </c>
      <c r="W9" t="s">
        <v>2105</v>
      </c>
    </row>
    <row r="10" spans="1:23" ht="15.75" thickBot="1">
      <c r="A10" s="88" t="s">
        <v>109</v>
      </c>
      <c r="B10" s="88" t="s">
        <v>110</v>
      </c>
      <c r="C10" s="94" t="s">
        <v>111</v>
      </c>
      <c r="D10" s="95">
        <v>0</v>
      </c>
      <c r="E10">
        <f>VLOOKUP(A10,QUIK!$D:$AL,5,FALSE)</f>
        <v>10</v>
      </c>
      <c r="F10">
        <f>VLOOKUP(A10,QUIK!$D:$AL,9,FALSE)</f>
        <v>52.67</v>
      </c>
      <c r="G10" t="str">
        <f>VLOOKUP(A10,QUIK!$D:$AL,28,FALSE)</f>
        <v>SUR</v>
      </c>
      <c r="H10">
        <f>VLOOKUP(A10,QUIK!$D:$AL,31,FALSE)</f>
        <v>-100</v>
      </c>
      <c r="I10" t="str">
        <f>VLOOKUP(A10,QUIK!$D:$AL,30,FALSE)</f>
        <v/>
      </c>
      <c r="J10">
        <f>VLOOKUP(A10,QUIK!$D:$AL,4,FALSE)</f>
        <v>1</v>
      </c>
      <c r="L10" t="s">
        <v>130</v>
      </c>
      <c r="M10" t="s">
        <v>131</v>
      </c>
      <c r="N10">
        <v>40</v>
      </c>
      <c r="O10">
        <v>22510</v>
      </c>
      <c r="P10">
        <v>2.2695019558297655</v>
      </c>
    </row>
    <row r="11" spans="1:23" ht="15.75" thickBot="1">
      <c r="A11" s="88" t="s">
        <v>112</v>
      </c>
      <c r="B11" s="88" t="s">
        <v>113</v>
      </c>
      <c r="C11" s="89" t="s">
        <v>103</v>
      </c>
      <c r="D11" s="96">
        <v>0.08</v>
      </c>
      <c r="E11">
        <f>VLOOKUP(A11,QUIK!$D:$AL,5,FALSE)</f>
        <v>10</v>
      </c>
      <c r="F11">
        <f>VLOOKUP(A11,QUIK!$D:$AL,9,FALSE)</f>
        <v>55.975000000000001</v>
      </c>
      <c r="G11" t="str">
        <f>VLOOKUP(A11,QUIK!$D:$AL,28,FALSE)</f>
        <v>SUR</v>
      </c>
      <c r="H11">
        <f>VLOOKUP(A11,QUIK!$D:$AL,31,FALSE)</f>
        <v>-100</v>
      </c>
      <c r="I11" t="str">
        <f>VLOOKUP(A11,QUIK!$D:$AL,30,FALSE)</f>
        <v/>
      </c>
      <c r="J11">
        <f>VLOOKUP(A11,QUIK!$D:$AL,4,FALSE)</f>
        <v>2</v>
      </c>
      <c r="L11" t="s">
        <v>136</v>
      </c>
      <c r="M11" t="s">
        <v>137</v>
      </c>
      <c r="N11">
        <v>5000</v>
      </c>
      <c r="O11">
        <v>19315.000000000004</v>
      </c>
      <c r="P11">
        <v>1.9473758452621914</v>
      </c>
    </row>
    <row r="12" spans="1:23" ht="15.75" thickBot="1">
      <c r="A12" s="88" t="s">
        <v>114</v>
      </c>
      <c r="B12" s="88" t="s">
        <v>115</v>
      </c>
      <c r="C12" s="89" t="s">
        <v>103</v>
      </c>
      <c r="D12" s="91">
        <v>0.05</v>
      </c>
      <c r="E12">
        <f>VLOOKUP(A12,QUIK!$D:$AL,5,FALSE)</f>
        <v>1</v>
      </c>
      <c r="F12">
        <f>VLOOKUP(A12,QUIK!$D:$AL,9,FALSE)</f>
        <v>2348</v>
      </c>
      <c r="G12" t="str">
        <f>VLOOKUP(A12,QUIK!$D:$AL,28,FALSE)</f>
        <v>SUR</v>
      </c>
      <c r="H12">
        <f>VLOOKUP(A12,QUIK!$D:$AL,31,FALSE)</f>
        <v>-100</v>
      </c>
      <c r="I12" t="str">
        <f>VLOOKUP(A12,QUIK!$D:$AL,30,FALSE)</f>
        <v/>
      </c>
      <c r="J12">
        <f>VLOOKUP(A12,QUIK!$D:$AL,4,FALSE)</f>
        <v>1</v>
      </c>
      <c r="L12" t="s">
        <v>101</v>
      </c>
      <c r="M12" t="s">
        <v>102</v>
      </c>
      <c r="N12">
        <v>8</v>
      </c>
      <c r="O12">
        <v>54484</v>
      </c>
      <c r="P12">
        <v>5.49318278815766</v>
      </c>
    </row>
    <row r="13" spans="1:23" ht="15.75" thickBot="1">
      <c r="A13" s="88" t="s">
        <v>116</v>
      </c>
      <c r="B13" s="88" t="s">
        <v>117</v>
      </c>
      <c r="C13" s="93" t="s">
        <v>106</v>
      </c>
      <c r="D13" s="97">
        <v>0.03</v>
      </c>
      <c r="E13">
        <f>VLOOKUP(A13,QUIK!$D:$AL,5,FALSE)</f>
        <v>1</v>
      </c>
      <c r="F13">
        <f>VLOOKUP(A13,QUIK!$D:$AL,9,FALSE)</f>
        <v>944.5</v>
      </c>
      <c r="G13" t="str">
        <f>VLOOKUP(A13,QUIK!$D:$AL,28,FALSE)</f>
        <v>SUR</v>
      </c>
      <c r="H13">
        <f>VLOOKUP(A13,QUIK!$D:$AL,31,FALSE)</f>
        <v>-100</v>
      </c>
      <c r="I13" t="str">
        <f>VLOOKUP(A13,QUIK!$D:$AL,30,FALSE)</f>
        <v/>
      </c>
      <c r="J13">
        <f>VLOOKUP(A13,QUIK!$D:$AL,4,FALSE)</f>
        <v>1</v>
      </c>
      <c r="L13" t="s">
        <v>770</v>
      </c>
      <c r="M13" t="s">
        <v>771</v>
      </c>
      <c r="N13">
        <v>50</v>
      </c>
      <c r="O13">
        <v>13850</v>
      </c>
      <c r="P13">
        <v>1.3963839221786873</v>
      </c>
    </row>
    <row r="14" spans="1:23" ht="15.75" thickBot="1">
      <c r="A14" s="88" t="s">
        <v>118</v>
      </c>
      <c r="B14" s="88" t="s">
        <v>119</v>
      </c>
      <c r="C14" s="89" t="s">
        <v>103</v>
      </c>
      <c r="D14" s="98">
        <v>0.09</v>
      </c>
      <c r="E14">
        <f>VLOOKUP(A14,QUIK!$D:$AL,5,FALSE)</f>
        <v>1</v>
      </c>
      <c r="F14">
        <f>VLOOKUP(A14,QUIK!$D:$AL,9,FALSE)</f>
        <v>3330.5</v>
      </c>
      <c r="G14" t="str">
        <f>VLOOKUP(A14,QUIK!$D:$AL,28,FALSE)</f>
        <v>SUR</v>
      </c>
      <c r="H14">
        <f>VLOOKUP(A14,QUIK!$D:$AL,31,FALSE)</f>
        <v>-100</v>
      </c>
      <c r="I14" t="str">
        <f>VLOOKUP(A14,QUIK!$D:$AL,30,FALSE)</f>
        <v/>
      </c>
      <c r="J14">
        <f>VLOOKUP(A14,QUIK!$D:$AL,4,FALSE)</f>
        <v>1</v>
      </c>
      <c r="L14" t="s">
        <v>120</v>
      </c>
      <c r="M14" t="s">
        <v>121</v>
      </c>
      <c r="N14">
        <v>140</v>
      </c>
      <c r="O14">
        <v>26507.600000000002</v>
      </c>
      <c r="P14">
        <v>2.6725477585230157</v>
      </c>
    </row>
    <row r="15" spans="1:23" ht="15.75" thickBot="1">
      <c r="A15" s="88" t="s">
        <v>120</v>
      </c>
      <c r="B15" s="88" t="s">
        <v>121</v>
      </c>
      <c r="C15" s="89" t="s">
        <v>103</v>
      </c>
      <c r="D15" s="91">
        <v>0.05</v>
      </c>
      <c r="E15">
        <f>VLOOKUP(A15,QUIK!$D:$AL,5,FALSE)</f>
        <v>10</v>
      </c>
      <c r="F15">
        <f>VLOOKUP(A15,QUIK!$D:$AL,9,FALSE)</f>
        <v>183.56</v>
      </c>
      <c r="G15" t="str">
        <f>VLOOKUP(A15,QUIK!$D:$AL,28,FALSE)</f>
        <v>SUR</v>
      </c>
      <c r="H15">
        <f>VLOOKUP(A15,QUIK!$D:$AL,31,FALSE)</f>
        <v>-100</v>
      </c>
      <c r="I15" t="str">
        <f>VLOOKUP(A15,QUIK!$D:$AL,30,FALSE)</f>
        <v/>
      </c>
      <c r="J15">
        <f>VLOOKUP(A15,QUIK!$D:$AL,4,FALSE)</f>
        <v>1</v>
      </c>
      <c r="L15" t="s">
        <v>878</v>
      </c>
      <c r="M15" t="s">
        <v>879</v>
      </c>
      <c r="N15">
        <v>12</v>
      </c>
      <c r="O15">
        <v>7212</v>
      </c>
      <c r="P15">
        <v>0.72712785897131349</v>
      </c>
    </row>
    <row r="16" spans="1:23" ht="15.75" thickBot="1">
      <c r="A16" s="88" t="s">
        <v>122</v>
      </c>
      <c r="B16" s="88" t="s">
        <v>123</v>
      </c>
      <c r="C16" s="93" t="s">
        <v>106</v>
      </c>
      <c r="D16" s="91">
        <v>0.05</v>
      </c>
      <c r="E16">
        <f>VLOOKUP(A16,QUIK!$D:$AL,5,FALSE)</f>
        <v>100</v>
      </c>
      <c r="F16">
        <f>VLOOKUP(A16,QUIK!$D:$AL,9,FALSE)</f>
        <v>12.58</v>
      </c>
      <c r="G16" t="str">
        <f>VLOOKUP(A16,QUIK!$D:$AL,28,FALSE)</f>
        <v>SUR</v>
      </c>
      <c r="H16">
        <f>VLOOKUP(A16,QUIK!$D:$AL,31,FALSE)</f>
        <v>-100</v>
      </c>
      <c r="I16" t="str">
        <f>VLOOKUP(A16,QUIK!$D:$AL,30,FALSE)</f>
        <v/>
      </c>
      <c r="J16">
        <f>VLOOKUP(A16,QUIK!$D:$AL,4,FALSE)</f>
        <v>1</v>
      </c>
      <c r="L16" t="s">
        <v>109</v>
      </c>
      <c r="M16" t="s">
        <v>110</v>
      </c>
      <c r="N16">
        <v>100</v>
      </c>
      <c r="O16">
        <v>5540</v>
      </c>
      <c r="P16">
        <v>0.55855356887147489</v>
      </c>
    </row>
    <row r="17" spans="1:16" ht="15.75" thickBot="1">
      <c r="A17" s="88" t="s">
        <v>124</v>
      </c>
      <c r="B17" s="88" t="s">
        <v>125</v>
      </c>
      <c r="C17" s="89" t="s">
        <v>103</v>
      </c>
      <c r="D17" s="91">
        <v>0.05</v>
      </c>
      <c r="E17">
        <f>VLOOKUP(A17,QUIK!$D:$AL,5,FALSE)</f>
        <v>1</v>
      </c>
      <c r="F17">
        <f>VLOOKUP(A17,QUIK!$D:$AL,9,FALSE)</f>
        <v>4200</v>
      </c>
      <c r="G17" t="str">
        <f>VLOOKUP(A17,QUIK!$D:$AL,28,FALSE)</f>
        <v>SUR</v>
      </c>
      <c r="H17">
        <f>VLOOKUP(A17,QUIK!$D:$AL,31,FALSE)</f>
        <v>-100</v>
      </c>
      <c r="I17" t="str">
        <f>VLOOKUP(A17,QUIK!$D:$AL,30,FALSE)</f>
        <v/>
      </c>
      <c r="J17">
        <f>VLOOKUP(A17,QUIK!$D:$AL,4,FALSE)</f>
        <v>1</v>
      </c>
      <c r="L17" t="s">
        <v>988</v>
      </c>
      <c r="M17" t="s">
        <v>989</v>
      </c>
      <c r="N17">
        <v>10000</v>
      </c>
      <c r="O17">
        <v>10990</v>
      </c>
      <c r="P17">
        <v>1.1080331627973843</v>
      </c>
    </row>
    <row r="18" spans="1:16" ht="15.75" thickBot="1">
      <c r="A18" s="88" t="s">
        <v>126</v>
      </c>
      <c r="B18" s="88" t="s">
        <v>127</v>
      </c>
      <c r="C18" s="93" t="s">
        <v>106</v>
      </c>
      <c r="D18" s="91">
        <v>0.05</v>
      </c>
      <c r="E18">
        <f>VLOOKUP(A18,QUIK!$D:$AL,5,FALSE)</f>
        <v>1</v>
      </c>
      <c r="F18">
        <f>VLOOKUP(A18,QUIK!$D:$AL,9,FALSE)</f>
        <v>531.29999999999995</v>
      </c>
      <c r="G18" t="str">
        <f>VLOOKUP(A18,QUIK!$D:$AL,28,FALSE)</f>
        <v>SUR</v>
      </c>
      <c r="H18">
        <f>VLOOKUP(A18,QUIK!$D:$AL,31,FALSE)</f>
        <v>-100</v>
      </c>
      <c r="I18" t="str">
        <f>VLOOKUP(A18,QUIK!$D:$AL,30,FALSE)</f>
        <v/>
      </c>
      <c r="J18">
        <f>VLOOKUP(A18,QUIK!$D:$AL,4,FALSE)</f>
        <v>1</v>
      </c>
      <c r="L18" t="s">
        <v>998</v>
      </c>
      <c r="M18" t="s">
        <v>999</v>
      </c>
      <c r="N18">
        <v>230000</v>
      </c>
      <c r="O18">
        <v>76176</v>
      </c>
      <c r="P18">
        <v>7.6802123939266194</v>
      </c>
    </row>
    <row r="19" spans="1:16" ht="15.75" thickBot="1">
      <c r="A19" s="88" t="s">
        <v>128</v>
      </c>
      <c r="B19" s="88" t="s">
        <v>129</v>
      </c>
      <c r="C19" s="89" t="s">
        <v>103</v>
      </c>
      <c r="D19" s="98">
        <v>0.09</v>
      </c>
      <c r="E19">
        <f>VLOOKUP(A19,QUIK!$D:$AL,5,FALSE)</f>
        <v>1</v>
      </c>
      <c r="F19">
        <f>VLOOKUP(A19,QUIK!$D:$AL,9,FALSE)</f>
        <v>434.65</v>
      </c>
      <c r="G19" t="str">
        <f>VLOOKUP(A19,QUIK!$D:$AL,28,FALSE)</f>
        <v>SUR</v>
      </c>
      <c r="H19">
        <f>VLOOKUP(A19,QUIK!$D:$AL,31,FALSE)</f>
        <v>-100</v>
      </c>
      <c r="I19" t="str">
        <f>VLOOKUP(A19,QUIK!$D:$AL,30,FALSE)</f>
        <v/>
      </c>
      <c r="J19">
        <f>VLOOKUP(A19,QUIK!$D:$AL,4,FALSE)</f>
        <v>1</v>
      </c>
      <c r="L19" t="s">
        <v>1152</v>
      </c>
      <c r="M19" t="s">
        <v>1153</v>
      </c>
      <c r="N19">
        <v>400</v>
      </c>
      <c r="O19">
        <v>94320</v>
      </c>
      <c r="P19">
        <v>9.5095257429526203</v>
      </c>
    </row>
    <row r="20" spans="1:16" ht="15.75" thickBot="1">
      <c r="A20" s="88" t="s">
        <v>130</v>
      </c>
      <c r="B20" s="88" t="s">
        <v>131</v>
      </c>
      <c r="C20" s="89" t="s">
        <v>103</v>
      </c>
      <c r="D20" s="91">
        <v>0.05</v>
      </c>
      <c r="E20">
        <f>VLOOKUP(A20,QUIK!$D:$AL,5,FALSE)</f>
        <v>1</v>
      </c>
      <c r="F20">
        <f>VLOOKUP(A20,QUIK!$D:$AL,9,FALSE)</f>
        <v>542.9</v>
      </c>
      <c r="G20" t="str">
        <f>VLOOKUP(A20,QUIK!$D:$AL,28,FALSE)</f>
        <v>SUR</v>
      </c>
      <c r="H20">
        <f>VLOOKUP(A20,QUIK!$D:$AL,31,FALSE)</f>
        <v>9</v>
      </c>
      <c r="I20" t="str">
        <f>VLOOKUP(A20,QUIK!$D:$AL,30,FALSE)</f>
        <v/>
      </c>
      <c r="J20">
        <f>VLOOKUP(A20,QUIK!$D:$AL,4,FALSE)</f>
        <v>3</v>
      </c>
      <c r="L20" t="s">
        <v>1157</v>
      </c>
      <c r="M20" t="s">
        <v>1158</v>
      </c>
      <c r="N20">
        <v>300</v>
      </c>
      <c r="O20">
        <v>70752</v>
      </c>
      <c r="P20">
        <v>7.1333541705405406</v>
      </c>
    </row>
    <row r="21" spans="1:16" ht="15.75" thickBot="1">
      <c r="A21" s="88" t="s">
        <v>132</v>
      </c>
      <c r="B21" s="88" t="s">
        <v>133</v>
      </c>
      <c r="C21" s="89" t="s">
        <v>103</v>
      </c>
      <c r="D21" s="97">
        <v>0.03</v>
      </c>
      <c r="E21">
        <f>VLOOKUP(A21,QUIK!$D:$AL,5,FALSE)</f>
        <v>1</v>
      </c>
      <c r="F21">
        <f>VLOOKUP(A21,QUIK!$D:$AL,9,FALSE)</f>
        <v>845.2</v>
      </c>
      <c r="G21" t="str">
        <f>VLOOKUP(A21,QUIK!$D:$AL,28,FALSE)</f>
        <v>SUR</v>
      </c>
      <c r="H21">
        <f>VLOOKUP(A21,QUIK!$D:$AL,31,FALSE)</f>
        <v>-100</v>
      </c>
      <c r="I21" t="str">
        <f>VLOOKUP(A21,QUIK!$D:$AL,30,FALSE)</f>
        <v/>
      </c>
      <c r="J21">
        <f>VLOOKUP(A21,QUIK!$D:$AL,4,FALSE)</f>
        <v>1</v>
      </c>
      <c r="L21" t="s">
        <v>122</v>
      </c>
      <c r="M21" t="s">
        <v>123</v>
      </c>
      <c r="N21">
        <v>1000</v>
      </c>
      <c r="O21">
        <v>12700</v>
      </c>
      <c r="P21">
        <v>1.2804386867631283</v>
      </c>
    </row>
    <row r="22" spans="1:16" ht="15.75" thickBot="1">
      <c r="A22" s="88" t="s">
        <v>134</v>
      </c>
      <c r="B22" s="88" t="s">
        <v>135</v>
      </c>
      <c r="C22" s="89" t="s">
        <v>103</v>
      </c>
      <c r="D22" s="99">
        <v>0.1</v>
      </c>
      <c r="E22">
        <f>VLOOKUP(A22,QUIK!$D:$AL,5,FALSE)</f>
        <v>10</v>
      </c>
      <c r="F22">
        <f>VLOOKUP(A22,QUIK!$D:$AL,9,FALSE)</f>
        <v>306.87</v>
      </c>
      <c r="G22" t="str">
        <f>VLOOKUP(A22,QUIK!$D:$AL,28,FALSE)</f>
        <v>SUR</v>
      </c>
      <c r="H22">
        <f>VLOOKUP(A22,QUIK!$D:$AL,31,FALSE)</f>
        <v>-100</v>
      </c>
      <c r="I22" t="str">
        <f>VLOOKUP(A22,QUIK!$D:$AL,30,FALSE)</f>
        <v/>
      </c>
      <c r="J22">
        <f>VLOOKUP(A22,QUIK!$D:$AL,4,FALSE)</f>
        <v>1</v>
      </c>
      <c r="L22" t="s">
        <v>112</v>
      </c>
      <c r="M22" t="s">
        <v>113</v>
      </c>
      <c r="N22">
        <v>500</v>
      </c>
      <c r="O22">
        <v>28985.000000000004</v>
      </c>
      <c r="P22">
        <v>2.9223240421912822</v>
      </c>
    </row>
    <row r="23" spans="1:16" ht="15.75" thickBot="1">
      <c r="A23" s="88" t="s">
        <v>136</v>
      </c>
      <c r="B23" s="88" t="s">
        <v>137</v>
      </c>
      <c r="C23" s="89" t="s">
        <v>103</v>
      </c>
      <c r="D23" s="91">
        <v>0.05</v>
      </c>
      <c r="E23">
        <f>VLOOKUP(A23,QUIK!$D:$AL,5,FALSE)</f>
        <v>100</v>
      </c>
      <c r="F23">
        <f>VLOOKUP(A23,QUIK!$D:$AL,9,FALSE)</f>
        <v>3.6920000000000002</v>
      </c>
      <c r="G23" t="str">
        <f>VLOOKUP(A23,QUIK!$D:$AL,28,FALSE)</f>
        <v>SUR</v>
      </c>
      <c r="H23">
        <f>VLOOKUP(A23,QUIK!$D:$AL,31,FALSE)</f>
        <v>-100</v>
      </c>
      <c r="I23" t="str">
        <f>VLOOKUP(A23,QUIK!$D:$AL,30,FALSE)</f>
        <v/>
      </c>
      <c r="J23">
        <f>VLOOKUP(A23,QUIK!$D:$AL,4,FALSE)</f>
        <v>1</v>
      </c>
      <c r="L23" t="s">
        <v>1336</v>
      </c>
      <c r="M23" t="s">
        <v>1337</v>
      </c>
      <c r="N23">
        <v>50</v>
      </c>
      <c r="O23">
        <v>27450</v>
      </c>
      <c r="P23">
        <v>2.7675623583974702</v>
      </c>
    </row>
    <row r="24" spans="1:16" ht="15.75" thickBot="1">
      <c r="A24" s="88" t="s">
        <v>138</v>
      </c>
      <c r="B24" s="88" t="s">
        <v>139</v>
      </c>
      <c r="C24" s="89" t="s">
        <v>103</v>
      </c>
      <c r="D24" s="97">
        <v>0.03</v>
      </c>
      <c r="E24">
        <f>VLOOKUP(A24,QUIK!$D:$AL,5,FALSE)</f>
        <v>1</v>
      </c>
      <c r="F24">
        <f>VLOOKUP(A24,QUIK!$D:$AL,9,FALSE)</f>
        <v>1027</v>
      </c>
      <c r="G24" t="str">
        <f>VLOOKUP(A24,QUIK!$D:$AL,28,FALSE)</f>
        <v>SUR</v>
      </c>
      <c r="H24">
        <f>VLOOKUP(A24,QUIK!$D:$AL,31,FALSE)</f>
        <v>-100</v>
      </c>
      <c r="I24" t="str">
        <f>VLOOKUP(A24,QUIK!$D:$AL,30,FALSE)</f>
        <v/>
      </c>
      <c r="J24">
        <f>VLOOKUP(A24,QUIK!$D:$AL,4,FALSE)</f>
        <v>1</v>
      </c>
      <c r="L24" t="s">
        <v>114</v>
      </c>
      <c r="M24" t="s">
        <v>115</v>
      </c>
      <c r="N24">
        <v>9</v>
      </c>
      <c r="O24">
        <v>21589.200000000001</v>
      </c>
      <c r="P24">
        <v>2.1766651099422467</v>
      </c>
    </row>
    <row r="25" spans="1:16">
      <c r="L25" t="s">
        <v>116</v>
      </c>
      <c r="M25" t="s">
        <v>117</v>
      </c>
      <c r="N25">
        <v>11</v>
      </c>
      <c r="O25">
        <v>11077</v>
      </c>
      <c r="P25">
        <v>1.1168046719114311</v>
      </c>
    </row>
    <row r="26" spans="1:16">
      <c r="L26" t="s">
        <v>124</v>
      </c>
      <c r="M26" t="s">
        <v>125</v>
      </c>
      <c r="N26">
        <v>7</v>
      </c>
      <c r="O26">
        <v>29883</v>
      </c>
      <c r="P26">
        <v>3.012862147759257</v>
      </c>
    </row>
    <row r="27" spans="1:16">
      <c r="L27" t="s">
        <v>118</v>
      </c>
      <c r="M27" t="s">
        <v>119</v>
      </c>
      <c r="N27">
        <v>30</v>
      </c>
      <c r="O27">
        <v>101415</v>
      </c>
      <c r="P27">
        <v>10.224857434494698</v>
      </c>
    </row>
    <row r="28" spans="1:16">
      <c r="L28" t="s">
        <v>1977</v>
      </c>
      <c r="M28" t="s">
        <v>1975</v>
      </c>
      <c r="N28">
        <v>50</v>
      </c>
      <c r="O28">
        <v>48268.000000000007</v>
      </c>
      <c r="P28">
        <v>4.8664735852506054</v>
      </c>
    </row>
    <row r="29" spans="1:16">
      <c r="L29" t="s">
        <v>1979</v>
      </c>
      <c r="M29" t="s">
        <v>1978</v>
      </c>
      <c r="N29">
        <v>32</v>
      </c>
      <c r="O29">
        <v>30217.279999999999</v>
      </c>
      <c r="P29">
        <v>3.0465649071459642</v>
      </c>
    </row>
    <row r="30" spans="1:16">
      <c r="L30" t="s">
        <v>1981</v>
      </c>
      <c r="M30" t="s">
        <v>1980</v>
      </c>
      <c r="N30">
        <v>30</v>
      </c>
      <c r="O30">
        <v>27478.2</v>
      </c>
      <c r="P30">
        <v>2.7704055372137475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6F09-766B-4AAC-B156-21723045184E}">
  <sheetPr codeName="Лист22">
    <tabColor theme="8"/>
  </sheetPr>
  <dimension ref="A1:Z243"/>
  <sheetViews>
    <sheetView workbookViewId="0">
      <selection activeCell="I65" sqref="I65"/>
    </sheetView>
  </sheetViews>
  <sheetFormatPr defaultRowHeight="15"/>
  <cols>
    <col min="1" max="1" width="17.5703125" customWidth="1"/>
    <col min="2" max="2" width="17.140625" customWidth="1"/>
    <col min="3" max="4" width="14.28515625" customWidth="1"/>
    <col min="5" max="5" width="14.42578125" customWidth="1"/>
    <col min="6" max="6" width="10.7109375" customWidth="1"/>
    <col min="7" max="7" width="10.140625" customWidth="1"/>
    <col min="9" max="9" width="12.5703125" customWidth="1"/>
    <col min="10" max="10" width="15.140625" bestFit="1" customWidth="1"/>
    <col min="11" max="11" width="12.85546875" customWidth="1"/>
    <col min="13" max="13" width="10.5703125" customWidth="1"/>
    <col min="14" max="14" width="12.85546875" customWidth="1"/>
    <col min="15" max="15" width="12" bestFit="1" customWidth="1"/>
    <col min="16" max="16" width="10.7109375" customWidth="1"/>
    <col min="17" max="17" width="12.42578125" bestFit="1" customWidth="1"/>
    <col min="18" max="18" width="13.85546875" customWidth="1"/>
    <col min="19" max="19" width="13.140625" customWidth="1"/>
    <col min="20" max="20" width="11.7109375" customWidth="1"/>
    <col min="21" max="21" width="10.42578125" bestFit="1" customWidth="1"/>
    <col min="22" max="22" width="11.85546875" customWidth="1"/>
    <col min="23" max="23" width="10.28515625" bestFit="1" customWidth="1"/>
    <col min="25" max="25" width="11.28515625" customWidth="1"/>
    <col min="26" max="26" width="12.140625" customWidth="1"/>
  </cols>
  <sheetData>
    <row r="1" spans="1:19" ht="21">
      <c r="A1" s="166" t="s">
        <v>12251</v>
      </c>
    </row>
    <row r="2" spans="1:19">
      <c r="I2" t="s">
        <v>12992</v>
      </c>
      <c r="J2" t="s">
        <v>12963</v>
      </c>
    </row>
    <row r="3" spans="1:19">
      <c r="D3" s="132" t="s">
        <v>12754</v>
      </c>
      <c r="E3" s="131">
        <f>QUIK_портфель!P3</f>
        <v>963451.3899999999</v>
      </c>
      <c r="F3" t="str">
        <f>IF(ABS(F4)&lt;1%,"ОК","Данные Портфеля не корректны!")</f>
        <v>ОК</v>
      </c>
      <c r="I3" s="132" t="s">
        <v>12993</v>
      </c>
      <c r="J3" s="257">
        <v>0.5</v>
      </c>
      <c r="O3" s="132" t="s">
        <v>12994</v>
      </c>
      <c r="P3" s="257">
        <v>0.5</v>
      </c>
    </row>
    <row r="4" spans="1:19">
      <c r="D4" s="132" t="s">
        <v>12755</v>
      </c>
      <c r="E4" s="131">
        <f>SUM(E7:E34)</f>
        <v>963451.3899999999</v>
      </c>
      <c r="F4" s="113">
        <f>(E4-E3)/E3</f>
        <v>0</v>
      </c>
    </row>
    <row r="5" spans="1:19">
      <c r="A5" t="s">
        <v>2113</v>
      </c>
      <c r="I5" t="s">
        <v>12990</v>
      </c>
      <c r="O5" t="s">
        <v>12991</v>
      </c>
    </row>
    <row r="6" spans="1:19" ht="45">
      <c r="A6" s="215" t="s">
        <v>229</v>
      </c>
      <c r="B6" s="215" t="s">
        <v>228</v>
      </c>
      <c r="C6" s="215" t="s">
        <v>1964</v>
      </c>
      <c r="D6" s="215" t="s">
        <v>1966</v>
      </c>
      <c r="E6" s="215" t="s">
        <v>1967</v>
      </c>
      <c r="F6" s="215" t="s">
        <v>1968</v>
      </c>
      <c r="I6" s="215" t="s">
        <v>229</v>
      </c>
      <c r="J6" s="215" t="s">
        <v>1964</v>
      </c>
      <c r="K6" s="215" t="s">
        <v>140</v>
      </c>
      <c r="L6" s="215" t="s">
        <v>12995</v>
      </c>
      <c r="M6" s="215" t="s">
        <v>12996</v>
      </c>
      <c r="O6" s="215" t="s">
        <v>228</v>
      </c>
      <c r="P6" s="215" t="s">
        <v>12883</v>
      </c>
      <c r="Q6" s="206" t="s">
        <v>12975</v>
      </c>
      <c r="R6" s="215" t="s">
        <v>12997</v>
      </c>
      <c r="S6" s="215" t="s">
        <v>12996</v>
      </c>
    </row>
    <row r="7" spans="1:19">
      <c r="A7" s="3" t="s">
        <v>94</v>
      </c>
      <c r="B7" s="3"/>
      <c r="C7" s="3"/>
      <c r="D7" s="3">
        <f>QUIK_деньги!J3</f>
        <v>3518.69</v>
      </c>
      <c r="E7" s="3">
        <f>D7</f>
        <v>3518.69</v>
      </c>
      <c r="F7" s="115">
        <f>E7/$E$3</f>
        <v>3.6521718028763241E-3</v>
      </c>
      <c r="I7" s="157" t="s">
        <v>101</v>
      </c>
      <c r="J7" s="157" t="s">
        <v>718</v>
      </c>
      <c r="K7" s="157" t="s">
        <v>102</v>
      </c>
      <c r="L7" s="158">
        <v>0.05</v>
      </c>
      <c r="M7" s="158">
        <f>L7*$J$3</f>
        <v>2.5000000000000001E-2</v>
      </c>
      <c r="O7" s="256" t="s">
        <v>2201</v>
      </c>
      <c r="P7" s="212" t="s">
        <v>2203</v>
      </c>
      <c r="Q7" s="219">
        <v>0.1</v>
      </c>
      <c r="R7" s="252">
        <v>0.1</v>
      </c>
      <c r="S7" s="252">
        <f>R7*$P$3</f>
        <v>0.05</v>
      </c>
    </row>
    <row r="8" spans="1:19">
      <c r="A8" s="3" t="s">
        <v>99</v>
      </c>
      <c r="B8" s="3" t="s">
        <v>1571</v>
      </c>
      <c r="C8" s="3" t="s">
        <v>188</v>
      </c>
      <c r="D8" s="3">
        <v>37000</v>
      </c>
      <c r="E8" s="178">
        <v>56965.200000000004</v>
      </c>
      <c r="F8" s="115">
        <f t="shared" ref="F8:F34" si="0">E8/$E$3</f>
        <v>5.9126179681986871E-2</v>
      </c>
      <c r="I8" s="157" t="s">
        <v>104</v>
      </c>
      <c r="J8" s="157" t="s">
        <v>299</v>
      </c>
      <c r="K8" s="157" t="s">
        <v>105</v>
      </c>
      <c r="L8" s="158">
        <v>0.05</v>
      </c>
      <c r="M8" s="158">
        <f t="shared" ref="M8:M23" si="1">L8*$J$3</f>
        <v>2.5000000000000001E-2</v>
      </c>
      <c r="O8" s="256" t="s">
        <v>2166</v>
      </c>
      <c r="P8" s="212" t="s">
        <v>2168</v>
      </c>
      <c r="Q8" s="219">
        <v>0.1</v>
      </c>
      <c r="R8" s="252">
        <v>0.1</v>
      </c>
      <c r="S8" s="252">
        <f t="shared" ref="S8:S17" si="2">R8*$P$3</f>
        <v>0.05</v>
      </c>
    </row>
    <row r="9" spans="1:19">
      <c r="A9" s="3" t="s">
        <v>107</v>
      </c>
      <c r="B9" s="3" t="str">
        <f>VLOOKUP(A9,Лист5!A:E,5,FALSE)</f>
        <v>RU000A103X66</v>
      </c>
      <c r="C9" s="3" t="s">
        <v>108</v>
      </c>
      <c r="D9" s="3">
        <v>6</v>
      </c>
      <c r="E9" s="178">
        <v>10791.599999999999</v>
      </c>
      <c r="F9" s="115">
        <f t="shared" si="0"/>
        <v>1.120098025910783E-2</v>
      </c>
      <c r="I9" s="157" t="s">
        <v>107</v>
      </c>
      <c r="J9" s="157" t="s">
        <v>366</v>
      </c>
      <c r="K9" s="157" t="s">
        <v>108</v>
      </c>
      <c r="L9" s="158">
        <v>0.05</v>
      </c>
      <c r="M9" s="158">
        <f t="shared" si="1"/>
        <v>2.5000000000000001E-2</v>
      </c>
      <c r="O9" s="256" t="s">
        <v>2176</v>
      </c>
      <c r="P9" s="212" t="s">
        <v>2178</v>
      </c>
      <c r="Q9" s="219">
        <v>0.1</v>
      </c>
      <c r="R9" s="252">
        <v>0.1</v>
      </c>
      <c r="S9" s="252">
        <f t="shared" si="2"/>
        <v>0.05</v>
      </c>
    </row>
    <row r="10" spans="1:19">
      <c r="A10" s="3" t="s">
        <v>132</v>
      </c>
      <c r="B10" s="3" t="str">
        <f>VLOOKUP(A10,Лист5!A:E,5,FALSE)</f>
        <v>RU000A108KL3</v>
      </c>
      <c r="C10" s="3" t="s">
        <v>133</v>
      </c>
      <c r="D10" s="3">
        <v>25</v>
      </c>
      <c r="E10" s="178">
        <v>21130</v>
      </c>
      <c r="F10" s="115">
        <f t="shared" si="0"/>
        <v>2.193156833786913E-2</v>
      </c>
      <c r="I10" s="157" t="s">
        <v>112</v>
      </c>
      <c r="J10" s="157" t="s">
        <v>1224</v>
      </c>
      <c r="K10" s="157" t="s">
        <v>113</v>
      </c>
      <c r="L10" s="160">
        <v>0.08</v>
      </c>
      <c r="M10" s="160">
        <f t="shared" si="1"/>
        <v>0.04</v>
      </c>
      <c r="O10" s="256" t="s">
        <v>9535</v>
      </c>
      <c r="P10" s="212" t="s">
        <v>9536</v>
      </c>
      <c r="Q10" s="219">
        <v>0.1</v>
      </c>
      <c r="R10" s="252">
        <v>0.1</v>
      </c>
      <c r="S10" s="252">
        <f t="shared" si="2"/>
        <v>0.05</v>
      </c>
    </row>
    <row r="11" spans="1:19">
      <c r="A11" s="3" t="s">
        <v>128</v>
      </c>
      <c r="B11" s="3" t="str">
        <f>VLOOKUP(A11,Лист5!A:E,5,FALSE)</f>
        <v>RU000A106T36</v>
      </c>
      <c r="C11" s="3" t="s">
        <v>129</v>
      </c>
      <c r="D11" s="3">
        <v>50</v>
      </c>
      <c r="E11" s="178">
        <v>21732.5</v>
      </c>
      <c r="F11" s="115">
        <f t="shared" si="0"/>
        <v>2.2556924226348359E-2</v>
      </c>
      <c r="I11" s="157" t="s">
        <v>114</v>
      </c>
      <c r="J11" s="157" t="s">
        <v>1257</v>
      </c>
      <c r="K11" s="157" t="s">
        <v>115</v>
      </c>
      <c r="L11" s="158">
        <v>0.05</v>
      </c>
      <c r="M11" s="158">
        <f t="shared" si="1"/>
        <v>2.5000000000000001E-2</v>
      </c>
      <c r="O11" s="256" t="s">
        <v>7363</v>
      </c>
      <c r="P11" s="212" t="s">
        <v>7364</v>
      </c>
      <c r="Q11" s="219">
        <v>0.1</v>
      </c>
      <c r="R11" s="252">
        <v>0.1</v>
      </c>
      <c r="S11" s="252">
        <f t="shared" si="2"/>
        <v>0.05</v>
      </c>
    </row>
    <row r="12" spans="1:19">
      <c r="A12" s="3" t="s">
        <v>453</v>
      </c>
      <c r="B12" s="3" t="str">
        <f>VLOOKUP(A12,Лист5!A:E,5,FALSE)</f>
        <v>RU0007976965</v>
      </c>
      <c r="C12" s="3" t="s">
        <v>454</v>
      </c>
      <c r="D12" s="3">
        <v>50</v>
      </c>
      <c r="E12" s="178">
        <v>54200</v>
      </c>
      <c r="F12" s="115">
        <f t="shared" si="0"/>
        <v>5.6256081586015465E-2</v>
      </c>
      <c r="I12" s="157" t="s">
        <v>116</v>
      </c>
      <c r="J12" s="157" t="s">
        <v>1358</v>
      </c>
      <c r="K12" s="157" t="s">
        <v>117</v>
      </c>
      <c r="L12" s="161">
        <v>0.03</v>
      </c>
      <c r="M12" s="161">
        <f t="shared" si="1"/>
        <v>1.4999999999999999E-2</v>
      </c>
      <c r="O12" s="256" t="s">
        <v>9543</v>
      </c>
      <c r="P12" s="212" t="s">
        <v>9544</v>
      </c>
      <c r="Q12" s="219">
        <v>0.1</v>
      </c>
      <c r="R12" s="252">
        <v>0.1</v>
      </c>
      <c r="S12" s="252">
        <f t="shared" si="2"/>
        <v>0.05</v>
      </c>
    </row>
    <row r="13" spans="1:19">
      <c r="A13" s="3" t="s">
        <v>134</v>
      </c>
      <c r="B13" s="3" t="str">
        <f>VLOOKUP(A13,Лист5!A:E,5,FALSE)</f>
        <v>RU0009100945</v>
      </c>
      <c r="C13" s="3" t="s">
        <v>135</v>
      </c>
      <c r="D13" s="3">
        <v>240</v>
      </c>
      <c r="E13" s="178">
        <v>73648.800000000003</v>
      </c>
      <c r="F13" s="115">
        <f t="shared" si="0"/>
        <v>7.6442673459633501E-2</v>
      </c>
      <c r="I13" s="157" t="s">
        <v>118</v>
      </c>
      <c r="J13" s="157" t="s">
        <v>1468</v>
      </c>
      <c r="K13" s="157" t="s">
        <v>119</v>
      </c>
      <c r="L13" s="162">
        <v>0.09</v>
      </c>
      <c r="M13" s="162">
        <f t="shared" si="1"/>
        <v>4.4999999999999998E-2</v>
      </c>
      <c r="O13" s="256" t="s">
        <v>4254</v>
      </c>
      <c r="P13" s="212" t="s">
        <v>4255</v>
      </c>
      <c r="Q13" s="219">
        <v>0.05</v>
      </c>
      <c r="R13" s="252">
        <v>0.05</v>
      </c>
      <c r="S13" s="252">
        <f t="shared" si="2"/>
        <v>2.5000000000000001E-2</v>
      </c>
    </row>
    <row r="14" spans="1:19">
      <c r="A14" s="3" t="s">
        <v>130</v>
      </c>
      <c r="B14" s="3" t="str">
        <f>VLOOKUP(A14,Лист5!A:E,5,FALSE)</f>
        <v>RU0009062467</v>
      </c>
      <c r="C14" s="3" t="s">
        <v>131</v>
      </c>
      <c r="D14" s="3">
        <v>40</v>
      </c>
      <c r="E14" s="178">
        <v>21716</v>
      </c>
      <c r="F14" s="115">
        <f t="shared" si="0"/>
        <v>2.253979829745225E-2</v>
      </c>
      <c r="I14" s="157" t="s">
        <v>120</v>
      </c>
      <c r="J14" s="157" t="s">
        <v>834</v>
      </c>
      <c r="K14" s="157" t="s">
        <v>121</v>
      </c>
      <c r="L14" s="158">
        <v>0.05</v>
      </c>
      <c r="M14" s="158">
        <f t="shared" si="1"/>
        <v>2.5000000000000001E-2</v>
      </c>
      <c r="O14" s="256" t="s">
        <v>2131</v>
      </c>
      <c r="P14" s="212" t="s">
        <v>2133</v>
      </c>
      <c r="Q14" s="219">
        <v>0.1</v>
      </c>
      <c r="R14" s="252">
        <v>0.1</v>
      </c>
      <c r="S14" s="252">
        <f t="shared" si="2"/>
        <v>0.05</v>
      </c>
    </row>
    <row r="15" spans="1:19">
      <c r="A15" s="3" t="s">
        <v>136</v>
      </c>
      <c r="B15" s="3" t="str">
        <f>VLOOKUP(A15,Лист5!A:E,5,FALSE)</f>
        <v>RU000A0JPNM1</v>
      </c>
      <c r="C15" s="3" t="s">
        <v>137</v>
      </c>
      <c r="D15" s="3">
        <v>5000</v>
      </c>
      <c r="E15" s="178">
        <v>18460</v>
      </c>
      <c r="F15" s="115">
        <f t="shared" si="0"/>
        <v>1.9160281661952869E-2</v>
      </c>
      <c r="I15" s="157" t="s">
        <v>122</v>
      </c>
      <c r="J15" s="157" t="s">
        <v>1201</v>
      </c>
      <c r="K15" s="157" t="s">
        <v>123</v>
      </c>
      <c r="L15" s="158">
        <v>0.05</v>
      </c>
      <c r="M15" s="158">
        <f t="shared" si="1"/>
        <v>2.5000000000000001E-2</v>
      </c>
      <c r="O15" s="256" t="s">
        <v>2136</v>
      </c>
      <c r="P15" s="212" t="s">
        <v>2138</v>
      </c>
      <c r="Q15" s="219">
        <v>0.05</v>
      </c>
      <c r="R15" s="252">
        <v>0.05</v>
      </c>
      <c r="S15" s="252">
        <f t="shared" si="2"/>
        <v>2.5000000000000001E-2</v>
      </c>
    </row>
    <row r="16" spans="1:19">
      <c r="A16" s="3" t="s">
        <v>101</v>
      </c>
      <c r="B16" s="3" t="str">
        <f>VLOOKUP(A16,Лист5!A:E,5,FALSE)</f>
        <v>RU0009024277</v>
      </c>
      <c r="C16" s="3" t="s">
        <v>102</v>
      </c>
      <c r="D16" s="3">
        <v>8</v>
      </c>
      <c r="E16" s="178">
        <v>53988</v>
      </c>
      <c r="F16" s="115">
        <f t="shared" si="0"/>
        <v>5.6036039348077549E-2</v>
      </c>
      <c r="I16" s="157" t="s">
        <v>124</v>
      </c>
      <c r="J16" s="157" t="s">
        <v>1386</v>
      </c>
      <c r="K16" s="157" t="s">
        <v>125</v>
      </c>
      <c r="L16" s="158">
        <v>0.05</v>
      </c>
      <c r="M16" s="158">
        <f t="shared" si="1"/>
        <v>2.5000000000000001E-2</v>
      </c>
      <c r="O16" s="256" t="s">
        <v>8988</v>
      </c>
      <c r="P16" s="212" t="s">
        <v>8989</v>
      </c>
      <c r="Q16" s="219">
        <v>0.1</v>
      </c>
      <c r="R16" s="252">
        <v>0.1</v>
      </c>
      <c r="S16" s="252">
        <f t="shared" si="2"/>
        <v>0.05</v>
      </c>
    </row>
    <row r="17" spans="1:19">
      <c r="A17" s="3" t="s">
        <v>770</v>
      </c>
      <c r="B17" s="3" t="str">
        <f>VLOOKUP(A17,Лист5!A:E,5,FALSE)</f>
        <v>RU000A106YF0</v>
      </c>
      <c r="C17" s="3" t="s">
        <v>771</v>
      </c>
      <c r="D17" s="3">
        <v>50</v>
      </c>
      <c r="E17" s="178">
        <v>12750</v>
      </c>
      <c r="F17" s="115">
        <f t="shared" si="0"/>
        <v>1.3233672328813601E-2</v>
      </c>
      <c r="I17" s="157" t="s">
        <v>126</v>
      </c>
      <c r="J17" s="157" t="s">
        <v>1340</v>
      </c>
      <c r="K17" s="157" t="s">
        <v>127</v>
      </c>
      <c r="L17" s="158">
        <v>0.05</v>
      </c>
      <c r="M17" s="158">
        <f t="shared" si="1"/>
        <v>2.5000000000000001E-2</v>
      </c>
      <c r="O17" s="256" t="s">
        <v>1977</v>
      </c>
      <c r="P17" s="212" t="s">
        <v>1975</v>
      </c>
      <c r="Q17" s="219">
        <v>0.1</v>
      </c>
      <c r="R17" s="252">
        <v>0.1</v>
      </c>
      <c r="S17" s="252">
        <f t="shared" si="2"/>
        <v>0.05</v>
      </c>
    </row>
    <row r="18" spans="1:19">
      <c r="A18" s="3" t="s">
        <v>120</v>
      </c>
      <c r="B18" s="3" t="str">
        <f>VLOOKUP(A18,Лист5!A:E,5,FALSE)</f>
        <v>RU000A0JR4A1</v>
      </c>
      <c r="C18" s="3" t="s">
        <v>121</v>
      </c>
      <c r="D18" s="3">
        <v>140</v>
      </c>
      <c r="E18" s="178">
        <v>25698.400000000001</v>
      </c>
      <c r="F18" s="115">
        <f t="shared" si="0"/>
        <v>2.667327097841439E-2</v>
      </c>
      <c r="I18" s="157" t="s">
        <v>128</v>
      </c>
      <c r="J18" s="157" t="s">
        <v>419</v>
      </c>
      <c r="K18" s="157" t="s">
        <v>129</v>
      </c>
      <c r="L18" s="162">
        <v>0.09</v>
      </c>
      <c r="M18" s="162">
        <f t="shared" si="1"/>
        <v>4.4999999999999998E-2</v>
      </c>
      <c r="R18" s="200">
        <f>SUM(R7:R17)</f>
        <v>1</v>
      </c>
      <c r="S18" s="200">
        <f>SUM(S7:S17)</f>
        <v>0.5</v>
      </c>
    </row>
    <row r="19" spans="1:19">
      <c r="A19" s="3" t="s">
        <v>878</v>
      </c>
      <c r="B19" s="3" t="str">
        <f>VLOOKUP(A19,Лист5!A:E,5,FALSE)</f>
        <v>RU000A0HL5M1</v>
      </c>
      <c r="C19" s="3" t="s">
        <v>879</v>
      </c>
      <c r="D19" s="3">
        <v>12</v>
      </c>
      <c r="E19" s="178">
        <v>6960</v>
      </c>
      <c r="F19" s="115">
        <f t="shared" si="0"/>
        <v>7.2240281889053067E-3</v>
      </c>
      <c r="I19" s="157" t="s">
        <v>130</v>
      </c>
      <c r="J19" s="157" t="s">
        <v>547</v>
      </c>
      <c r="K19" s="157" t="s">
        <v>131</v>
      </c>
      <c r="L19" s="158">
        <v>0.05</v>
      </c>
      <c r="M19" s="158">
        <f t="shared" si="1"/>
        <v>2.5000000000000001E-2</v>
      </c>
      <c r="Q19" s="179"/>
      <c r="R19" s="180"/>
    </row>
    <row r="20" spans="1:19">
      <c r="A20" s="3" t="s">
        <v>109</v>
      </c>
      <c r="B20" s="3" t="str">
        <f>VLOOKUP(A20,Лист5!A:E,5,FALSE)</f>
        <v>RU0008943394</v>
      </c>
      <c r="C20" s="3" t="s">
        <v>110</v>
      </c>
      <c r="D20" s="3">
        <v>100</v>
      </c>
      <c r="E20" s="178">
        <v>5267</v>
      </c>
      <c r="F20" s="115">
        <f t="shared" si="0"/>
        <v>5.4668040906557837E-3</v>
      </c>
      <c r="I20" s="157" t="s">
        <v>132</v>
      </c>
      <c r="J20" s="157" t="s">
        <v>293</v>
      </c>
      <c r="K20" s="157" t="s">
        <v>133</v>
      </c>
      <c r="L20" s="161">
        <v>0.03</v>
      </c>
      <c r="M20" s="161">
        <f t="shared" si="1"/>
        <v>1.4999999999999999E-2</v>
      </c>
      <c r="Q20" s="179"/>
      <c r="R20" s="180"/>
    </row>
    <row r="21" spans="1:19">
      <c r="A21" s="3" t="s">
        <v>988</v>
      </c>
      <c r="B21" s="3" t="str">
        <f>VLOOKUP(A21,Лист5!A:E,5,FALSE)</f>
        <v>RU000A0ET7Y7</v>
      </c>
      <c r="C21" s="3" t="s">
        <v>989</v>
      </c>
      <c r="D21" s="3">
        <v>10000</v>
      </c>
      <c r="E21" s="178">
        <v>10745</v>
      </c>
      <c r="F21" s="115">
        <f t="shared" si="0"/>
        <v>1.1152612484164874E-2</v>
      </c>
      <c r="I21" s="157" t="s">
        <v>134</v>
      </c>
      <c r="J21" s="157" t="s">
        <v>432</v>
      </c>
      <c r="K21" s="157" t="s">
        <v>135</v>
      </c>
      <c r="L21" s="163">
        <v>0.1</v>
      </c>
      <c r="M21" s="163">
        <f t="shared" si="1"/>
        <v>0.05</v>
      </c>
      <c r="Q21" s="179"/>
      <c r="R21" s="180"/>
    </row>
    <row r="22" spans="1:19">
      <c r="A22" s="3" t="s">
        <v>998</v>
      </c>
      <c r="B22" s="3" t="str">
        <f>VLOOKUP(A22,Лист5!A:E,5,FALSE)</f>
        <v>RU000A0JPN96</v>
      </c>
      <c r="C22" s="3" t="s">
        <v>999</v>
      </c>
      <c r="D22" s="3">
        <v>230000</v>
      </c>
      <c r="E22" s="178">
        <v>74589</v>
      </c>
      <c r="F22" s="115">
        <f t="shared" si="0"/>
        <v>7.7418540026186491E-2</v>
      </c>
      <c r="I22" s="157" t="s">
        <v>136</v>
      </c>
      <c r="J22" s="157" t="s">
        <v>630</v>
      </c>
      <c r="K22" s="157" t="s">
        <v>137</v>
      </c>
      <c r="L22" s="158">
        <v>0.05</v>
      </c>
      <c r="M22" s="158">
        <f t="shared" si="1"/>
        <v>2.5000000000000001E-2</v>
      </c>
      <c r="Q22" s="179"/>
      <c r="R22" s="180"/>
    </row>
    <row r="23" spans="1:19">
      <c r="A23" s="3" t="s">
        <v>1152</v>
      </c>
      <c r="B23" s="3" t="str">
        <f>VLOOKUP(A23,Лист5!A:E,5,FALSE)</f>
        <v>RU0009029540</v>
      </c>
      <c r="C23" s="3" t="s">
        <v>1153</v>
      </c>
      <c r="D23" s="3">
        <v>400</v>
      </c>
      <c r="E23" s="178">
        <v>91244</v>
      </c>
      <c r="F23" s="115">
        <f t="shared" si="0"/>
        <v>9.4705348860413194E-2</v>
      </c>
      <c r="I23" s="157" t="s">
        <v>138</v>
      </c>
      <c r="J23" s="157" t="s">
        <v>741</v>
      </c>
      <c r="K23" s="157" t="s">
        <v>139</v>
      </c>
      <c r="L23" s="161">
        <v>0.03</v>
      </c>
      <c r="M23" s="161">
        <f t="shared" si="1"/>
        <v>1.4999999999999999E-2</v>
      </c>
      <c r="Q23" s="179"/>
      <c r="R23" s="180"/>
    </row>
    <row r="24" spans="1:19">
      <c r="A24" s="3" t="s">
        <v>1157</v>
      </c>
      <c r="B24" s="3" t="str">
        <f>VLOOKUP(A24,Лист5!A:E,5,FALSE)</f>
        <v>RU0009029557</v>
      </c>
      <c r="C24" s="3" t="s">
        <v>1158</v>
      </c>
      <c r="D24" s="3">
        <v>300</v>
      </c>
      <c r="E24" s="178">
        <v>68505</v>
      </c>
      <c r="F24" s="115">
        <f t="shared" si="0"/>
        <v>7.1103742971402026E-2</v>
      </c>
      <c r="L24" s="90">
        <f>SUM(L7:L23)</f>
        <v>0.95000000000000018</v>
      </c>
      <c r="M24" s="90">
        <f>SUM(M7:M23)</f>
        <v>0.47500000000000009</v>
      </c>
      <c r="Q24" s="179"/>
      <c r="R24" s="180"/>
    </row>
    <row r="25" spans="1:19">
      <c r="A25" s="3" t="s">
        <v>122</v>
      </c>
      <c r="B25" s="3" t="str">
        <f>VLOOKUP(A25,Лист5!A:E,5,FALSE)</f>
        <v>RU000A0ZZAC4</v>
      </c>
      <c r="C25" s="3" t="s">
        <v>123</v>
      </c>
      <c r="D25" s="3">
        <v>1000</v>
      </c>
      <c r="E25" s="178">
        <v>12580</v>
      </c>
      <c r="F25" s="115">
        <f t="shared" si="0"/>
        <v>1.305722336442942E-2</v>
      </c>
      <c r="Q25" s="179"/>
      <c r="R25" s="180"/>
    </row>
    <row r="26" spans="1:19">
      <c r="A26" s="3" t="s">
        <v>112</v>
      </c>
      <c r="B26" s="3" t="str">
        <f>VLOOKUP(A26,Лист5!A:E,5,FALSE)</f>
        <v>RU0009029524</v>
      </c>
      <c r="C26" s="3" t="s">
        <v>113</v>
      </c>
      <c r="D26" s="3">
        <v>500</v>
      </c>
      <c r="E26" s="178">
        <v>27987.5</v>
      </c>
      <c r="F26" s="115">
        <f t="shared" si="0"/>
        <v>2.904920818060162E-2</v>
      </c>
      <c r="Q26" s="179"/>
      <c r="R26" s="180"/>
    </row>
    <row r="27" spans="1:19">
      <c r="A27" s="3" t="s">
        <v>1336</v>
      </c>
      <c r="B27" s="3" t="str">
        <f>VLOOKUP(A27,Лист5!A:E,5,FALSE)</f>
        <v>RU0009033591</v>
      </c>
      <c r="C27" s="3" t="s">
        <v>1337</v>
      </c>
      <c r="D27" s="3">
        <v>50</v>
      </c>
      <c r="E27" s="178">
        <v>26645</v>
      </c>
      <c r="F27" s="115">
        <f t="shared" si="0"/>
        <v>2.7655780329508894E-2</v>
      </c>
      <c r="Q27" s="179"/>
      <c r="R27" s="180"/>
    </row>
    <row r="28" spans="1:19">
      <c r="A28" s="3" t="s">
        <v>114</v>
      </c>
      <c r="B28" s="3" t="str">
        <f>VLOOKUP(A28,Лист5!A:E,5,FALSE)</f>
        <v>RU000A107UL4</v>
      </c>
      <c r="C28" s="3" t="s">
        <v>115</v>
      </c>
      <c r="D28" s="3">
        <v>9</v>
      </c>
      <c r="E28" s="178">
        <v>21132</v>
      </c>
      <c r="F28" s="115">
        <f t="shared" si="0"/>
        <v>2.1933644208038356E-2</v>
      </c>
      <c r="Q28" s="179"/>
      <c r="R28" s="180"/>
    </row>
    <row r="29" spans="1:19">
      <c r="A29" s="3" t="s">
        <v>116</v>
      </c>
      <c r="B29" s="3" t="str">
        <f>VLOOKUP(A29,Лист5!A:E,5,FALSE)</f>
        <v>RU0009091573</v>
      </c>
      <c r="C29" s="3" t="s">
        <v>117</v>
      </c>
      <c r="D29" s="3">
        <v>11</v>
      </c>
      <c r="E29" s="178">
        <v>10389.5</v>
      </c>
      <c r="F29" s="115">
        <f t="shared" si="0"/>
        <v>1.0783626561585012E-2</v>
      </c>
      <c r="Q29" s="179"/>
      <c r="R29" s="180"/>
    </row>
    <row r="30" spans="1:19">
      <c r="A30" s="3" t="s">
        <v>124</v>
      </c>
      <c r="B30" s="3" t="str">
        <f>VLOOKUP(A30,Лист5!A:E,5,FALSE)</f>
        <v>RU000A107662</v>
      </c>
      <c r="C30" s="3" t="s">
        <v>125</v>
      </c>
      <c r="D30" s="3">
        <v>7</v>
      </c>
      <c r="E30" s="178">
        <v>29400</v>
      </c>
      <c r="F30" s="115">
        <f t="shared" si="0"/>
        <v>3.0515291487617245E-2</v>
      </c>
      <c r="Q30" s="179"/>
      <c r="R30" s="180"/>
    </row>
    <row r="31" spans="1:19">
      <c r="A31" s="3" t="s">
        <v>118</v>
      </c>
      <c r="B31" s="3" t="str">
        <f>VLOOKUP(A31,Лист5!A:E,5,FALSE)</f>
        <v>RU000A107T19</v>
      </c>
      <c r="C31" s="3" t="s">
        <v>119</v>
      </c>
      <c r="D31" s="3">
        <v>30</v>
      </c>
      <c r="E31" s="178">
        <v>99915</v>
      </c>
      <c r="F31" s="115">
        <f t="shared" si="0"/>
        <v>0.10370528397909105</v>
      </c>
      <c r="Q31" s="179"/>
      <c r="R31" s="180"/>
    </row>
    <row r="32" spans="1:19">
      <c r="A32" s="3" t="s">
        <v>1977</v>
      </c>
      <c r="B32" s="3" t="s">
        <v>1977</v>
      </c>
      <c r="C32" s="3" t="s">
        <v>1975</v>
      </c>
      <c r="D32" s="3">
        <v>50</v>
      </c>
      <c r="E32" s="178">
        <v>47290</v>
      </c>
      <c r="F32" s="115">
        <f t="shared" si="0"/>
        <v>4.9083950151340802E-2</v>
      </c>
      <c r="Q32" s="179"/>
      <c r="R32" s="180"/>
    </row>
    <row r="33" spans="1:25">
      <c r="A33" s="3" t="s">
        <v>1979</v>
      </c>
      <c r="B33" s="3" t="s">
        <v>1979</v>
      </c>
      <c r="C33" s="3" t="s">
        <v>1978</v>
      </c>
      <c r="D33" s="3">
        <v>32</v>
      </c>
      <c r="E33" s="178">
        <v>29155.200000000001</v>
      </c>
      <c r="F33" s="115">
        <f t="shared" si="0"/>
        <v>3.0261204978904024E-2</v>
      </c>
      <c r="Q33" s="179"/>
      <c r="R33" s="180"/>
    </row>
    <row r="34" spans="1:25">
      <c r="A34" s="3" t="s">
        <v>1981</v>
      </c>
      <c r="B34" s="3" t="s">
        <v>1981</v>
      </c>
      <c r="C34" s="3" t="s">
        <v>1980</v>
      </c>
      <c r="D34" s="3">
        <v>30</v>
      </c>
      <c r="E34" s="178">
        <v>27047.999999999996</v>
      </c>
      <c r="F34" s="115">
        <f t="shared" si="0"/>
        <v>2.8074068168607861E-2</v>
      </c>
      <c r="Q34" s="179"/>
      <c r="R34" s="180"/>
    </row>
    <row r="38" spans="1:25" ht="21">
      <c r="A38" s="166" t="s">
        <v>12988</v>
      </c>
    </row>
    <row r="39" spans="1:25" ht="15.75">
      <c r="A39" s="164" t="s">
        <v>12253</v>
      </c>
    </row>
    <row r="40" spans="1:25">
      <c r="A40" t="s">
        <v>12987</v>
      </c>
    </row>
    <row r="41" spans="1:25" ht="15.75">
      <c r="A41" s="164" t="s">
        <v>12254</v>
      </c>
    </row>
    <row r="43" spans="1:25">
      <c r="A43" s="266" t="s">
        <v>12238</v>
      </c>
      <c r="F43" t="s">
        <v>12262</v>
      </c>
    </row>
    <row r="44" spans="1:25">
      <c r="B44" s="152"/>
      <c r="F44" s="170" t="s">
        <v>12261</v>
      </c>
      <c r="G44" s="170" t="s">
        <v>12263</v>
      </c>
      <c r="H44" s="170" t="s">
        <v>12261</v>
      </c>
      <c r="I44" s="170" t="s">
        <v>12261</v>
      </c>
      <c r="J44" s="170" t="s">
        <v>12261</v>
      </c>
      <c r="K44" s="170" t="s">
        <v>12261</v>
      </c>
      <c r="L44" s="170" t="s">
        <v>12261</v>
      </c>
      <c r="M44" s="170" t="s">
        <v>12261</v>
      </c>
      <c r="N44" s="170" t="s">
        <v>12261</v>
      </c>
      <c r="O44" s="170" t="s">
        <v>12261</v>
      </c>
    </row>
    <row r="45" spans="1:25" ht="54">
      <c r="A45" s="168" t="s">
        <v>228</v>
      </c>
      <c r="B45" s="168" t="s">
        <v>229</v>
      </c>
      <c r="C45" s="168" t="s">
        <v>1964</v>
      </c>
      <c r="D45" s="261" t="s">
        <v>13000</v>
      </c>
      <c r="E45" s="169" t="s">
        <v>12998</v>
      </c>
      <c r="F45" s="176" t="s">
        <v>12243</v>
      </c>
      <c r="G45" s="176" t="s">
        <v>12244</v>
      </c>
      <c r="H45" s="176" t="s">
        <v>12236</v>
      </c>
      <c r="I45" s="176" t="s">
        <v>2075</v>
      </c>
      <c r="J45" s="176" t="s">
        <v>2076</v>
      </c>
      <c r="K45" s="176" t="s">
        <v>2090</v>
      </c>
      <c r="L45" s="176" t="s">
        <v>2091</v>
      </c>
      <c r="M45" s="176" t="s">
        <v>2092</v>
      </c>
      <c r="N45" s="176" t="s">
        <v>258</v>
      </c>
      <c r="O45" s="177" t="s">
        <v>2094</v>
      </c>
      <c r="P45" s="173" t="s">
        <v>12231</v>
      </c>
      <c r="Q45" s="174" t="s">
        <v>2115</v>
      </c>
      <c r="R45" s="173" t="s">
        <v>12230</v>
      </c>
      <c r="S45" s="175" t="s">
        <v>12239</v>
      </c>
      <c r="T45" s="175" t="s">
        <v>12235</v>
      </c>
      <c r="U45" s="175" t="s">
        <v>12240</v>
      </c>
      <c r="V45" s="175" t="s">
        <v>12246</v>
      </c>
      <c r="W45" s="175" t="s">
        <v>12247</v>
      </c>
      <c r="X45" s="175" t="s">
        <v>12249</v>
      </c>
      <c r="Y45" s="175" t="s">
        <v>262</v>
      </c>
    </row>
    <row r="46" spans="1:25">
      <c r="A46" s="122" t="s">
        <v>718</v>
      </c>
      <c r="B46" s="122" t="s">
        <v>101</v>
      </c>
      <c r="C46" s="122" t="s">
        <v>102</v>
      </c>
      <c r="D46" s="123" t="s">
        <v>12257</v>
      </c>
      <c r="E46" s="124">
        <v>2.5000000000000001E-2</v>
      </c>
      <c r="F46" s="150" t="str">
        <f>VLOOKUP(B46,QUIK!D:AL,3,FALSE)</f>
        <v>ао</v>
      </c>
      <c r="G46" s="150" t="str">
        <f>IF(ISERROR(VLOOKUP(F46,Лист12!$A$23:$A$27,1,FALSE))=FALSE,"Обл",IF(OR(F46="ао",F46="ап",F46="др"),"Акции","Прочее"))</f>
        <v>Акции</v>
      </c>
      <c r="H46" s="149">
        <f>IFERROR(VLOOKUP(B46,QUIK_купитьпродать!B:G,6,FALSE),)</f>
        <v>8</v>
      </c>
      <c r="I46">
        <f>VLOOKUP(B46,QUIK!$D:$AL,5,FALSE)</f>
        <v>1</v>
      </c>
      <c r="J46">
        <f>VLOOKUP(B46,QUIK!$D:$AL,9,FALSE)</f>
        <v>6748.5</v>
      </c>
      <c r="K46" s="144" t="str">
        <f>VLOOKUP(B46,QUIK!$D:$AL,28,FALSE)</f>
        <v>SUR</v>
      </c>
      <c r="L46" t="str">
        <f>VLOOKUP(B46,QUIK!$D:$AL,29,FALSE)</f>
        <v/>
      </c>
      <c r="M46" t="str">
        <f>VLOOKUP(B46,QUIK!$D:$AL,30,FALSE)</f>
        <v/>
      </c>
      <c r="N46">
        <f>VLOOKUP(B46,QUIK!$D:$AL,31,FALSE)</f>
        <v>-100</v>
      </c>
      <c r="O46">
        <f>VLOOKUP(B46,QUIK!$D:$AL,4,FALSE)</f>
        <v>1</v>
      </c>
      <c r="P46" s="113">
        <f t="shared" ref="P46:P61" si="3">IFERROR(VLOOKUP(B46,$A$7:$F$34,5,FALSE)/$E$3,"")</f>
        <v>5.6036039348077549E-2</v>
      </c>
      <c r="Q46" s="90">
        <f t="shared" ref="Q46:Q62" si="4">IFERROR(E46-P46,E46)</f>
        <v>-3.1036039348077547E-2</v>
      </c>
      <c r="R46" s="113">
        <f t="shared" ref="R46:R62" si="5">(I46*J46)/$E$3</f>
        <v>7.0045049185096936E-3</v>
      </c>
      <c r="S46" s="145">
        <f t="shared" ref="S46:S62" si="6">Q46*$E$3</f>
        <v>-29901.715250000005</v>
      </c>
      <c r="T46" s="148">
        <f t="shared" ref="T46:T62" si="7">IF(ABS(Q46)&lt;R46,0,ROUNDDOWN(S46/(J46*I46),0))</f>
        <v>-4</v>
      </c>
      <c r="U46" s="148">
        <f t="shared" ref="U46:U62" si="8">T46*I46*J46</f>
        <v>-26994</v>
      </c>
      <c r="V46" s="148">
        <f t="shared" ref="V46:V62" si="9">(IF(H46&lt;&gt;0,H46,0)+T46*I46)</f>
        <v>4</v>
      </c>
      <c r="W46" s="148">
        <f t="shared" ref="W46:W62" si="10">V46*J46</f>
        <v>26994</v>
      </c>
      <c r="X46" s="113">
        <f t="shared" ref="X46:X62" si="11">W46/$E$3</f>
        <v>2.8018019674038774E-2</v>
      </c>
      <c r="Y46" t="str">
        <f>IF(T46&lt;0,"Продажа",IF(T46&gt;0,"Покупка","Нет сделок"))</f>
        <v>Продажа</v>
      </c>
    </row>
    <row r="47" spans="1:25">
      <c r="A47" s="122" t="s">
        <v>299</v>
      </c>
      <c r="B47" s="122" t="s">
        <v>104</v>
      </c>
      <c r="C47" s="122" t="s">
        <v>105</v>
      </c>
      <c r="D47" s="258" t="s">
        <v>12999</v>
      </c>
      <c r="E47" s="124">
        <v>2.5000000000000001E-2</v>
      </c>
      <c r="F47" s="150" t="str">
        <f>VLOOKUP(B47,QUIK!D:AL,3,FALSE)</f>
        <v>др</v>
      </c>
      <c r="G47" s="150" t="str">
        <f>IF(ISERROR(VLOOKUP(F47,Лист12!$A$23:$A$27,1,FALSE))=FALSE,"Обл",IF(OR(F47="ао",F47="ап",F47="др"),"Акции","Прочее"))</f>
        <v>Акции</v>
      </c>
      <c r="H47" s="149">
        <f>IFERROR(VLOOKUP(B47,QUIK_купитьпродать!B:G,6,FALSE),)</f>
        <v>0</v>
      </c>
      <c r="I47">
        <f>VLOOKUP(B47,QUIK!$D:$AL,5,FALSE)</f>
        <v>1</v>
      </c>
      <c r="J47">
        <f>VLOOKUP(B47,QUIK!$D:$AL,9,FALSE)</f>
        <v>2719.5</v>
      </c>
      <c r="K47" s="144" t="str">
        <f>VLOOKUP(B47,QUIK!$D:$AL,28,FALSE)</f>
        <v>SUR</v>
      </c>
      <c r="L47" t="str">
        <f>VLOOKUP(B47,QUIK!$D:$AL,29,FALSE)</f>
        <v/>
      </c>
      <c r="M47" t="str">
        <f>VLOOKUP(B47,QUIK!$D:$AL,30,FALSE)</f>
        <v/>
      </c>
      <c r="N47">
        <f>VLOOKUP(B47,QUIK!$D:$AL,31,FALSE)</f>
        <v>-100</v>
      </c>
      <c r="O47">
        <f>VLOOKUP(B47,QUIK!$D:$AL,4,FALSE)</f>
        <v>1</v>
      </c>
      <c r="P47" s="113" t="str">
        <f t="shared" si="3"/>
        <v/>
      </c>
      <c r="Q47" s="90">
        <f t="shared" si="4"/>
        <v>2.5000000000000001E-2</v>
      </c>
      <c r="R47" s="113">
        <f t="shared" si="5"/>
        <v>2.8226644626045952E-3</v>
      </c>
      <c r="S47" s="145">
        <f t="shared" si="6"/>
        <v>24086.284749999999</v>
      </c>
      <c r="T47" s="148">
        <f t="shared" si="7"/>
        <v>8</v>
      </c>
      <c r="U47" s="148">
        <f t="shared" si="8"/>
        <v>21756</v>
      </c>
      <c r="V47" s="148">
        <f t="shared" si="9"/>
        <v>8</v>
      </c>
      <c r="W47" s="148">
        <f t="shared" si="10"/>
        <v>21756</v>
      </c>
      <c r="X47" s="113">
        <f t="shared" si="11"/>
        <v>2.2581315700836761E-2</v>
      </c>
      <c r="Y47" t="str">
        <f t="shared" ref="Y47:Y62" si="12">IF(T47&lt;0,"Продажа",IF(T47&gt;0,"Покупка","Нет сделок"))</f>
        <v>Покупка</v>
      </c>
    </row>
    <row r="48" spans="1:25">
      <c r="A48" s="122" t="s">
        <v>366</v>
      </c>
      <c r="B48" s="122" t="s">
        <v>107</v>
      </c>
      <c r="C48" s="122" t="s">
        <v>108</v>
      </c>
      <c r="D48" s="123" t="s">
        <v>12257</v>
      </c>
      <c r="E48" s="124">
        <v>2.5000000000000001E-2</v>
      </c>
      <c r="F48" s="150" t="str">
        <f>VLOOKUP(B48,QUIK!D:AL,3,FALSE)</f>
        <v>ао</v>
      </c>
      <c r="G48" s="150" t="str">
        <f>IF(ISERROR(VLOOKUP(F48,Лист12!$A$23:$A$27,1,FALSE))=FALSE,"Обл",IF(OR(F48="ао",F48="ап",F48="др"),"Акции","Прочее"))</f>
        <v>Акции</v>
      </c>
      <c r="H48" s="149">
        <f>IFERROR(VLOOKUP(B48,QUIK_купитьпродать!B:G,6,FALSE),)</f>
        <v>6</v>
      </c>
      <c r="I48">
        <f>VLOOKUP(B48,QUIK!$D:$AL,5,FALSE)</f>
        <v>1</v>
      </c>
      <c r="J48">
        <f>VLOOKUP(B48,QUIK!$D:$AL,9,FALSE)</f>
        <v>1798.6</v>
      </c>
      <c r="K48" s="144" t="str">
        <f>VLOOKUP(B48,QUIK!$D:$AL,28,FALSE)</f>
        <v>SUR</v>
      </c>
      <c r="L48" t="str">
        <f>VLOOKUP(B48,QUIK!$D:$AL,29,FALSE)</f>
        <v/>
      </c>
      <c r="M48" t="str">
        <f>VLOOKUP(B48,QUIK!$D:$AL,30,FALSE)</f>
        <v/>
      </c>
      <c r="N48">
        <f>VLOOKUP(B48,QUIK!$D:$AL,31,FALSE)</f>
        <v>-100</v>
      </c>
      <c r="O48">
        <f>VLOOKUP(B48,QUIK!$D:$AL,4,FALSE)</f>
        <v>1</v>
      </c>
      <c r="P48" s="113">
        <f t="shared" si="3"/>
        <v>1.120098025910783E-2</v>
      </c>
      <c r="Q48" s="90">
        <f t="shared" si="4"/>
        <v>1.3799019740892171E-2</v>
      </c>
      <c r="R48" s="113">
        <f t="shared" si="5"/>
        <v>1.8668300431846387E-3</v>
      </c>
      <c r="S48" s="145">
        <f t="shared" si="6"/>
        <v>13294.68475</v>
      </c>
      <c r="T48" s="148">
        <f t="shared" si="7"/>
        <v>7</v>
      </c>
      <c r="U48" s="148">
        <f t="shared" si="8"/>
        <v>12590.199999999999</v>
      </c>
      <c r="V48" s="148">
        <f t="shared" si="9"/>
        <v>13</v>
      </c>
      <c r="W48" s="148">
        <f t="shared" si="10"/>
        <v>23381.8</v>
      </c>
      <c r="X48" s="113">
        <f t="shared" si="11"/>
        <v>2.4268790561400303E-2</v>
      </c>
      <c r="Y48" t="str">
        <f t="shared" si="12"/>
        <v>Покупка</v>
      </c>
    </row>
    <row r="49" spans="1:25">
      <c r="A49" s="122" t="s">
        <v>1224</v>
      </c>
      <c r="B49" s="122" t="s">
        <v>112</v>
      </c>
      <c r="C49" s="122" t="s">
        <v>113</v>
      </c>
      <c r="D49" s="123" t="s">
        <v>12257</v>
      </c>
      <c r="E49" s="127">
        <v>0.04</v>
      </c>
      <c r="F49" s="150" t="str">
        <f>VLOOKUP(B49,QUIK!D:AL,3,FALSE)</f>
        <v>ап</v>
      </c>
      <c r="G49" s="150" t="str">
        <f>IF(ISERROR(VLOOKUP(F49,Лист12!$A$23:$A$27,1,FALSE))=FALSE,"Обл",IF(OR(F49="ао",F49="ап",F49="др"),"Акции","Прочее"))</f>
        <v>Акции</v>
      </c>
      <c r="H49" s="149">
        <f>IFERROR(VLOOKUP(B49,QUIK_купитьпродать!B:G,6,FALSE),)</f>
        <v>500</v>
      </c>
      <c r="I49">
        <f>VLOOKUP(B49,QUIK!$D:$AL,5,FALSE)</f>
        <v>10</v>
      </c>
      <c r="J49">
        <f>VLOOKUP(B49,QUIK!$D:$AL,9,FALSE)</f>
        <v>55.975000000000001</v>
      </c>
      <c r="K49" s="144" t="str">
        <f>VLOOKUP(B49,QUIK!$D:$AL,28,FALSE)</f>
        <v>SUR</v>
      </c>
      <c r="L49" t="str">
        <f>VLOOKUP(B49,QUIK!$D:$AL,29,FALSE)</f>
        <v/>
      </c>
      <c r="M49" t="str">
        <f>VLOOKUP(B49,QUIK!$D:$AL,30,FALSE)</f>
        <v/>
      </c>
      <c r="N49">
        <f>VLOOKUP(B49,QUIK!$D:$AL,31,FALSE)</f>
        <v>-100</v>
      </c>
      <c r="O49">
        <f>VLOOKUP(B49,QUIK!$D:$AL,4,FALSE)</f>
        <v>2</v>
      </c>
      <c r="P49" s="113">
        <f t="shared" si="3"/>
        <v>2.904920818060162E-2</v>
      </c>
      <c r="Q49" s="90">
        <f t="shared" si="4"/>
        <v>1.095079181939838E-2</v>
      </c>
      <c r="R49" s="113">
        <f t="shared" si="5"/>
        <v>5.8098416361203244E-4</v>
      </c>
      <c r="S49" s="145">
        <f t="shared" si="6"/>
        <v>10550.555599999998</v>
      </c>
      <c r="T49" s="148">
        <f t="shared" si="7"/>
        <v>18</v>
      </c>
      <c r="U49" s="148">
        <f t="shared" si="8"/>
        <v>10075.5</v>
      </c>
      <c r="V49" s="148">
        <f t="shared" si="9"/>
        <v>680</v>
      </c>
      <c r="W49" s="148">
        <f t="shared" si="10"/>
        <v>38063</v>
      </c>
      <c r="X49" s="113">
        <f t="shared" si="11"/>
        <v>3.9506923125618203E-2</v>
      </c>
      <c r="Y49" t="str">
        <f t="shared" si="12"/>
        <v>Покупка</v>
      </c>
    </row>
    <row r="50" spans="1:25">
      <c r="A50" s="122" t="s">
        <v>1257</v>
      </c>
      <c r="B50" s="122" t="s">
        <v>114</v>
      </c>
      <c r="C50" s="122" t="s">
        <v>115</v>
      </c>
      <c r="D50" s="123" t="s">
        <v>12257</v>
      </c>
      <c r="E50" s="124">
        <v>2.5000000000000001E-2</v>
      </c>
      <c r="F50" s="150" t="str">
        <f>VLOOKUP(B50,QUIK!D:AL,3,FALSE)</f>
        <v>ао</v>
      </c>
      <c r="G50" s="150" t="str">
        <f>IF(ISERROR(VLOOKUP(F50,Лист12!$A$23:$A$27,1,FALSE))=FALSE,"Обл",IF(OR(F50="ао",F50="ап",F50="др"),"Акции","Прочее"))</f>
        <v>Акции</v>
      </c>
      <c r="H50" s="149">
        <f>IFERROR(VLOOKUP(B50,QUIK_купитьпродать!B:G,6,FALSE),)</f>
        <v>9</v>
      </c>
      <c r="I50">
        <f>VLOOKUP(B50,QUIK!$D:$AL,5,FALSE)</f>
        <v>1</v>
      </c>
      <c r="J50">
        <f>VLOOKUP(B50,QUIK!$D:$AL,9,FALSE)</f>
        <v>2348</v>
      </c>
      <c r="K50" s="144" t="str">
        <f>VLOOKUP(B50,QUIK!$D:$AL,28,FALSE)</f>
        <v>SUR</v>
      </c>
      <c r="L50" t="str">
        <f>VLOOKUP(B50,QUIK!$D:$AL,29,FALSE)</f>
        <v/>
      </c>
      <c r="M50" t="str">
        <f>VLOOKUP(B50,QUIK!$D:$AL,30,FALSE)</f>
        <v/>
      </c>
      <c r="N50">
        <f>VLOOKUP(B50,QUIK!$D:$AL,31,FALSE)</f>
        <v>-100</v>
      </c>
      <c r="O50">
        <f>VLOOKUP(B50,QUIK!$D:$AL,4,FALSE)</f>
        <v>1</v>
      </c>
      <c r="P50" s="113">
        <f t="shared" si="3"/>
        <v>2.1933644208038356E-2</v>
      </c>
      <c r="Q50" s="90">
        <f t="shared" si="4"/>
        <v>3.0663557919616453E-3</v>
      </c>
      <c r="R50" s="113">
        <f t="shared" si="5"/>
        <v>2.4370715786709283E-3</v>
      </c>
      <c r="S50" s="145">
        <f t="shared" si="6"/>
        <v>2954.2847499999975</v>
      </c>
      <c r="T50" s="148">
        <f t="shared" si="7"/>
        <v>1</v>
      </c>
      <c r="U50" s="148">
        <f t="shared" si="8"/>
        <v>2348</v>
      </c>
      <c r="V50" s="148">
        <f t="shared" si="9"/>
        <v>10</v>
      </c>
      <c r="W50" s="148">
        <f t="shared" si="10"/>
        <v>23480</v>
      </c>
      <c r="X50" s="113">
        <f t="shared" si="11"/>
        <v>2.4370715786709282E-2</v>
      </c>
      <c r="Y50" t="str">
        <f t="shared" si="12"/>
        <v>Покупка</v>
      </c>
    </row>
    <row r="51" spans="1:25">
      <c r="A51" s="122" t="s">
        <v>1358</v>
      </c>
      <c r="B51" s="122" t="s">
        <v>116</v>
      </c>
      <c r="C51" s="122" t="s">
        <v>117</v>
      </c>
      <c r="D51" s="123" t="s">
        <v>12257</v>
      </c>
      <c r="E51" s="128">
        <v>1.4999999999999999E-2</v>
      </c>
      <c r="F51" s="150" t="str">
        <f>VLOOKUP(B51,QUIK!D:AL,3,FALSE)</f>
        <v>ап</v>
      </c>
      <c r="G51" s="150" t="str">
        <f>IF(ISERROR(VLOOKUP(F51,Лист12!$A$23:$A$27,1,FALSE))=FALSE,"Обл",IF(OR(F51="ао",F51="ап",F51="др"),"Акции","Прочее"))</f>
        <v>Акции</v>
      </c>
      <c r="H51" s="149">
        <f>IFERROR(VLOOKUP(B51,QUIK_купитьпродать!B:G,6,FALSE),)</f>
        <v>11</v>
      </c>
      <c r="I51">
        <f>VLOOKUP(B51,QUIK!$D:$AL,5,FALSE)</f>
        <v>1</v>
      </c>
      <c r="J51">
        <f>VLOOKUP(B51,QUIK!$D:$AL,9,FALSE)</f>
        <v>944.5</v>
      </c>
      <c r="K51" s="144" t="str">
        <f>VLOOKUP(B51,QUIK!$D:$AL,28,FALSE)</f>
        <v>SUR</v>
      </c>
      <c r="L51" t="str">
        <f>VLOOKUP(B51,QUIK!$D:$AL,29,FALSE)</f>
        <v/>
      </c>
      <c r="M51" t="str">
        <f>VLOOKUP(B51,QUIK!$D:$AL,30,FALSE)</f>
        <v/>
      </c>
      <c r="N51">
        <f>VLOOKUP(B51,QUIK!$D:$AL,31,FALSE)</f>
        <v>-100</v>
      </c>
      <c r="O51">
        <f>VLOOKUP(B51,QUIK!$D:$AL,4,FALSE)</f>
        <v>1</v>
      </c>
      <c r="P51" s="113">
        <f t="shared" si="3"/>
        <v>1.0783626561585012E-2</v>
      </c>
      <c r="Q51" s="90">
        <f t="shared" si="4"/>
        <v>4.2163734384149873E-3</v>
      </c>
      <c r="R51" s="113">
        <f t="shared" si="5"/>
        <v>9.8032968741681927E-4</v>
      </c>
      <c r="S51" s="145">
        <f t="shared" si="6"/>
        <v>4062.2708499999985</v>
      </c>
      <c r="T51" s="148">
        <f t="shared" si="7"/>
        <v>4</v>
      </c>
      <c r="U51" s="148">
        <f t="shared" si="8"/>
        <v>3778</v>
      </c>
      <c r="V51" s="148">
        <f t="shared" si="9"/>
        <v>15</v>
      </c>
      <c r="W51" s="148">
        <f t="shared" si="10"/>
        <v>14167.5</v>
      </c>
      <c r="X51" s="113">
        <f t="shared" si="11"/>
        <v>1.470494531125229E-2</v>
      </c>
      <c r="Y51" t="str">
        <f t="shared" si="12"/>
        <v>Покупка</v>
      </c>
    </row>
    <row r="52" spans="1:25">
      <c r="A52" s="122" t="s">
        <v>1468</v>
      </c>
      <c r="B52" s="122" t="s">
        <v>118</v>
      </c>
      <c r="C52" s="122" t="s">
        <v>119</v>
      </c>
      <c r="D52" s="123" t="s">
        <v>12257</v>
      </c>
      <c r="E52" s="129">
        <v>4.4999999999999998E-2</v>
      </c>
      <c r="F52" s="150" t="str">
        <f>VLOOKUP(B52,QUIK!D:AL,3,FALSE)</f>
        <v>ао</v>
      </c>
      <c r="G52" s="150" t="str">
        <f>IF(ISERROR(VLOOKUP(F52,Лист12!$A$23:$A$27,1,FALSE))=FALSE,"Обл",IF(OR(F52="ао",F52="ап",F52="др"),"Акции","Прочее"))</f>
        <v>Акции</v>
      </c>
      <c r="H52" s="149">
        <f>IFERROR(VLOOKUP(B52,QUIK_купитьпродать!B:G,6,FALSE),)</f>
        <v>30</v>
      </c>
      <c r="I52">
        <f>VLOOKUP(B52,QUIK!$D:$AL,5,FALSE)</f>
        <v>1</v>
      </c>
      <c r="J52">
        <f>VLOOKUP(B52,QUIK!$D:$AL,9,FALSE)</f>
        <v>3330.5</v>
      </c>
      <c r="K52" s="144" t="str">
        <f>VLOOKUP(B52,QUIK!$D:$AL,28,FALSE)</f>
        <v>SUR</v>
      </c>
      <c r="L52" t="str">
        <f>VLOOKUP(B52,QUIK!$D:$AL,29,FALSE)</f>
        <v/>
      </c>
      <c r="M52" t="str">
        <f>VLOOKUP(B52,QUIK!$D:$AL,30,FALSE)</f>
        <v/>
      </c>
      <c r="N52">
        <f>VLOOKUP(B52,QUIK!$D:$AL,31,FALSE)</f>
        <v>-100</v>
      </c>
      <c r="O52">
        <f>VLOOKUP(B52,QUIK!$D:$AL,4,FALSE)</f>
        <v>1</v>
      </c>
      <c r="P52" s="113">
        <f t="shared" si="3"/>
        <v>0.10370528397909105</v>
      </c>
      <c r="Q52" s="90">
        <f t="shared" si="4"/>
        <v>-5.8705283979091055E-2</v>
      </c>
      <c r="R52" s="113">
        <f t="shared" si="5"/>
        <v>3.4568427993030351E-3</v>
      </c>
      <c r="S52" s="145">
        <f t="shared" si="6"/>
        <v>-56559.687450000005</v>
      </c>
      <c r="T52" s="148">
        <f t="shared" si="7"/>
        <v>-16</v>
      </c>
      <c r="U52" s="148">
        <f t="shared" si="8"/>
        <v>-53288</v>
      </c>
      <c r="V52" s="148">
        <f t="shared" si="9"/>
        <v>14</v>
      </c>
      <c r="W52" s="148">
        <f t="shared" si="10"/>
        <v>46627</v>
      </c>
      <c r="X52" s="113">
        <f t="shared" si="11"/>
        <v>4.8395799190242492E-2</v>
      </c>
      <c r="Y52" t="str">
        <f t="shared" si="12"/>
        <v>Продажа</v>
      </c>
    </row>
    <row r="53" spans="1:25">
      <c r="A53" s="122" t="s">
        <v>834</v>
      </c>
      <c r="B53" s="122" t="s">
        <v>120</v>
      </c>
      <c r="C53" s="122" t="s">
        <v>121</v>
      </c>
      <c r="D53" s="123" t="s">
        <v>12257</v>
      </c>
      <c r="E53" s="124">
        <v>2.5000000000000001E-2</v>
      </c>
      <c r="F53" s="150" t="str">
        <f>VLOOKUP(B53,QUIK!D:AL,3,FALSE)</f>
        <v>ао</v>
      </c>
      <c r="G53" s="150" t="str">
        <f>IF(ISERROR(VLOOKUP(F53,Лист12!$A$23:$A$27,1,FALSE))=FALSE,"Обл",IF(OR(F53="ао",F53="ап",F53="др"),"Акции","Прочее"))</f>
        <v>Акции</v>
      </c>
      <c r="H53" s="149">
        <f>IFERROR(VLOOKUP(B53,QUIK_купитьпродать!B:G,6,FALSE),)</f>
        <v>140</v>
      </c>
      <c r="I53">
        <f>VLOOKUP(B53,QUIK!$D:$AL,5,FALSE)</f>
        <v>10</v>
      </c>
      <c r="J53">
        <f>VLOOKUP(B53,QUIK!$D:$AL,9,FALSE)</f>
        <v>183.56</v>
      </c>
      <c r="K53" s="144" t="str">
        <f>VLOOKUP(B53,QUIK!$D:$AL,28,FALSE)</f>
        <v>SUR</v>
      </c>
      <c r="L53" t="str">
        <f>VLOOKUP(B53,QUIK!$D:$AL,29,FALSE)</f>
        <v/>
      </c>
      <c r="M53" t="str">
        <f>VLOOKUP(B53,QUIK!$D:$AL,30,FALSE)</f>
        <v/>
      </c>
      <c r="N53">
        <f>VLOOKUP(B53,QUIK!$D:$AL,31,FALSE)</f>
        <v>-100</v>
      </c>
      <c r="O53">
        <f>VLOOKUP(B53,QUIK!$D:$AL,4,FALSE)</f>
        <v>1</v>
      </c>
      <c r="P53" s="113">
        <f t="shared" si="3"/>
        <v>2.667327097841439E-2</v>
      </c>
      <c r="Q53" s="90">
        <f t="shared" si="4"/>
        <v>-1.6732709784143887E-3</v>
      </c>
      <c r="R53" s="113">
        <f t="shared" si="5"/>
        <v>1.9052336413153135E-3</v>
      </c>
      <c r="S53" s="145">
        <f t="shared" si="6"/>
        <v>-1612.1152500000026</v>
      </c>
      <c r="T53" s="148">
        <f t="shared" si="7"/>
        <v>0</v>
      </c>
      <c r="U53" s="148">
        <f t="shared" si="8"/>
        <v>0</v>
      </c>
      <c r="V53" s="148">
        <f t="shared" si="9"/>
        <v>140</v>
      </c>
      <c r="W53" s="148">
        <f t="shared" si="10"/>
        <v>25698.400000000001</v>
      </c>
      <c r="X53" s="113">
        <f t="shared" si="11"/>
        <v>2.667327097841439E-2</v>
      </c>
      <c r="Y53" t="str">
        <f t="shared" si="12"/>
        <v>Нет сделок</v>
      </c>
    </row>
    <row r="54" spans="1:25">
      <c r="A54" s="122" t="s">
        <v>1201</v>
      </c>
      <c r="B54" s="122" t="s">
        <v>122</v>
      </c>
      <c r="C54" s="122" t="s">
        <v>123</v>
      </c>
      <c r="D54" s="123" t="s">
        <v>12257</v>
      </c>
      <c r="E54" s="124">
        <v>2.5000000000000001E-2</v>
      </c>
      <c r="F54" s="150" t="str">
        <f>VLOOKUP(B54,QUIK!D:AL,3,FALSE)</f>
        <v>ао</v>
      </c>
      <c r="G54" s="150" t="str">
        <f>IF(ISERROR(VLOOKUP(F54,Лист12!$A$23:$A$27,1,FALSE))=FALSE,"Обл",IF(OR(F54="ао",F54="ап",F54="др"),"Акции","Прочее"))</f>
        <v>Акции</v>
      </c>
      <c r="H54" s="149">
        <f>IFERROR(VLOOKUP(B54,QUIK_купитьпродать!B:G,6,FALSE),)</f>
        <v>1000</v>
      </c>
      <c r="I54">
        <f>VLOOKUP(B54,QUIK!$D:$AL,5,FALSE)</f>
        <v>100</v>
      </c>
      <c r="J54">
        <f>VLOOKUP(B54,QUIK!$D:$AL,9,FALSE)</f>
        <v>12.58</v>
      </c>
      <c r="K54" s="144" t="str">
        <f>VLOOKUP(B54,QUIK!$D:$AL,28,FALSE)</f>
        <v>SUR</v>
      </c>
      <c r="L54" t="str">
        <f>VLOOKUP(B54,QUIK!$D:$AL,29,FALSE)</f>
        <v/>
      </c>
      <c r="M54" t="str">
        <f>VLOOKUP(B54,QUIK!$D:$AL,30,FALSE)</f>
        <v/>
      </c>
      <c r="N54">
        <f>VLOOKUP(B54,QUIK!$D:$AL,31,FALSE)</f>
        <v>-100</v>
      </c>
      <c r="O54">
        <f>VLOOKUP(B54,QUIK!$D:$AL,4,FALSE)</f>
        <v>1</v>
      </c>
      <c r="P54" s="113">
        <f t="shared" si="3"/>
        <v>1.305722336442942E-2</v>
      </c>
      <c r="Q54" s="90">
        <f t="shared" si="4"/>
        <v>1.1942776635570581E-2</v>
      </c>
      <c r="R54" s="113">
        <f t="shared" si="5"/>
        <v>1.3057223364429419E-3</v>
      </c>
      <c r="S54" s="145">
        <f t="shared" si="6"/>
        <v>11506.284749999999</v>
      </c>
      <c r="T54" s="148">
        <f t="shared" si="7"/>
        <v>9</v>
      </c>
      <c r="U54" s="148">
        <f t="shared" si="8"/>
        <v>11322</v>
      </c>
      <c r="V54" s="148">
        <f t="shared" si="9"/>
        <v>1900</v>
      </c>
      <c r="W54" s="148">
        <f t="shared" si="10"/>
        <v>23902</v>
      </c>
      <c r="X54" s="113">
        <f t="shared" si="11"/>
        <v>2.4808724392415899E-2</v>
      </c>
      <c r="Y54" t="str">
        <f t="shared" si="12"/>
        <v>Покупка</v>
      </c>
    </row>
    <row r="55" spans="1:25">
      <c r="A55" s="122" t="s">
        <v>1386</v>
      </c>
      <c r="B55" s="122" t="s">
        <v>124</v>
      </c>
      <c r="C55" s="122" t="s">
        <v>125</v>
      </c>
      <c r="D55" s="123" t="s">
        <v>12257</v>
      </c>
      <c r="E55" s="124">
        <v>2.5000000000000001E-2</v>
      </c>
      <c r="F55" s="150" t="str">
        <f>VLOOKUP(B55,QUIK!D:AL,3,FALSE)</f>
        <v>ао</v>
      </c>
      <c r="G55" s="150" t="str">
        <f>IF(ISERROR(VLOOKUP(F55,Лист12!$A$23:$A$27,1,FALSE))=FALSE,"Обл",IF(OR(F55="ао",F55="ап",F55="др"),"Акции","Прочее"))</f>
        <v>Акции</v>
      </c>
      <c r="H55" s="149">
        <f>IFERROR(VLOOKUP(B55,QUIK_купитьпродать!B:G,6,FALSE),)</f>
        <v>7</v>
      </c>
      <c r="I55">
        <f>VLOOKUP(B55,QUIK!$D:$AL,5,FALSE)</f>
        <v>1</v>
      </c>
      <c r="J55">
        <f>VLOOKUP(B55,QUIK!$D:$AL,9,FALSE)</f>
        <v>4200</v>
      </c>
      <c r="K55" s="144" t="str">
        <f>VLOOKUP(B55,QUIK!$D:$AL,28,FALSE)</f>
        <v>SUR</v>
      </c>
      <c r="L55" t="str">
        <f>VLOOKUP(B55,QUIK!$D:$AL,29,FALSE)</f>
        <v/>
      </c>
      <c r="M55" t="str">
        <f>VLOOKUP(B55,QUIK!$D:$AL,30,FALSE)</f>
        <v/>
      </c>
      <c r="N55">
        <f>VLOOKUP(B55,QUIK!$D:$AL,31,FALSE)</f>
        <v>-100</v>
      </c>
      <c r="O55">
        <f>VLOOKUP(B55,QUIK!$D:$AL,4,FALSE)</f>
        <v>1</v>
      </c>
      <c r="P55" s="113">
        <f t="shared" si="3"/>
        <v>3.0515291487617245E-2</v>
      </c>
      <c r="Q55" s="90">
        <f t="shared" si="4"/>
        <v>-5.5152914876172437E-3</v>
      </c>
      <c r="R55" s="113">
        <f t="shared" si="5"/>
        <v>4.3593273553738923E-3</v>
      </c>
      <c r="S55" s="145">
        <f t="shared" si="6"/>
        <v>-5313.7152500000011</v>
      </c>
      <c r="T55" s="148">
        <f t="shared" si="7"/>
        <v>-1</v>
      </c>
      <c r="U55" s="148">
        <f t="shared" si="8"/>
        <v>-4200</v>
      </c>
      <c r="V55" s="148">
        <f t="shared" si="9"/>
        <v>6</v>
      </c>
      <c r="W55" s="148">
        <f t="shared" si="10"/>
        <v>25200</v>
      </c>
      <c r="X55" s="113">
        <f t="shared" si="11"/>
        <v>2.6155964132243352E-2</v>
      </c>
      <c r="Y55" t="str">
        <f t="shared" si="12"/>
        <v>Продажа</v>
      </c>
    </row>
    <row r="56" spans="1:25">
      <c r="A56" s="122" t="s">
        <v>1340</v>
      </c>
      <c r="B56" s="122" t="s">
        <v>126</v>
      </c>
      <c r="C56" s="122" t="s">
        <v>127</v>
      </c>
      <c r="D56" s="258" t="s">
        <v>12999</v>
      </c>
      <c r="E56" s="124">
        <v>2.5000000000000001E-2</v>
      </c>
      <c r="F56" s="150" t="str">
        <f>VLOOKUP(B56,QUIK!D:AL,3,FALSE)</f>
        <v>ап</v>
      </c>
      <c r="G56" s="150" t="str">
        <f>IF(ISERROR(VLOOKUP(F56,Лист12!$A$23:$A$27,1,FALSE))=FALSE,"Обл",IF(OR(F56="ао",F56="ап",F56="др"),"Акции","Прочее"))</f>
        <v>Акции</v>
      </c>
      <c r="H56" s="149">
        <f>IFERROR(VLOOKUP(B56,QUIK_купитьпродать!B:G,6,FALSE),)</f>
        <v>0</v>
      </c>
      <c r="I56">
        <f>VLOOKUP(B56,QUIK!$D:$AL,5,FALSE)</f>
        <v>1</v>
      </c>
      <c r="J56">
        <f>VLOOKUP(B56,QUIK!$D:$AL,9,FALSE)</f>
        <v>531.29999999999995</v>
      </c>
      <c r="K56" s="144" t="str">
        <f>VLOOKUP(B56,QUIK!$D:$AL,28,FALSE)</f>
        <v>SUR</v>
      </c>
      <c r="L56" t="str">
        <f>VLOOKUP(B56,QUIK!$D:$AL,29,FALSE)</f>
        <v/>
      </c>
      <c r="M56" t="str">
        <f>VLOOKUP(B56,QUIK!$D:$AL,30,FALSE)</f>
        <v/>
      </c>
      <c r="N56">
        <f>VLOOKUP(B56,QUIK!$D:$AL,31,FALSE)</f>
        <v>-100</v>
      </c>
      <c r="O56">
        <f>VLOOKUP(B56,QUIK!$D:$AL,4,FALSE)</f>
        <v>1</v>
      </c>
      <c r="P56" s="113" t="str">
        <f t="shared" si="3"/>
        <v/>
      </c>
      <c r="Q56" s="90">
        <f t="shared" si="4"/>
        <v>2.5000000000000001E-2</v>
      </c>
      <c r="R56" s="113">
        <f t="shared" si="5"/>
        <v>5.5145491045479732E-4</v>
      </c>
      <c r="S56" s="145">
        <f t="shared" si="6"/>
        <v>24086.284749999999</v>
      </c>
      <c r="T56" s="148">
        <f t="shared" si="7"/>
        <v>45</v>
      </c>
      <c r="U56" s="148">
        <f t="shared" si="8"/>
        <v>23908.499999999996</v>
      </c>
      <c r="V56" s="148">
        <f t="shared" si="9"/>
        <v>45</v>
      </c>
      <c r="W56" s="148">
        <f t="shared" si="10"/>
        <v>23908.499999999996</v>
      </c>
      <c r="X56" s="113">
        <f t="shared" si="11"/>
        <v>2.4815470970465877E-2</v>
      </c>
      <c r="Y56" t="str">
        <f t="shared" si="12"/>
        <v>Покупка</v>
      </c>
    </row>
    <row r="57" spans="1:25">
      <c r="A57" s="122" t="s">
        <v>419</v>
      </c>
      <c r="B57" s="122" t="s">
        <v>128</v>
      </c>
      <c r="C57" s="122" t="s">
        <v>129</v>
      </c>
      <c r="D57" s="123" t="s">
        <v>12257</v>
      </c>
      <c r="E57" s="129">
        <v>4.4999999999999998E-2</v>
      </c>
      <c r="F57" s="150" t="str">
        <f>VLOOKUP(B57,QUIK!D:AL,3,FALSE)</f>
        <v>ао</v>
      </c>
      <c r="G57" s="150" t="str">
        <f>IF(ISERROR(VLOOKUP(F57,Лист12!$A$23:$A$27,1,FALSE))=FALSE,"Обл",IF(OR(F57="ао",F57="ап",F57="др"),"Акции","Прочее"))</f>
        <v>Акции</v>
      </c>
      <c r="H57" s="149">
        <f>IFERROR(VLOOKUP(B57,QUIK_купитьпродать!B:G,6,FALSE),)</f>
        <v>50</v>
      </c>
      <c r="I57">
        <f>VLOOKUP(B57,QUIK!$D:$AL,5,FALSE)</f>
        <v>1</v>
      </c>
      <c r="J57">
        <f>VLOOKUP(B57,QUIK!$D:$AL,9,FALSE)</f>
        <v>434.65</v>
      </c>
      <c r="K57" s="144" t="str">
        <f>VLOOKUP(B57,QUIK!$D:$AL,28,FALSE)</f>
        <v>SUR</v>
      </c>
      <c r="L57" t="str">
        <f>VLOOKUP(B57,QUIK!$D:$AL,29,FALSE)</f>
        <v/>
      </c>
      <c r="M57" t="str">
        <f>VLOOKUP(B57,QUIK!$D:$AL,30,FALSE)</f>
        <v/>
      </c>
      <c r="N57">
        <f>VLOOKUP(B57,QUIK!$D:$AL,31,FALSE)</f>
        <v>-100</v>
      </c>
      <c r="O57">
        <f>VLOOKUP(B57,QUIK!$D:$AL,4,FALSE)</f>
        <v>1</v>
      </c>
      <c r="P57" s="113">
        <f t="shared" si="3"/>
        <v>2.2556924226348359E-2</v>
      </c>
      <c r="Q57" s="90">
        <f t="shared" si="4"/>
        <v>2.2443075773651639E-2</v>
      </c>
      <c r="R57" s="113">
        <f t="shared" si="5"/>
        <v>4.5113848452696718E-4</v>
      </c>
      <c r="S57" s="145">
        <f t="shared" si="6"/>
        <v>21622.812549999995</v>
      </c>
      <c r="T57" s="148">
        <f t="shared" si="7"/>
        <v>49</v>
      </c>
      <c r="U57" s="148">
        <f t="shared" si="8"/>
        <v>21297.85</v>
      </c>
      <c r="V57" s="148">
        <f t="shared" si="9"/>
        <v>99</v>
      </c>
      <c r="W57" s="148">
        <f t="shared" si="10"/>
        <v>43030.35</v>
      </c>
      <c r="X57" s="113">
        <f t="shared" si="11"/>
        <v>4.4662709968169755E-2</v>
      </c>
      <c r="Y57" t="str">
        <f t="shared" si="12"/>
        <v>Покупка</v>
      </c>
    </row>
    <row r="58" spans="1:25">
      <c r="A58" s="122" t="s">
        <v>547</v>
      </c>
      <c r="B58" s="122" t="s">
        <v>130</v>
      </c>
      <c r="C58" s="122" t="s">
        <v>131</v>
      </c>
      <c r="D58" s="123" t="s">
        <v>12257</v>
      </c>
      <c r="E58" s="124">
        <v>2.5000000000000001E-2</v>
      </c>
      <c r="F58" s="150" t="str">
        <f>VLOOKUP(B58,QUIK!D:AL,3,FALSE)</f>
        <v>ао</v>
      </c>
      <c r="G58" s="150" t="str">
        <f>IF(ISERROR(VLOOKUP(F58,Лист12!$A$23:$A$27,1,FALSE))=FALSE,"Обл",IF(OR(F58="ао",F58="ап",F58="др"),"Акции","Прочее"))</f>
        <v>Акции</v>
      </c>
      <c r="H58" s="149">
        <f>IFERROR(VLOOKUP(B58,QUIK_купитьпродать!B:G,6,FALSE),)</f>
        <v>40</v>
      </c>
      <c r="I58">
        <f>VLOOKUP(B58,QUIK!$D:$AL,5,FALSE)</f>
        <v>1</v>
      </c>
      <c r="J58">
        <f>VLOOKUP(B58,QUIK!$D:$AL,9,FALSE)</f>
        <v>542.9</v>
      </c>
      <c r="K58" s="144" t="str">
        <f>VLOOKUP(B58,QUIK!$D:$AL,28,FALSE)</f>
        <v>SUR</v>
      </c>
      <c r="L58" t="str">
        <f>VLOOKUP(B58,QUIK!$D:$AL,29,FALSE)</f>
        <v/>
      </c>
      <c r="M58" t="str">
        <f>VLOOKUP(B58,QUIK!$D:$AL,30,FALSE)</f>
        <v/>
      </c>
      <c r="N58">
        <f>VLOOKUP(B58,QUIK!$D:$AL,31,FALSE)</f>
        <v>9</v>
      </c>
      <c r="O58">
        <f>VLOOKUP(B58,QUIK!$D:$AL,4,FALSE)</f>
        <v>3</v>
      </c>
      <c r="P58" s="113">
        <f t="shared" si="3"/>
        <v>2.253979829745225E-2</v>
      </c>
      <c r="Q58" s="90">
        <f t="shared" si="4"/>
        <v>2.4602017025477513E-3</v>
      </c>
      <c r="R58" s="113">
        <f t="shared" si="5"/>
        <v>5.6349495743630623E-4</v>
      </c>
      <c r="S58" s="145">
        <f t="shared" si="6"/>
        <v>2370.2847499999971</v>
      </c>
      <c r="T58" s="148">
        <f t="shared" si="7"/>
        <v>4</v>
      </c>
      <c r="U58" s="148">
        <f t="shared" si="8"/>
        <v>2171.6</v>
      </c>
      <c r="V58" s="148">
        <f t="shared" si="9"/>
        <v>44</v>
      </c>
      <c r="W58" s="148">
        <f t="shared" si="10"/>
        <v>23887.599999999999</v>
      </c>
      <c r="X58" s="113">
        <f t="shared" si="11"/>
        <v>2.479377812719747E-2</v>
      </c>
      <c r="Y58" t="str">
        <f t="shared" si="12"/>
        <v>Покупка</v>
      </c>
    </row>
    <row r="59" spans="1:25">
      <c r="A59" s="122" t="s">
        <v>293</v>
      </c>
      <c r="B59" s="122" t="s">
        <v>132</v>
      </c>
      <c r="C59" s="122" t="s">
        <v>133</v>
      </c>
      <c r="D59" s="123" t="s">
        <v>12257</v>
      </c>
      <c r="E59" s="128">
        <v>1.4999999999999999E-2</v>
      </c>
      <c r="F59" s="150" t="str">
        <f>VLOOKUP(B59,QUIK!D:AL,3,FALSE)</f>
        <v>ао</v>
      </c>
      <c r="G59" s="150" t="str">
        <f>IF(ISERROR(VLOOKUP(F59,Лист12!$A$23:$A$27,1,FALSE))=FALSE,"Обл",IF(OR(F59="ао",F59="ап",F59="др"),"Акции","Прочее"))</f>
        <v>Акции</v>
      </c>
      <c r="H59" s="149">
        <f>IFERROR(VLOOKUP(B59,QUIK_купитьпродать!B:G,6,FALSE),)</f>
        <v>25</v>
      </c>
      <c r="I59">
        <f>VLOOKUP(B59,QUIK!$D:$AL,5,FALSE)</f>
        <v>1</v>
      </c>
      <c r="J59">
        <f>VLOOKUP(B59,QUIK!$D:$AL,9,FALSE)</f>
        <v>845.2</v>
      </c>
      <c r="K59" s="144" t="str">
        <f>VLOOKUP(B59,QUIK!$D:$AL,28,FALSE)</f>
        <v>SUR</v>
      </c>
      <c r="L59" t="str">
        <f>VLOOKUP(B59,QUIK!$D:$AL,29,FALSE)</f>
        <v/>
      </c>
      <c r="M59" t="str">
        <f>VLOOKUP(B59,QUIK!$D:$AL,30,FALSE)</f>
        <v/>
      </c>
      <c r="N59">
        <f>VLOOKUP(B59,QUIK!$D:$AL,31,FALSE)</f>
        <v>-100</v>
      </c>
      <c r="O59">
        <f>VLOOKUP(B59,QUIK!$D:$AL,4,FALSE)</f>
        <v>1</v>
      </c>
      <c r="P59" s="113">
        <f t="shared" si="3"/>
        <v>2.193156833786913E-2</v>
      </c>
      <c r="Q59" s="90">
        <f t="shared" si="4"/>
        <v>-6.931568337869131E-3</v>
      </c>
      <c r="R59" s="113">
        <f t="shared" si="5"/>
        <v>8.7726273351476517E-4</v>
      </c>
      <c r="S59" s="145">
        <f t="shared" si="6"/>
        <v>-6678.2291500000028</v>
      </c>
      <c r="T59" s="148">
        <f t="shared" si="7"/>
        <v>-7</v>
      </c>
      <c r="U59" s="148">
        <f t="shared" si="8"/>
        <v>-5916.4000000000005</v>
      </c>
      <c r="V59" s="148">
        <f t="shared" si="9"/>
        <v>18</v>
      </c>
      <c r="W59" s="148">
        <f t="shared" si="10"/>
        <v>15213.6</v>
      </c>
      <c r="X59" s="113">
        <f t="shared" si="11"/>
        <v>1.5790729203265772E-2</v>
      </c>
      <c r="Y59" t="str">
        <f t="shared" si="12"/>
        <v>Продажа</v>
      </c>
    </row>
    <row r="60" spans="1:25">
      <c r="A60" s="122" t="s">
        <v>432</v>
      </c>
      <c r="B60" s="122" t="s">
        <v>134</v>
      </c>
      <c r="C60" s="122" t="s">
        <v>135</v>
      </c>
      <c r="D60" s="123" t="s">
        <v>12257</v>
      </c>
      <c r="E60" s="130">
        <v>0.05</v>
      </c>
      <c r="F60" s="150" t="str">
        <f>VLOOKUP(B60,QUIK!D:AL,3,FALSE)</f>
        <v>ао</v>
      </c>
      <c r="G60" s="150" t="str">
        <f>IF(ISERROR(VLOOKUP(F60,Лист12!$A$23:$A$27,1,FALSE))=FALSE,"Обл",IF(OR(F60="ао",F60="ап",F60="др"),"Акции","Прочее"))</f>
        <v>Акции</v>
      </c>
      <c r="H60" s="149">
        <f>IFERROR(VLOOKUP(B60,QUIK_купитьпродать!B:G,6,FALSE),)</f>
        <v>240</v>
      </c>
      <c r="I60">
        <f>VLOOKUP(B60,QUIK!$D:$AL,5,FALSE)</f>
        <v>10</v>
      </c>
      <c r="J60">
        <f>VLOOKUP(B60,QUIK!$D:$AL,9,FALSE)</f>
        <v>306.87</v>
      </c>
      <c r="K60" s="144" t="str">
        <f>VLOOKUP(B60,QUIK!$D:$AL,28,FALSE)</f>
        <v>SUR</v>
      </c>
      <c r="L60" t="str">
        <f>VLOOKUP(B60,QUIK!$D:$AL,29,FALSE)</f>
        <v/>
      </c>
      <c r="M60" t="str">
        <f>VLOOKUP(B60,QUIK!$D:$AL,30,FALSE)</f>
        <v/>
      </c>
      <c r="N60">
        <f>VLOOKUP(B60,QUIK!$D:$AL,31,FALSE)</f>
        <v>-100</v>
      </c>
      <c r="O60">
        <f>VLOOKUP(B60,QUIK!$D:$AL,4,FALSE)</f>
        <v>1</v>
      </c>
      <c r="P60" s="113">
        <f t="shared" si="3"/>
        <v>7.6442673459633501E-2</v>
      </c>
      <c r="Q60" s="90">
        <f t="shared" si="4"/>
        <v>-2.6442673459633498E-2</v>
      </c>
      <c r="R60" s="113">
        <f t="shared" si="5"/>
        <v>3.185111394151396E-3</v>
      </c>
      <c r="S60" s="145">
        <f t="shared" si="6"/>
        <v>-25476.230499999998</v>
      </c>
      <c r="T60" s="148">
        <f t="shared" si="7"/>
        <v>-8</v>
      </c>
      <c r="U60" s="148">
        <f t="shared" si="8"/>
        <v>-24549.599999999999</v>
      </c>
      <c r="V60" s="148">
        <f t="shared" si="9"/>
        <v>160</v>
      </c>
      <c r="W60" s="148">
        <f t="shared" si="10"/>
        <v>49099.199999999997</v>
      </c>
      <c r="X60" s="113">
        <f t="shared" si="11"/>
        <v>5.0961782306422336E-2</v>
      </c>
      <c r="Y60" t="str">
        <f t="shared" si="12"/>
        <v>Продажа</v>
      </c>
    </row>
    <row r="61" spans="1:25">
      <c r="A61" s="122" t="s">
        <v>630</v>
      </c>
      <c r="B61" s="122" t="s">
        <v>136</v>
      </c>
      <c r="C61" s="122" t="s">
        <v>137</v>
      </c>
      <c r="D61" s="123" t="s">
        <v>12257</v>
      </c>
      <c r="E61" s="124">
        <v>2.5000000000000001E-2</v>
      </c>
      <c r="F61" s="150" t="str">
        <f>VLOOKUP(B61,QUIK!D:AL,3,FALSE)</f>
        <v>ао</v>
      </c>
      <c r="G61" s="150" t="str">
        <f>IF(ISERROR(VLOOKUP(F61,Лист12!$A$23:$A$27,1,FALSE))=FALSE,"Обл",IF(OR(F61="ао",F61="ап",F61="др"),"Акции","Прочее"))</f>
        <v>Акции</v>
      </c>
      <c r="H61" s="149">
        <f>IFERROR(VLOOKUP(B61,QUIK_купитьпродать!B:G,6,FALSE),)</f>
        <v>5000</v>
      </c>
      <c r="I61">
        <f>VLOOKUP(B61,QUIK!$D:$AL,5,FALSE)</f>
        <v>100</v>
      </c>
      <c r="J61">
        <f>VLOOKUP(B61,QUIK!$D:$AL,9,FALSE)</f>
        <v>3.6920000000000002</v>
      </c>
      <c r="K61" s="144" t="str">
        <f>VLOOKUP(B61,QUIK!$D:$AL,28,FALSE)</f>
        <v>SUR</v>
      </c>
      <c r="L61" t="str">
        <f>VLOOKUP(B61,QUIK!$D:$AL,29,FALSE)</f>
        <v/>
      </c>
      <c r="M61" t="str">
        <f>VLOOKUP(B61,QUIK!$D:$AL,30,FALSE)</f>
        <v/>
      </c>
      <c r="N61">
        <f>VLOOKUP(B61,QUIK!$D:$AL,31,FALSE)</f>
        <v>-100</v>
      </c>
      <c r="O61">
        <f>VLOOKUP(B61,QUIK!$D:$AL,4,FALSE)</f>
        <v>1</v>
      </c>
      <c r="P61" s="113">
        <f t="shared" si="3"/>
        <v>1.9160281661952869E-2</v>
      </c>
      <c r="Q61" s="90">
        <f t="shared" si="4"/>
        <v>5.8397183380471326E-3</v>
      </c>
      <c r="R61" s="113">
        <f t="shared" si="5"/>
        <v>3.8320563323905745E-4</v>
      </c>
      <c r="S61" s="145">
        <f t="shared" si="6"/>
        <v>5626.2847499999989</v>
      </c>
      <c r="T61" s="148">
        <f t="shared" si="7"/>
        <v>15</v>
      </c>
      <c r="U61" s="148">
        <f t="shared" si="8"/>
        <v>5538</v>
      </c>
      <c r="V61" s="148">
        <f t="shared" si="9"/>
        <v>6500</v>
      </c>
      <c r="W61" s="148">
        <f t="shared" si="10"/>
        <v>23998</v>
      </c>
      <c r="X61" s="113">
        <f t="shared" si="11"/>
        <v>2.4908366160538729E-2</v>
      </c>
      <c r="Y61" t="str">
        <f t="shared" si="12"/>
        <v>Покупка</v>
      </c>
    </row>
    <row r="62" spans="1:25">
      <c r="A62" s="122" t="s">
        <v>741</v>
      </c>
      <c r="B62" s="122" t="s">
        <v>138</v>
      </c>
      <c r="C62" s="122" t="s">
        <v>139</v>
      </c>
      <c r="D62" s="258" t="s">
        <v>12999</v>
      </c>
      <c r="E62" s="128">
        <v>1.4999999999999999E-2</v>
      </c>
      <c r="F62" s="150" t="str">
        <f>VLOOKUP(B62,QUIK!D:AL,3,FALSE)</f>
        <v>ао</v>
      </c>
      <c r="G62" s="150" t="str">
        <f>IF(ISERROR(VLOOKUP(F62,Лист12!$A$23:$A$27,1,FALSE))=FALSE,"Обл",IF(OR(F62="ао",F62="ап",F62="др"),"Акции","Прочее"))</f>
        <v>Акции</v>
      </c>
      <c r="H62" s="149">
        <f>IFERROR(VLOOKUP(B62,QUIK_купитьпродать!B:G,6,FALSE),)</f>
        <v>0</v>
      </c>
      <c r="I62">
        <f>VLOOKUP(B62,QUIK!$D:$AL,5,FALSE)</f>
        <v>1</v>
      </c>
      <c r="J62">
        <f>VLOOKUP(B62,QUIK!$D:$AL,9,FALSE)</f>
        <v>1027</v>
      </c>
      <c r="K62" s="144" t="str">
        <f>VLOOKUP(B62,QUIK!$D:$AL,28,FALSE)</f>
        <v>SUR</v>
      </c>
      <c r="L62" t="str">
        <f>VLOOKUP(B62,QUIK!$D:$AL,29,FALSE)</f>
        <v/>
      </c>
      <c r="M62" t="str">
        <f>VLOOKUP(B62,QUIK!$D:$AL,30,FALSE)</f>
        <v/>
      </c>
      <c r="N62">
        <f>VLOOKUP(B62,QUIK!$D:$AL,31,FALSE)</f>
        <v>-100</v>
      </c>
      <c r="O62">
        <f>VLOOKUP(B62,QUIK!$D:$AL,4,FALSE)</f>
        <v>1</v>
      </c>
      <c r="P62" s="113"/>
      <c r="Q62" s="90">
        <f t="shared" si="4"/>
        <v>1.4999999999999999E-2</v>
      </c>
      <c r="R62" s="113">
        <f t="shared" si="5"/>
        <v>1.0659593318973779E-3</v>
      </c>
      <c r="S62" s="145">
        <f t="shared" si="6"/>
        <v>14451.770849999997</v>
      </c>
      <c r="T62" s="148">
        <f t="shared" si="7"/>
        <v>14</v>
      </c>
      <c r="U62" s="148">
        <f t="shared" si="8"/>
        <v>14378</v>
      </c>
      <c r="V62" s="148">
        <f t="shared" si="9"/>
        <v>14</v>
      </c>
      <c r="W62" s="148">
        <f t="shared" si="10"/>
        <v>14378</v>
      </c>
      <c r="X62" s="113">
        <f t="shared" si="11"/>
        <v>1.492343064656329E-2</v>
      </c>
      <c r="Y62" t="str">
        <f t="shared" si="12"/>
        <v>Покупка</v>
      </c>
    </row>
    <row r="63" spans="1:25">
      <c r="D63" s="181"/>
      <c r="E63" s="150">
        <f>SUM(E46:E62)</f>
        <v>0.47500000000000009</v>
      </c>
      <c r="F63" s="150"/>
      <c r="G63" s="149"/>
      <c r="H63" s="149"/>
      <c r="O63" s="113"/>
      <c r="P63" s="113"/>
      <c r="Q63" s="145"/>
      <c r="R63" s="148"/>
      <c r="S63" s="148"/>
      <c r="T63" s="148"/>
      <c r="U63" s="185">
        <f>SUM(U46:U62)</f>
        <v>14215.649999999991</v>
      </c>
      <c r="V63" s="113"/>
      <c r="X63" s="114">
        <f>SUM(X46:X62)</f>
        <v>0.48034073623579499</v>
      </c>
    </row>
    <row r="64" spans="1:25">
      <c r="D64" s="181"/>
      <c r="E64" s="150"/>
      <c r="F64" s="150"/>
      <c r="G64" s="149"/>
      <c r="H64" s="149"/>
      <c r="O64" s="113"/>
      <c r="P64" s="90"/>
      <c r="Q64" s="113"/>
      <c r="R64" s="145"/>
      <c r="S64" s="148"/>
      <c r="T64" s="148"/>
      <c r="U64" s="148"/>
      <c r="V64" s="148"/>
      <c r="W64" s="113"/>
    </row>
    <row r="65" spans="2:26">
      <c r="D65" s="181"/>
      <c r="E65" s="150"/>
      <c r="F65" s="170" t="s">
        <v>12261</v>
      </c>
      <c r="G65" s="170" t="s">
        <v>12263</v>
      </c>
      <c r="H65" s="170" t="s">
        <v>12261</v>
      </c>
      <c r="I65" s="170" t="s">
        <v>12264</v>
      </c>
      <c r="P65" s="113"/>
      <c r="Q65" s="90"/>
      <c r="R65" s="113"/>
      <c r="S65" s="263" t="s">
        <v>13006</v>
      </c>
      <c r="T65" s="148"/>
      <c r="U65" s="263" t="s">
        <v>13006</v>
      </c>
      <c r="V65" s="263" t="s">
        <v>13006</v>
      </c>
      <c r="W65" s="148"/>
      <c r="X65" s="113"/>
    </row>
    <row r="66" spans="2:26" ht="54">
      <c r="B66" s="168" t="s">
        <v>228</v>
      </c>
      <c r="C66" s="168" t="s">
        <v>1964</v>
      </c>
      <c r="D66" s="261" t="s">
        <v>13000</v>
      </c>
      <c r="E66" s="169" t="s">
        <v>12998</v>
      </c>
      <c r="F66" s="176" t="s">
        <v>12243</v>
      </c>
      <c r="G66" s="176" t="s">
        <v>12244</v>
      </c>
      <c r="H66" s="176" t="s">
        <v>12236</v>
      </c>
      <c r="I66" s="177" t="s">
        <v>12242</v>
      </c>
      <c r="J66" s="176" t="s">
        <v>2075</v>
      </c>
      <c r="K66" s="176" t="s">
        <v>2076</v>
      </c>
      <c r="L66" s="176" t="s">
        <v>2090</v>
      </c>
      <c r="M66" s="176" t="s">
        <v>2091</v>
      </c>
      <c r="N66" s="176" t="s">
        <v>2092</v>
      </c>
      <c r="O66" s="176" t="s">
        <v>258</v>
      </c>
      <c r="P66" s="177" t="s">
        <v>2094</v>
      </c>
      <c r="Q66" s="173" t="s">
        <v>12231</v>
      </c>
      <c r="R66" s="174" t="s">
        <v>2115</v>
      </c>
      <c r="S66" s="173" t="s">
        <v>12230</v>
      </c>
      <c r="T66" s="175" t="s">
        <v>12239</v>
      </c>
      <c r="U66" s="175" t="s">
        <v>12235</v>
      </c>
      <c r="V66" s="175" t="s">
        <v>12240</v>
      </c>
      <c r="W66" s="175" t="s">
        <v>12246</v>
      </c>
      <c r="X66" s="175" t="s">
        <v>12247</v>
      </c>
      <c r="Y66" s="175" t="s">
        <v>12249</v>
      </c>
      <c r="Z66" s="175" t="s">
        <v>262</v>
      </c>
    </row>
    <row r="67" spans="2:26">
      <c r="B67" s="122" t="s">
        <v>2201</v>
      </c>
      <c r="C67" s="122" t="s">
        <v>2203</v>
      </c>
      <c r="D67" s="258" t="s">
        <v>12999</v>
      </c>
      <c r="E67" s="128">
        <v>0.05</v>
      </c>
      <c r="F67" s="150" t="str">
        <f>VLOOKUP(B67,QUIK!C:AL,4,FALSE)</f>
        <v>РФ</v>
      </c>
      <c r="G67" s="150" t="str">
        <f>IF(ISERROR(VLOOKUP(F67,Лист12!$A$23:$A$27,1,FALSE))=FALSE,"Обл",IF(OR(F67="ао",F67="ап",F67="др"),"Акции","Прочее"))</f>
        <v>Обл</v>
      </c>
      <c r="H67" s="149">
        <f>IFERROR(VLOOKUP(B67,QUIK_купитьпродать!B:G,6,FALSE),)</f>
        <v>0</v>
      </c>
      <c r="I67" s="149">
        <f>IF(G67="Обл",VLOOKUP(B67,QUIK!C:J,8,FALSE),1)</f>
        <v>1000</v>
      </c>
      <c r="J67">
        <f>VLOOKUP(B67,QUIK!$C:$AL,6,FALSE)</f>
        <v>1</v>
      </c>
      <c r="K67">
        <f>VLOOKUP(B67,QUIK!$C:$AL,10,FALSE)</f>
        <v>90.757999999999996</v>
      </c>
      <c r="L67" s="144" t="str">
        <f>VLOOKUP(B67,QUIK!$C:$AL,29,FALSE)</f>
        <v>SUR</v>
      </c>
      <c r="M67" t="str">
        <f>VLOOKUP(B67,QUIK!$C:$AL,30,FALSE)</f>
        <v/>
      </c>
      <c r="N67" t="str">
        <f>VLOOKUP(B67,QUIK!$C:$AL,31,FALSE)</f>
        <v/>
      </c>
      <c r="O67">
        <f>VLOOKUP(B67,QUIK!$C:$AL,32,FALSE)</f>
        <v>-100</v>
      </c>
      <c r="P67" s="260">
        <f>VLOOKUP(B67,QUIK!$C:$AL,5,FALSE)</f>
        <v>1</v>
      </c>
      <c r="Q67" s="113">
        <f t="shared" ref="Q67:Q76" si="13">IFERROR(VLOOKUP(B67,$A$7:$F$34,5,FALSE)/$E$3,0)</f>
        <v>0</v>
      </c>
      <c r="R67" s="90">
        <f t="shared" ref="R67:R77" si="14">E67-Q67</f>
        <v>0.05</v>
      </c>
      <c r="S67" s="113">
        <f t="shared" ref="S67:S76" si="15">(J67*K67%*I67)/$E$3</f>
        <v>9.4200912409291352E-4</v>
      </c>
      <c r="T67" s="145">
        <f t="shared" ref="T67:T76" si="16">R67*$E$3</f>
        <v>48172.569499999998</v>
      </c>
      <c r="U67">
        <f t="shared" ref="U67:U76" si="17">IF(ABS(R67)&lt;S67,0,ROUNDDOWN(T67/(K67%*J67*I67),0))</f>
        <v>53</v>
      </c>
      <c r="V67" s="264">
        <f t="shared" ref="V67:V76" si="18">U67*J67*K67%*I67</f>
        <v>48101.74</v>
      </c>
      <c r="W67" s="148">
        <f t="shared" ref="W67:W76" si="19">(IF(H67&lt;&gt;0,H67,0)+U67*J67)</f>
        <v>53</v>
      </c>
      <c r="X67" s="148">
        <f>W67*J67*K67%*I67</f>
        <v>48101.74</v>
      </c>
      <c r="Y67" s="113">
        <f>X67/$E$3</f>
        <v>4.9926483576924419E-2</v>
      </c>
      <c r="Z67" t="str">
        <f t="shared" ref="Z67:Z77" si="20">IF(U67&lt;0,"Продажа",IF(U67&gt;0,"Покупка","Нет сделок"))</f>
        <v>Покупка</v>
      </c>
    </row>
    <row r="68" spans="2:26">
      <c r="B68" s="122" t="s">
        <v>2166</v>
      </c>
      <c r="C68" s="122" t="s">
        <v>2168</v>
      </c>
      <c r="D68" s="258" t="s">
        <v>12999</v>
      </c>
      <c r="E68" s="128">
        <v>0.05</v>
      </c>
      <c r="F68" s="150" t="str">
        <f>VLOOKUP(B68,QUIK!C:AL,4,FALSE)</f>
        <v>РФ</v>
      </c>
      <c r="G68" s="150" t="str">
        <f>IF(ISERROR(VLOOKUP(F68,Лист12!$A$23:$A$27,1,FALSE))=FALSE,"Обл",IF(OR(F68="ао",F68="ап",F68="др"),"Акции","Прочее"))</f>
        <v>Обл</v>
      </c>
      <c r="H68" s="149">
        <f>IFERROR(VLOOKUP(B68,QUIK_купитьпродать!B:G,6,FALSE),)</f>
        <v>0</v>
      </c>
      <c r="I68" s="149">
        <f>IF(G68="Обл",VLOOKUP(B68,QUIK!C:J,8,FALSE),1)</f>
        <v>1000</v>
      </c>
      <c r="J68">
        <f>VLOOKUP(B68,QUIK!$C:$AL,6,FALSE)</f>
        <v>1</v>
      </c>
      <c r="K68">
        <f>VLOOKUP(B68,QUIK!$C:$AL,10,FALSE)</f>
        <v>81.346000000000004</v>
      </c>
      <c r="L68" s="144" t="str">
        <f>VLOOKUP(B68,QUIK!$C:$AL,29,FALSE)</f>
        <v>SUR</v>
      </c>
      <c r="M68" t="str">
        <f>VLOOKUP(B68,QUIK!$C:$AL,30,FALSE)</f>
        <v/>
      </c>
      <c r="N68" t="str">
        <f>VLOOKUP(B68,QUIK!$C:$AL,31,FALSE)</f>
        <v/>
      </c>
      <c r="O68">
        <f>VLOOKUP(B68,QUIK!$C:$AL,32,FALSE)</f>
        <v>-100</v>
      </c>
      <c r="P68" s="260">
        <f>VLOOKUP(B68,QUIK!$C:$AL,5,FALSE)</f>
        <v>1</v>
      </c>
      <c r="Q68" s="113">
        <f t="shared" si="13"/>
        <v>0</v>
      </c>
      <c r="R68" s="90">
        <f t="shared" si="14"/>
        <v>0.05</v>
      </c>
      <c r="S68" s="113">
        <f t="shared" si="15"/>
        <v>8.4431867392915395E-4</v>
      </c>
      <c r="T68" s="145">
        <f t="shared" si="16"/>
        <v>48172.569499999998</v>
      </c>
      <c r="U68">
        <f t="shared" si="17"/>
        <v>59</v>
      </c>
      <c r="V68" s="264">
        <f t="shared" si="18"/>
        <v>47994.14</v>
      </c>
      <c r="W68" s="148">
        <f t="shared" si="19"/>
        <v>59</v>
      </c>
      <c r="X68" s="148">
        <f>W68*J68*K68%*I68</f>
        <v>47994.14</v>
      </c>
      <c r="Y68" s="113">
        <f t="shared" ref="Y68:Y77" si="21">X68/$E$3</f>
        <v>4.9814801761820078E-2</v>
      </c>
      <c r="Z68" t="str">
        <f t="shared" si="20"/>
        <v>Покупка</v>
      </c>
    </row>
    <row r="69" spans="2:26">
      <c r="B69" s="122" t="s">
        <v>2176</v>
      </c>
      <c r="C69" s="122" t="s">
        <v>2178</v>
      </c>
      <c r="D69" s="258" t="s">
        <v>12999</v>
      </c>
      <c r="E69" s="128">
        <v>0.05</v>
      </c>
      <c r="F69" s="150" t="str">
        <f>VLOOKUP(B69,QUIK!C:AL,4,FALSE)</f>
        <v>РФ</v>
      </c>
      <c r="G69" s="150" t="str">
        <f>IF(ISERROR(VLOOKUP(F69,Лист12!$A$23:$A$27,1,FALSE))=FALSE,"Обл",IF(OR(F69="ао",F69="ап",F69="др"),"Акции","Прочее"))</f>
        <v>Обл</v>
      </c>
      <c r="H69" s="149">
        <f>IFERROR(VLOOKUP(B69,QUIK_купитьпродать!B:G,6,FALSE),)</f>
        <v>0</v>
      </c>
      <c r="I69" s="149">
        <f>IF(G69="Обл",VLOOKUP(B69,QUIK!C:J,8,FALSE),1)</f>
        <v>1000</v>
      </c>
      <c r="J69">
        <f>VLOOKUP(B69,QUIK!$C:$AL,6,FALSE)</f>
        <v>1</v>
      </c>
      <c r="K69">
        <f>VLOOKUP(B69,QUIK!$C:$AL,10,FALSE)</f>
        <v>88.468999999999994</v>
      </c>
      <c r="L69" s="144" t="str">
        <f>VLOOKUP(B69,QUIK!$C:$AL,29,FALSE)</f>
        <v>SUR</v>
      </c>
      <c r="M69" t="str">
        <f>VLOOKUP(B69,QUIK!$C:$AL,30,FALSE)</f>
        <v/>
      </c>
      <c r="N69" t="str">
        <f>VLOOKUP(B69,QUIK!$C:$AL,31,FALSE)</f>
        <v/>
      </c>
      <c r="O69">
        <f>VLOOKUP(B69,QUIK!$C:$AL,32,FALSE)</f>
        <v>-100</v>
      </c>
      <c r="P69" s="260">
        <f>VLOOKUP(B69,QUIK!$C:$AL,5,FALSE)</f>
        <v>1</v>
      </c>
      <c r="Q69" s="113">
        <f t="shared" si="13"/>
        <v>0</v>
      </c>
      <c r="R69" s="90">
        <f t="shared" si="14"/>
        <v>0.05</v>
      </c>
      <c r="S69" s="113">
        <f t="shared" si="15"/>
        <v>9.1825079000612585E-4</v>
      </c>
      <c r="T69" s="145">
        <f t="shared" si="16"/>
        <v>48172.569499999998</v>
      </c>
      <c r="U69">
        <f t="shared" si="17"/>
        <v>54</v>
      </c>
      <c r="V69" s="264">
        <f t="shared" si="18"/>
        <v>47773.26</v>
      </c>
      <c r="W69" s="148">
        <f t="shared" si="19"/>
        <v>54</v>
      </c>
      <c r="X69" s="148">
        <f t="shared" ref="X69:X77" si="22">W69*J69*K69%*I69</f>
        <v>47773.26</v>
      </c>
      <c r="Y69" s="113">
        <f t="shared" si="21"/>
        <v>4.95855426603308E-2</v>
      </c>
      <c r="Z69" t="str">
        <f t="shared" si="20"/>
        <v>Покупка</v>
      </c>
    </row>
    <row r="70" spans="2:26">
      <c r="B70" s="122" t="s">
        <v>9535</v>
      </c>
      <c r="C70" s="122" t="s">
        <v>9536</v>
      </c>
      <c r="D70" s="258" t="s">
        <v>12999</v>
      </c>
      <c r="E70" s="128">
        <v>0.05</v>
      </c>
      <c r="F70" s="150" t="str">
        <f>VLOOKUP(B70,QUIK!C:AL,4,FALSE)</f>
        <v>бирж.обл.</v>
      </c>
      <c r="G70" s="150" t="str">
        <f>IF(ISERROR(VLOOKUP(F70,Лист12!$A$23:$A$27,1,FALSE))=FALSE,"Обл",IF(OR(F70="ао",F70="ап",F70="др"),"Акции","Прочее"))</f>
        <v>Обл</v>
      </c>
      <c r="H70" s="149">
        <f>IFERROR(VLOOKUP(B70,QUIK_купитьпродать!B:G,6,FALSE),)</f>
        <v>0</v>
      </c>
      <c r="I70" s="149">
        <f>IF(G70="Обл",VLOOKUP(B70,QUIK!C:J,8,FALSE),1)</f>
        <v>1000</v>
      </c>
      <c r="J70">
        <f>VLOOKUP(B70,QUIK!$C:$AL,6,FALSE)</f>
        <v>1</v>
      </c>
      <c r="K70">
        <f>VLOOKUP(B70,QUIK!$C:$AL,10,FALSE)</f>
        <v>85.84</v>
      </c>
      <c r="L70" s="144" t="str">
        <f>VLOOKUP(B70,QUIK!$C:$AL,29,FALSE)</f>
        <v>SUR</v>
      </c>
      <c r="M70" t="str">
        <f>VLOOKUP(B70,QUIK!$C:$AL,30,FALSE)</f>
        <v/>
      </c>
      <c r="N70" t="str">
        <f>VLOOKUP(B70,QUIK!$C:$AL,31,FALSE)</f>
        <v/>
      </c>
      <c r="O70">
        <f>VLOOKUP(B70,QUIK!$C:$AL,32,FALSE)</f>
        <v>-100</v>
      </c>
      <c r="P70" s="260">
        <f>VLOOKUP(B70,QUIK!$C:$AL,5,FALSE)</f>
        <v>1</v>
      </c>
      <c r="Q70" s="113">
        <f t="shared" si="13"/>
        <v>0</v>
      </c>
      <c r="R70" s="90">
        <f t="shared" si="14"/>
        <v>0.05</v>
      </c>
      <c r="S70" s="113">
        <f t="shared" si="15"/>
        <v>8.9096347663165465E-4</v>
      </c>
      <c r="T70" s="145">
        <f t="shared" si="16"/>
        <v>48172.569499999998</v>
      </c>
      <c r="U70">
        <f t="shared" si="17"/>
        <v>56</v>
      </c>
      <c r="V70" s="264">
        <f t="shared" si="18"/>
        <v>48070.400000000009</v>
      </c>
      <c r="W70" s="148">
        <f t="shared" si="19"/>
        <v>56</v>
      </c>
      <c r="X70" s="148">
        <f t="shared" si="22"/>
        <v>48070.400000000009</v>
      </c>
      <c r="Y70" s="113">
        <f t="shared" si="21"/>
        <v>4.9893954691372665E-2</v>
      </c>
      <c r="Z70" t="str">
        <f t="shared" si="20"/>
        <v>Покупка</v>
      </c>
    </row>
    <row r="71" spans="2:26">
      <c r="B71" s="122" t="s">
        <v>7363</v>
      </c>
      <c r="C71" s="122" t="s">
        <v>7364</v>
      </c>
      <c r="D71" s="258" t="s">
        <v>12999</v>
      </c>
      <c r="E71" s="128">
        <v>0.05</v>
      </c>
      <c r="F71" s="150" t="str">
        <f>VLOOKUP(B71,QUIK!C:AL,4,FALSE)</f>
        <v>бирж.обл.</v>
      </c>
      <c r="G71" s="150" t="str">
        <f>IF(ISERROR(VLOOKUP(F71,Лист12!$A$23:$A$27,1,FALSE))=FALSE,"Обл",IF(OR(F71="ао",F71="ап",F71="др"),"Акции","Прочее"))</f>
        <v>Обл</v>
      </c>
      <c r="H71" s="149">
        <f>IFERROR(VLOOKUP(B71,QUIK_купитьпродать!B:G,6,FALSE),)</f>
        <v>0</v>
      </c>
      <c r="I71" s="149">
        <f>IF(G71="Обл",VLOOKUP(B71,QUIK!C:J,8,FALSE),1)</f>
        <v>1000</v>
      </c>
      <c r="J71">
        <f>VLOOKUP(B71,QUIK!$C:$AL,6,FALSE)</f>
        <v>1</v>
      </c>
      <c r="K71">
        <f>VLOOKUP(B71,QUIK!$C:$AL,10,FALSE)</f>
        <v>90.49</v>
      </c>
      <c r="L71" s="144" t="str">
        <f>VLOOKUP(B71,QUIK!$C:$AL,29,FALSE)</f>
        <v>SUR</v>
      </c>
      <c r="M71" t="str">
        <f>VLOOKUP(B71,QUIK!$C:$AL,30,FALSE)</f>
        <v/>
      </c>
      <c r="N71" t="str">
        <f>VLOOKUP(B71,QUIK!$C:$AL,31,FALSE)</f>
        <v/>
      </c>
      <c r="O71">
        <f>VLOOKUP(B71,QUIK!$C:$AL,32,FALSE)</f>
        <v>-100</v>
      </c>
      <c r="P71" s="260">
        <f>VLOOKUP(B71,QUIK!$C:$AL,5,FALSE)</f>
        <v>2</v>
      </c>
      <c r="Q71" s="113">
        <f t="shared" si="13"/>
        <v>0</v>
      </c>
      <c r="R71" s="90">
        <f t="shared" si="14"/>
        <v>0.05</v>
      </c>
      <c r="S71" s="113">
        <f t="shared" si="15"/>
        <v>9.3922745806615114E-4</v>
      </c>
      <c r="T71" s="145">
        <f t="shared" si="16"/>
        <v>48172.569499999998</v>
      </c>
      <c r="U71">
        <f t="shared" si="17"/>
        <v>53</v>
      </c>
      <c r="V71" s="264">
        <f t="shared" si="18"/>
        <v>47959.7</v>
      </c>
      <c r="W71" s="148">
        <f t="shared" si="19"/>
        <v>53</v>
      </c>
      <c r="X71" s="148">
        <f t="shared" si="22"/>
        <v>47959.7</v>
      </c>
      <c r="Y71" s="113">
        <f t="shared" si="21"/>
        <v>4.9779055277506014E-2</v>
      </c>
      <c r="Z71" t="str">
        <f t="shared" si="20"/>
        <v>Покупка</v>
      </c>
    </row>
    <row r="72" spans="2:26">
      <c r="B72" s="122" t="s">
        <v>9543</v>
      </c>
      <c r="C72" s="122" t="s">
        <v>9544</v>
      </c>
      <c r="D72" s="258" t="s">
        <v>12999</v>
      </c>
      <c r="E72" s="128">
        <v>0.05</v>
      </c>
      <c r="F72" s="150" t="str">
        <f>VLOOKUP(B72,QUIK!C:AL,4,FALSE)</f>
        <v>бирж.обл.</v>
      </c>
      <c r="G72" s="150" t="str">
        <f>IF(ISERROR(VLOOKUP(F72,Лист12!$A$23:$A$27,1,FALSE))=FALSE,"Обл",IF(OR(F72="ао",F72="ап",F72="др"),"Акции","Прочее"))</f>
        <v>Обл</v>
      </c>
      <c r="H72" s="149">
        <f>IFERROR(VLOOKUP(B72,QUIK_купитьпродать!B:G,6,FALSE),)</f>
        <v>0</v>
      </c>
      <c r="I72" s="149">
        <f>IF(G72="Обл",VLOOKUP(B72,QUIK!C:J,8,FALSE),1)</f>
        <v>1000</v>
      </c>
      <c r="J72">
        <f>VLOOKUP(B72,QUIK!$C:$AL,6,FALSE)</f>
        <v>1</v>
      </c>
      <c r="K72">
        <f>VLOOKUP(B72,QUIK!$C:$AL,10,FALSE)</f>
        <v>83.9</v>
      </c>
      <c r="L72" s="144" t="str">
        <f>VLOOKUP(B72,QUIK!$C:$AL,29,FALSE)</f>
        <v>SUR</v>
      </c>
      <c r="M72" t="str">
        <f>VLOOKUP(B72,QUIK!$C:$AL,30,FALSE)</f>
        <v/>
      </c>
      <c r="N72" t="str">
        <f>VLOOKUP(B72,QUIK!$C:$AL,31,FALSE)</f>
        <v/>
      </c>
      <c r="O72">
        <f>VLOOKUP(B72,QUIK!$C:$AL,32,FALSE)</f>
        <v>-100</v>
      </c>
      <c r="P72" s="260">
        <f>VLOOKUP(B72,QUIK!$C:$AL,5,FALSE)</f>
        <v>1</v>
      </c>
      <c r="Q72" s="113">
        <f t="shared" si="13"/>
        <v>0</v>
      </c>
      <c r="R72" s="90">
        <f t="shared" si="14"/>
        <v>0.05</v>
      </c>
      <c r="S72" s="113">
        <f t="shared" si="15"/>
        <v>8.7082753599016579E-4</v>
      </c>
      <c r="T72" s="145">
        <f t="shared" si="16"/>
        <v>48172.569499999998</v>
      </c>
      <c r="U72">
        <f t="shared" si="17"/>
        <v>57</v>
      </c>
      <c r="V72" s="264">
        <f t="shared" si="18"/>
        <v>47823.000000000007</v>
      </c>
      <c r="W72" s="148">
        <f t="shared" si="19"/>
        <v>57</v>
      </c>
      <c r="X72" s="148">
        <f t="shared" si="22"/>
        <v>47823.000000000007</v>
      </c>
      <c r="Y72" s="113">
        <f t="shared" si="21"/>
        <v>4.9637169551439445E-2</v>
      </c>
      <c r="Z72" t="str">
        <f t="shared" si="20"/>
        <v>Покупка</v>
      </c>
    </row>
    <row r="73" spans="2:26">
      <c r="B73" s="122" t="s">
        <v>4254</v>
      </c>
      <c r="C73" s="122" t="s">
        <v>4255</v>
      </c>
      <c r="D73" s="258" t="s">
        <v>12999</v>
      </c>
      <c r="E73" s="128">
        <v>2.5000000000000001E-2</v>
      </c>
      <c r="F73" s="150" t="str">
        <f>VLOOKUP(B73,QUIK!C:AL,4,FALSE)</f>
        <v>бирж.обл.</v>
      </c>
      <c r="G73" s="150" t="str">
        <f>IF(ISERROR(VLOOKUP(F73,Лист12!$A$23:$A$27,1,FALSE))=FALSE,"Обл",IF(OR(F73="ао",F73="ап",F73="др"),"Акции","Прочее"))</f>
        <v>Обл</v>
      </c>
      <c r="H73" s="149">
        <f>IFERROR(VLOOKUP(B73,QUIK_купитьпродать!B:G,6,FALSE),)</f>
        <v>0</v>
      </c>
      <c r="I73" s="149">
        <f>IF(G73="Обл",VLOOKUP(B73,QUIK!C:J,8,FALSE),1)</f>
        <v>1000</v>
      </c>
      <c r="J73">
        <f>VLOOKUP(B73,QUIK!$C:$AL,6,FALSE)</f>
        <v>1</v>
      </c>
      <c r="K73">
        <f>VLOOKUP(B73,QUIK!$C:$AL,10,FALSE)</f>
        <v>77.34</v>
      </c>
      <c r="L73" s="144" t="str">
        <f>VLOOKUP(B73,QUIK!$C:$AL,29,FALSE)</f>
        <v>SUR</v>
      </c>
      <c r="M73" t="str">
        <f>VLOOKUP(B73,QUIK!$C:$AL,30,FALSE)</f>
        <v/>
      </c>
      <c r="N73" t="str">
        <f>VLOOKUP(B73,QUIK!$C:$AL,31,FALSE)</f>
        <v/>
      </c>
      <c r="O73">
        <f>VLOOKUP(B73,QUIK!$C:$AL,32,FALSE)</f>
        <v>6</v>
      </c>
      <c r="P73" s="260">
        <f>VLOOKUP(B73,QUIK!$C:$AL,5,FALSE)</f>
        <v>2</v>
      </c>
      <c r="Q73" s="113">
        <f t="shared" si="13"/>
        <v>0</v>
      </c>
      <c r="R73" s="90">
        <f t="shared" si="14"/>
        <v>2.5000000000000001E-2</v>
      </c>
      <c r="S73" s="113">
        <f t="shared" si="15"/>
        <v>8.02738994439564E-4</v>
      </c>
      <c r="T73" s="145">
        <f t="shared" si="16"/>
        <v>24086.284749999999</v>
      </c>
      <c r="U73">
        <f t="shared" si="17"/>
        <v>31</v>
      </c>
      <c r="V73" s="264">
        <f t="shared" si="18"/>
        <v>23975.400000000005</v>
      </c>
      <c r="W73" s="148">
        <f t="shared" si="19"/>
        <v>31</v>
      </c>
      <c r="X73" s="148">
        <f t="shared" si="22"/>
        <v>23975.400000000005</v>
      </c>
      <c r="Y73" s="113">
        <f t="shared" si="21"/>
        <v>2.4884908827626485E-2</v>
      </c>
      <c r="Z73" t="str">
        <f t="shared" si="20"/>
        <v>Покупка</v>
      </c>
    </row>
    <row r="74" spans="2:26">
      <c r="B74" s="122" t="s">
        <v>2131</v>
      </c>
      <c r="C74" s="122" t="s">
        <v>2133</v>
      </c>
      <c r="D74" s="258" t="s">
        <v>12999</v>
      </c>
      <c r="E74" s="128">
        <v>0.05</v>
      </c>
      <c r="F74" s="150" t="str">
        <f>VLOOKUP(B74,QUIK!C:AL,4,FALSE)</f>
        <v>РФ</v>
      </c>
      <c r="G74" s="150" t="str">
        <f>IF(ISERROR(VLOOKUP(F74,Лист12!$A$23:$A$27,1,FALSE))=FALSE,"Обл",IF(OR(F74="ао",F74="ап",F74="др"),"Акции","Прочее"))</f>
        <v>Обл</v>
      </c>
      <c r="H74" s="149">
        <f>IFERROR(VLOOKUP(B74,QUIK_купитьпродать!B:G,6,FALSE),)</f>
        <v>0</v>
      </c>
      <c r="I74" s="149">
        <f>IF(G74="Обл",VLOOKUP(B74,QUIK!C:J,8,FALSE),1)</f>
        <v>1000</v>
      </c>
      <c r="J74">
        <f>VLOOKUP(B74,QUIK!$C:$AL,6,FALSE)</f>
        <v>1</v>
      </c>
      <c r="K74">
        <f>VLOOKUP(B74,QUIK!$C:$AL,10,FALSE)</f>
        <v>79.429000000000002</v>
      </c>
      <c r="L74" s="144" t="str">
        <f>VLOOKUP(B74,QUIK!$C:$AL,29,FALSE)</f>
        <v>SUR</v>
      </c>
      <c r="M74" t="str">
        <f>VLOOKUP(B74,QUIK!$C:$AL,30,FALSE)</f>
        <v/>
      </c>
      <c r="N74" t="str">
        <f>VLOOKUP(B74,QUIK!$C:$AL,31,FALSE)</f>
        <v/>
      </c>
      <c r="O74">
        <f>VLOOKUP(B74,QUIK!$C:$AL,32,FALSE)</f>
        <v>-100</v>
      </c>
      <c r="P74" s="260">
        <f>VLOOKUP(B74,QUIK!$C:$AL,5,FALSE)</f>
        <v>1</v>
      </c>
      <c r="Q74" s="113">
        <f t="shared" si="13"/>
        <v>0</v>
      </c>
      <c r="R74" s="90">
        <f t="shared" si="14"/>
        <v>0.05</v>
      </c>
      <c r="S74" s="113">
        <f t="shared" si="15"/>
        <v>8.24421458357126E-4</v>
      </c>
      <c r="T74" s="145">
        <f t="shared" si="16"/>
        <v>48172.569499999998</v>
      </c>
      <c r="U74">
        <f t="shared" si="17"/>
        <v>60</v>
      </c>
      <c r="V74" s="264">
        <f t="shared" si="18"/>
        <v>47657.4</v>
      </c>
      <c r="W74" s="148">
        <f t="shared" si="19"/>
        <v>60</v>
      </c>
      <c r="X74" s="148">
        <f t="shared" si="22"/>
        <v>47657.4</v>
      </c>
      <c r="Y74" s="113">
        <f t="shared" si="21"/>
        <v>4.9465287501427556E-2</v>
      </c>
      <c r="Z74" t="str">
        <f t="shared" si="20"/>
        <v>Покупка</v>
      </c>
    </row>
    <row r="75" spans="2:26">
      <c r="B75" s="122" t="s">
        <v>2136</v>
      </c>
      <c r="C75" s="122" t="s">
        <v>2138</v>
      </c>
      <c r="D75" s="258" t="s">
        <v>12999</v>
      </c>
      <c r="E75" s="128">
        <v>2.5000000000000001E-2</v>
      </c>
      <c r="F75" s="150" t="str">
        <f>VLOOKUP(B75,QUIK!C:AL,4,FALSE)</f>
        <v>РФ</v>
      </c>
      <c r="G75" s="150" t="str">
        <f>IF(ISERROR(VLOOKUP(F75,Лист12!$A$23:$A$27,1,FALSE))=FALSE,"Обл",IF(OR(F75="ао",F75="ап",F75="др"),"Акции","Прочее"))</f>
        <v>Обл</v>
      </c>
      <c r="H75" s="149">
        <f>IFERROR(VLOOKUP(B75,QUIK_купитьпродать!B:G,6,FALSE),)</f>
        <v>0</v>
      </c>
      <c r="I75" s="149">
        <f>IF(G75="Обл",VLOOKUP(B75,QUIK!C:J,8,FALSE),1)</f>
        <v>1000</v>
      </c>
      <c r="J75">
        <f>VLOOKUP(B75,QUIK!$C:$AL,6,FALSE)</f>
        <v>1</v>
      </c>
      <c r="K75">
        <f>VLOOKUP(B75,QUIK!$C:$AL,10,FALSE)</f>
        <v>71.869</v>
      </c>
      <c r="L75" s="144" t="str">
        <f>VLOOKUP(B75,QUIK!$C:$AL,29,FALSE)</f>
        <v>SUR</v>
      </c>
      <c r="M75" t="str">
        <f>VLOOKUP(B75,QUIK!$C:$AL,30,FALSE)</f>
        <v/>
      </c>
      <c r="N75" t="str">
        <f>VLOOKUP(B75,QUIK!$C:$AL,31,FALSE)</f>
        <v/>
      </c>
      <c r="O75">
        <f>VLOOKUP(B75,QUIK!$C:$AL,32,FALSE)</f>
        <v>-100</v>
      </c>
      <c r="P75" s="260">
        <f>VLOOKUP(B75,QUIK!$C:$AL,5,FALSE)</f>
        <v>1</v>
      </c>
      <c r="Q75" s="113">
        <f t="shared" si="13"/>
        <v>0</v>
      </c>
      <c r="R75" s="90">
        <f t="shared" si="14"/>
        <v>2.5000000000000001E-2</v>
      </c>
      <c r="S75" s="113">
        <f t="shared" si="15"/>
        <v>7.4595356596039589E-4</v>
      </c>
      <c r="T75" s="145">
        <f t="shared" si="16"/>
        <v>24086.284749999999</v>
      </c>
      <c r="U75">
        <f t="shared" si="17"/>
        <v>33</v>
      </c>
      <c r="V75" s="264">
        <f t="shared" si="18"/>
        <v>23716.77</v>
      </c>
      <c r="W75" s="148">
        <f t="shared" si="19"/>
        <v>33</v>
      </c>
      <c r="X75" s="148">
        <f t="shared" si="22"/>
        <v>23716.77</v>
      </c>
      <c r="Y75" s="113">
        <f t="shared" si="21"/>
        <v>2.4616467676693062E-2</v>
      </c>
      <c r="Z75" t="str">
        <f t="shared" si="20"/>
        <v>Покупка</v>
      </c>
    </row>
    <row r="76" spans="2:26">
      <c r="B76" s="122" t="s">
        <v>8988</v>
      </c>
      <c r="C76" s="122" t="s">
        <v>8989</v>
      </c>
      <c r="D76" s="258" t="s">
        <v>12999</v>
      </c>
      <c r="E76" s="128">
        <v>0.05</v>
      </c>
      <c r="F76" s="150" t="str">
        <f>VLOOKUP(B76,QUIK!C:AL,4,FALSE)</f>
        <v>бирж.обл.</v>
      </c>
      <c r="G76" s="150" t="str">
        <f>IF(ISERROR(VLOOKUP(F76,Лист12!$A$23:$A$27,1,FALSE))=FALSE,"Обл",IF(OR(F76="ао",F76="ап",F76="др"),"Акции","Прочее"))</f>
        <v>Обл</v>
      </c>
      <c r="H76" s="149">
        <f>IFERROR(VLOOKUP(B76,QUIK_купитьпродать!B:G,6,FALSE),)</f>
        <v>0</v>
      </c>
      <c r="I76" s="149">
        <f>IF(G76="Обл",VLOOKUP(B76,QUIK!C:J,8,FALSE),1)</f>
        <v>1000</v>
      </c>
      <c r="J76">
        <f>VLOOKUP(B76,QUIK!$C:$AL,6,FALSE)</f>
        <v>1</v>
      </c>
      <c r="K76">
        <f>VLOOKUP(B76,QUIK!$C:$AL,10,FALSE)</f>
        <v>90.99</v>
      </c>
      <c r="L76" s="144" t="str">
        <f>VLOOKUP(B76,QUIK!$C:$AL,29,FALSE)</f>
        <v>SUR</v>
      </c>
      <c r="M76" t="str">
        <f>VLOOKUP(B76,QUIK!$C:$AL,30,FALSE)</f>
        <v/>
      </c>
      <c r="N76" t="str">
        <f>VLOOKUP(B76,QUIK!$C:$AL,31,FALSE)</f>
        <v/>
      </c>
      <c r="O76">
        <f>VLOOKUP(B76,QUIK!$C:$AL,32,FALSE)</f>
        <v>6</v>
      </c>
      <c r="P76" s="260">
        <f>VLOOKUP(B76,QUIK!$C:$AL,5,FALSE)</f>
        <v>2</v>
      </c>
      <c r="Q76" s="113">
        <f t="shared" si="13"/>
        <v>0</v>
      </c>
      <c r="R76" s="90">
        <f t="shared" si="14"/>
        <v>0.05</v>
      </c>
      <c r="S76" s="113">
        <f t="shared" si="15"/>
        <v>9.4441713348921536E-4</v>
      </c>
      <c r="T76" s="145">
        <f t="shared" si="16"/>
        <v>48172.569499999998</v>
      </c>
      <c r="U76">
        <f t="shared" si="17"/>
        <v>52</v>
      </c>
      <c r="V76" s="264">
        <f t="shared" si="18"/>
        <v>47314.799999999996</v>
      </c>
      <c r="W76" s="148">
        <f t="shared" si="19"/>
        <v>52</v>
      </c>
      <c r="X76" s="148">
        <f t="shared" si="22"/>
        <v>47314.799999999996</v>
      </c>
      <c r="Y76" s="113">
        <f t="shared" si="21"/>
        <v>4.9109690941439195E-2</v>
      </c>
      <c r="Z76" t="str">
        <f t="shared" si="20"/>
        <v>Покупка</v>
      </c>
    </row>
    <row r="77" spans="2:26">
      <c r="B77" s="122" t="s">
        <v>1977</v>
      </c>
      <c r="C77" s="122" t="s">
        <v>1975</v>
      </c>
      <c r="D77" s="123" t="s">
        <v>12257</v>
      </c>
      <c r="E77" s="128">
        <v>0.05</v>
      </c>
      <c r="F77" s="150" t="str">
        <f>VLOOKUP(B77,QUIK!C:AL,4,FALSE)</f>
        <v>бирж.обл.</v>
      </c>
      <c r="G77" s="150" t="str">
        <f>IF(ISERROR(VLOOKUP(F77,Лист12!$A$23:$A$27,1,FALSE))=FALSE,"Обл",IF(OR(F77="ао",F77="ап",F77="др"),"Акции","Прочее"))</f>
        <v>Обл</v>
      </c>
      <c r="H77" s="149">
        <f>IFERROR(VLOOKUP(B77,QUIK_купитьпродать!B:G,6,FALSE),)</f>
        <v>50</v>
      </c>
      <c r="I77" s="149">
        <f>IF(G77="Обл",VLOOKUP(B77,QUIK!C:J,8,FALSE),1)</f>
        <v>1000</v>
      </c>
      <c r="J77">
        <f>VLOOKUP(B77,QUIK!$C:$AL,6,FALSE)</f>
        <v>1</v>
      </c>
      <c r="K77">
        <f>VLOOKUP(B77,QUIK!$C:$AL,10,FALSE)</f>
        <v>94.58</v>
      </c>
      <c r="L77" s="144" t="str">
        <f>VLOOKUP(B77,QUIK!$C:$AL,29,FALSE)</f>
        <v>SUR</v>
      </c>
      <c r="M77" t="str">
        <f>VLOOKUP(B77,QUIK!$C:$AL,30,FALSE)</f>
        <v/>
      </c>
      <c r="N77" t="str">
        <f>VLOOKUP(B77,QUIK!$C:$AL,31,FALSE)</f>
        <v/>
      </c>
      <c r="O77">
        <f>VLOOKUP(B77,QUIK!$C:$AL,32,FALSE)</f>
        <v>6</v>
      </c>
      <c r="P77" s="260">
        <f>VLOOKUP(B77,QUIK!$C:$AL,5,FALSE)</f>
        <v>1</v>
      </c>
      <c r="Q77" s="113">
        <f>IFERROR(VLOOKUP(B77,$A$7:$F$34,5,FALSE)/$E$3,"")</f>
        <v>4.9083950151340802E-2</v>
      </c>
      <c r="R77" s="90">
        <f t="shared" si="14"/>
        <v>9.1604984865920058E-4</v>
      </c>
      <c r="S77" s="113">
        <f>(J77*K77%*I77)/$E$3</f>
        <v>9.8167900302681605E-4</v>
      </c>
      <c r="T77" s="145">
        <f>R77*$E$3</f>
        <v>882.56949999999631</v>
      </c>
      <c r="U77">
        <f>IF(ABS(R77)&lt;S77,0,ROUNDDOWN(T77/(K77%*J77*I77),0))</f>
        <v>0</v>
      </c>
      <c r="V77" s="264">
        <f>U77*J77*K77%*I77</f>
        <v>0</v>
      </c>
      <c r="W77" s="148">
        <f>(IF(H77&lt;&gt;0,H77,0)+U77*J77)</f>
        <v>50</v>
      </c>
      <c r="X77" s="148">
        <f t="shared" si="22"/>
        <v>47290</v>
      </c>
      <c r="Y77" s="113">
        <f t="shared" si="21"/>
        <v>4.9083950151340802E-2</v>
      </c>
      <c r="Z77" t="str">
        <f t="shared" si="20"/>
        <v>Нет сделок</v>
      </c>
    </row>
    <row r="78" spans="2:26">
      <c r="D78" s="181"/>
      <c r="E78" s="150">
        <f>SUM(E67:E77)</f>
        <v>0.5</v>
      </c>
      <c r="F78" s="150"/>
      <c r="G78" s="149"/>
      <c r="I78" s="149"/>
      <c r="P78" s="113"/>
      <c r="Q78" s="90"/>
      <c r="R78" s="113"/>
      <c r="S78" s="145"/>
      <c r="T78" s="185"/>
      <c r="U78" s="148"/>
      <c r="V78" s="185">
        <f>SUM(V67:V77)</f>
        <v>430386.6100000001</v>
      </c>
      <c r="W78" s="148"/>
      <c r="X78" s="113"/>
      <c r="Y78" s="114">
        <f>SUM(Y67:Y77)</f>
        <v>0.49579731261792054</v>
      </c>
    </row>
    <row r="79" spans="2:26">
      <c r="D79" s="181"/>
      <c r="E79" s="150"/>
      <c r="F79" s="150"/>
      <c r="G79" s="149"/>
      <c r="I79" s="149"/>
      <c r="P79" s="113"/>
      <c r="Q79" s="90"/>
      <c r="R79" s="113"/>
      <c r="S79" s="145"/>
      <c r="T79" s="148"/>
      <c r="U79" s="148"/>
      <c r="V79" s="148"/>
      <c r="W79" s="148"/>
      <c r="X79" s="113"/>
    </row>
    <row r="80" spans="2:26">
      <c r="O80" s="113"/>
    </row>
    <row r="81" spans="1:25" ht="15.75">
      <c r="A81" s="164" t="s">
        <v>12255</v>
      </c>
      <c r="O81" s="113"/>
    </row>
    <row r="82" spans="1:25">
      <c r="A82" s="265" t="s">
        <v>12237</v>
      </c>
      <c r="E82" s="150"/>
      <c r="F82" s="150"/>
      <c r="H82" s="149"/>
      <c r="O82" s="113"/>
    </row>
    <row r="83" spans="1:25" ht="54">
      <c r="A83" s="168" t="s">
        <v>228</v>
      </c>
      <c r="B83" s="168" t="s">
        <v>229</v>
      </c>
      <c r="C83" s="168" t="s">
        <v>1964</v>
      </c>
      <c r="D83" s="168" t="s">
        <v>12256</v>
      </c>
      <c r="E83" s="169" t="s">
        <v>140</v>
      </c>
      <c r="F83" s="176" t="s">
        <v>12243</v>
      </c>
      <c r="G83" s="176" t="s">
        <v>12244</v>
      </c>
      <c r="H83" s="176" t="s">
        <v>12236</v>
      </c>
      <c r="I83" s="177" t="s">
        <v>12242</v>
      </c>
      <c r="J83" s="176" t="s">
        <v>2075</v>
      </c>
      <c r="K83" s="176" t="s">
        <v>2076</v>
      </c>
      <c r="L83" s="176" t="s">
        <v>2090</v>
      </c>
      <c r="M83" s="176" t="s">
        <v>2091</v>
      </c>
      <c r="N83" s="176" t="s">
        <v>2092</v>
      </c>
      <c r="O83" s="176" t="s">
        <v>258</v>
      </c>
      <c r="P83" s="177" t="s">
        <v>2094</v>
      </c>
      <c r="Q83" s="173" t="s">
        <v>12231</v>
      </c>
      <c r="R83" s="174" t="s">
        <v>2115</v>
      </c>
      <c r="S83" s="173" t="s">
        <v>12230</v>
      </c>
      <c r="T83" s="175" t="s">
        <v>12239</v>
      </c>
      <c r="U83" s="175" t="s">
        <v>12235</v>
      </c>
      <c r="V83" s="175" t="s">
        <v>12240</v>
      </c>
      <c r="W83" s="175" t="s">
        <v>12246</v>
      </c>
      <c r="X83" s="175" t="s">
        <v>12247</v>
      </c>
      <c r="Y83" s="175" t="s">
        <v>12249</v>
      </c>
    </row>
    <row r="84" spans="1:25">
      <c r="A84" t="s">
        <v>452</v>
      </c>
      <c r="B84" t="s">
        <v>453</v>
      </c>
      <c r="C84" t="s">
        <v>454</v>
      </c>
      <c r="D84" s="123" t="s">
        <v>12257</v>
      </c>
      <c r="F84" s="150" t="str">
        <f>VLOOKUP(B84,QUIK!D:AL,3,FALSE)</f>
        <v>ап</v>
      </c>
      <c r="G84" s="150" t="str">
        <f>IF(ISERROR(VLOOKUP(F84,Лист12!$A$23:$A$27,1,FALSE))=FALSE,"Обл",IF(OR(F84="ао",F84="ап",F84="др"),"Акции","Прочее"))</f>
        <v>Акции</v>
      </c>
      <c r="H84" s="149">
        <f>IFERROR(VLOOKUP(B84,QUIK_купитьпродать!B:G,6,FALSE),)</f>
        <v>50</v>
      </c>
      <c r="I84" s="149">
        <f>IF(G84="Обл",VLOOKUP(B84,QUIK!C:J,8,FALSE),1)</f>
        <v>1</v>
      </c>
      <c r="J84">
        <f>VLOOKUP(B84,QUIK!$D:$AL,5,FALSE)</f>
        <v>1</v>
      </c>
      <c r="K84">
        <f>VLOOKUP(B84,QUIK!$D:$AL,9,FALSE)</f>
        <v>1084</v>
      </c>
      <c r="L84" t="str">
        <f>VLOOKUP(B84,QUIK!$D:$AL,28,FALSE)</f>
        <v>SUR</v>
      </c>
      <c r="M84" t="str">
        <f>VLOOKUP(B84,QUIK!$D:$AL,29,FALSE)</f>
        <v/>
      </c>
      <c r="N84" t="str">
        <f>VLOOKUP(B84,QUIK!$D:$AL,30,FALSE)</f>
        <v/>
      </c>
      <c r="O84">
        <f>VLOOKUP(B84,QUIK!$D:$AL,31,FALSE)</f>
        <v>9</v>
      </c>
      <c r="P84">
        <f>VLOOKUP(B84,QUIK!$D:$AL,4,FALSE)</f>
        <v>3</v>
      </c>
      <c r="Q84" s="113">
        <f t="shared" ref="Q84:Q95" si="23">IFERROR(VLOOKUP(B84,$A$7:$F$34,5,FALSE)/$E$3,"")</f>
        <v>5.6256081586015465E-2</v>
      </c>
      <c r="R84" s="90">
        <f t="shared" ref="R84:R95" si="24">E84-Q84</f>
        <v>-5.6256081586015465E-2</v>
      </c>
      <c r="S84" s="113">
        <f t="shared" ref="S84:S95" si="25">IF(G84="Обл",(J84*K84%*I84)/$E$3,(J84*K84)/$E$3)</f>
        <v>1.1251216317203093E-3</v>
      </c>
      <c r="U84" s="148">
        <f>(H84/J84)*-1</f>
        <v>-50</v>
      </c>
      <c r="V84" s="148">
        <f t="shared" ref="V84:V95" si="26">IF(G84="Обл",U84*J84*K84%*I84,U84*J84*K84)</f>
        <v>-54200</v>
      </c>
      <c r="W84" s="148">
        <f t="shared" ref="W84:W95" si="27">(IF(H84&lt;&gt;0,H84,0)+U84*J84)</f>
        <v>0</v>
      </c>
      <c r="X84" s="148">
        <f t="shared" ref="X84:X95" si="28">W84*K84</f>
        <v>0</v>
      </c>
      <c r="Y84" s="144">
        <f>X84/$E$3</f>
        <v>0</v>
      </c>
    </row>
    <row r="85" spans="1:25">
      <c r="A85" t="s">
        <v>769</v>
      </c>
      <c r="B85" t="s">
        <v>770</v>
      </c>
      <c r="C85" t="s">
        <v>771</v>
      </c>
      <c r="D85" s="123" t="s">
        <v>12257</v>
      </c>
      <c r="F85" s="150" t="str">
        <f>VLOOKUP(B85,QUIK!D:AL,3,FALSE)</f>
        <v>ао</v>
      </c>
      <c r="G85" s="150" t="str">
        <f>IF(ISERROR(VLOOKUP(F85,Лист12!$A$23:$A$27,1,FALSE))=FALSE,"Обл",IF(OR(F85="ао",F85="ап",F85="др"),"Акции","Прочее"))</f>
        <v>Акции</v>
      </c>
      <c r="H85" s="149">
        <f>IFERROR(VLOOKUP(B85,QUIK_купитьпродать!B:G,6,FALSE),)</f>
        <v>50</v>
      </c>
      <c r="I85" s="149">
        <f>IF(G85="Обл",VLOOKUP(B85,QUIK!C:J,8,FALSE),1)</f>
        <v>1</v>
      </c>
      <c r="J85">
        <f>VLOOKUP(B85,QUIK!$D:$AL,5,FALSE)</f>
        <v>1</v>
      </c>
      <c r="K85">
        <f>VLOOKUP(B85,QUIK!$D:$AL,9,FALSE)</f>
        <v>255</v>
      </c>
      <c r="L85" t="str">
        <f>VLOOKUP(B85,QUIK!$D:$AL,28,FALSE)</f>
        <v>SUR</v>
      </c>
      <c r="M85" t="str">
        <f>VLOOKUP(B85,QUIK!$D:$AL,29,FALSE)</f>
        <v/>
      </c>
      <c r="N85" t="str">
        <f>VLOOKUP(B85,QUIK!$D:$AL,30,FALSE)</f>
        <v/>
      </c>
      <c r="O85">
        <f>VLOOKUP(B85,QUIK!$D:$AL,31,FALSE)</f>
        <v>-100</v>
      </c>
      <c r="P85">
        <f>VLOOKUP(B85,QUIK!$D:$AL,4,FALSE)</f>
        <v>1</v>
      </c>
      <c r="Q85" s="113">
        <f t="shared" si="23"/>
        <v>1.3233672328813601E-2</v>
      </c>
      <c r="R85" s="90">
        <f t="shared" si="24"/>
        <v>-1.3233672328813601E-2</v>
      </c>
      <c r="S85" s="113">
        <f t="shared" si="25"/>
        <v>2.6467344657627205E-4</v>
      </c>
      <c r="U85" s="148">
        <f t="shared" ref="U85:U94" si="29">(H85/J85)*-1</f>
        <v>-50</v>
      </c>
      <c r="V85" s="148">
        <f t="shared" si="26"/>
        <v>-12750</v>
      </c>
      <c r="W85" s="148">
        <f t="shared" si="27"/>
        <v>0</v>
      </c>
      <c r="X85" s="148">
        <f t="shared" si="28"/>
        <v>0</v>
      </c>
      <c r="Y85" s="144">
        <f t="shared" ref="Y85:Y95" si="30">X85/$E$3</f>
        <v>0</v>
      </c>
    </row>
    <row r="86" spans="1:25">
      <c r="A86" t="s">
        <v>877</v>
      </c>
      <c r="B86" t="s">
        <v>878</v>
      </c>
      <c r="C86" t="s">
        <v>879</v>
      </c>
      <c r="D86" s="123" t="s">
        <v>12257</v>
      </c>
      <c r="F86" s="150" t="str">
        <f>VLOOKUP(B86,QUIK!D:AL,3,FALSE)</f>
        <v>ао</v>
      </c>
      <c r="G86" s="150" t="str">
        <f>IF(ISERROR(VLOOKUP(F86,Лист12!$A$23:$A$27,1,FALSE))=FALSE,"Обл",IF(OR(F86="ао",F86="ап",F86="др"),"Акции","Прочее"))</f>
        <v>Акции</v>
      </c>
      <c r="H86" s="149">
        <f>IFERROR(VLOOKUP(B86,QUIK_купитьпродать!B:G,6,FALSE),)</f>
        <v>12</v>
      </c>
      <c r="I86" s="149">
        <f>IF(G86="Обл",VLOOKUP(B86,QUIK!C:J,8,FALSE),1)</f>
        <v>1</v>
      </c>
      <c r="J86">
        <f>VLOOKUP(B86,QUIK!$D:$AL,5,FALSE)</f>
        <v>1</v>
      </c>
      <c r="K86">
        <f>VLOOKUP(B86,QUIK!$D:$AL,9,FALSE)</f>
        <v>580</v>
      </c>
      <c r="L86" t="str">
        <f>VLOOKUP(B86,QUIK!$D:$AL,28,FALSE)</f>
        <v>SUR</v>
      </c>
      <c r="M86" t="str">
        <f>VLOOKUP(B86,QUIK!$D:$AL,29,FALSE)</f>
        <v/>
      </c>
      <c r="N86" t="str">
        <f>VLOOKUP(B86,QUIK!$D:$AL,30,FALSE)</f>
        <v/>
      </c>
      <c r="O86">
        <f>VLOOKUP(B86,QUIK!$D:$AL,31,FALSE)</f>
        <v>-100</v>
      </c>
      <c r="P86">
        <f>VLOOKUP(B86,QUIK!$D:$AL,4,FALSE)</f>
        <v>1</v>
      </c>
      <c r="Q86" s="113">
        <f t="shared" si="23"/>
        <v>7.2240281889053067E-3</v>
      </c>
      <c r="R86" s="90">
        <f t="shared" si="24"/>
        <v>-7.2240281889053067E-3</v>
      </c>
      <c r="S86" s="113">
        <f t="shared" si="25"/>
        <v>6.020023490754423E-4</v>
      </c>
      <c r="U86" s="148">
        <f t="shared" si="29"/>
        <v>-12</v>
      </c>
      <c r="V86" s="148">
        <f t="shared" si="26"/>
        <v>-6960</v>
      </c>
      <c r="W86" s="148">
        <f t="shared" si="27"/>
        <v>0</v>
      </c>
      <c r="X86" s="148">
        <f t="shared" si="28"/>
        <v>0</v>
      </c>
      <c r="Y86" s="144">
        <f t="shared" si="30"/>
        <v>0</v>
      </c>
    </row>
    <row r="87" spans="1:25">
      <c r="A87" t="s">
        <v>1053</v>
      </c>
      <c r="B87" t="s">
        <v>109</v>
      </c>
      <c r="C87" t="s">
        <v>110</v>
      </c>
      <c r="D87" s="123" t="s">
        <v>12257</v>
      </c>
      <c r="F87" s="150" t="str">
        <f>VLOOKUP(B87,QUIK!D:AL,3,FALSE)</f>
        <v>ао</v>
      </c>
      <c r="G87" s="150" t="str">
        <f>IF(ISERROR(VLOOKUP(F87,Лист12!$A$23:$A$27,1,FALSE))=FALSE,"Обл",IF(OR(F87="ао",F87="ап",F87="др"),"Акции","Прочее"))</f>
        <v>Акции</v>
      </c>
      <c r="H87" s="149">
        <f>IFERROR(VLOOKUP(B87,QUIK_купитьпродать!B:G,6,FALSE),)</f>
        <v>100</v>
      </c>
      <c r="I87" s="149">
        <f>IF(G87="Обл",VLOOKUP(B87,QUIK!C:J,8,FALSE),1)</f>
        <v>1</v>
      </c>
      <c r="J87">
        <f>VLOOKUP(B87,QUIK!$D:$AL,5,FALSE)</f>
        <v>10</v>
      </c>
      <c r="K87">
        <f>VLOOKUP(B87,QUIK!$D:$AL,9,FALSE)</f>
        <v>52.67</v>
      </c>
      <c r="L87" t="str">
        <f>VLOOKUP(B87,QUIK!$D:$AL,28,FALSE)</f>
        <v>SUR</v>
      </c>
      <c r="M87" t="str">
        <f>VLOOKUP(B87,QUIK!$D:$AL,29,FALSE)</f>
        <v/>
      </c>
      <c r="N87" t="str">
        <f>VLOOKUP(B87,QUIK!$D:$AL,30,FALSE)</f>
        <v/>
      </c>
      <c r="O87">
        <f>VLOOKUP(B87,QUIK!$D:$AL,31,FALSE)</f>
        <v>-100</v>
      </c>
      <c r="P87">
        <f>VLOOKUP(B87,QUIK!$D:$AL,4,FALSE)</f>
        <v>1</v>
      </c>
      <c r="Q87" s="113">
        <f t="shared" si="23"/>
        <v>5.4668040906557837E-3</v>
      </c>
      <c r="R87" s="90">
        <f t="shared" si="24"/>
        <v>-5.4668040906557837E-3</v>
      </c>
      <c r="S87" s="113">
        <f t="shared" si="25"/>
        <v>5.4668040906557841E-4</v>
      </c>
      <c r="U87" s="148">
        <f t="shared" si="29"/>
        <v>-10</v>
      </c>
      <c r="V87" s="148">
        <f t="shared" si="26"/>
        <v>-5267</v>
      </c>
      <c r="W87" s="148">
        <f t="shared" si="27"/>
        <v>0</v>
      </c>
      <c r="X87" s="148">
        <f t="shared" si="28"/>
        <v>0</v>
      </c>
      <c r="Y87" s="144">
        <f t="shared" si="30"/>
        <v>0</v>
      </c>
    </row>
    <row r="88" spans="1:25">
      <c r="A88" t="s">
        <v>987</v>
      </c>
      <c r="B88" t="s">
        <v>988</v>
      </c>
      <c r="C88" t="s">
        <v>989</v>
      </c>
      <c r="D88" s="123" t="s">
        <v>12257</v>
      </c>
      <c r="F88" s="150" t="str">
        <f>VLOOKUP(B88,QUIK!D:AL,3,FALSE)</f>
        <v>ао</v>
      </c>
      <c r="G88" s="150" t="str">
        <f>IF(ISERROR(VLOOKUP(F88,Лист12!$A$23:$A$27,1,FALSE))=FALSE,"Обл",IF(OR(F88="ао",F88="ап",F88="др"),"Акции","Прочее"))</f>
        <v>Акции</v>
      </c>
      <c r="H88" s="149">
        <f>IFERROR(VLOOKUP(B88,QUIK_купитьпродать!B:G,6,FALSE),)</f>
        <v>10000</v>
      </c>
      <c r="I88" s="149">
        <f>IF(G88="Обл",VLOOKUP(B88,QUIK!C:J,8,FALSE),1)</f>
        <v>1</v>
      </c>
      <c r="J88">
        <f>VLOOKUP(B88,QUIK!$D:$AL,5,FALSE)</f>
        <v>1000</v>
      </c>
      <c r="K88">
        <f>VLOOKUP(B88,QUIK!$D:$AL,9,FALSE)</f>
        <v>1.0745</v>
      </c>
      <c r="L88" t="str">
        <f>VLOOKUP(B88,QUIK!$D:$AL,28,FALSE)</f>
        <v>SUR</v>
      </c>
      <c r="M88" t="str">
        <f>VLOOKUP(B88,QUIK!$D:$AL,29,FALSE)</f>
        <v/>
      </c>
      <c r="N88" t="str">
        <f>VLOOKUP(B88,QUIK!$D:$AL,30,FALSE)</f>
        <v/>
      </c>
      <c r="O88">
        <f>VLOOKUP(B88,QUIK!$D:$AL,31,FALSE)</f>
        <v>-100</v>
      </c>
      <c r="P88">
        <f>VLOOKUP(B88,QUIK!$D:$AL,4,FALSE)</f>
        <v>2</v>
      </c>
      <c r="Q88" s="113">
        <f t="shared" si="23"/>
        <v>1.1152612484164874E-2</v>
      </c>
      <c r="R88" s="90">
        <f t="shared" si="24"/>
        <v>-1.1152612484164874E-2</v>
      </c>
      <c r="S88" s="113">
        <f t="shared" si="25"/>
        <v>1.1152612484164875E-3</v>
      </c>
      <c r="U88" s="148">
        <f t="shared" si="29"/>
        <v>-10</v>
      </c>
      <c r="V88" s="148">
        <f t="shared" si="26"/>
        <v>-10745</v>
      </c>
      <c r="W88" s="148">
        <f t="shared" si="27"/>
        <v>0</v>
      </c>
      <c r="X88" s="148">
        <f t="shared" si="28"/>
        <v>0</v>
      </c>
      <c r="Y88" s="144">
        <f t="shared" si="30"/>
        <v>0</v>
      </c>
    </row>
    <row r="89" spans="1:25">
      <c r="A89" t="s">
        <v>997</v>
      </c>
      <c r="B89" t="s">
        <v>998</v>
      </c>
      <c r="C89" t="s">
        <v>999</v>
      </c>
      <c r="D89" s="123" t="s">
        <v>12257</v>
      </c>
      <c r="F89" s="150" t="str">
        <f>VLOOKUP(B89,QUIK!D:AL,3,FALSE)</f>
        <v>ао</v>
      </c>
      <c r="G89" s="150" t="str">
        <f>IF(ISERROR(VLOOKUP(F89,Лист12!$A$23:$A$27,1,FALSE))=FALSE,"Обл",IF(OR(F89="ао",F89="ап",F89="др"),"Акции","Прочее"))</f>
        <v>Акции</v>
      </c>
      <c r="H89" s="149">
        <f>IFERROR(VLOOKUP(B89,QUIK_купитьпродать!B:G,6,FALSE),)</f>
        <v>230000</v>
      </c>
      <c r="I89" s="149">
        <f>IF(G89="Обл",VLOOKUP(B89,QUIK!C:J,8,FALSE),1)</f>
        <v>1</v>
      </c>
      <c r="J89">
        <f>VLOOKUP(B89,QUIK!$D:$AL,5,FALSE)</f>
        <v>10000</v>
      </c>
      <c r="K89">
        <f>VLOOKUP(B89,QUIK!$D:$AL,9,FALSE)</f>
        <v>0.32429999999999998</v>
      </c>
      <c r="L89" t="str">
        <f>VLOOKUP(B89,QUIK!$D:$AL,28,FALSE)</f>
        <v>SUR</v>
      </c>
      <c r="M89" t="str">
        <f>VLOOKUP(B89,QUIK!$D:$AL,29,FALSE)</f>
        <v/>
      </c>
      <c r="N89" t="str">
        <f>VLOOKUP(B89,QUIK!$D:$AL,30,FALSE)</f>
        <v/>
      </c>
      <c r="O89">
        <f>VLOOKUP(B89,QUIK!$D:$AL,31,FALSE)</f>
        <v>-100</v>
      </c>
      <c r="P89">
        <f>VLOOKUP(B89,QUIK!$D:$AL,4,FALSE)</f>
        <v>2</v>
      </c>
      <c r="Q89" s="113">
        <f t="shared" si="23"/>
        <v>7.7418540026186491E-2</v>
      </c>
      <c r="R89" s="90">
        <f t="shared" si="24"/>
        <v>-7.7418540026186491E-2</v>
      </c>
      <c r="S89" s="113">
        <f t="shared" si="25"/>
        <v>3.3660234793994122E-3</v>
      </c>
      <c r="U89" s="148">
        <f t="shared" si="29"/>
        <v>-23</v>
      </c>
      <c r="V89" s="148">
        <f t="shared" si="26"/>
        <v>-74589</v>
      </c>
      <c r="W89" s="148">
        <f t="shared" si="27"/>
        <v>0</v>
      </c>
      <c r="X89" s="148">
        <f t="shared" si="28"/>
        <v>0</v>
      </c>
      <c r="Y89" s="144">
        <f t="shared" si="30"/>
        <v>0</v>
      </c>
    </row>
    <row r="90" spans="1:25">
      <c r="A90" t="s">
        <v>1151</v>
      </c>
      <c r="B90" t="s">
        <v>1152</v>
      </c>
      <c r="C90" t="s">
        <v>1153</v>
      </c>
      <c r="D90" s="123" t="s">
        <v>12257</v>
      </c>
      <c r="F90" s="150" t="str">
        <f>VLOOKUP(B90,QUIK!D:AL,3,FALSE)</f>
        <v>ао</v>
      </c>
      <c r="G90" s="150" t="str">
        <f>IF(ISERROR(VLOOKUP(F90,Лист12!$A$23:$A$27,1,FALSE))=FALSE,"Обл",IF(OR(F90="ао",F90="ап",F90="др"),"Акции","Прочее"))</f>
        <v>Акции</v>
      </c>
      <c r="H90" s="149">
        <f>IFERROR(VLOOKUP(B90,QUIK_купитьпродать!B:G,6,FALSE),)</f>
        <v>400</v>
      </c>
      <c r="I90" s="149">
        <f>IF(G90="Обл",VLOOKUP(B90,QUIK!C:J,8,FALSE),1)</f>
        <v>1</v>
      </c>
      <c r="J90">
        <f>VLOOKUP(B90,QUIK!$D:$AL,5,FALSE)</f>
        <v>10</v>
      </c>
      <c r="K90">
        <f>VLOOKUP(B90,QUIK!$D:$AL,9,FALSE)</f>
        <v>228.11</v>
      </c>
      <c r="L90" t="str">
        <f>VLOOKUP(B90,QUIK!$D:$AL,28,FALSE)</f>
        <v>SUR</v>
      </c>
      <c r="M90" t="str">
        <f>VLOOKUP(B90,QUIK!$D:$AL,29,FALSE)</f>
        <v/>
      </c>
      <c r="N90" t="str">
        <f>VLOOKUP(B90,QUIK!$D:$AL,30,FALSE)</f>
        <v/>
      </c>
      <c r="O90">
        <f>VLOOKUP(B90,QUIK!$D:$AL,31,FALSE)</f>
        <v>-100</v>
      </c>
      <c r="P90">
        <f>VLOOKUP(B90,QUIK!$D:$AL,4,FALSE)</f>
        <v>1</v>
      </c>
      <c r="Q90" s="113">
        <f t="shared" si="23"/>
        <v>9.4705348860413194E-2</v>
      </c>
      <c r="R90" s="90">
        <f t="shared" si="24"/>
        <v>-9.4705348860413194E-2</v>
      </c>
      <c r="S90" s="113">
        <f t="shared" si="25"/>
        <v>2.3676337215103303E-3</v>
      </c>
      <c r="U90" s="148">
        <f t="shared" si="29"/>
        <v>-40</v>
      </c>
      <c r="V90" s="148">
        <f t="shared" si="26"/>
        <v>-91244</v>
      </c>
      <c r="W90" s="148">
        <f t="shared" si="27"/>
        <v>0</v>
      </c>
      <c r="X90" s="148">
        <f t="shared" si="28"/>
        <v>0</v>
      </c>
      <c r="Y90" s="144">
        <f t="shared" si="30"/>
        <v>0</v>
      </c>
    </row>
    <row r="91" spans="1:25">
      <c r="A91" t="s">
        <v>1156</v>
      </c>
      <c r="B91" t="s">
        <v>1157</v>
      </c>
      <c r="C91" t="s">
        <v>1158</v>
      </c>
      <c r="D91" s="123" t="s">
        <v>12257</v>
      </c>
      <c r="F91" s="150" t="str">
        <f>VLOOKUP(B91,QUIK!D:AL,3,FALSE)</f>
        <v>ап</v>
      </c>
      <c r="G91" s="150" t="str">
        <f>IF(ISERROR(VLOOKUP(F91,Лист12!$A$23:$A$27,1,FALSE))=FALSE,"Обл",IF(OR(F91="ао",F91="ап",F91="др"),"Акции","Прочее"))</f>
        <v>Акции</v>
      </c>
      <c r="H91" s="149">
        <f>IFERROR(VLOOKUP(B91,QUIK_купитьпродать!B:G,6,FALSE),)</f>
        <v>300</v>
      </c>
      <c r="I91" s="149">
        <f>IF(G91="Обл",VLOOKUP(B91,QUIK!C:J,8,FALSE),1)</f>
        <v>1</v>
      </c>
      <c r="J91">
        <f>VLOOKUP(B91,QUIK!$D:$AL,5,FALSE)</f>
        <v>10</v>
      </c>
      <c r="K91">
        <f>VLOOKUP(B91,QUIK!$D:$AL,9,FALSE)</f>
        <v>228.35</v>
      </c>
      <c r="L91" t="str">
        <f>VLOOKUP(B91,QUIK!$D:$AL,28,FALSE)</f>
        <v>SUR</v>
      </c>
      <c r="M91" t="str">
        <f>VLOOKUP(B91,QUIK!$D:$AL,29,FALSE)</f>
        <v/>
      </c>
      <c r="N91" t="str">
        <f>VLOOKUP(B91,QUIK!$D:$AL,30,FALSE)</f>
        <v/>
      </c>
      <c r="O91">
        <f>VLOOKUP(B91,QUIK!$D:$AL,31,FALSE)</f>
        <v>-100</v>
      </c>
      <c r="P91">
        <f>VLOOKUP(B91,QUIK!$D:$AL,4,FALSE)</f>
        <v>1</v>
      </c>
      <c r="Q91" s="113">
        <f t="shared" si="23"/>
        <v>7.1103742971402026E-2</v>
      </c>
      <c r="R91" s="90">
        <f t="shared" si="24"/>
        <v>-7.1103742971402026E-2</v>
      </c>
      <c r="S91" s="113">
        <f t="shared" si="25"/>
        <v>2.3701247657134006E-3</v>
      </c>
      <c r="U91" s="148">
        <f t="shared" si="29"/>
        <v>-30</v>
      </c>
      <c r="V91" s="148">
        <f t="shared" si="26"/>
        <v>-68505</v>
      </c>
      <c r="W91" s="148">
        <f t="shared" si="27"/>
        <v>0</v>
      </c>
      <c r="X91" s="148">
        <f t="shared" si="28"/>
        <v>0</v>
      </c>
      <c r="Y91" s="144">
        <f t="shared" si="30"/>
        <v>0</v>
      </c>
    </row>
    <row r="92" spans="1:25">
      <c r="A92" t="s">
        <v>1335</v>
      </c>
      <c r="B92" t="s">
        <v>1336</v>
      </c>
      <c r="C92" t="s">
        <v>1337</v>
      </c>
      <c r="D92" s="123" t="s">
        <v>12257</v>
      </c>
      <c r="F92" s="150" t="str">
        <f>VLOOKUP(B92,QUIK!D:AL,3,FALSE)</f>
        <v>ао</v>
      </c>
      <c r="G92" s="150" t="str">
        <f>IF(ISERROR(VLOOKUP(F92,Лист12!$A$23:$A$27,1,FALSE))=FALSE,"Обл",IF(OR(F92="ао",F92="ап",F92="др"),"Акции","Прочее"))</f>
        <v>Акции</v>
      </c>
      <c r="H92" s="149">
        <f>IFERROR(VLOOKUP(B92,QUIK_купитьпродать!B:G,6,FALSE),)</f>
        <v>50</v>
      </c>
      <c r="I92" s="149">
        <f>IF(G92="Обл",VLOOKUP(B92,QUIK!C:J,8,FALSE),1)</f>
        <v>1</v>
      </c>
      <c r="J92">
        <f>VLOOKUP(B92,QUIK!$D:$AL,5,FALSE)</f>
        <v>1</v>
      </c>
      <c r="K92">
        <f>VLOOKUP(B92,QUIK!$D:$AL,9,FALSE)</f>
        <v>532.9</v>
      </c>
      <c r="L92" t="str">
        <f>VLOOKUP(B92,QUIK!$D:$AL,28,FALSE)</f>
        <v>SUR</v>
      </c>
      <c r="M92" t="str">
        <f>VLOOKUP(B92,QUIK!$D:$AL,29,FALSE)</f>
        <v/>
      </c>
      <c r="N92" t="str">
        <f>VLOOKUP(B92,QUIK!$D:$AL,30,FALSE)</f>
        <v/>
      </c>
      <c r="O92">
        <f>VLOOKUP(B92,QUIK!$D:$AL,31,FALSE)</f>
        <v>-100</v>
      </c>
      <c r="P92">
        <f>VLOOKUP(B92,QUIK!$D:$AL,4,FALSE)</f>
        <v>1</v>
      </c>
      <c r="Q92" s="113">
        <f t="shared" si="23"/>
        <v>2.7655780329508894E-2</v>
      </c>
      <c r="R92" s="90">
        <f t="shared" si="24"/>
        <v>-2.7655780329508894E-2</v>
      </c>
      <c r="S92" s="113">
        <f t="shared" si="25"/>
        <v>5.531156065901779E-4</v>
      </c>
      <c r="U92" s="148">
        <f t="shared" si="29"/>
        <v>-50</v>
      </c>
      <c r="V92" s="148">
        <f t="shared" si="26"/>
        <v>-26645</v>
      </c>
      <c r="W92" s="148">
        <f t="shared" si="27"/>
        <v>0</v>
      </c>
      <c r="X92" s="148">
        <f t="shared" si="28"/>
        <v>0</v>
      </c>
      <c r="Y92" s="144">
        <f t="shared" si="30"/>
        <v>0</v>
      </c>
    </row>
    <row r="93" spans="1:25">
      <c r="A93" t="s">
        <v>1977</v>
      </c>
      <c r="B93" t="s">
        <v>1977</v>
      </c>
      <c r="C93" t="s">
        <v>1975</v>
      </c>
      <c r="D93" s="123" t="s">
        <v>12257</v>
      </c>
      <c r="F93" s="150" t="str">
        <f>VLOOKUP(B93,QUIK!D:AL,3,FALSE)</f>
        <v>бирж.обл.</v>
      </c>
      <c r="G93" s="150" t="str">
        <f>IF(ISERROR(VLOOKUP(F93,Лист12!$A$23:$A$27,1,FALSE))=FALSE,"Обл",IF(OR(F93="ао",F93="ап",F93="др"),"Акции","Прочее"))</f>
        <v>Обл</v>
      </c>
      <c r="H93" s="149">
        <f>IFERROR(VLOOKUP(B93,QUIK_купитьпродать!B:G,6,FALSE),)</f>
        <v>50</v>
      </c>
      <c r="I93" s="149">
        <f>IF(G93="Обл",VLOOKUP(B93,QUIK!C:J,8,FALSE),1)</f>
        <v>1000</v>
      </c>
      <c r="J93">
        <f>VLOOKUP(B93,QUIK!$D:$AL,5,FALSE)</f>
        <v>1</v>
      </c>
      <c r="K93">
        <f>VLOOKUP(B93,QUIK!$D:$AL,9,FALSE)</f>
        <v>94.58</v>
      </c>
      <c r="L93" t="str">
        <f>VLOOKUP(B93,QUIK!$D:$AL,28,FALSE)</f>
        <v>SUR</v>
      </c>
      <c r="M93" t="str">
        <f>VLOOKUP(B93,QUIK!$D:$AL,29,FALSE)</f>
        <v/>
      </c>
      <c r="N93" t="str">
        <f>VLOOKUP(B93,QUIK!$D:$AL,30,FALSE)</f>
        <v/>
      </c>
      <c r="O93">
        <f>VLOOKUP(B93,QUIK!$D:$AL,31,FALSE)</f>
        <v>6</v>
      </c>
      <c r="P93">
        <f>VLOOKUP(B93,QUIK!$D:$AL,4,FALSE)</f>
        <v>1</v>
      </c>
      <c r="Q93" s="113">
        <f t="shared" si="23"/>
        <v>4.9083950151340802E-2</v>
      </c>
      <c r="R93" s="90">
        <f t="shared" si="24"/>
        <v>-4.9083950151340802E-2</v>
      </c>
      <c r="S93" s="113">
        <f t="shared" si="25"/>
        <v>9.8167900302681605E-4</v>
      </c>
      <c r="U93" s="148">
        <f t="shared" si="29"/>
        <v>-50</v>
      </c>
      <c r="V93" s="148">
        <f t="shared" si="26"/>
        <v>-47290</v>
      </c>
      <c r="W93" s="148">
        <f t="shared" si="27"/>
        <v>0</v>
      </c>
      <c r="X93" s="148">
        <f t="shared" si="28"/>
        <v>0</v>
      </c>
      <c r="Y93" s="144">
        <f t="shared" si="30"/>
        <v>0</v>
      </c>
    </row>
    <row r="94" spans="1:25">
      <c r="A94" t="s">
        <v>1979</v>
      </c>
      <c r="B94" t="s">
        <v>1979</v>
      </c>
      <c r="C94" t="s">
        <v>1978</v>
      </c>
      <c r="D94" s="123" t="s">
        <v>12257</v>
      </c>
      <c r="F94" s="150" t="str">
        <f>VLOOKUP(B94,QUIK!D:AL,3,FALSE)</f>
        <v>бирж.обл.</v>
      </c>
      <c r="G94" s="150" t="str">
        <f>IF(ISERROR(VLOOKUP(F94,Лист12!$A$23:$A$27,1,FALSE))=FALSE,"Обл","")</f>
        <v>Обл</v>
      </c>
      <c r="H94" s="149">
        <f>IFERROR(VLOOKUP(B94,QUIK_купитьпродать!B:G,6,FALSE),)</f>
        <v>32</v>
      </c>
      <c r="I94" s="149">
        <f>IF(G94="Обл",VLOOKUP(B94,QUIK!C:J,8,FALSE),1)</f>
        <v>1000</v>
      </c>
      <c r="J94">
        <f>VLOOKUP(B94,QUIK!$D:$AL,5,FALSE)</f>
        <v>1</v>
      </c>
      <c r="K94">
        <f>VLOOKUP(B94,QUIK!$D:$AL,9,FALSE)</f>
        <v>91.11</v>
      </c>
      <c r="L94" t="str">
        <f>VLOOKUP(B94,QUIK!$D:$AL,28,FALSE)</f>
        <v>SUR</v>
      </c>
      <c r="M94" t="str">
        <f>VLOOKUP(B94,QUIK!$D:$AL,29,FALSE)</f>
        <v/>
      </c>
      <c r="N94" t="str">
        <f>VLOOKUP(B94,QUIK!$D:$AL,30,FALSE)</f>
        <v/>
      </c>
      <c r="O94">
        <f>VLOOKUP(B94,QUIK!$D:$AL,31,FALSE)</f>
        <v>6</v>
      </c>
      <c r="P94">
        <f>VLOOKUP(B94,QUIK!$D:$AL,4,FALSE)</f>
        <v>1</v>
      </c>
      <c r="Q94" s="113">
        <f t="shared" si="23"/>
        <v>3.0261204978904024E-2</v>
      </c>
      <c r="R94" s="90">
        <f t="shared" si="24"/>
        <v>-3.0261204978904024E-2</v>
      </c>
      <c r="S94" s="113">
        <f t="shared" si="25"/>
        <v>9.4566265559075074E-4</v>
      </c>
      <c r="U94" s="148">
        <f t="shared" si="29"/>
        <v>-32</v>
      </c>
      <c r="V94" s="148">
        <f t="shared" si="26"/>
        <v>-29155.200000000001</v>
      </c>
      <c r="W94" s="148">
        <f t="shared" si="27"/>
        <v>0</v>
      </c>
      <c r="X94" s="148">
        <f t="shared" si="28"/>
        <v>0</v>
      </c>
      <c r="Y94" s="144">
        <f t="shared" si="30"/>
        <v>0</v>
      </c>
    </row>
    <row r="95" spans="1:25">
      <c r="A95" t="s">
        <v>1981</v>
      </c>
      <c r="B95" t="s">
        <v>1981</v>
      </c>
      <c r="C95" t="s">
        <v>1980</v>
      </c>
      <c r="D95" s="123" t="s">
        <v>12257</v>
      </c>
      <c r="F95" s="150" t="str">
        <f>VLOOKUP(B95,QUIK!D:AL,3,FALSE)</f>
        <v>бирж.обл.</v>
      </c>
      <c r="G95" s="150" t="str">
        <f>IF(ISERROR(VLOOKUP(F95,Лист12!$A$23:$A$27,1,FALSE))=FALSE,"Обл","")</f>
        <v>Обл</v>
      </c>
      <c r="H95" s="149">
        <f>IFERROR(VLOOKUP(B95,QUIK_купитьпродать!B:G,6,FALSE),)</f>
        <v>30</v>
      </c>
      <c r="I95" s="149">
        <f>IF(G95="Обл",VLOOKUP(B95,QUIK!C:J,8,FALSE),1)</f>
        <v>1000</v>
      </c>
      <c r="J95">
        <f>VLOOKUP(B95,QUIK!$D:$AL,5,FALSE)</f>
        <v>1</v>
      </c>
      <c r="K95">
        <f>VLOOKUP(B95,QUIK!$D:$AL,9,FALSE)</f>
        <v>90.16</v>
      </c>
      <c r="L95" t="str">
        <f>VLOOKUP(B95,QUIK!$D:$AL,28,FALSE)</f>
        <v>SUR</v>
      </c>
      <c r="M95" t="str">
        <f>VLOOKUP(B95,QUIK!$D:$AL,29,FALSE)</f>
        <v/>
      </c>
      <c r="N95" t="str">
        <f>VLOOKUP(B95,QUIK!$D:$AL,30,FALSE)</f>
        <v/>
      </c>
      <c r="O95">
        <f>VLOOKUP(B95,QUIK!$D:$AL,31,FALSE)</f>
        <v>6</v>
      </c>
      <c r="P95">
        <f>VLOOKUP(B95,QUIK!$D:$AL,4,FALSE)</f>
        <v>1</v>
      </c>
      <c r="Q95" s="113">
        <f t="shared" si="23"/>
        <v>2.8074068168607861E-2</v>
      </c>
      <c r="R95" s="90">
        <f t="shared" si="24"/>
        <v>-2.8074068168607861E-2</v>
      </c>
      <c r="S95" s="113">
        <f t="shared" si="25"/>
        <v>9.358022722869288E-4</v>
      </c>
      <c r="U95" s="148">
        <f>(H95/J95)*-1</f>
        <v>-30</v>
      </c>
      <c r="V95" s="148">
        <f t="shared" si="26"/>
        <v>-27048</v>
      </c>
      <c r="W95" s="148">
        <f t="shared" si="27"/>
        <v>0</v>
      </c>
      <c r="X95" s="148">
        <f t="shared" si="28"/>
        <v>0</v>
      </c>
      <c r="Y95" s="144">
        <f t="shared" si="30"/>
        <v>0</v>
      </c>
    </row>
    <row r="96" spans="1:25">
      <c r="O96" s="113"/>
      <c r="Q96" s="114">
        <f>SUM(Q84:Q95)</f>
        <v>0.47163583416491833</v>
      </c>
      <c r="R96" s="90"/>
      <c r="V96" s="185">
        <f>SUM(V84:V95)</f>
        <v>-454398.2</v>
      </c>
    </row>
    <row r="97" spans="1:17" ht="15.75">
      <c r="A97" s="164" t="s">
        <v>12258</v>
      </c>
      <c r="O97" s="113"/>
    </row>
    <row r="98" spans="1:17">
      <c r="A98" t="s">
        <v>12259</v>
      </c>
      <c r="O98" s="113"/>
    </row>
    <row r="99" spans="1:17">
      <c r="A99" t="s">
        <v>12248</v>
      </c>
      <c r="O99" s="113"/>
    </row>
    <row r="100" spans="1:17" ht="45">
      <c r="A100" s="168" t="s">
        <v>228</v>
      </c>
      <c r="B100" s="168" t="s">
        <v>229</v>
      </c>
      <c r="C100" s="168" t="s">
        <v>1964</v>
      </c>
      <c r="D100" s="168" t="s">
        <v>12256</v>
      </c>
      <c r="E100" s="169" t="s">
        <v>140</v>
      </c>
      <c r="F100" s="176" t="s">
        <v>12243</v>
      </c>
      <c r="G100" s="176" t="s">
        <v>12244</v>
      </c>
      <c r="H100" s="176" t="s">
        <v>12236</v>
      </c>
      <c r="I100" s="177" t="s">
        <v>12242</v>
      </c>
      <c r="J100" s="176" t="s">
        <v>2075</v>
      </c>
      <c r="K100" s="176" t="s">
        <v>2076</v>
      </c>
      <c r="L100" s="176" t="s">
        <v>2090</v>
      </c>
      <c r="M100" s="176" t="s">
        <v>2091</v>
      </c>
      <c r="N100" s="176" t="s">
        <v>2092</v>
      </c>
      <c r="O100" s="177" t="s">
        <v>2094</v>
      </c>
      <c r="P100" s="173" t="s">
        <v>12231</v>
      </c>
      <c r="Q100" s="174" t="s">
        <v>12759</v>
      </c>
    </row>
    <row r="101" spans="1:17" ht="26.25">
      <c r="A101" s="259" t="s">
        <v>1571</v>
      </c>
      <c r="B101" s="167" t="s">
        <v>99</v>
      </c>
      <c r="C101" s="167" t="s">
        <v>188</v>
      </c>
      <c r="D101" s="118"/>
      <c r="E101" s="121">
        <v>0</v>
      </c>
      <c r="F101" s="150" t="s">
        <v>100</v>
      </c>
      <c r="G101" s="153" t="s">
        <v>12751</v>
      </c>
      <c r="H101" s="149">
        <f>IFERROR(VLOOKUP(B101,QUIK_купитьпродать!B:G,6,FALSE),)</f>
        <v>37000</v>
      </c>
      <c r="I101" s="149" t="str">
        <f>IF(ISERROR(VLOOKUP(F101,Лист12!$A$23:$A$27,1,FALSE))=FALSE,VLOOKUP(B101,QUIK!C:J,8,FALSE),"")</f>
        <v/>
      </c>
      <c r="J101">
        <f>VLOOKUP(B101,QUIK!$D:$AL,5,FALSE)</f>
        <v>1</v>
      </c>
      <c r="K101">
        <f>VLOOKUP(B101,QUIK!$D:$AL,9,FALSE)</f>
        <v>1.5396000000000001</v>
      </c>
      <c r="L101" t="str">
        <f>VLOOKUP(B101,QUIK!$D:$AL,28,FALSE)</f>
        <v>SUR</v>
      </c>
      <c r="M101">
        <f>VLOOKUP(B101,QUIK!$D:$AL,31,FALSE)</f>
        <v>-100</v>
      </c>
      <c r="N101" t="str">
        <f>VLOOKUP(B101,QUIK!$D:$AL,30,FALSE)</f>
        <v/>
      </c>
      <c r="O101">
        <f>VLOOKUP(B101,QUIK!$D:$AL,4,FALSE)</f>
        <v>1</v>
      </c>
      <c r="P101" s="113">
        <f>IFERROR(VLOOKUP(B101,$A$7:$F$34,5,FALSE)/$E$3,"")</f>
        <v>5.9126179681986871E-2</v>
      </c>
      <c r="Q101" s="183">
        <f>H101*K101</f>
        <v>56965.200000000004</v>
      </c>
    </row>
    <row r="102" spans="1:17">
      <c r="A102" s="117"/>
      <c r="B102" s="117" t="s">
        <v>94</v>
      </c>
      <c r="C102" s="117" t="s">
        <v>95</v>
      </c>
      <c r="D102" s="118"/>
      <c r="E102" s="119">
        <v>0</v>
      </c>
      <c r="F102" s="150" t="s">
        <v>12749</v>
      </c>
      <c r="G102" s="149" t="s">
        <v>12750</v>
      </c>
      <c r="H102" s="149">
        <f>IFERROR(VLOOKUP(B102,QUIK_купитьпродать!B:G,6,FALSE),)</f>
        <v>0</v>
      </c>
      <c r="I102" s="149" t="str">
        <f>IF(ISERROR(VLOOKUP(F102,Лист12!$A$23:$A$27,1,FALSE))=FALSE,VLOOKUP(B102,QUIK!C:J,8,FALSE),"")</f>
        <v/>
      </c>
      <c r="P102" s="113">
        <f>IFERROR(VLOOKUP(B102,$A$7:$F$34,5,FALSE)/$E$3,"")</f>
        <v>3.6521718028763241E-3</v>
      </c>
      <c r="Q102" s="147">
        <f>VLOOKUP(B102,A7:E34,5,FALSE)</f>
        <v>3518.69</v>
      </c>
    </row>
    <row r="105" spans="1:17" ht="21">
      <c r="A105" s="166" t="s">
        <v>12989</v>
      </c>
    </row>
    <row r="107" spans="1:17" ht="27">
      <c r="B107" s="182" t="s">
        <v>12757</v>
      </c>
      <c r="C107" s="147">
        <f>SUM(U46:U62)+SUM(V67:V77)</f>
        <v>444602.26000000007</v>
      </c>
    </row>
    <row r="108" spans="1:17" ht="51" customHeight="1">
      <c r="B108" s="182" t="s">
        <v>12232</v>
      </c>
      <c r="C108" s="147">
        <f>SUM(V84:V95)</f>
        <v>-454398.2</v>
      </c>
    </row>
    <row r="109" spans="1:17">
      <c r="A109" t="s">
        <v>12761</v>
      </c>
      <c r="B109" t="s">
        <v>12234</v>
      </c>
      <c r="C109" s="145">
        <f>(C107+C108)*-1</f>
        <v>9795.9399999999441</v>
      </c>
      <c r="D109" s="184" t="str">
        <f>IF(C109&lt;0,"Не хватает!","Средств достаточно")</f>
        <v>Средств достаточно</v>
      </c>
    </row>
    <row r="110" spans="1:17">
      <c r="B110" t="s">
        <v>12760</v>
      </c>
      <c r="C110" s="145">
        <f>Q102</f>
        <v>3518.69</v>
      </c>
    </row>
    <row r="111" spans="1:17">
      <c r="A111" t="s">
        <v>12762</v>
      </c>
      <c r="B111" t="s">
        <v>12234</v>
      </c>
      <c r="C111" s="145">
        <f>C110+C109</f>
        <v>13314.629999999945</v>
      </c>
      <c r="D111" s="184" t="str">
        <f>IF(C111&lt;0,"Не хватает!","Средств достаточно")</f>
        <v>Средств достаточно</v>
      </c>
    </row>
    <row r="112" spans="1:17">
      <c r="B112" t="s">
        <v>12758</v>
      </c>
      <c r="C112" s="145">
        <f>SUMIF(F101:F102,"Ликвидность",Q101:Q102)</f>
        <v>56965.200000000004</v>
      </c>
    </row>
    <row r="113" spans="1:11">
      <c r="A113" t="s">
        <v>12763</v>
      </c>
      <c r="B113" t="s">
        <v>12234</v>
      </c>
      <c r="C113" s="145">
        <f>C112+C111</f>
        <v>70279.829999999944</v>
      </c>
      <c r="D113" s="184" t="str">
        <f>IF(C113&lt;0,"Не хватает!","Средств достаточно")</f>
        <v>Средств достаточно</v>
      </c>
    </row>
    <row r="115" spans="1:11">
      <c r="B115" t="s">
        <v>12764</v>
      </c>
    </row>
    <row r="118" spans="1:11" ht="21">
      <c r="A118" s="166" t="s">
        <v>13019</v>
      </c>
    </row>
    <row r="119" spans="1:11">
      <c r="A119" s="291" t="s">
        <v>13034</v>
      </c>
    </row>
    <row r="121" spans="1:11" ht="39" customHeight="1">
      <c r="A121" s="261" t="s">
        <v>13012</v>
      </c>
      <c r="B121" s="261" t="s">
        <v>13008</v>
      </c>
      <c r="C121" s="261" t="s">
        <v>13010</v>
      </c>
      <c r="D121" s="261" t="s">
        <v>228</v>
      </c>
      <c r="E121" s="261" t="s">
        <v>13009</v>
      </c>
      <c r="F121" s="261" t="s">
        <v>13016</v>
      </c>
      <c r="G121" s="261" t="s">
        <v>13017</v>
      </c>
      <c r="H121" s="269" t="s">
        <v>13018</v>
      </c>
      <c r="I121" s="269" t="s">
        <v>13013</v>
      </c>
      <c r="J121" s="269" t="s">
        <v>13014</v>
      </c>
      <c r="K121" s="261" t="s">
        <v>13011</v>
      </c>
    </row>
    <row r="122" spans="1:11">
      <c r="A122" s="3" t="s">
        <v>13015</v>
      </c>
      <c r="B122" s="270" t="str">
        <f t="shared" ref="B122:B133" si="31">G84</f>
        <v>Акции</v>
      </c>
      <c r="C122" s="267" t="str">
        <f t="shared" ref="C122:C133" si="32">F84</f>
        <v>ап</v>
      </c>
      <c r="D122" s="3" t="str">
        <f t="shared" ref="D122:D133" si="33">A84</f>
        <v>RU0007976965</v>
      </c>
      <c r="E122" s="3" t="str">
        <f t="shared" ref="E122:E133" si="34">C84</f>
        <v>Башнефт ап</v>
      </c>
      <c r="F122" s="268">
        <f t="shared" ref="F122:F133" si="35">ABS(U84)</f>
        <v>50</v>
      </c>
      <c r="G122" s="3">
        <f t="shared" ref="G122:G133" si="36">K84</f>
        <v>1084</v>
      </c>
      <c r="H122" s="268">
        <f>ABS(V84)</f>
        <v>54200</v>
      </c>
      <c r="I122" s="3"/>
      <c r="J122" s="3" t="str">
        <f>M84</f>
        <v/>
      </c>
      <c r="K122" s="3"/>
    </row>
    <row r="123" spans="1:11">
      <c r="A123" s="3" t="s">
        <v>13015</v>
      </c>
      <c r="B123" s="270" t="str">
        <f t="shared" si="31"/>
        <v>Акции</v>
      </c>
      <c r="C123" s="267" t="str">
        <f t="shared" si="32"/>
        <v>ао</v>
      </c>
      <c r="D123" s="3" t="str">
        <f t="shared" si="33"/>
        <v>RU000A106YF0</v>
      </c>
      <c r="E123" s="3" t="str">
        <f t="shared" si="34"/>
        <v>МКПАО "ВК"</v>
      </c>
      <c r="F123" s="268">
        <f t="shared" si="35"/>
        <v>50</v>
      </c>
      <c r="G123" s="3">
        <f t="shared" si="36"/>
        <v>255</v>
      </c>
      <c r="H123" s="268">
        <f t="shared" ref="H123:H133" si="37">ABS(V85)</f>
        <v>12750</v>
      </c>
      <c r="I123" s="3"/>
      <c r="J123" s="3" t="str">
        <f t="shared" ref="J123:J133" si="38">M85</f>
        <v/>
      </c>
      <c r="K123" s="3"/>
    </row>
    <row r="124" spans="1:11">
      <c r="A124" s="3" t="s">
        <v>13015</v>
      </c>
      <c r="B124" s="270" t="str">
        <f t="shared" si="31"/>
        <v>Акции</v>
      </c>
      <c r="C124" s="267" t="str">
        <f t="shared" si="32"/>
        <v>ао</v>
      </c>
      <c r="D124" s="3" t="str">
        <f t="shared" si="33"/>
        <v>RU000A0HL5M1</v>
      </c>
      <c r="E124" s="3" t="str">
        <f t="shared" si="34"/>
        <v>НоваБев ао</v>
      </c>
      <c r="F124" s="268">
        <f t="shared" si="35"/>
        <v>12</v>
      </c>
      <c r="G124" s="3">
        <f t="shared" si="36"/>
        <v>580</v>
      </c>
      <c r="H124" s="268">
        <f t="shared" si="37"/>
        <v>6960</v>
      </c>
      <c r="I124" s="3"/>
      <c r="J124" s="3" t="str">
        <f t="shared" si="38"/>
        <v/>
      </c>
      <c r="K124" s="3"/>
    </row>
    <row r="125" spans="1:11">
      <c r="A125" s="3" t="s">
        <v>13015</v>
      </c>
      <c r="B125" s="270" t="str">
        <f t="shared" si="31"/>
        <v>Акции</v>
      </c>
      <c r="C125" s="267" t="str">
        <f t="shared" si="32"/>
        <v>ао</v>
      </c>
      <c r="D125" s="3" t="str">
        <f t="shared" si="33"/>
        <v>RU0008943394</v>
      </c>
      <c r="E125" s="3" t="str">
        <f t="shared" si="34"/>
        <v>Ростел -ао</v>
      </c>
      <c r="F125" s="268">
        <f t="shared" si="35"/>
        <v>10</v>
      </c>
      <c r="G125" s="3">
        <f t="shared" si="36"/>
        <v>52.67</v>
      </c>
      <c r="H125" s="268">
        <f t="shared" si="37"/>
        <v>5267</v>
      </c>
      <c r="I125" s="3"/>
      <c r="J125" s="3" t="str">
        <f t="shared" si="38"/>
        <v/>
      </c>
      <c r="K125" s="3"/>
    </row>
    <row r="126" spans="1:11">
      <c r="A126" s="3" t="s">
        <v>13015</v>
      </c>
      <c r="B126" s="270" t="str">
        <f t="shared" si="31"/>
        <v>Акции</v>
      </c>
      <c r="C126" s="267" t="str">
        <f t="shared" si="32"/>
        <v>ао</v>
      </c>
      <c r="D126" s="3" t="str">
        <f t="shared" si="33"/>
        <v>RU000A0ET7Y7</v>
      </c>
      <c r="E126" s="3" t="str">
        <f t="shared" si="34"/>
        <v>РСетиМР ао</v>
      </c>
      <c r="F126" s="268">
        <f t="shared" si="35"/>
        <v>10</v>
      </c>
      <c r="G126" s="3">
        <f t="shared" si="36"/>
        <v>1.0745</v>
      </c>
      <c r="H126" s="268">
        <f t="shared" si="37"/>
        <v>10745</v>
      </c>
      <c r="I126" s="3"/>
      <c r="J126" s="3" t="str">
        <f t="shared" si="38"/>
        <v/>
      </c>
      <c r="K126" s="3"/>
    </row>
    <row r="127" spans="1:11">
      <c r="A127" s="3" t="s">
        <v>13015</v>
      </c>
      <c r="B127" s="270" t="str">
        <f t="shared" si="31"/>
        <v>Акции</v>
      </c>
      <c r="C127" s="267" t="str">
        <f t="shared" si="32"/>
        <v>ао</v>
      </c>
      <c r="D127" s="3" t="str">
        <f t="shared" si="33"/>
        <v>RU000A0JPN96</v>
      </c>
      <c r="E127" s="3" t="str">
        <f t="shared" si="34"/>
        <v>РСетиЦП ао</v>
      </c>
      <c r="F127" s="268">
        <f t="shared" si="35"/>
        <v>23</v>
      </c>
      <c r="G127" s="3">
        <f t="shared" si="36"/>
        <v>0.32429999999999998</v>
      </c>
      <c r="H127" s="268">
        <f t="shared" si="37"/>
        <v>74589</v>
      </c>
      <c r="I127" s="3"/>
      <c r="J127" s="3" t="str">
        <f t="shared" si="38"/>
        <v/>
      </c>
      <c r="K127" s="3"/>
    </row>
    <row r="128" spans="1:11">
      <c r="A128" s="3" t="s">
        <v>13015</v>
      </c>
      <c r="B128" s="270" t="str">
        <f t="shared" si="31"/>
        <v>Акции</v>
      </c>
      <c r="C128" s="267" t="str">
        <f t="shared" si="32"/>
        <v>ао</v>
      </c>
      <c r="D128" s="3" t="str">
        <f t="shared" si="33"/>
        <v>RU0009029540</v>
      </c>
      <c r="E128" s="3" t="str">
        <f t="shared" si="34"/>
        <v>Сбербанк</v>
      </c>
      <c r="F128" s="268">
        <f t="shared" si="35"/>
        <v>40</v>
      </c>
      <c r="G128" s="3">
        <f t="shared" si="36"/>
        <v>228.11</v>
      </c>
      <c r="H128" s="268">
        <f t="shared" si="37"/>
        <v>91244</v>
      </c>
      <c r="I128" s="3"/>
      <c r="J128" s="3" t="str">
        <f t="shared" si="38"/>
        <v/>
      </c>
      <c r="K128" s="3"/>
    </row>
    <row r="129" spans="1:11">
      <c r="A129" s="3" t="s">
        <v>13015</v>
      </c>
      <c r="B129" s="270" t="str">
        <f t="shared" si="31"/>
        <v>Акции</v>
      </c>
      <c r="C129" s="267" t="str">
        <f t="shared" si="32"/>
        <v>ап</v>
      </c>
      <c r="D129" s="3" t="str">
        <f t="shared" si="33"/>
        <v>RU0009029557</v>
      </c>
      <c r="E129" s="3" t="str">
        <f t="shared" si="34"/>
        <v>Сбербанк-п</v>
      </c>
      <c r="F129" s="268">
        <f t="shared" si="35"/>
        <v>30</v>
      </c>
      <c r="G129" s="3">
        <f t="shared" si="36"/>
        <v>228.35</v>
      </c>
      <c r="H129" s="268">
        <f t="shared" si="37"/>
        <v>68505</v>
      </c>
      <c r="I129" s="3"/>
      <c r="J129" s="3" t="str">
        <f t="shared" si="38"/>
        <v/>
      </c>
      <c r="K129" s="3"/>
    </row>
    <row r="130" spans="1:11">
      <c r="A130" s="3" t="s">
        <v>13015</v>
      </c>
      <c r="B130" s="270" t="str">
        <f t="shared" si="31"/>
        <v>Акции</v>
      </c>
      <c r="C130" s="267" t="str">
        <f t="shared" si="32"/>
        <v>ао</v>
      </c>
      <c r="D130" s="3" t="str">
        <f t="shared" si="33"/>
        <v>RU0009033591</v>
      </c>
      <c r="E130" s="3" t="str">
        <f t="shared" si="34"/>
        <v>Татнфт 3ао</v>
      </c>
      <c r="F130" s="268">
        <f t="shared" si="35"/>
        <v>50</v>
      </c>
      <c r="G130" s="3">
        <f t="shared" si="36"/>
        <v>532.9</v>
      </c>
      <c r="H130" s="268">
        <f t="shared" si="37"/>
        <v>26645</v>
      </c>
      <c r="I130" s="3"/>
      <c r="J130" s="3" t="str">
        <f t="shared" si="38"/>
        <v/>
      </c>
      <c r="K130" s="3"/>
    </row>
    <row r="131" spans="1:11">
      <c r="A131" s="3" t="s">
        <v>13015</v>
      </c>
      <c r="B131" s="270" t="str">
        <f t="shared" si="31"/>
        <v>Обл</v>
      </c>
      <c r="C131" s="267" t="str">
        <f t="shared" si="32"/>
        <v>бирж.обл.</v>
      </c>
      <c r="D131" s="3" t="str">
        <f t="shared" si="33"/>
        <v>RU000A106F40</v>
      </c>
      <c r="E131" s="3" t="str">
        <f t="shared" si="34"/>
        <v>Европлн1Р6</v>
      </c>
      <c r="F131" s="268">
        <f t="shared" si="35"/>
        <v>50</v>
      </c>
      <c r="G131" s="3">
        <f t="shared" si="36"/>
        <v>94.58</v>
      </c>
      <c r="H131" s="268">
        <f t="shared" si="37"/>
        <v>47290</v>
      </c>
      <c r="I131" s="3"/>
      <c r="J131" s="3" t="str">
        <f t="shared" si="38"/>
        <v/>
      </c>
      <c r="K131" s="3"/>
    </row>
    <row r="132" spans="1:11">
      <c r="A132" s="3" t="s">
        <v>13015</v>
      </c>
      <c r="B132" s="270" t="str">
        <f t="shared" si="31"/>
        <v>Обл</v>
      </c>
      <c r="C132" s="267" t="str">
        <f t="shared" si="32"/>
        <v>бирж.обл.</v>
      </c>
      <c r="D132" s="3" t="str">
        <f t="shared" si="33"/>
        <v>RU000A102GU5</v>
      </c>
      <c r="E132" s="3" t="str">
        <f t="shared" si="34"/>
        <v>НоваБевБП4</v>
      </c>
      <c r="F132" s="268">
        <f t="shared" si="35"/>
        <v>32</v>
      </c>
      <c r="G132" s="3">
        <f t="shared" si="36"/>
        <v>91.11</v>
      </c>
      <c r="H132" s="268">
        <f t="shared" si="37"/>
        <v>29155.200000000001</v>
      </c>
      <c r="I132" s="3"/>
      <c r="J132" s="3" t="str">
        <f t="shared" si="38"/>
        <v/>
      </c>
      <c r="K132" s="3"/>
    </row>
    <row r="133" spans="1:11">
      <c r="A133" s="3" t="s">
        <v>13015</v>
      </c>
      <c r="B133" s="270" t="str">
        <f t="shared" si="31"/>
        <v>Обл</v>
      </c>
      <c r="C133" s="267" t="str">
        <f t="shared" si="32"/>
        <v>бирж.обл.</v>
      </c>
      <c r="D133" s="3" t="str">
        <f t="shared" si="33"/>
        <v>RU000A104YT6</v>
      </c>
      <c r="E133" s="3" t="str">
        <f t="shared" si="34"/>
        <v>СамолетP12</v>
      </c>
      <c r="F133" s="268">
        <f t="shared" si="35"/>
        <v>30</v>
      </c>
      <c r="G133" s="3">
        <f t="shared" si="36"/>
        <v>90.16</v>
      </c>
      <c r="H133" s="268">
        <f t="shared" si="37"/>
        <v>27048</v>
      </c>
      <c r="I133" s="3"/>
      <c r="J133" s="3" t="str">
        <f t="shared" si="38"/>
        <v/>
      </c>
      <c r="K133" s="3"/>
    </row>
    <row r="134" spans="1:11">
      <c r="A134" s="3" t="str">
        <f t="shared" ref="A134:A140" si="39">Y46</f>
        <v>Продажа</v>
      </c>
      <c r="B134" s="270" t="str">
        <f t="shared" ref="B134:B140" si="40">G46</f>
        <v>Акции</v>
      </c>
      <c r="C134" s="267" t="str">
        <f t="shared" ref="C134:C140" si="41">F46</f>
        <v>ао</v>
      </c>
      <c r="D134" s="3" t="str">
        <f t="shared" ref="D134:D140" si="42">A46</f>
        <v>RU0009024277</v>
      </c>
      <c r="E134" s="3" t="str">
        <f t="shared" ref="E134:E140" si="43">C46</f>
        <v>ЛУКОЙЛ</v>
      </c>
      <c r="F134" s="268">
        <f t="shared" ref="F134:F140" si="44">ABS(T46)</f>
        <v>4</v>
      </c>
      <c r="G134" s="3">
        <f t="shared" ref="G134:G140" si="45">J46</f>
        <v>6748.5</v>
      </c>
      <c r="H134" s="268">
        <f t="shared" ref="H134:H140" si="46">ABS(U46)</f>
        <v>26994</v>
      </c>
      <c r="I134" s="3"/>
      <c r="J134" s="3" t="str">
        <f t="shared" ref="J134:J140" si="47">L46</f>
        <v/>
      </c>
      <c r="K134" s="3"/>
    </row>
    <row r="135" spans="1:11">
      <c r="A135" s="3" t="str">
        <f t="shared" si="39"/>
        <v>Покупка</v>
      </c>
      <c r="B135" s="270" t="str">
        <f t="shared" si="40"/>
        <v>Акции</v>
      </c>
      <c r="C135" s="267" t="str">
        <f t="shared" si="41"/>
        <v>др</v>
      </c>
      <c r="D135" s="3" t="str">
        <f t="shared" si="42"/>
        <v>US69269L1044</v>
      </c>
      <c r="E135" s="3" t="str">
        <f t="shared" si="43"/>
        <v>OZON-адр</v>
      </c>
      <c r="F135" s="268">
        <f t="shared" si="44"/>
        <v>8</v>
      </c>
      <c r="G135" s="3">
        <f t="shared" si="45"/>
        <v>2719.5</v>
      </c>
      <c r="H135" s="268">
        <f t="shared" si="46"/>
        <v>21756</v>
      </c>
      <c r="I135" s="3"/>
      <c r="J135" s="3" t="str">
        <f t="shared" si="47"/>
        <v/>
      </c>
      <c r="K135" s="3"/>
    </row>
    <row r="136" spans="1:11">
      <c r="A136" s="3" t="str">
        <f t="shared" si="39"/>
        <v>Покупка</v>
      </c>
      <c r="B136" s="270" t="str">
        <f t="shared" si="40"/>
        <v>Акции</v>
      </c>
      <c r="C136" s="267" t="str">
        <f t="shared" si="41"/>
        <v>ао</v>
      </c>
      <c r="D136" s="3" t="str">
        <f t="shared" si="42"/>
        <v>RU000A103X66</v>
      </c>
      <c r="E136" s="3" t="str">
        <f t="shared" si="43"/>
        <v>iПозитив</v>
      </c>
      <c r="F136" s="268">
        <f t="shared" si="44"/>
        <v>7</v>
      </c>
      <c r="G136" s="3">
        <f t="shared" si="45"/>
        <v>1798.6</v>
      </c>
      <c r="H136" s="268">
        <f t="shared" si="46"/>
        <v>12590.199999999999</v>
      </c>
      <c r="I136" s="3"/>
      <c r="J136" s="3" t="str">
        <f t="shared" si="47"/>
        <v/>
      </c>
      <c r="K136" s="3"/>
    </row>
    <row r="137" spans="1:11">
      <c r="A137" s="3" t="str">
        <f t="shared" si="39"/>
        <v>Покупка</v>
      </c>
      <c r="B137" s="270" t="str">
        <f t="shared" si="40"/>
        <v>Акции</v>
      </c>
      <c r="C137" s="267" t="str">
        <f t="shared" si="41"/>
        <v>ап</v>
      </c>
      <c r="D137" s="3" t="str">
        <f t="shared" si="42"/>
        <v>RU0009029524</v>
      </c>
      <c r="E137" s="3" t="str">
        <f t="shared" si="43"/>
        <v>Сургнфгз-п</v>
      </c>
      <c r="F137" s="268">
        <f t="shared" si="44"/>
        <v>18</v>
      </c>
      <c r="G137" s="3">
        <f t="shared" si="45"/>
        <v>55.975000000000001</v>
      </c>
      <c r="H137" s="268">
        <f t="shared" si="46"/>
        <v>10075.5</v>
      </c>
      <c r="I137" s="3"/>
      <c r="J137" s="3" t="str">
        <f t="shared" si="47"/>
        <v/>
      </c>
      <c r="K137" s="3"/>
    </row>
    <row r="138" spans="1:11">
      <c r="A138" s="3" t="str">
        <f t="shared" si="39"/>
        <v>Покупка</v>
      </c>
      <c r="B138" s="270" t="str">
        <f t="shared" si="40"/>
        <v>Акции</v>
      </c>
      <c r="C138" s="267" t="str">
        <f t="shared" si="41"/>
        <v>ао</v>
      </c>
      <c r="D138" s="3" t="str">
        <f t="shared" si="42"/>
        <v>RU000A107UL4</v>
      </c>
      <c r="E138" s="3" t="str">
        <f t="shared" si="43"/>
        <v>ТКСХолд ао</v>
      </c>
      <c r="F138" s="268">
        <f t="shared" si="44"/>
        <v>1</v>
      </c>
      <c r="G138" s="3">
        <f t="shared" si="45"/>
        <v>2348</v>
      </c>
      <c r="H138" s="268">
        <f t="shared" si="46"/>
        <v>2348</v>
      </c>
      <c r="I138" s="3"/>
      <c r="J138" s="3" t="str">
        <f t="shared" si="47"/>
        <v/>
      </c>
      <c r="K138" s="3"/>
    </row>
    <row r="139" spans="1:11">
      <c r="A139" s="3" t="str">
        <f t="shared" si="39"/>
        <v>Покупка</v>
      </c>
      <c r="B139" s="270" t="str">
        <f t="shared" si="40"/>
        <v>Акции</v>
      </c>
      <c r="C139" s="267" t="str">
        <f t="shared" si="41"/>
        <v>ап</v>
      </c>
      <c r="D139" s="3" t="str">
        <f t="shared" si="42"/>
        <v>RU0009091573</v>
      </c>
      <c r="E139" s="3" t="str">
        <f t="shared" si="43"/>
        <v>Транснф ап</v>
      </c>
      <c r="F139" s="268">
        <f t="shared" si="44"/>
        <v>4</v>
      </c>
      <c r="G139" s="3">
        <f t="shared" si="45"/>
        <v>944.5</v>
      </c>
      <c r="H139" s="268">
        <f t="shared" si="46"/>
        <v>3778</v>
      </c>
      <c r="I139" s="3"/>
      <c r="J139" s="3" t="str">
        <f t="shared" si="47"/>
        <v/>
      </c>
      <c r="K139" s="3"/>
    </row>
    <row r="140" spans="1:11">
      <c r="A140" s="3" t="str">
        <f t="shared" si="39"/>
        <v>Продажа</v>
      </c>
      <c r="B140" s="270" t="str">
        <f t="shared" si="40"/>
        <v>Акции</v>
      </c>
      <c r="C140" s="267" t="str">
        <f t="shared" si="41"/>
        <v>ао</v>
      </c>
      <c r="D140" s="3" t="str">
        <f t="shared" si="42"/>
        <v>RU000A107T19</v>
      </c>
      <c r="E140" s="3" t="str">
        <f t="shared" si="43"/>
        <v>ЯНДЕКС</v>
      </c>
      <c r="F140" s="268">
        <f t="shared" si="44"/>
        <v>16</v>
      </c>
      <c r="G140" s="3">
        <f t="shared" si="45"/>
        <v>3330.5</v>
      </c>
      <c r="H140" s="268">
        <f t="shared" si="46"/>
        <v>53288</v>
      </c>
      <c r="I140" s="3"/>
      <c r="J140" s="3" t="str">
        <f t="shared" si="47"/>
        <v/>
      </c>
      <c r="K140" s="3"/>
    </row>
    <row r="141" spans="1:11">
      <c r="A141" s="3" t="str">
        <f t="shared" ref="A141:A149" si="48">Y54</f>
        <v>Покупка</v>
      </c>
      <c r="B141" s="270" t="str">
        <f t="shared" ref="B141:B149" si="49">G54</f>
        <v>Акции</v>
      </c>
      <c r="C141" s="267" t="str">
        <f t="shared" ref="C141:C149" si="50">F54</f>
        <v>ао</v>
      </c>
      <c r="D141" s="3" t="str">
        <f t="shared" ref="D141:D149" si="51">A54</f>
        <v>RU000A0ZZAC4</v>
      </c>
      <c r="E141" s="3" t="str">
        <f t="shared" ref="E141:E149" si="52">C54</f>
        <v>Совкомбанк</v>
      </c>
      <c r="F141" s="268">
        <f t="shared" ref="F141:F149" si="53">ABS(T54)</f>
        <v>9</v>
      </c>
      <c r="G141" s="3">
        <f t="shared" ref="G141:G149" si="54">J54</f>
        <v>12.58</v>
      </c>
      <c r="H141" s="268">
        <f t="shared" ref="H141:H149" si="55">ABS(U54)</f>
        <v>11322</v>
      </c>
      <c r="I141" s="3"/>
      <c r="J141" s="3" t="str">
        <f t="shared" ref="J141:J149" si="56">L54</f>
        <v/>
      </c>
      <c r="K141" s="3"/>
    </row>
    <row r="142" spans="1:11">
      <c r="A142" s="3" t="str">
        <f t="shared" si="48"/>
        <v>Продажа</v>
      </c>
      <c r="B142" s="270" t="str">
        <f t="shared" si="49"/>
        <v>Акции</v>
      </c>
      <c r="C142" s="267" t="str">
        <f t="shared" si="50"/>
        <v>ао</v>
      </c>
      <c r="D142" s="3" t="str">
        <f t="shared" si="51"/>
        <v>RU000A107662</v>
      </c>
      <c r="E142" s="3" t="str">
        <f t="shared" si="52"/>
        <v>Хэдхантер</v>
      </c>
      <c r="F142" s="268">
        <f t="shared" si="53"/>
        <v>1</v>
      </c>
      <c r="G142" s="3">
        <f t="shared" si="54"/>
        <v>4200</v>
      </c>
      <c r="H142" s="268">
        <f t="shared" si="55"/>
        <v>4200</v>
      </c>
      <c r="I142" s="3"/>
      <c r="J142" s="3" t="str">
        <f t="shared" si="56"/>
        <v/>
      </c>
      <c r="K142" s="3"/>
    </row>
    <row r="143" spans="1:11">
      <c r="A143" s="3" t="str">
        <f t="shared" si="48"/>
        <v>Покупка</v>
      </c>
      <c r="B143" s="270" t="str">
        <f t="shared" si="49"/>
        <v>Акции</v>
      </c>
      <c r="C143" s="267" t="str">
        <f t="shared" si="50"/>
        <v>ап</v>
      </c>
      <c r="D143" s="3" t="str">
        <f t="shared" si="51"/>
        <v>RU0006944147</v>
      </c>
      <c r="E143" s="3" t="str">
        <f t="shared" si="52"/>
        <v>Татнфт 3ап</v>
      </c>
      <c r="F143" s="268">
        <f t="shared" si="53"/>
        <v>45</v>
      </c>
      <c r="G143" s="3">
        <f t="shared" si="54"/>
        <v>531.29999999999995</v>
      </c>
      <c r="H143" s="268">
        <f t="shared" si="55"/>
        <v>23908.499999999996</v>
      </c>
      <c r="I143" s="3"/>
      <c r="J143" s="3" t="str">
        <f t="shared" si="56"/>
        <v/>
      </c>
      <c r="K143" s="3"/>
    </row>
    <row r="144" spans="1:11">
      <c r="A144" s="3" t="str">
        <f t="shared" si="48"/>
        <v>Покупка</v>
      </c>
      <c r="B144" s="270" t="str">
        <f t="shared" si="49"/>
        <v>Акции</v>
      </c>
      <c r="C144" s="267" t="str">
        <f t="shared" si="50"/>
        <v>ао</v>
      </c>
      <c r="D144" s="3" t="str">
        <f t="shared" si="51"/>
        <v>RU000A106T36</v>
      </c>
      <c r="E144" s="3" t="str">
        <f t="shared" si="52"/>
        <v>Астра ао</v>
      </c>
      <c r="F144" s="268">
        <f t="shared" si="53"/>
        <v>49</v>
      </c>
      <c r="G144" s="3">
        <f t="shared" si="54"/>
        <v>434.65</v>
      </c>
      <c r="H144" s="268">
        <f t="shared" si="55"/>
        <v>21297.85</v>
      </c>
      <c r="I144" s="3"/>
      <c r="J144" s="3" t="str">
        <f t="shared" si="56"/>
        <v/>
      </c>
      <c r="K144" s="3"/>
    </row>
    <row r="145" spans="1:11">
      <c r="A145" s="3" t="str">
        <f t="shared" si="48"/>
        <v>Покупка</v>
      </c>
      <c r="B145" s="270" t="str">
        <f t="shared" si="49"/>
        <v>Акции</v>
      </c>
      <c r="C145" s="267" t="str">
        <f t="shared" si="50"/>
        <v>ао</v>
      </c>
      <c r="D145" s="3" t="str">
        <f t="shared" si="51"/>
        <v>RU0009062467</v>
      </c>
      <c r="E145" s="3" t="str">
        <f t="shared" si="52"/>
        <v>Газпрнефть</v>
      </c>
      <c r="F145" s="268">
        <f t="shared" si="53"/>
        <v>4</v>
      </c>
      <c r="G145" s="3">
        <f t="shared" si="54"/>
        <v>542.9</v>
      </c>
      <c r="H145" s="268">
        <f t="shared" si="55"/>
        <v>2171.6</v>
      </c>
      <c r="I145" s="3"/>
      <c r="J145" s="3" t="str">
        <f t="shared" si="56"/>
        <v/>
      </c>
      <c r="K145" s="3"/>
    </row>
    <row r="146" spans="1:11">
      <c r="A146" s="3" t="str">
        <f t="shared" si="48"/>
        <v>Продажа</v>
      </c>
      <c r="B146" s="270" t="str">
        <f t="shared" si="49"/>
        <v>Акции</v>
      </c>
      <c r="C146" s="267" t="str">
        <f t="shared" si="50"/>
        <v>ао</v>
      </c>
      <c r="D146" s="3" t="str">
        <f t="shared" si="51"/>
        <v>RU000A108KL3</v>
      </c>
      <c r="E146" s="3" t="str">
        <f t="shared" si="52"/>
        <v>MDMG-ао</v>
      </c>
      <c r="F146" s="268">
        <f t="shared" si="53"/>
        <v>7</v>
      </c>
      <c r="G146" s="3">
        <f t="shared" si="54"/>
        <v>845.2</v>
      </c>
      <c r="H146" s="268">
        <f t="shared" si="55"/>
        <v>5916.4000000000005</v>
      </c>
      <c r="I146" s="3"/>
      <c r="J146" s="3" t="str">
        <f t="shared" si="56"/>
        <v/>
      </c>
      <c r="K146" s="3"/>
    </row>
    <row r="147" spans="1:11">
      <c r="A147" s="3" t="str">
        <f t="shared" si="48"/>
        <v>Продажа</v>
      </c>
      <c r="B147" s="270" t="str">
        <f t="shared" si="49"/>
        <v>Акции</v>
      </c>
      <c r="C147" s="267" t="str">
        <f t="shared" si="50"/>
        <v>ао</v>
      </c>
      <c r="D147" s="3" t="str">
        <f t="shared" si="51"/>
        <v>RU0009100945</v>
      </c>
      <c r="E147" s="3" t="str">
        <f t="shared" si="52"/>
        <v>БСП ао</v>
      </c>
      <c r="F147" s="268">
        <f t="shared" si="53"/>
        <v>8</v>
      </c>
      <c r="G147" s="3">
        <f t="shared" si="54"/>
        <v>306.87</v>
      </c>
      <c r="H147" s="268">
        <f t="shared" si="55"/>
        <v>24549.599999999999</v>
      </c>
      <c r="I147" s="3"/>
      <c r="J147" s="3" t="str">
        <f t="shared" si="56"/>
        <v/>
      </c>
      <c r="K147" s="3"/>
    </row>
    <row r="148" spans="1:11">
      <c r="A148" s="3" t="str">
        <f t="shared" si="48"/>
        <v>Покупка</v>
      </c>
      <c r="B148" s="270" t="str">
        <f t="shared" si="49"/>
        <v>Акции</v>
      </c>
      <c r="C148" s="267" t="str">
        <f t="shared" si="50"/>
        <v>ао</v>
      </c>
      <c r="D148" s="3" t="str">
        <f t="shared" si="51"/>
        <v>RU000A0JPNM1</v>
      </c>
      <c r="E148" s="3" t="str">
        <f t="shared" si="52"/>
        <v>ИнтерРАОао</v>
      </c>
      <c r="F148" s="268">
        <f t="shared" si="53"/>
        <v>15</v>
      </c>
      <c r="G148" s="3">
        <f t="shared" si="54"/>
        <v>3.6920000000000002</v>
      </c>
      <c r="H148" s="268">
        <f t="shared" si="55"/>
        <v>5538</v>
      </c>
      <c r="I148" s="3"/>
      <c r="J148" s="3" t="str">
        <f t="shared" si="56"/>
        <v/>
      </c>
      <c r="K148" s="3"/>
    </row>
    <row r="149" spans="1:11">
      <c r="A149" s="3" t="str">
        <f t="shared" si="48"/>
        <v>Покупка</v>
      </c>
      <c r="B149" s="270" t="str">
        <f t="shared" si="49"/>
        <v>Акции</v>
      </c>
      <c r="C149" s="267" t="str">
        <f t="shared" si="50"/>
        <v>ао</v>
      </c>
      <c r="D149" s="3" t="str">
        <f t="shared" si="51"/>
        <v>RU000A102S15</v>
      </c>
      <c r="E149" s="3" t="str">
        <f t="shared" si="52"/>
        <v>Лента ао</v>
      </c>
      <c r="F149" s="268">
        <f t="shared" si="53"/>
        <v>14</v>
      </c>
      <c r="G149" s="3">
        <f t="shared" si="54"/>
        <v>1027</v>
      </c>
      <c r="H149" s="268">
        <f t="shared" si="55"/>
        <v>14378</v>
      </c>
      <c r="I149" s="3"/>
      <c r="J149" s="3" t="str">
        <f t="shared" si="56"/>
        <v/>
      </c>
      <c r="K149" s="3"/>
    </row>
    <row r="150" spans="1:11">
      <c r="A150" s="3" t="str">
        <f t="shared" ref="A150:A159" si="57">Z67</f>
        <v>Покупка</v>
      </c>
      <c r="B150" s="270" t="str">
        <f t="shared" ref="B150:B159" si="58">G67</f>
        <v>Обл</v>
      </c>
      <c r="C150" s="267" t="str">
        <f t="shared" ref="C150:C159" si="59">F67</f>
        <v>РФ</v>
      </c>
      <c r="D150" s="3" t="str">
        <f>B67</f>
        <v>RU000A101QE0</v>
      </c>
      <c r="E150" s="3" t="str">
        <f>C67</f>
        <v>ОФЗ 26234</v>
      </c>
      <c r="F150" s="268">
        <f t="shared" ref="F150:F159" si="60">U67</f>
        <v>53</v>
      </c>
      <c r="G150" s="3">
        <f t="shared" ref="G150:G159" si="61">K67</f>
        <v>90.757999999999996</v>
      </c>
      <c r="H150" s="268">
        <f t="shared" ref="H150:H159" si="62">V67</f>
        <v>48101.74</v>
      </c>
      <c r="I150" s="3"/>
      <c r="J150" s="3" t="str">
        <f t="shared" ref="J150:J159" si="63">M67</f>
        <v/>
      </c>
      <c r="K150" s="3"/>
    </row>
    <row r="151" spans="1:11">
      <c r="A151" s="3" t="str">
        <f t="shared" si="57"/>
        <v>Покупка</v>
      </c>
      <c r="B151" s="270" t="str">
        <f t="shared" si="58"/>
        <v>Обл</v>
      </c>
      <c r="C151" s="267" t="str">
        <f t="shared" si="59"/>
        <v>РФ</v>
      </c>
      <c r="D151" s="3" t="str">
        <f t="shared" ref="D151:E151" si="64">B68</f>
        <v>RU000A0ZZYW2</v>
      </c>
      <c r="E151" s="3" t="str">
        <f t="shared" si="64"/>
        <v>ОФЗ 26226</v>
      </c>
      <c r="F151" s="268">
        <f t="shared" si="60"/>
        <v>59</v>
      </c>
      <c r="G151" s="3">
        <f t="shared" si="61"/>
        <v>81.346000000000004</v>
      </c>
      <c r="H151" s="268">
        <f t="shared" si="62"/>
        <v>47994.14</v>
      </c>
      <c r="I151" s="3"/>
      <c r="J151" s="3" t="str">
        <f t="shared" si="63"/>
        <v/>
      </c>
      <c r="K151" s="3"/>
    </row>
    <row r="152" spans="1:11">
      <c r="A152" s="3" t="str">
        <f t="shared" si="57"/>
        <v>Покупка</v>
      </c>
      <c r="B152" s="270" t="str">
        <f t="shared" si="58"/>
        <v>Обл</v>
      </c>
      <c r="C152" s="267" t="str">
        <f t="shared" si="59"/>
        <v>РФ</v>
      </c>
      <c r="D152" s="3" t="str">
        <f t="shared" ref="D152:E152" si="65">B69</f>
        <v>RU000A100EG3</v>
      </c>
      <c r="E152" s="3" t="str">
        <f t="shared" si="65"/>
        <v>ОФЗ 26229</v>
      </c>
      <c r="F152" s="268">
        <f t="shared" si="60"/>
        <v>54</v>
      </c>
      <c r="G152" s="3">
        <f t="shared" si="61"/>
        <v>88.468999999999994</v>
      </c>
      <c r="H152" s="268">
        <f t="shared" si="62"/>
        <v>47773.26</v>
      </c>
      <c r="I152" s="3"/>
      <c r="J152" s="3" t="str">
        <f t="shared" si="63"/>
        <v/>
      </c>
      <c r="K152" s="3"/>
    </row>
    <row r="153" spans="1:11">
      <c r="A153" s="3" t="str">
        <f t="shared" si="57"/>
        <v>Покупка</v>
      </c>
      <c r="B153" s="270" t="str">
        <f t="shared" si="58"/>
        <v>Обл</v>
      </c>
      <c r="C153" s="267" t="str">
        <f t="shared" si="59"/>
        <v>бирж.обл.</v>
      </c>
      <c r="D153" s="3" t="str">
        <f t="shared" ref="D153:E153" si="66">B70</f>
        <v>RU000A102YG7</v>
      </c>
      <c r="E153" s="3" t="str">
        <f t="shared" si="66"/>
        <v>Сбер Sb25R</v>
      </c>
      <c r="F153" s="268">
        <f t="shared" si="60"/>
        <v>56</v>
      </c>
      <c r="G153" s="3">
        <f t="shared" si="61"/>
        <v>85.84</v>
      </c>
      <c r="H153" s="268">
        <f t="shared" si="62"/>
        <v>48070.400000000009</v>
      </c>
      <c r="I153" s="3"/>
      <c r="J153" s="3" t="str">
        <f t="shared" si="63"/>
        <v/>
      </c>
      <c r="K153" s="3"/>
    </row>
    <row r="154" spans="1:11">
      <c r="A154" s="3" t="str">
        <f t="shared" si="57"/>
        <v>Покупка</v>
      </c>
      <c r="B154" s="270" t="str">
        <f t="shared" si="58"/>
        <v>Обл</v>
      </c>
      <c r="C154" s="267" t="str">
        <f t="shared" si="59"/>
        <v>бирж.обл.</v>
      </c>
      <c r="D154" s="3" t="str">
        <f t="shared" ref="D154:E154" si="67">B71</f>
        <v>RU000A105KQ8</v>
      </c>
      <c r="E154" s="3" t="str">
        <f t="shared" si="67"/>
        <v>Магнит4P01</v>
      </c>
      <c r="F154" s="268">
        <f t="shared" si="60"/>
        <v>53</v>
      </c>
      <c r="G154" s="3">
        <f t="shared" si="61"/>
        <v>90.49</v>
      </c>
      <c r="H154" s="268">
        <f t="shared" si="62"/>
        <v>47959.7</v>
      </c>
      <c r="I154" s="3"/>
      <c r="J154" s="3" t="str">
        <f t="shared" si="63"/>
        <v/>
      </c>
      <c r="K154" s="3"/>
    </row>
    <row r="155" spans="1:11">
      <c r="A155" s="3" t="str">
        <f t="shared" si="57"/>
        <v>Покупка</v>
      </c>
      <c r="B155" s="270" t="str">
        <f t="shared" si="58"/>
        <v>Обл</v>
      </c>
      <c r="C155" s="267" t="str">
        <f t="shared" si="59"/>
        <v>бирж.обл.</v>
      </c>
      <c r="D155" s="3" t="str">
        <f t="shared" ref="D155:E155" si="68">B72</f>
        <v>RU000A103661</v>
      </c>
      <c r="E155" s="3" t="str">
        <f t="shared" si="68"/>
        <v>Сбер Sb27R</v>
      </c>
      <c r="F155" s="268">
        <f t="shared" si="60"/>
        <v>57</v>
      </c>
      <c r="G155" s="3">
        <f t="shared" si="61"/>
        <v>83.9</v>
      </c>
      <c r="H155" s="268">
        <f t="shared" si="62"/>
        <v>47823.000000000007</v>
      </c>
      <c r="I155" s="3"/>
      <c r="J155" s="3" t="str">
        <f t="shared" si="63"/>
        <v/>
      </c>
      <c r="K155" s="3"/>
    </row>
    <row r="156" spans="1:11">
      <c r="A156" s="3" t="str">
        <f t="shared" si="57"/>
        <v>Покупка</v>
      </c>
      <c r="B156" s="270" t="str">
        <f t="shared" si="58"/>
        <v>Обл</v>
      </c>
      <c r="C156" s="267" t="str">
        <f t="shared" si="59"/>
        <v>бирж.обл.</v>
      </c>
      <c r="D156" s="3" t="str">
        <f t="shared" ref="D156:E156" si="69">B73</f>
        <v>RU000A104XR2</v>
      </c>
      <c r="E156" s="3" t="str">
        <f t="shared" si="69"/>
        <v>Автодор3Р2</v>
      </c>
      <c r="F156" s="268">
        <f t="shared" si="60"/>
        <v>31</v>
      </c>
      <c r="G156" s="3">
        <f t="shared" si="61"/>
        <v>77.34</v>
      </c>
      <c r="H156" s="268">
        <f t="shared" si="62"/>
        <v>23975.400000000005</v>
      </c>
      <c r="I156" s="3"/>
      <c r="J156" s="3" t="str">
        <f t="shared" si="63"/>
        <v/>
      </c>
      <c r="K156" s="3"/>
    </row>
    <row r="157" spans="1:11">
      <c r="A157" s="3" t="str">
        <f t="shared" si="57"/>
        <v>Покупка</v>
      </c>
      <c r="B157" s="270" t="str">
        <f t="shared" si="58"/>
        <v>Обл</v>
      </c>
      <c r="C157" s="267" t="str">
        <f t="shared" si="59"/>
        <v>РФ</v>
      </c>
      <c r="D157" s="3" t="str">
        <f t="shared" ref="D157:E157" si="70">B74</f>
        <v>RU000A0JS3W6</v>
      </c>
      <c r="E157" s="3" t="str">
        <f t="shared" si="70"/>
        <v>ОФЗ 26207</v>
      </c>
      <c r="F157" s="268">
        <f t="shared" si="60"/>
        <v>60</v>
      </c>
      <c r="G157" s="3">
        <f t="shared" si="61"/>
        <v>79.429000000000002</v>
      </c>
      <c r="H157" s="268">
        <f t="shared" si="62"/>
        <v>47657.4</v>
      </c>
      <c r="I157" s="3"/>
      <c r="J157" s="3" t="str">
        <f t="shared" si="63"/>
        <v/>
      </c>
      <c r="K157" s="3"/>
    </row>
    <row r="158" spans="1:11">
      <c r="A158" s="3" t="str">
        <f t="shared" si="57"/>
        <v>Покупка</v>
      </c>
      <c r="B158" s="270" t="str">
        <f t="shared" si="58"/>
        <v>Обл</v>
      </c>
      <c r="C158" s="267" t="str">
        <f t="shared" si="59"/>
        <v>РФ</v>
      </c>
      <c r="D158" s="3" t="str">
        <f t="shared" ref="D158:E158" si="71">B75</f>
        <v>RU000A0JTK38</v>
      </c>
      <c r="E158" s="3" t="str">
        <f t="shared" si="71"/>
        <v>ОФЗ 26212</v>
      </c>
      <c r="F158" s="268">
        <f t="shared" si="60"/>
        <v>33</v>
      </c>
      <c r="G158" s="3">
        <f t="shared" si="61"/>
        <v>71.869</v>
      </c>
      <c r="H158" s="268">
        <f t="shared" si="62"/>
        <v>23716.77</v>
      </c>
      <c r="I158" s="3"/>
      <c r="J158" s="3" t="str">
        <f t="shared" si="63"/>
        <v/>
      </c>
      <c r="K158" s="3"/>
    </row>
    <row r="159" spans="1:11">
      <c r="A159" s="3" t="str">
        <f t="shared" si="57"/>
        <v>Покупка</v>
      </c>
      <c r="B159" s="270" t="str">
        <f t="shared" si="58"/>
        <v>Обл</v>
      </c>
      <c r="C159" s="267" t="str">
        <f t="shared" si="59"/>
        <v>бирж.обл.</v>
      </c>
      <c r="D159" s="3" t="str">
        <f t="shared" ref="D159:E159" si="72">B76</f>
        <v>RU000A1085D5</v>
      </c>
      <c r="E159" s="3" t="str">
        <f t="shared" si="72"/>
        <v>Ростел2P14</v>
      </c>
      <c r="F159" s="268">
        <f t="shared" si="60"/>
        <v>52</v>
      </c>
      <c r="G159" s="3">
        <f t="shared" si="61"/>
        <v>90.99</v>
      </c>
      <c r="H159" s="268">
        <f t="shared" si="62"/>
        <v>47314.799999999996</v>
      </c>
      <c r="I159" s="3"/>
      <c r="J159" s="3" t="str">
        <f t="shared" si="63"/>
        <v/>
      </c>
      <c r="K159" s="3"/>
    </row>
    <row r="160" spans="1:11">
      <c r="B160" s="90"/>
    </row>
    <row r="162" spans="1:4" ht="21">
      <c r="A162" s="166" t="s">
        <v>12766</v>
      </c>
    </row>
    <row r="163" spans="1:4">
      <c r="A163" t="s">
        <v>12765</v>
      </c>
    </row>
    <row r="164" spans="1:4">
      <c r="A164" t="s">
        <v>12768</v>
      </c>
    </row>
    <row r="165" spans="1:4">
      <c r="A165" t="s">
        <v>12767</v>
      </c>
    </row>
    <row r="166" spans="1:4">
      <c r="A166" t="s">
        <v>13007</v>
      </c>
    </row>
    <row r="167" spans="1:4">
      <c r="A167" t="s">
        <v>12774</v>
      </c>
    </row>
    <row r="169" spans="1:4" ht="21">
      <c r="A169" s="166" t="s">
        <v>12775</v>
      </c>
    </row>
    <row r="170" spans="1:4" ht="15.75">
      <c r="A170" s="164" t="s">
        <v>12770</v>
      </c>
    </row>
    <row r="171" spans="1:4" ht="15.75">
      <c r="A171" s="164" t="s">
        <v>12255</v>
      </c>
    </row>
    <row r="172" spans="1:4">
      <c r="A172" s="151" t="s">
        <v>12237</v>
      </c>
    </row>
    <row r="173" spans="1:4" ht="41.25" thickBot="1">
      <c r="A173" s="168" t="s">
        <v>229</v>
      </c>
      <c r="B173" s="168" t="s">
        <v>1964</v>
      </c>
      <c r="C173" s="168" t="s">
        <v>12256</v>
      </c>
      <c r="D173" s="190" t="s">
        <v>12235</v>
      </c>
    </row>
    <row r="174" spans="1:4" ht="15.75" thickBot="1">
      <c r="A174" t="s">
        <v>453</v>
      </c>
      <c r="B174" t="s">
        <v>454</v>
      </c>
      <c r="C174" s="94" t="s">
        <v>111</v>
      </c>
      <c r="D174" s="185">
        <f t="shared" ref="D174:D185" si="73">U84</f>
        <v>-50</v>
      </c>
    </row>
    <row r="175" spans="1:4" ht="15.75" thickBot="1">
      <c r="A175" t="s">
        <v>770</v>
      </c>
      <c r="B175" t="s">
        <v>771</v>
      </c>
      <c r="C175" s="94" t="s">
        <v>111</v>
      </c>
      <c r="D175" s="185">
        <f t="shared" si="73"/>
        <v>-50</v>
      </c>
    </row>
    <row r="176" spans="1:4" ht="15.75" thickBot="1">
      <c r="A176" t="s">
        <v>878</v>
      </c>
      <c r="B176" t="s">
        <v>879</v>
      </c>
      <c r="C176" s="94" t="s">
        <v>111</v>
      </c>
      <c r="D176" s="185">
        <f t="shared" si="73"/>
        <v>-12</v>
      </c>
    </row>
    <row r="177" spans="1:6" ht="15.75" thickBot="1">
      <c r="A177" t="s">
        <v>109</v>
      </c>
      <c r="B177" t="s">
        <v>110</v>
      </c>
      <c r="C177" s="94" t="s">
        <v>111</v>
      </c>
      <c r="D177" s="185">
        <f t="shared" si="73"/>
        <v>-10</v>
      </c>
    </row>
    <row r="178" spans="1:6" ht="15.75" thickBot="1">
      <c r="A178" t="s">
        <v>988</v>
      </c>
      <c r="B178" t="s">
        <v>989</v>
      </c>
      <c r="C178" s="94" t="s">
        <v>111</v>
      </c>
      <c r="D178" s="185">
        <f t="shared" si="73"/>
        <v>-10</v>
      </c>
    </row>
    <row r="179" spans="1:6" ht="15.75" thickBot="1">
      <c r="A179" t="s">
        <v>998</v>
      </c>
      <c r="B179" t="s">
        <v>999</v>
      </c>
      <c r="C179" s="94" t="s">
        <v>111</v>
      </c>
      <c r="D179" s="185">
        <f t="shared" si="73"/>
        <v>-23</v>
      </c>
    </row>
    <row r="180" spans="1:6" ht="15.75" thickBot="1">
      <c r="A180" t="s">
        <v>1152</v>
      </c>
      <c r="B180" t="s">
        <v>1153</v>
      </c>
      <c r="C180" s="94" t="s">
        <v>111</v>
      </c>
      <c r="D180" s="185">
        <f t="shared" si="73"/>
        <v>-40</v>
      </c>
    </row>
    <row r="181" spans="1:6" ht="15.75" thickBot="1">
      <c r="A181" t="s">
        <v>1157</v>
      </c>
      <c r="B181" t="s">
        <v>1158</v>
      </c>
      <c r="C181" s="94" t="s">
        <v>111</v>
      </c>
      <c r="D181" s="185">
        <f t="shared" si="73"/>
        <v>-30</v>
      </c>
    </row>
    <row r="182" spans="1:6" ht="15.75" thickBot="1">
      <c r="A182" t="s">
        <v>1336</v>
      </c>
      <c r="B182" t="s">
        <v>1337</v>
      </c>
      <c r="C182" s="94" t="s">
        <v>111</v>
      </c>
      <c r="D182" s="185">
        <f t="shared" si="73"/>
        <v>-50</v>
      </c>
    </row>
    <row r="183" spans="1:6" ht="15.75" thickBot="1">
      <c r="A183" t="s">
        <v>1977</v>
      </c>
      <c r="B183" t="s">
        <v>1975</v>
      </c>
      <c r="C183" s="94" t="s">
        <v>111</v>
      </c>
      <c r="D183" s="185">
        <f t="shared" si="73"/>
        <v>-50</v>
      </c>
      <c r="F183" s="250"/>
    </row>
    <row r="184" spans="1:6" ht="15.75" thickBot="1">
      <c r="A184" t="s">
        <v>1979</v>
      </c>
      <c r="B184" t="s">
        <v>1978</v>
      </c>
      <c r="C184" s="94" t="s">
        <v>111</v>
      </c>
      <c r="D184" s="185">
        <f t="shared" si="73"/>
        <v>-32</v>
      </c>
    </row>
    <row r="185" spans="1:6" ht="15.75" thickBot="1">
      <c r="A185" t="s">
        <v>1981</v>
      </c>
      <c r="B185" t="s">
        <v>1980</v>
      </c>
      <c r="C185" s="94" t="s">
        <v>111</v>
      </c>
      <c r="D185" s="185">
        <f t="shared" si="73"/>
        <v>-30</v>
      </c>
    </row>
    <row r="187" spans="1:6">
      <c r="A187" t="s">
        <v>12788</v>
      </c>
    </row>
    <row r="189" spans="1:6" ht="21">
      <c r="A189" s="166" t="s">
        <v>12776</v>
      </c>
    </row>
    <row r="190" spans="1:6">
      <c r="A190" t="s">
        <v>12771</v>
      </c>
    </row>
    <row r="191" spans="1:6">
      <c r="A191" t="s">
        <v>12772</v>
      </c>
    </row>
    <row r="193" spans="1:19">
      <c r="A193" t="s">
        <v>12248</v>
      </c>
      <c r="O193" s="113"/>
    </row>
    <row r="194" spans="1:19" ht="47.25">
      <c r="A194" s="168" t="s">
        <v>229</v>
      </c>
      <c r="B194" s="168" t="s">
        <v>1964</v>
      </c>
      <c r="C194" s="168" t="s">
        <v>12256</v>
      </c>
      <c r="D194" s="169" t="s">
        <v>140</v>
      </c>
      <c r="E194" s="176" t="s">
        <v>12243</v>
      </c>
      <c r="F194" s="176" t="s">
        <v>12244</v>
      </c>
      <c r="G194" s="176" t="s">
        <v>12236</v>
      </c>
      <c r="H194" s="177" t="s">
        <v>12242</v>
      </c>
      <c r="I194" s="176" t="s">
        <v>2075</v>
      </c>
      <c r="J194" s="176" t="s">
        <v>2076</v>
      </c>
      <c r="K194" s="176" t="s">
        <v>2090</v>
      </c>
      <c r="L194" s="176" t="s">
        <v>2091</v>
      </c>
      <c r="M194" s="176" t="s">
        <v>2092</v>
      </c>
      <c r="N194" s="177" t="s">
        <v>2094</v>
      </c>
      <c r="O194" s="173" t="s">
        <v>12231</v>
      </c>
      <c r="P194" s="187" t="s">
        <v>12759</v>
      </c>
      <c r="Q194" s="188" t="s">
        <v>12773</v>
      </c>
      <c r="R194" s="189" t="s">
        <v>12235</v>
      </c>
    </row>
    <row r="195" spans="1:19" ht="15.75">
      <c r="A195" s="167" t="s">
        <v>99</v>
      </c>
      <c r="B195" s="167" t="s">
        <v>188</v>
      </c>
      <c r="C195" s="118"/>
      <c r="D195" s="121">
        <v>0</v>
      </c>
      <c r="E195" s="150" t="s">
        <v>100</v>
      </c>
      <c r="F195" s="153" t="s">
        <v>12751</v>
      </c>
      <c r="G195" s="149">
        <f>IFERROR(VLOOKUP(A195,QUIK_купитьпродать!B:G,6,FALSE),)</f>
        <v>37000</v>
      </c>
      <c r="H195" s="149" t="str">
        <f>IF(ISERROR(VLOOKUP(E195,Лист12!$A$23:$A$27,1,FALSE))=FALSE,VLOOKUP(A195,QUIK!C:J,8,FALSE),"")</f>
        <v/>
      </c>
      <c r="I195">
        <f>VLOOKUP(A195,QUIK!$D:$AL,5,FALSE)</f>
        <v>1</v>
      </c>
      <c r="J195">
        <f>VLOOKUP(A195,QUIK!$D:$AL,9,FALSE)</f>
        <v>1.5396000000000001</v>
      </c>
      <c r="K195" t="str">
        <f>VLOOKUP(A195,QUIK!$D:$AL,28,FALSE)</f>
        <v>SUR</v>
      </c>
      <c r="L195">
        <f>VLOOKUP(A195,QUIK!$D:$AL,31,FALSE)</f>
        <v>-100</v>
      </c>
      <c r="M195" t="str">
        <f>VLOOKUP(A195,QUIK!$D:$AL,30,FALSE)</f>
        <v/>
      </c>
      <c r="N195">
        <f>VLOOKUP(A195,QUIK!$D:$AL,4,FALSE)</f>
        <v>1</v>
      </c>
      <c r="O195" s="113">
        <f>IFERROR(VLOOKUP(A195,$A$7:$F$34,5,FALSE)/$E$3,"")</f>
        <v>5.9126179681986871E-2</v>
      </c>
      <c r="P195" s="183">
        <f>G195*J195</f>
        <v>56965.200000000004</v>
      </c>
      <c r="Q195" s="191">
        <f>ROUNDUP(C111/1000,0)*1000</f>
        <v>14000</v>
      </c>
      <c r="R195" s="186">
        <f>ROUNDUP(Q195/(J195*I195),0)</f>
        <v>9094</v>
      </c>
      <c r="S195" s="148"/>
    </row>
    <row r="196" spans="1:19">
      <c r="A196" s="117" t="s">
        <v>94</v>
      </c>
      <c r="B196" s="117" t="s">
        <v>95</v>
      </c>
      <c r="C196" s="118"/>
      <c r="D196" s="119">
        <v>0</v>
      </c>
      <c r="E196" s="150" t="s">
        <v>12749</v>
      </c>
      <c r="F196" s="149" t="s">
        <v>12750</v>
      </c>
      <c r="G196" s="149">
        <f>IFERROR(VLOOKUP(A196,QUIK_купитьпродать!B:G,6,FALSE),)</f>
        <v>0</v>
      </c>
      <c r="H196" s="149" t="str">
        <f>IF(ISERROR(VLOOKUP(E196,Лист12!$A$23:$A$27,1,FALSE))=FALSE,VLOOKUP(A196,QUIK!C:J,8,FALSE),"")</f>
        <v/>
      </c>
      <c r="I196">
        <v>10</v>
      </c>
      <c r="J196">
        <v>1.5396000000000001</v>
      </c>
      <c r="O196" s="113">
        <f>IFERROR(VLOOKUP(A196,$A$7:$F$34,5,FALSE)/$E$3,"")</f>
        <v>3.6521718028763241E-3</v>
      </c>
      <c r="P196" s="147">
        <f>VLOOKUP(A196,A7:E34,5,FALSE)</f>
        <v>3518.69</v>
      </c>
      <c r="Q196" s="147">
        <f>P196*-1</f>
        <v>-3518.69</v>
      </c>
      <c r="R196" s="148"/>
    </row>
    <row r="198" spans="1:19">
      <c r="A198" t="s">
        <v>12777</v>
      </c>
    </row>
    <row r="199" spans="1:19">
      <c r="A199" t="s">
        <v>12788</v>
      </c>
    </row>
    <row r="200" spans="1:19">
      <c r="S200" s="145">
        <f>SUM(V84:V95)</f>
        <v>-454398.2</v>
      </c>
    </row>
    <row r="201" spans="1:19" ht="21">
      <c r="A201" s="166" t="s">
        <v>12778</v>
      </c>
      <c r="S201" s="145">
        <f>S200+Q195+Q196</f>
        <v>-443916.89</v>
      </c>
    </row>
    <row r="202" spans="1:19">
      <c r="A202" t="s">
        <v>12779</v>
      </c>
    </row>
    <row r="204" spans="1:19" ht="27">
      <c r="A204" t="s">
        <v>12780</v>
      </c>
      <c r="B204" s="182" t="s">
        <v>12757</v>
      </c>
      <c r="C204" s="147">
        <f>SUM(U46:U62)</f>
        <v>14215.649999999991</v>
      </c>
    </row>
    <row r="205" spans="1:19" ht="54">
      <c r="B205" s="182" t="s">
        <v>12232</v>
      </c>
      <c r="C205" s="147">
        <v>-464916.89</v>
      </c>
    </row>
    <row r="206" spans="1:19">
      <c r="B206" t="s">
        <v>12234</v>
      </c>
      <c r="C206" s="145">
        <f>(C204+C205)*-1</f>
        <v>450701.24000000005</v>
      </c>
    </row>
    <row r="207" spans="1:19">
      <c r="B207" t="s">
        <v>2111</v>
      </c>
      <c r="C207" s="184" t="str">
        <f>IF(C206&lt;0,"Не хватает!","Средств достаточно")</f>
        <v>Средств достаточно</v>
      </c>
    </row>
    <row r="210" spans="1:23">
      <c r="A210" t="s">
        <v>13020</v>
      </c>
    </row>
    <row r="213" spans="1:23" ht="21">
      <c r="A213" s="166" t="s">
        <v>12782</v>
      </c>
    </row>
    <row r="214" spans="1:23">
      <c r="A214" t="s">
        <v>12783</v>
      </c>
    </row>
    <row r="216" spans="1:23">
      <c r="A216" s="152" t="s">
        <v>12238</v>
      </c>
      <c r="E216" t="s">
        <v>12262</v>
      </c>
    </row>
    <row r="217" spans="1:23">
      <c r="A217" s="152"/>
      <c r="E217" s="170" t="s">
        <v>12261</v>
      </c>
      <c r="F217" s="170" t="s">
        <v>12263</v>
      </c>
      <c r="G217" s="170" t="s">
        <v>12261</v>
      </c>
      <c r="H217" s="170" t="s">
        <v>12264</v>
      </c>
      <c r="I217" s="170" t="s">
        <v>12261</v>
      </c>
      <c r="J217" s="170" t="s">
        <v>12261</v>
      </c>
      <c r="K217" s="170" t="s">
        <v>12261</v>
      </c>
      <c r="L217" s="170" t="s">
        <v>12261</v>
      </c>
      <c r="M217" s="170" t="s">
        <v>12261</v>
      </c>
      <c r="N217" s="170" t="s">
        <v>12261</v>
      </c>
    </row>
    <row r="218" spans="1:23" ht="45">
      <c r="A218" s="168" t="s">
        <v>229</v>
      </c>
      <c r="B218" s="168" t="s">
        <v>1964</v>
      </c>
      <c r="C218" s="168" t="s">
        <v>12256</v>
      </c>
      <c r="D218" s="169" t="s">
        <v>140</v>
      </c>
      <c r="E218" s="176" t="s">
        <v>12243</v>
      </c>
      <c r="F218" s="176" t="s">
        <v>12244</v>
      </c>
      <c r="G218" s="176" t="s">
        <v>12236</v>
      </c>
      <c r="H218" s="177" t="s">
        <v>12242</v>
      </c>
      <c r="I218" s="176" t="s">
        <v>2075</v>
      </c>
      <c r="J218" s="176" t="s">
        <v>2076</v>
      </c>
      <c r="K218" s="176" t="s">
        <v>2090</v>
      </c>
      <c r="L218" s="176" t="s">
        <v>2091</v>
      </c>
      <c r="M218" s="176" t="s">
        <v>2092</v>
      </c>
      <c r="N218" s="177" t="s">
        <v>2094</v>
      </c>
      <c r="O218" s="173" t="s">
        <v>12231</v>
      </c>
      <c r="P218" s="174" t="s">
        <v>2115</v>
      </c>
      <c r="Q218" s="173" t="s">
        <v>12230</v>
      </c>
      <c r="R218" s="175" t="s">
        <v>12239</v>
      </c>
      <c r="S218" s="175" t="s">
        <v>12235</v>
      </c>
      <c r="T218" s="175" t="s">
        <v>12240</v>
      </c>
      <c r="U218" s="175" t="s">
        <v>12246</v>
      </c>
      <c r="V218" s="175" t="s">
        <v>12247</v>
      </c>
      <c r="W218" s="175" t="s">
        <v>12249</v>
      </c>
    </row>
    <row r="219" spans="1:23">
      <c r="A219" s="122" t="s">
        <v>118</v>
      </c>
      <c r="B219" s="122" t="s">
        <v>119</v>
      </c>
      <c r="C219" s="123" t="s">
        <v>12257</v>
      </c>
      <c r="D219" s="129">
        <v>0.09</v>
      </c>
      <c r="E219" s="150" t="str">
        <f>VLOOKUP(A219,QUIK!D:AL,3,FALSE)</f>
        <v>ао</v>
      </c>
      <c r="F219" s="150" t="str">
        <f>IF(ISERROR(VLOOKUP(E219,Лист12!$A$23:$A$27,1,FALSE))=FALSE,"Обл",IF(OR(E219="ао",E219="ап",E219="др"),"Акции","Прочее"))</f>
        <v>Акции</v>
      </c>
      <c r="G219" s="149">
        <f>IFERROR(VLOOKUP(A219,QUIK_купитьпродать!B:G,6,FALSE),)</f>
        <v>30</v>
      </c>
      <c r="H219" s="149">
        <f>IF(F219="Обл",VLOOKUP(A219,QUIK!C:J,8,FALSE),1)</f>
        <v>1</v>
      </c>
      <c r="I219">
        <f>VLOOKUP(A219,QUIK!$D:$AL,5,FALSE)</f>
        <v>1</v>
      </c>
      <c r="J219">
        <f>VLOOKUP(A219,QUIK!$D:$AL,9,FALSE)</f>
        <v>3330.5</v>
      </c>
      <c r="K219" t="str">
        <f>VLOOKUP(A219,QUIK!$D:$AL,28,FALSE)</f>
        <v>SUR</v>
      </c>
      <c r="L219">
        <f>VLOOKUP(A219,QUIK!$D:$AL,31,FALSE)</f>
        <v>-100</v>
      </c>
      <c r="M219" t="str">
        <f>VLOOKUP(A219,QUIK!$D:$AL,30,FALSE)</f>
        <v/>
      </c>
      <c r="N219">
        <f>VLOOKUP(A219,QUIK!$D:$AL,4,FALSE)</f>
        <v>1</v>
      </c>
      <c r="O219" s="113">
        <f t="shared" ref="O219:O226" si="74">IFERROR(VLOOKUP(A219,$A$7:$F$34,5,FALSE)/$E$3,"")</f>
        <v>0.10370528397909105</v>
      </c>
      <c r="P219" s="90">
        <f t="shared" ref="P219:P235" si="75">IFERROR(D219-O219,D219)</f>
        <v>-1.3705283979091057E-2</v>
      </c>
      <c r="Q219" s="113">
        <f t="shared" ref="Q219:Q235" si="76">IF(F219="Обл",(I219*J219%*H219)/$E$3,(I219*J219)/$E$3)</f>
        <v>3.4568427993030351E-3</v>
      </c>
      <c r="R219" s="145">
        <f t="shared" ref="R219:R235" si="77">P219*$E$3</f>
        <v>-13204.374900000008</v>
      </c>
      <c r="S219" s="148">
        <f t="shared" ref="S219:S235" si="78">IF(ABS(P219)&lt;Q219,0,ROUNDDOWN(R219/(IF(F219="Обл",(J219%*I219*H219),(J219*I219))),0))</f>
        <v>-3</v>
      </c>
      <c r="T219" s="148">
        <f t="shared" ref="T219:T235" si="79">IF(F219="Обл",S219*I219*J219%*H219,S219*I219*J219)</f>
        <v>-9991.5</v>
      </c>
      <c r="U219" s="148">
        <f t="shared" ref="U219:U235" si="80">(IF(G219&lt;&gt;0,G219,0)+S219*I219)</f>
        <v>27</v>
      </c>
      <c r="V219" s="148">
        <f t="shared" ref="V219:V235" si="81">U219*J219</f>
        <v>89923.5</v>
      </c>
      <c r="W219" s="113">
        <f t="shared" ref="W219:W235" si="82">V219/$E$3</f>
        <v>9.3334755581181955E-2</v>
      </c>
    </row>
    <row r="220" spans="1:23">
      <c r="A220" s="122" t="s">
        <v>128</v>
      </c>
      <c r="B220" s="122" t="s">
        <v>129</v>
      </c>
      <c r="C220" s="123" t="s">
        <v>12257</v>
      </c>
      <c r="D220" s="129">
        <v>0.09</v>
      </c>
      <c r="E220" s="150" t="str">
        <f>VLOOKUP(A220,QUIK!D:AL,3,FALSE)</f>
        <v>ао</v>
      </c>
      <c r="F220" s="150" t="str">
        <f>IF(ISERROR(VLOOKUP(E220,Лист12!$A$23:$A$27,1,FALSE))=FALSE,"Обл",IF(OR(E220="ао",E220="ап",E220="др"),"Акции","Прочее"))</f>
        <v>Акции</v>
      </c>
      <c r="G220" s="149">
        <f>IFERROR(VLOOKUP(A220,QUIK_купитьпродать!B:G,6,FALSE),)</f>
        <v>50</v>
      </c>
      <c r="H220" s="149">
        <f>IF(F220="Обл",VLOOKUP(A220,QUIK!C:J,8,FALSE),1)</f>
        <v>1</v>
      </c>
      <c r="I220">
        <f>VLOOKUP(A220,QUIK!$D:$AL,5,FALSE)</f>
        <v>1</v>
      </c>
      <c r="J220">
        <f>VLOOKUP(A220,QUIK!$D:$AL,9,FALSE)</f>
        <v>434.65</v>
      </c>
      <c r="K220" t="str">
        <f>VLOOKUP(A220,QUIK!$D:$AL,28,FALSE)</f>
        <v>SUR</v>
      </c>
      <c r="L220">
        <f>VLOOKUP(A220,QUIK!$D:$AL,31,FALSE)</f>
        <v>-100</v>
      </c>
      <c r="M220" t="str">
        <f>VLOOKUP(A220,QUIK!$D:$AL,30,FALSE)</f>
        <v/>
      </c>
      <c r="N220">
        <f>VLOOKUP(A220,QUIK!$D:$AL,4,FALSE)</f>
        <v>1</v>
      </c>
      <c r="O220" s="113">
        <f t="shared" si="74"/>
        <v>2.2556924226348359E-2</v>
      </c>
      <c r="P220" s="90">
        <f t="shared" si="75"/>
        <v>6.7443075773651634E-2</v>
      </c>
      <c r="Q220" s="113">
        <f t="shared" si="76"/>
        <v>4.5113848452696718E-4</v>
      </c>
      <c r="R220" s="145">
        <f t="shared" si="77"/>
        <v>64978.125099999983</v>
      </c>
      <c r="S220" s="148">
        <f t="shared" si="78"/>
        <v>149</v>
      </c>
      <c r="T220" s="148">
        <f t="shared" si="79"/>
        <v>64762.85</v>
      </c>
      <c r="U220" s="148">
        <f t="shared" si="80"/>
        <v>199</v>
      </c>
      <c r="V220" s="148">
        <f t="shared" si="81"/>
        <v>86495.349999999991</v>
      </c>
      <c r="W220" s="113">
        <f t="shared" si="82"/>
        <v>8.9776558420866459E-2</v>
      </c>
    </row>
    <row r="221" spans="1:23">
      <c r="A221" s="122" t="s">
        <v>112</v>
      </c>
      <c r="B221" s="122" t="s">
        <v>113</v>
      </c>
      <c r="C221" s="123" t="s">
        <v>12257</v>
      </c>
      <c r="D221" s="127">
        <v>0.08</v>
      </c>
      <c r="E221" s="150" t="str">
        <f>VLOOKUP(A221,QUIK!D:AL,3,FALSE)</f>
        <v>ап</v>
      </c>
      <c r="F221" s="150" t="str">
        <f>IF(ISERROR(VLOOKUP(E221,Лист12!$A$23:$A$27,1,FALSE))=FALSE,"Обл",IF(OR(E221="ао",E221="ап",E221="др"),"Акции","Прочее"))</f>
        <v>Акции</v>
      </c>
      <c r="G221" s="149">
        <f>IFERROR(VLOOKUP(A221,QUIK_купитьпродать!B:G,6,FALSE),)</f>
        <v>500</v>
      </c>
      <c r="H221" s="149">
        <f>IF(F221="Обл",VLOOKUP(A221,QUIK!C:J,8,FALSE),1)</f>
        <v>1</v>
      </c>
      <c r="I221">
        <f>VLOOKUP(A221,QUIK!$D:$AL,5,FALSE)</f>
        <v>10</v>
      </c>
      <c r="J221">
        <f>VLOOKUP(A221,QUIK!$D:$AL,9,FALSE)</f>
        <v>55.975000000000001</v>
      </c>
      <c r="K221" t="str">
        <f>VLOOKUP(A221,QUIK!$D:$AL,28,FALSE)</f>
        <v>SUR</v>
      </c>
      <c r="L221">
        <f>VLOOKUP(A221,QUIK!$D:$AL,31,FALSE)</f>
        <v>-100</v>
      </c>
      <c r="M221" t="str">
        <f>VLOOKUP(A221,QUIK!$D:$AL,30,FALSE)</f>
        <v/>
      </c>
      <c r="N221">
        <f>VLOOKUP(A221,QUIK!$D:$AL,4,FALSE)</f>
        <v>2</v>
      </c>
      <c r="O221" s="113">
        <f t="shared" si="74"/>
        <v>2.904920818060162E-2</v>
      </c>
      <c r="P221" s="90">
        <f t="shared" si="75"/>
        <v>5.0950791819398378E-2</v>
      </c>
      <c r="Q221" s="113">
        <f t="shared" si="76"/>
        <v>5.8098416361203244E-4</v>
      </c>
      <c r="R221" s="145">
        <f t="shared" si="77"/>
        <v>49088.611199999992</v>
      </c>
      <c r="S221" s="148">
        <f t="shared" si="78"/>
        <v>87</v>
      </c>
      <c r="T221" s="148">
        <f t="shared" si="79"/>
        <v>48698.25</v>
      </c>
      <c r="U221" s="148">
        <f t="shared" si="80"/>
        <v>1370</v>
      </c>
      <c r="V221" s="148">
        <f t="shared" si="81"/>
        <v>76685.75</v>
      </c>
      <c r="W221" s="113">
        <f t="shared" si="82"/>
        <v>7.9594830414848439E-2</v>
      </c>
    </row>
    <row r="222" spans="1:23">
      <c r="A222" s="122" t="s">
        <v>126</v>
      </c>
      <c r="B222" s="122" t="s">
        <v>127</v>
      </c>
      <c r="C222" s="123" t="s">
        <v>12257</v>
      </c>
      <c r="D222" s="124">
        <v>0.05</v>
      </c>
      <c r="E222" s="150" t="str">
        <f>VLOOKUP(A222,QUIK!D:AL,3,FALSE)</f>
        <v>ап</v>
      </c>
      <c r="F222" s="150" t="str">
        <f>IF(ISERROR(VLOOKUP(E222,Лист12!$A$23:$A$27,1,FALSE))=FALSE,"Обл",IF(OR(E222="ао",E222="ап",E222="др"),"Акции","Прочее"))</f>
        <v>Акции</v>
      </c>
      <c r="G222" s="149">
        <f>IFERROR(VLOOKUP(A222,QUIK_купитьпродать!B:G,6,FALSE),)</f>
        <v>0</v>
      </c>
      <c r="H222" s="149">
        <f>IF(F222="Обл",VLOOKUP(A222,QUIK!C:J,8,FALSE),1)</f>
        <v>1</v>
      </c>
      <c r="I222">
        <f>VLOOKUP(A222,QUIK!$D:$AL,5,FALSE)</f>
        <v>1</v>
      </c>
      <c r="J222">
        <f>VLOOKUP(A222,QUIK!$D:$AL,9,FALSE)</f>
        <v>531.29999999999995</v>
      </c>
      <c r="K222" t="str">
        <f>VLOOKUP(A222,QUIK!$D:$AL,28,FALSE)</f>
        <v>SUR</v>
      </c>
      <c r="L222">
        <f>VLOOKUP(A222,QUIK!$D:$AL,31,FALSE)</f>
        <v>-100</v>
      </c>
      <c r="M222" t="str">
        <f>VLOOKUP(A222,QUIK!$D:$AL,30,FALSE)</f>
        <v/>
      </c>
      <c r="N222">
        <f>VLOOKUP(A222,QUIK!$D:$AL,4,FALSE)</f>
        <v>1</v>
      </c>
      <c r="O222" s="113" t="str">
        <f t="shared" si="74"/>
        <v/>
      </c>
      <c r="P222" s="90">
        <f t="shared" si="75"/>
        <v>0.05</v>
      </c>
      <c r="Q222" s="113">
        <f t="shared" si="76"/>
        <v>5.5145491045479732E-4</v>
      </c>
      <c r="R222" s="145">
        <f t="shared" si="77"/>
        <v>48172.569499999998</v>
      </c>
      <c r="S222" s="148">
        <f t="shared" si="78"/>
        <v>90</v>
      </c>
      <c r="T222" s="148">
        <f t="shared" si="79"/>
        <v>47816.999999999993</v>
      </c>
      <c r="U222" s="148">
        <f t="shared" si="80"/>
        <v>90</v>
      </c>
      <c r="V222" s="148">
        <f t="shared" si="81"/>
        <v>47816.999999999993</v>
      </c>
      <c r="W222" s="113">
        <f t="shared" si="82"/>
        <v>4.9630941940931754E-2</v>
      </c>
    </row>
    <row r="223" spans="1:23">
      <c r="A223" s="122" t="s">
        <v>104</v>
      </c>
      <c r="B223" s="122" t="s">
        <v>105</v>
      </c>
      <c r="C223" s="123" t="s">
        <v>12257</v>
      </c>
      <c r="D223" s="124">
        <v>0.05</v>
      </c>
      <c r="E223" s="150" t="str">
        <f>VLOOKUP(A223,QUIK!D:AL,3,FALSE)</f>
        <v>др</v>
      </c>
      <c r="F223" s="150" t="str">
        <f>IF(ISERROR(VLOOKUP(E223,Лист12!$A$23:$A$27,1,FALSE))=FALSE,"Обл",IF(OR(E223="ао",E223="ап",E223="др"),"Акции","Прочее"))</f>
        <v>Акции</v>
      </c>
      <c r="G223" s="149">
        <f>IFERROR(VLOOKUP(A223,QUIK_купитьпродать!B:G,6,FALSE),)</f>
        <v>0</v>
      </c>
      <c r="H223" s="149">
        <f>IF(F223="Обл",VLOOKUP(A223,QUIK!C:J,8,FALSE),1)</f>
        <v>1</v>
      </c>
      <c r="I223">
        <f>VLOOKUP(A223,QUIK!$D:$AL,5,FALSE)</f>
        <v>1</v>
      </c>
      <c r="J223">
        <f>VLOOKUP(A223,QUIK!$D:$AL,9,FALSE)</f>
        <v>2719.5</v>
      </c>
      <c r="K223" t="str">
        <f>VLOOKUP(A223,QUIK!$D:$AL,28,FALSE)</f>
        <v>SUR</v>
      </c>
      <c r="L223">
        <f>VLOOKUP(A223,QUIK!$D:$AL,31,FALSE)</f>
        <v>-100</v>
      </c>
      <c r="M223" t="str">
        <f>VLOOKUP(A223,QUIK!$D:$AL,30,FALSE)</f>
        <v/>
      </c>
      <c r="N223">
        <f>VLOOKUP(A223,QUIK!$D:$AL,4,FALSE)</f>
        <v>1</v>
      </c>
      <c r="O223" s="113" t="str">
        <f t="shared" si="74"/>
        <v/>
      </c>
      <c r="P223" s="90">
        <f t="shared" si="75"/>
        <v>0.05</v>
      </c>
      <c r="Q223" s="113">
        <f t="shared" si="76"/>
        <v>2.8226644626045952E-3</v>
      </c>
      <c r="R223" s="145">
        <f t="shared" si="77"/>
        <v>48172.569499999998</v>
      </c>
      <c r="S223" s="148">
        <f t="shared" si="78"/>
        <v>17</v>
      </c>
      <c r="T223" s="148">
        <f t="shared" si="79"/>
        <v>46231.5</v>
      </c>
      <c r="U223" s="148">
        <f t="shared" si="80"/>
        <v>17</v>
      </c>
      <c r="V223" s="148">
        <f t="shared" si="81"/>
        <v>46231.5</v>
      </c>
      <c r="W223" s="113">
        <f t="shared" si="82"/>
        <v>4.7985295864278119E-2</v>
      </c>
    </row>
    <row r="224" spans="1:23">
      <c r="A224" s="122" t="s">
        <v>107</v>
      </c>
      <c r="B224" s="122" t="s">
        <v>108</v>
      </c>
      <c r="C224" s="123" t="s">
        <v>12257</v>
      </c>
      <c r="D224" s="124">
        <v>0.05</v>
      </c>
      <c r="E224" s="150" t="str">
        <f>VLOOKUP(A224,QUIK!D:AL,3,FALSE)</f>
        <v>ао</v>
      </c>
      <c r="F224" s="150" t="str">
        <f>IF(ISERROR(VLOOKUP(E224,Лист12!$A$23:$A$27,1,FALSE))=FALSE,"Обл",IF(OR(E224="ао",E224="ап",E224="др"),"Акции","Прочее"))</f>
        <v>Акции</v>
      </c>
      <c r="G224" s="149">
        <f>IFERROR(VLOOKUP(A224,QUIK_купитьпродать!B:G,6,FALSE),)</f>
        <v>6</v>
      </c>
      <c r="H224" s="149">
        <f>IF(F224="Обл",VLOOKUP(A224,QUIK!C:J,8,FALSE),1)</f>
        <v>1</v>
      </c>
      <c r="I224">
        <f>VLOOKUP(A224,QUIK!$D:$AL,5,FALSE)</f>
        <v>1</v>
      </c>
      <c r="J224">
        <f>VLOOKUP(A224,QUIK!$D:$AL,9,FALSE)</f>
        <v>1798.6</v>
      </c>
      <c r="K224" t="str">
        <f>VLOOKUP(A224,QUIK!$D:$AL,28,FALSE)</f>
        <v>SUR</v>
      </c>
      <c r="L224">
        <f>VLOOKUP(A224,QUIK!$D:$AL,31,FALSE)</f>
        <v>-100</v>
      </c>
      <c r="M224" t="str">
        <f>VLOOKUP(A224,QUIK!$D:$AL,30,FALSE)</f>
        <v/>
      </c>
      <c r="N224">
        <f>VLOOKUP(A224,QUIK!$D:$AL,4,FALSE)</f>
        <v>1</v>
      </c>
      <c r="O224" s="113">
        <f t="shared" si="74"/>
        <v>1.120098025910783E-2</v>
      </c>
      <c r="P224" s="90">
        <f t="shared" si="75"/>
        <v>3.8799019740892171E-2</v>
      </c>
      <c r="Q224" s="113">
        <f t="shared" si="76"/>
        <v>1.8668300431846387E-3</v>
      </c>
      <c r="R224" s="145">
        <f t="shared" si="77"/>
        <v>37380.969499999999</v>
      </c>
      <c r="S224" s="148">
        <f t="shared" si="78"/>
        <v>20</v>
      </c>
      <c r="T224" s="148">
        <f t="shared" si="79"/>
        <v>35972</v>
      </c>
      <c r="U224" s="148">
        <f t="shared" si="80"/>
        <v>26</v>
      </c>
      <c r="V224" s="148">
        <f t="shared" si="81"/>
        <v>46763.6</v>
      </c>
      <c r="W224" s="113">
        <f t="shared" si="82"/>
        <v>4.8537581122800606E-2</v>
      </c>
    </row>
    <row r="225" spans="1:23">
      <c r="A225" s="122" t="s">
        <v>122</v>
      </c>
      <c r="B225" s="122" t="s">
        <v>123</v>
      </c>
      <c r="C225" s="123" t="s">
        <v>12257</v>
      </c>
      <c r="D225" s="124">
        <v>0.05</v>
      </c>
      <c r="E225" s="150" t="str">
        <f>VLOOKUP(A225,QUIK!D:AL,3,FALSE)</f>
        <v>ао</v>
      </c>
      <c r="F225" s="150" t="str">
        <f>IF(ISERROR(VLOOKUP(E225,Лист12!$A$23:$A$27,1,FALSE))=FALSE,"Обл",IF(OR(E225="ао",E225="ап",E225="др"),"Акции","Прочее"))</f>
        <v>Акции</v>
      </c>
      <c r="G225" s="149">
        <f>IFERROR(VLOOKUP(A225,QUIK_купитьпродать!B:G,6,FALSE),)</f>
        <v>1000</v>
      </c>
      <c r="H225" s="149">
        <f>IF(F225="Обл",VLOOKUP(A225,QUIK!C:J,8,FALSE),1)</f>
        <v>1</v>
      </c>
      <c r="I225">
        <f>VLOOKUP(A225,QUIK!$D:$AL,5,FALSE)</f>
        <v>100</v>
      </c>
      <c r="J225">
        <f>VLOOKUP(A225,QUIK!$D:$AL,9,FALSE)</f>
        <v>12.58</v>
      </c>
      <c r="K225" t="str">
        <f>VLOOKUP(A225,QUIK!$D:$AL,28,FALSE)</f>
        <v>SUR</v>
      </c>
      <c r="L225">
        <f>VLOOKUP(A225,QUIK!$D:$AL,31,FALSE)</f>
        <v>-100</v>
      </c>
      <c r="M225" t="str">
        <f>VLOOKUP(A225,QUIK!$D:$AL,30,FALSE)</f>
        <v/>
      </c>
      <c r="N225">
        <f>VLOOKUP(A225,QUIK!$D:$AL,4,FALSE)</f>
        <v>1</v>
      </c>
      <c r="O225" s="113">
        <f t="shared" si="74"/>
        <v>1.305722336442942E-2</v>
      </c>
      <c r="P225" s="90">
        <f t="shared" si="75"/>
        <v>3.6942776635570579E-2</v>
      </c>
      <c r="Q225" s="113">
        <f t="shared" si="76"/>
        <v>1.3057223364429419E-3</v>
      </c>
      <c r="R225" s="145">
        <f t="shared" si="77"/>
        <v>35592.569499999991</v>
      </c>
      <c r="S225" s="148">
        <f t="shared" si="78"/>
        <v>28</v>
      </c>
      <c r="T225" s="148">
        <f t="shared" si="79"/>
        <v>35224</v>
      </c>
      <c r="U225" s="148">
        <f t="shared" si="80"/>
        <v>3800</v>
      </c>
      <c r="V225" s="148">
        <f t="shared" si="81"/>
        <v>47804</v>
      </c>
      <c r="W225" s="113">
        <f t="shared" si="82"/>
        <v>4.9617448784831798E-2</v>
      </c>
    </row>
    <row r="226" spans="1:23">
      <c r="A226" s="192" t="s">
        <v>136</v>
      </c>
      <c r="B226" s="192" t="s">
        <v>137</v>
      </c>
      <c r="C226" s="193" t="s">
        <v>12257</v>
      </c>
      <c r="D226" s="194">
        <v>0.05</v>
      </c>
      <c r="E226" s="150" t="str">
        <f>VLOOKUP(A226,QUIK!D:AL,3,FALSE)</f>
        <v>ао</v>
      </c>
      <c r="F226" s="150" t="str">
        <f>IF(ISERROR(VLOOKUP(E226,Лист12!$A$23:$A$27,1,FALSE))=FALSE,"Обл",IF(OR(E226="ао",E226="ап",E226="др"),"Акции","Прочее"))</f>
        <v>Акции</v>
      </c>
      <c r="G226" s="149">
        <f>IFERROR(VLOOKUP(A226,QUIK_купитьпродать!B:G,6,FALSE),)</f>
        <v>5000</v>
      </c>
      <c r="H226" s="149">
        <f>IF(F226="Обл",VLOOKUP(A226,QUIK!C:J,8,FALSE),1)</f>
        <v>1</v>
      </c>
      <c r="I226">
        <f>VLOOKUP(A226,QUIK!$D:$AL,5,FALSE)</f>
        <v>100</v>
      </c>
      <c r="J226">
        <f>VLOOKUP(A226,QUIK!$D:$AL,9,FALSE)</f>
        <v>3.6920000000000002</v>
      </c>
      <c r="K226" t="str">
        <f>VLOOKUP(A226,QUIK!$D:$AL,28,FALSE)</f>
        <v>SUR</v>
      </c>
      <c r="L226">
        <f>VLOOKUP(A226,QUIK!$D:$AL,31,FALSE)</f>
        <v>-100</v>
      </c>
      <c r="M226" t="str">
        <f>VLOOKUP(A226,QUIK!$D:$AL,30,FALSE)</f>
        <v/>
      </c>
      <c r="N226">
        <f>VLOOKUP(A226,QUIK!$D:$AL,4,FALSE)</f>
        <v>1</v>
      </c>
      <c r="O226" s="113">
        <f t="shared" si="74"/>
        <v>1.9160281661952869E-2</v>
      </c>
      <c r="P226" s="90">
        <f t="shared" si="75"/>
        <v>3.0839718338047134E-2</v>
      </c>
      <c r="Q226" s="113">
        <f t="shared" si="76"/>
        <v>3.8320563323905745E-4</v>
      </c>
      <c r="R226" s="145">
        <f t="shared" si="77"/>
        <v>29712.569499999998</v>
      </c>
      <c r="S226" s="148">
        <f t="shared" si="78"/>
        <v>80</v>
      </c>
      <c r="T226" s="148">
        <f t="shared" si="79"/>
        <v>29536</v>
      </c>
      <c r="U226" s="148">
        <f t="shared" si="80"/>
        <v>13000</v>
      </c>
      <c r="V226" s="148">
        <f t="shared" si="81"/>
        <v>47996</v>
      </c>
      <c r="W226" s="113">
        <f t="shared" si="82"/>
        <v>4.9816732321077459E-2</v>
      </c>
    </row>
    <row r="227" spans="1:23">
      <c r="A227" s="122" t="s">
        <v>138</v>
      </c>
      <c r="B227" s="122" t="s">
        <v>139</v>
      </c>
      <c r="C227" s="123" t="s">
        <v>12257</v>
      </c>
      <c r="D227" s="128">
        <v>0.03</v>
      </c>
      <c r="E227" s="150" t="str">
        <f>VLOOKUP(A227,QUIK!D:AL,3,FALSE)</f>
        <v>ао</v>
      </c>
      <c r="F227" s="150" t="str">
        <f>IF(ISERROR(VLOOKUP(E227,Лист12!$A$23:$A$27,1,FALSE))=FALSE,"Обл",IF(OR(E227="ао",E227="ап",E227="др"),"Акции","Прочее"))</f>
        <v>Акции</v>
      </c>
      <c r="G227" s="149">
        <f>IFERROR(VLOOKUP(A227,QUIK_купитьпродать!B:G,6,FALSE),)</f>
        <v>0</v>
      </c>
      <c r="H227" s="149">
        <f>IF(F227="Обл",VLOOKUP(A227,QUIK!C:J,8,FALSE),1)</f>
        <v>1</v>
      </c>
      <c r="I227">
        <f>VLOOKUP(A227,QUIK!$D:$AL,5,FALSE)</f>
        <v>1</v>
      </c>
      <c r="J227">
        <f>VLOOKUP(A227,QUIK!$D:$AL,9,FALSE)</f>
        <v>1027</v>
      </c>
      <c r="K227" t="str">
        <f>VLOOKUP(A227,QUIK!$D:$AL,28,FALSE)</f>
        <v>SUR</v>
      </c>
      <c r="L227">
        <f>VLOOKUP(A227,QUIK!$D:$AL,31,FALSE)</f>
        <v>-100</v>
      </c>
      <c r="M227" t="str">
        <f>VLOOKUP(A227,QUIK!$D:$AL,30,FALSE)</f>
        <v/>
      </c>
      <c r="N227">
        <f>VLOOKUP(A227,QUIK!$D:$AL,4,FALSE)</f>
        <v>1</v>
      </c>
      <c r="O227" s="113"/>
      <c r="P227" s="90">
        <f t="shared" si="75"/>
        <v>0.03</v>
      </c>
      <c r="Q227" s="113">
        <f t="shared" si="76"/>
        <v>1.0659593318973779E-3</v>
      </c>
      <c r="R227" s="145">
        <f t="shared" si="77"/>
        <v>28903.541699999994</v>
      </c>
      <c r="S227" s="148">
        <f t="shared" si="78"/>
        <v>28</v>
      </c>
      <c r="T227" s="148">
        <f t="shared" si="79"/>
        <v>28756</v>
      </c>
      <c r="U227" s="148">
        <f t="shared" si="80"/>
        <v>28</v>
      </c>
      <c r="V227" s="148">
        <f t="shared" si="81"/>
        <v>28756</v>
      </c>
      <c r="W227" s="113">
        <f t="shared" si="82"/>
        <v>2.9846861293126581E-2</v>
      </c>
    </row>
    <row r="228" spans="1:23">
      <c r="A228" s="122" t="s">
        <v>130</v>
      </c>
      <c r="B228" s="122" t="s">
        <v>131</v>
      </c>
      <c r="C228" s="123" t="s">
        <v>12257</v>
      </c>
      <c r="D228" s="124">
        <v>0.05</v>
      </c>
      <c r="E228" s="150" t="str">
        <f>VLOOKUP(A228,QUIK!D:AL,3,FALSE)</f>
        <v>ао</v>
      </c>
      <c r="F228" s="150" t="str">
        <f>IF(ISERROR(VLOOKUP(E228,Лист12!$A$23:$A$27,1,FALSE))=FALSE,"Обл",IF(OR(E228="ао",E228="ап",E228="др"),"Акции","Прочее"))</f>
        <v>Акции</v>
      </c>
      <c r="G228" s="149">
        <f>IFERROR(VLOOKUP(A228,QUIK_купитьпродать!B:G,6,FALSE),)</f>
        <v>40</v>
      </c>
      <c r="H228" s="149">
        <f>IF(F228="Обл",VLOOKUP(A228,QUIK!C:J,8,FALSE),1)</f>
        <v>1</v>
      </c>
      <c r="I228">
        <f>VLOOKUP(A228,QUIK!$D:$AL,5,FALSE)</f>
        <v>1</v>
      </c>
      <c r="J228">
        <f>VLOOKUP(A228,QUIK!$D:$AL,9,FALSE)</f>
        <v>542.9</v>
      </c>
      <c r="K228" t="str">
        <f>VLOOKUP(A228,QUIK!$D:$AL,28,FALSE)</f>
        <v>SUR</v>
      </c>
      <c r="L228">
        <f>VLOOKUP(A228,QUIK!$D:$AL,31,FALSE)</f>
        <v>9</v>
      </c>
      <c r="M228" t="str">
        <f>VLOOKUP(A228,QUIK!$D:$AL,30,FALSE)</f>
        <v/>
      </c>
      <c r="N228">
        <f>VLOOKUP(A228,QUIK!$D:$AL,4,FALSE)</f>
        <v>3</v>
      </c>
      <c r="O228" s="113">
        <f t="shared" ref="O228:O235" si="83">IFERROR(VLOOKUP(A228,$A$7:$F$34,5,FALSE)/$E$3,"")</f>
        <v>2.253979829745225E-2</v>
      </c>
      <c r="P228" s="90">
        <f t="shared" si="75"/>
        <v>2.7460201702547753E-2</v>
      </c>
      <c r="Q228" s="113">
        <f t="shared" si="76"/>
        <v>5.6349495743630623E-4</v>
      </c>
      <c r="R228" s="145">
        <f t="shared" si="77"/>
        <v>26456.569499999998</v>
      </c>
      <c r="S228" s="148">
        <f t="shared" si="78"/>
        <v>48</v>
      </c>
      <c r="T228" s="148">
        <f t="shared" si="79"/>
        <v>26059.199999999997</v>
      </c>
      <c r="U228" s="148">
        <f t="shared" si="80"/>
        <v>88</v>
      </c>
      <c r="V228" s="148">
        <f t="shared" si="81"/>
        <v>47775.199999999997</v>
      </c>
      <c r="W228" s="113">
        <f t="shared" si="82"/>
        <v>4.9587556254394941E-2</v>
      </c>
    </row>
    <row r="229" spans="1:23">
      <c r="A229" s="122" t="s">
        <v>114</v>
      </c>
      <c r="B229" s="122" t="s">
        <v>115</v>
      </c>
      <c r="C229" s="123" t="s">
        <v>12257</v>
      </c>
      <c r="D229" s="124">
        <v>0.05</v>
      </c>
      <c r="E229" s="150" t="str">
        <f>VLOOKUP(A229,QUIK!D:AL,3,FALSE)</f>
        <v>ао</v>
      </c>
      <c r="F229" s="150" t="str">
        <f>IF(ISERROR(VLOOKUP(E229,Лист12!$A$23:$A$27,1,FALSE))=FALSE,"Обл",IF(OR(E229="ао",E229="ап",E229="др"),"Акции","Прочее"))</f>
        <v>Акции</v>
      </c>
      <c r="G229" s="149">
        <f>IFERROR(VLOOKUP(A229,QUIK_купитьпродать!B:G,6,FALSE),)</f>
        <v>9</v>
      </c>
      <c r="H229" s="149">
        <f>IF(F229="Обл",VLOOKUP(A229,QUIK!C:J,8,FALSE),1)</f>
        <v>1</v>
      </c>
      <c r="I229">
        <f>VLOOKUP(A229,QUIK!$D:$AL,5,FALSE)</f>
        <v>1</v>
      </c>
      <c r="J229">
        <f>VLOOKUP(A229,QUIK!$D:$AL,9,FALSE)</f>
        <v>2348</v>
      </c>
      <c r="K229" t="str">
        <f>VLOOKUP(A229,QUIK!$D:$AL,28,FALSE)</f>
        <v>SUR</v>
      </c>
      <c r="L229">
        <f>VLOOKUP(A229,QUIK!$D:$AL,31,FALSE)</f>
        <v>-100</v>
      </c>
      <c r="M229" t="str">
        <f>VLOOKUP(A229,QUIK!$D:$AL,30,FALSE)</f>
        <v/>
      </c>
      <c r="N229">
        <f>VLOOKUP(A229,QUIK!$D:$AL,4,FALSE)</f>
        <v>1</v>
      </c>
      <c r="O229" s="113">
        <f t="shared" si="83"/>
        <v>2.1933644208038356E-2</v>
      </c>
      <c r="P229" s="90">
        <f t="shared" si="75"/>
        <v>2.8066355791961647E-2</v>
      </c>
      <c r="Q229" s="113">
        <f t="shared" si="76"/>
        <v>2.4370715786709283E-3</v>
      </c>
      <c r="R229" s="145">
        <f t="shared" si="77"/>
        <v>27040.569499999998</v>
      </c>
      <c r="S229" s="148">
        <f t="shared" si="78"/>
        <v>11</v>
      </c>
      <c r="T229" s="148">
        <f t="shared" si="79"/>
        <v>25828</v>
      </c>
      <c r="U229" s="148">
        <f t="shared" si="80"/>
        <v>20</v>
      </c>
      <c r="V229" s="148">
        <f t="shared" si="81"/>
        <v>46960</v>
      </c>
      <c r="W229" s="113">
        <f t="shared" si="82"/>
        <v>4.8741431573418564E-2</v>
      </c>
    </row>
    <row r="230" spans="1:23">
      <c r="A230" s="122" t="s">
        <v>120</v>
      </c>
      <c r="B230" s="122" t="s">
        <v>121</v>
      </c>
      <c r="C230" s="123" t="s">
        <v>12257</v>
      </c>
      <c r="D230" s="124">
        <v>0.05</v>
      </c>
      <c r="E230" s="150" t="str">
        <f>VLOOKUP(A230,QUIK!D:AL,3,FALSE)</f>
        <v>ао</v>
      </c>
      <c r="F230" s="150" t="str">
        <f>IF(ISERROR(VLOOKUP(E230,Лист12!$A$23:$A$27,1,FALSE))=FALSE,"Обл",IF(OR(E230="ао",E230="ап",E230="др"),"Акции","Прочее"))</f>
        <v>Акции</v>
      </c>
      <c r="G230" s="149">
        <f>IFERROR(VLOOKUP(A230,QUIK_купитьпродать!B:G,6,FALSE),)</f>
        <v>140</v>
      </c>
      <c r="H230" s="149">
        <f>IF(F230="Обл",VLOOKUP(A230,QUIK!C:J,8,FALSE),1)</f>
        <v>1</v>
      </c>
      <c r="I230">
        <f>VLOOKUP(A230,QUIK!$D:$AL,5,FALSE)</f>
        <v>10</v>
      </c>
      <c r="J230">
        <f>VLOOKUP(A230,QUIK!$D:$AL,9,FALSE)</f>
        <v>183.56</v>
      </c>
      <c r="K230" t="str">
        <f>VLOOKUP(A230,QUIK!$D:$AL,28,FALSE)</f>
        <v>SUR</v>
      </c>
      <c r="L230">
        <f>VLOOKUP(A230,QUIK!$D:$AL,31,FALSE)</f>
        <v>-100</v>
      </c>
      <c r="M230" t="str">
        <f>VLOOKUP(A230,QUIK!$D:$AL,30,FALSE)</f>
        <v/>
      </c>
      <c r="N230">
        <f>VLOOKUP(A230,QUIK!$D:$AL,4,FALSE)</f>
        <v>1</v>
      </c>
      <c r="O230" s="113">
        <f t="shared" si="83"/>
        <v>2.667327097841439E-2</v>
      </c>
      <c r="P230" s="90">
        <f t="shared" si="75"/>
        <v>2.3326729021585613E-2</v>
      </c>
      <c r="Q230" s="113">
        <f t="shared" si="76"/>
        <v>1.9052336413153135E-3</v>
      </c>
      <c r="R230" s="145">
        <f t="shared" si="77"/>
        <v>22474.169499999996</v>
      </c>
      <c r="S230" s="148">
        <f t="shared" si="78"/>
        <v>12</v>
      </c>
      <c r="T230" s="148">
        <f t="shared" si="79"/>
        <v>22027.200000000001</v>
      </c>
      <c r="U230" s="148">
        <f t="shared" si="80"/>
        <v>260</v>
      </c>
      <c r="V230" s="148">
        <f t="shared" si="81"/>
        <v>47725.599999999999</v>
      </c>
      <c r="W230" s="113">
        <f t="shared" si="82"/>
        <v>4.9536074674198148E-2</v>
      </c>
    </row>
    <row r="231" spans="1:23">
      <c r="A231" s="122" t="s">
        <v>134</v>
      </c>
      <c r="B231" s="122" t="s">
        <v>135</v>
      </c>
      <c r="C231" s="123" t="s">
        <v>12257</v>
      </c>
      <c r="D231" s="130">
        <v>0.1</v>
      </c>
      <c r="E231" s="150" t="str">
        <f>VLOOKUP(A231,QUIK!D:AL,3,FALSE)</f>
        <v>ао</v>
      </c>
      <c r="F231" s="150" t="str">
        <f>IF(ISERROR(VLOOKUP(E231,Лист12!$A$23:$A$27,1,FALSE))=FALSE,"Обл",IF(OR(E231="ао",E231="ап",E231="др"),"Акции","Прочее"))</f>
        <v>Акции</v>
      </c>
      <c r="G231" s="149">
        <f>IFERROR(VLOOKUP(A231,QUIK_купитьпродать!B:G,6,FALSE),)</f>
        <v>240</v>
      </c>
      <c r="H231" s="149">
        <f>IF(F231="Обл",VLOOKUP(A231,QUIK!C:J,8,FALSE),1)</f>
        <v>1</v>
      </c>
      <c r="I231">
        <f>VLOOKUP(A231,QUIK!$D:$AL,5,FALSE)</f>
        <v>10</v>
      </c>
      <c r="J231">
        <f>VLOOKUP(A231,QUIK!$D:$AL,9,FALSE)</f>
        <v>306.87</v>
      </c>
      <c r="K231" t="str">
        <f>VLOOKUP(A231,QUIK!$D:$AL,28,FALSE)</f>
        <v>SUR</v>
      </c>
      <c r="L231">
        <f>VLOOKUP(A231,QUIK!$D:$AL,31,FALSE)</f>
        <v>-100</v>
      </c>
      <c r="M231" t="str">
        <f>VLOOKUP(A231,QUIK!$D:$AL,30,FALSE)</f>
        <v/>
      </c>
      <c r="N231">
        <f>VLOOKUP(A231,QUIK!$D:$AL,4,FALSE)</f>
        <v>1</v>
      </c>
      <c r="O231" s="113">
        <f t="shared" si="83"/>
        <v>7.6442673459633501E-2</v>
      </c>
      <c r="P231" s="90">
        <f t="shared" si="75"/>
        <v>2.3557326540366505E-2</v>
      </c>
      <c r="Q231" s="113">
        <f t="shared" si="76"/>
        <v>3.185111394151396E-3</v>
      </c>
      <c r="R231" s="145">
        <f t="shared" si="77"/>
        <v>22696.338999999996</v>
      </c>
      <c r="S231" s="148">
        <f t="shared" si="78"/>
        <v>7</v>
      </c>
      <c r="T231" s="148">
        <f t="shared" si="79"/>
        <v>21480.9</v>
      </c>
      <c r="U231" s="148">
        <f t="shared" si="80"/>
        <v>310</v>
      </c>
      <c r="V231" s="148">
        <f t="shared" si="81"/>
        <v>95129.7</v>
      </c>
      <c r="W231" s="113">
        <f t="shared" si="82"/>
        <v>9.8738453218693276E-2</v>
      </c>
    </row>
    <row r="232" spans="1:23">
      <c r="A232" s="122" t="s">
        <v>116</v>
      </c>
      <c r="B232" s="122" t="s">
        <v>117</v>
      </c>
      <c r="C232" s="123" t="s">
        <v>12257</v>
      </c>
      <c r="D232" s="128">
        <v>0.03</v>
      </c>
      <c r="E232" s="150" t="str">
        <f>VLOOKUP(A232,QUIK!D:AL,3,FALSE)</f>
        <v>ап</v>
      </c>
      <c r="F232" s="150" t="str">
        <f>IF(ISERROR(VLOOKUP(E232,Лист12!$A$23:$A$27,1,FALSE))=FALSE,"Обл",IF(OR(E232="ао",E232="ап",E232="др"),"Акции","Прочее"))</f>
        <v>Акции</v>
      </c>
      <c r="G232" s="149">
        <f>IFERROR(VLOOKUP(A232,QUIK_купитьпродать!B:G,6,FALSE),)</f>
        <v>11</v>
      </c>
      <c r="H232" s="149">
        <f>IF(F232="Обл",VLOOKUP(A232,QUIK!C:J,8,FALSE),1)</f>
        <v>1</v>
      </c>
      <c r="I232">
        <f>VLOOKUP(A232,QUIK!$D:$AL,5,FALSE)</f>
        <v>1</v>
      </c>
      <c r="J232">
        <f>VLOOKUP(A232,QUIK!$D:$AL,9,FALSE)</f>
        <v>944.5</v>
      </c>
      <c r="K232" t="str">
        <f>VLOOKUP(A232,QUIK!$D:$AL,28,FALSE)</f>
        <v>SUR</v>
      </c>
      <c r="L232">
        <f>VLOOKUP(A232,QUIK!$D:$AL,31,FALSE)</f>
        <v>-100</v>
      </c>
      <c r="M232" t="str">
        <f>VLOOKUP(A232,QUIK!$D:$AL,30,FALSE)</f>
        <v/>
      </c>
      <c r="N232">
        <f>VLOOKUP(A232,QUIK!$D:$AL,4,FALSE)</f>
        <v>1</v>
      </c>
      <c r="O232" s="113">
        <f t="shared" si="83"/>
        <v>1.0783626561585012E-2</v>
      </c>
      <c r="P232" s="90">
        <f t="shared" si="75"/>
        <v>1.9216373438414987E-2</v>
      </c>
      <c r="Q232" s="113">
        <f t="shared" si="76"/>
        <v>9.8032968741681927E-4</v>
      </c>
      <c r="R232" s="145">
        <f t="shared" si="77"/>
        <v>18514.041699999998</v>
      </c>
      <c r="S232" s="148">
        <f t="shared" si="78"/>
        <v>19</v>
      </c>
      <c r="T232" s="148">
        <f t="shared" si="79"/>
        <v>17945.5</v>
      </c>
      <c r="U232" s="148">
        <f t="shared" si="80"/>
        <v>30</v>
      </c>
      <c r="V232" s="148">
        <f t="shared" si="81"/>
        <v>28335</v>
      </c>
      <c r="W232" s="113">
        <f t="shared" si="82"/>
        <v>2.940989062250458E-2</v>
      </c>
    </row>
    <row r="233" spans="1:23">
      <c r="A233" s="122" t="s">
        <v>124</v>
      </c>
      <c r="B233" s="122" t="s">
        <v>125</v>
      </c>
      <c r="C233" s="123" t="s">
        <v>12257</v>
      </c>
      <c r="D233" s="124">
        <v>0.05</v>
      </c>
      <c r="E233" s="150" t="str">
        <f>VLOOKUP(A233,QUIK!D:AL,3,FALSE)</f>
        <v>ао</v>
      </c>
      <c r="F233" s="150" t="str">
        <f>IF(ISERROR(VLOOKUP(E233,Лист12!$A$23:$A$27,1,FALSE))=FALSE,"Обл",IF(OR(E233="ао",E233="ап",E233="др"),"Акции","Прочее"))</f>
        <v>Акции</v>
      </c>
      <c r="G233" s="149">
        <f>IFERROR(VLOOKUP(A233,QUIK_купитьпродать!B:G,6,FALSE),)</f>
        <v>7</v>
      </c>
      <c r="H233" s="149">
        <f>IF(F233="Обл",VLOOKUP(A233,QUIK!C:J,8,FALSE),1)</f>
        <v>1</v>
      </c>
      <c r="I233">
        <f>VLOOKUP(A233,QUIK!$D:$AL,5,FALSE)</f>
        <v>1</v>
      </c>
      <c r="J233">
        <f>VLOOKUP(A233,QUIK!$D:$AL,9,FALSE)</f>
        <v>4200</v>
      </c>
      <c r="K233" t="str">
        <f>VLOOKUP(A233,QUIK!$D:$AL,28,FALSE)</f>
        <v>SUR</v>
      </c>
      <c r="L233">
        <f>VLOOKUP(A233,QUIK!$D:$AL,31,FALSE)</f>
        <v>-100</v>
      </c>
      <c r="M233" t="str">
        <f>VLOOKUP(A233,QUIK!$D:$AL,30,FALSE)</f>
        <v/>
      </c>
      <c r="N233">
        <f>VLOOKUP(A233,QUIK!$D:$AL,4,FALSE)</f>
        <v>1</v>
      </c>
      <c r="O233" s="113">
        <f t="shared" si="83"/>
        <v>3.0515291487617245E-2</v>
      </c>
      <c r="P233" s="90">
        <f t="shared" si="75"/>
        <v>1.9484708512382758E-2</v>
      </c>
      <c r="Q233" s="113">
        <f t="shared" si="76"/>
        <v>4.3593273553738923E-3</v>
      </c>
      <c r="R233" s="145">
        <f t="shared" si="77"/>
        <v>18772.569499999998</v>
      </c>
      <c r="S233" s="148">
        <f t="shared" si="78"/>
        <v>4</v>
      </c>
      <c r="T233" s="148">
        <f t="shared" si="79"/>
        <v>16800</v>
      </c>
      <c r="U233" s="148">
        <f t="shared" si="80"/>
        <v>11</v>
      </c>
      <c r="V233" s="148">
        <f t="shared" si="81"/>
        <v>46200</v>
      </c>
      <c r="W233" s="113">
        <f t="shared" si="82"/>
        <v>4.7952600909112818E-2</v>
      </c>
    </row>
    <row r="234" spans="1:23">
      <c r="A234" s="122" t="s">
        <v>132</v>
      </c>
      <c r="B234" s="122" t="s">
        <v>133</v>
      </c>
      <c r="C234" s="123" t="s">
        <v>12257</v>
      </c>
      <c r="D234" s="128">
        <v>0.03</v>
      </c>
      <c r="E234" s="150" t="str">
        <f>VLOOKUP(A234,QUIK!D:AL,3,FALSE)</f>
        <v>ао</v>
      </c>
      <c r="F234" s="150" t="str">
        <f>IF(ISERROR(VLOOKUP(E234,Лист12!$A$23:$A$27,1,FALSE))=FALSE,"Обл",IF(OR(E234="ао",E234="ап",E234="др"),"Акции","Прочее"))</f>
        <v>Акции</v>
      </c>
      <c r="G234" s="149">
        <f>IFERROR(VLOOKUP(A234,QUIK_купитьпродать!B:G,6,FALSE),)</f>
        <v>25</v>
      </c>
      <c r="H234" s="149">
        <f>IF(F234="Обл",VLOOKUP(A234,QUIK!C:J,8,FALSE),1)</f>
        <v>1</v>
      </c>
      <c r="I234">
        <f>VLOOKUP(A234,QUIK!$D:$AL,5,FALSE)</f>
        <v>1</v>
      </c>
      <c r="J234">
        <f>VLOOKUP(A234,QUIK!$D:$AL,9,FALSE)</f>
        <v>845.2</v>
      </c>
      <c r="K234" t="str">
        <f>VLOOKUP(A234,QUIK!$D:$AL,28,FALSE)</f>
        <v>SUR</v>
      </c>
      <c r="L234">
        <f>VLOOKUP(A234,QUIK!$D:$AL,31,FALSE)</f>
        <v>-100</v>
      </c>
      <c r="M234" t="str">
        <f>VLOOKUP(A234,QUIK!$D:$AL,30,FALSE)</f>
        <v/>
      </c>
      <c r="N234">
        <f>VLOOKUP(A234,QUIK!$D:$AL,4,FALSE)</f>
        <v>1</v>
      </c>
      <c r="O234" s="113">
        <f t="shared" si="83"/>
        <v>2.193156833786913E-2</v>
      </c>
      <c r="P234" s="90">
        <f t="shared" si="75"/>
        <v>8.0684316621308684E-3</v>
      </c>
      <c r="Q234" s="113">
        <f t="shared" si="76"/>
        <v>8.7726273351476517E-4</v>
      </c>
      <c r="R234" s="145">
        <f t="shared" si="77"/>
        <v>7773.5416999999943</v>
      </c>
      <c r="S234" s="148">
        <f t="shared" si="78"/>
        <v>9</v>
      </c>
      <c r="T234" s="148">
        <f t="shared" si="79"/>
        <v>7606.8</v>
      </c>
      <c r="U234" s="148">
        <f t="shared" si="80"/>
        <v>34</v>
      </c>
      <c r="V234" s="148">
        <f t="shared" si="81"/>
        <v>28736.800000000003</v>
      </c>
      <c r="W234" s="113">
        <f t="shared" si="82"/>
        <v>2.9826932939502018E-2</v>
      </c>
    </row>
    <row r="235" spans="1:23">
      <c r="A235" s="122" t="s">
        <v>101</v>
      </c>
      <c r="B235" s="122" t="s">
        <v>102</v>
      </c>
      <c r="C235" s="123" t="s">
        <v>12257</v>
      </c>
      <c r="D235" s="124">
        <v>0.05</v>
      </c>
      <c r="E235" s="150" t="str">
        <f>VLOOKUP(A235,QUIK!D:AL,3,FALSE)</f>
        <v>ао</v>
      </c>
      <c r="F235" s="150" t="str">
        <f>IF(ISERROR(VLOOKUP(E235,Лист12!$A$23:$A$27,1,FALSE))=FALSE,"Обл",IF(OR(E235="ао",E235="ап",E235="др"),"Акции","Прочее"))</f>
        <v>Акции</v>
      </c>
      <c r="G235" s="149">
        <f>IFERROR(VLOOKUP(A235,QUIK_купитьпродать!B:G,6,FALSE),)</f>
        <v>8</v>
      </c>
      <c r="H235" s="149">
        <f>IF(F235="Обл",VLOOKUP(A235,QUIK!C:J,8,FALSE),1)</f>
        <v>1</v>
      </c>
      <c r="I235">
        <f>VLOOKUP(A235,QUIK!$D:$AL,5,FALSE)</f>
        <v>1</v>
      </c>
      <c r="J235">
        <f>VLOOKUP(A235,QUIK!$D:$AL,9,FALSE)</f>
        <v>6748.5</v>
      </c>
      <c r="K235" t="str">
        <f>VLOOKUP(A235,QUIK!$D:$AL,28,FALSE)</f>
        <v>SUR</v>
      </c>
      <c r="L235">
        <f>VLOOKUP(A235,QUIK!$D:$AL,31,FALSE)</f>
        <v>-100</v>
      </c>
      <c r="M235" t="str">
        <f>VLOOKUP(A235,QUIK!$D:$AL,30,FALSE)</f>
        <v/>
      </c>
      <c r="N235">
        <f>VLOOKUP(A235,QUIK!$D:$AL,4,FALSE)</f>
        <v>1</v>
      </c>
      <c r="O235" s="113">
        <f t="shared" si="83"/>
        <v>5.6036039348077549E-2</v>
      </c>
      <c r="P235" s="90">
        <f t="shared" si="75"/>
        <v>-6.0360393480775459E-3</v>
      </c>
      <c r="Q235" s="113">
        <f t="shared" si="76"/>
        <v>7.0045049185096936E-3</v>
      </c>
      <c r="R235" s="145">
        <f t="shared" si="77"/>
        <v>-5815.4305000000049</v>
      </c>
      <c r="S235" s="148">
        <f t="shared" si="78"/>
        <v>0</v>
      </c>
      <c r="T235" s="148">
        <f t="shared" si="79"/>
        <v>0</v>
      </c>
      <c r="U235" s="148">
        <f t="shared" si="80"/>
        <v>8</v>
      </c>
      <c r="V235" s="148">
        <f t="shared" si="81"/>
        <v>53988</v>
      </c>
      <c r="W235" s="113">
        <f t="shared" si="82"/>
        <v>5.6036039348077549E-2</v>
      </c>
    </row>
    <row r="236" spans="1:23">
      <c r="A236" s="3"/>
      <c r="B236" s="3"/>
      <c r="C236" s="3"/>
      <c r="D236" s="3"/>
    </row>
    <row r="238" spans="1:23">
      <c r="A238" t="s">
        <v>12789</v>
      </c>
    </row>
    <row r="240" spans="1:23" ht="21">
      <c r="A240" s="166" t="s">
        <v>12784</v>
      </c>
    </row>
    <row r="241" spans="1:1">
      <c r="A241" t="s">
        <v>12785</v>
      </c>
    </row>
    <row r="242" spans="1:1">
      <c r="A242" t="s">
        <v>12786</v>
      </c>
    </row>
    <row r="243" spans="1:1">
      <c r="A243" t="s">
        <v>12787</v>
      </c>
    </row>
  </sheetData>
  <conditionalFormatting sqref="F7:F3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{263B71F2-6B1B-40AE-B535-513028848FAF}</x14:id>
        </ext>
      </extLst>
    </cfRule>
  </conditionalFormatting>
  <conditionalFormatting sqref="F3">
    <cfRule type="containsText" dxfId="21" priority="14" operator="containsText" text="не">
      <formula>NOT(ISERROR(SEARCH("не",F3)))</formula>
    </cfRule>
    <cfRule type="cellIs" dxfId="20" priority="15" operator="equal">
      <formula>"ОК"</formula>
    </cfRule>
  </conditionalFormatting>
  <conditionalFormatting sqref="D111">
    <cfRule type="containsText" dxfId="19" priority="12" operator="containsText" text="достаточно">
      <formula>NOT(ISERROR(SEARCH("достаточно",D111)))</formula>
    </cfRule>
    <cfRule type="containsText" dxfId="18" priority="13" operator="containsText" text="НЕ">
      <formula>NOT(ISERROR(SEARCH("НЕ",D111)))</formula>
    </cfRule>
  </conditionalFormatting>
  <conditionalFormatting sqref="D109">
    <cfRule type="containsText" dxfId="17" priority="10" operator="containsText" text="достаточно">
      <formula>NOT(ISERROR(SEARCH("достаточно",D109)))</formula>
    </cfRule>
    <cfRule type="containsText" dxfId="16" priority="11" operator="containsText" text="НЕ">
      <formula>NOT(ISERROR(SEARCH("НЕ",D109)))</formula>
    </cfRule>
  </conditionalFormatting>
  <conditionalFormatting sqref="D113">
    <cfRule type="containsText" dxfId="15" priority="8" operator="containsText" text="достаточно">
      <formula>NOT(ISERROR(SEARCH("достаточно",D113)))</formula>
    </cfRule>
    <cfRule type="containsText" dxfId="14" priority="9" operator="containsText" text="НЕ">
      <formula>NOT(ISERROR(SEARCH("НЕ",D113)))</formula>
    </cfRule>
  </conditionalFormatting>
  <conditionalFormatting sqref="C207">
    <cfRule type="containsText" dxfId="13" priority="6" operator="containsText" text="достаточно">
      <formula>NOT(ISERROR(SEARCH("достаточно",C207)))</formula>
    </cfRule>
    <cfRule type="containsText" dxfId="12" priority="7" operator="containsText" text="НЕ">
      <formula>NOT(ISERROR(SEARCH("НЕ",C207)))</formula>
    </cfRule>
  </conditionalFormatting>
  <conditionalFormatting sqref="T219:T235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{DC502C34-2602-4888-AABE-D827F888CBD3}</x14:id>
        </ext>
      </extLst>
    </cfRule>
  </conditionalFormatting>
  <conditionalFormatting sqref="R7:R17">
    <cfRule type="colorScale" priority="4">
      <colorScale>
        <cfvo type="min"/>
        <cfvo type="max"/>
        <color rgb="FFFCFCFF"/>
        <color rgb="FF63BE7B"/>
      </colorScale>
    </cfRule>
  </conditionalFormatting>
  <conditionalFormatting sqref="S7:S17">
    <cfRule type="colorScale" priority="3">
      <colorScale>
        <cfvo type="min"/>
        <cfvo type="max"/>
        <color rgb="FFFCFCFF"/>
        <color rgb="FF63BE7B"/>
      </colorScale>
    </cfRule>
  </conditionalFormatting>
  <conditionalFormatting sqref="A122:A159">
    <cfRule type="cellIs" dxfId="11" priority="1" operator="equal">
      <formula>"Покупка"</formula>
    </cfRule>
    <cfRule type="cellIs" dxfId="10" priority="2" operator="equal">
      <formula>"Продажа"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3B71F2-6B1B-40AE-B535-513028848F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F7:F34</xm:sqref>
        </x14:conditionalFormatting>
        <x14:conditionalFormatting xmlns:xm="http://schemas.microsoft.com/office/excel/2006/main">
          <x14:cfRule type="dataBar" id="{DC502C34-2602-4888-AABE-D827F888C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T219:T235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82FFD-8974-41B3-A129-A6D9E32D3C74}">
  <sheetPr codeName="Лист21">
    <tabColor rgb="FF92D050"/>
    <outlinePr summaryBelow="0"/>
  </sheetPr>
  <dimension ref="A1:Q74"/>
  <sheetViews>
    <sheetView zoomScaleNormal="100" workbookViewId="0">
      <selection activeCell="O7" sqref="O7"/>
    </sheetView>
  </sheetViews>
  <sheetFormatPr defaultRowHeight="15"/>
  <cols>
    <col min="1" max="1" width="15.140625" customWidth="1"/>
    <col min="2" max="2" width="51.28515625" customWidth="1"/>
    <col min="3" max="3" width="10.7109375" customWidth="1"/>
    <col min="4" max="4" width="9.42578125" customWidth="1"/>
    <col min="5" max="5" width="9.7109375" customWidth="1"/>
    <col min="6" max="6" width="10.5703125" customWidth="1"/>
    <col min="7" max="7" width="9.140625" customWidth="1"/>
    <col min="8" max="9" width="10.42578125" customWidth="1"/>
    <col min="10" max="10" width="10.5703125" customWidth="1"/>
    <col min="11" max="11" width="9.85546875" customWidth="1"/>
    <col min="13" max="14" width="10.7109375" customWidth="1"/>
    <col min="15" max="15" width="10" customWidth="1"/>
    <col min="17" max="17" width="11.28515625" bestFit="1" customWidth="1"/>
  </cols>
  <sheetData>
    <row r="1" spans="1:17">
      <c r="A1" t="s">
        <v>12946</v>
      </c>
      <c r="P1" s="250" t="s">
        <v>13033</v>
      </c>
    </row>
    <row r="3" spans="1:17" ht="20.25">
      <c r="A3" t="s">
        <v>12947</v>
      </c>
      <c r="C3" s="146" t="str">
        <f>VLOOKUP(D5,'Меню - Риск профили'!$Q$7:$R$12,2,FALSE)</f>
        <v>50% акций в 3S - РФ Стандарт; 50% облигаций в 5S - РФ Облигации</v>
      </c>
      <c r="I3" t="s">
        <v>12973</v>
      </c>
      <c r="N3" s="330" t="s">
        <v>12985</v>
      </c>
      <c r="O3" s="330"/>
      <c r="P3" s="330"/>
      <c r="Q3" s="331"/>
    </row>
    <row r="4" spans="1:17" ht="18.75" thickBot="1">
      <c r="N4" s="328">
        <f>Процесс!E3</f>
        <v>963451.3899999999</v>
      </c>
      <c r="O4" s="328"/>
      <c r="P4" s="328"/>
      <c r="Q4" s="329"/>
    </row>
    <row r="5" spans="1:17" ht="24">
      <c r="A5" t="s">
        <v>92</v>
      </c>
      <c r="D5">
        <v>3</v>
      </c>
      <c r="M5" s="251" t="s">
        <v>12976</v>
      </c>
      <c r="N5" s="279" t="s">
        <v>12983</v>
      </c>
      <c r="O5" s="271"/>
      <c r="P5" s="271"/>
      <c r="Q5" s="272"/>
    </row>
    <row r="6" spans="1:17" ht="18">
      <c r="C6" s="254" t="s">
        <v>12981</v>
      </c>
      <c r="D6" s="255">
        <f>VLOOKUP(D5,'Меню - Риск профили'!Q7:T12,3,FALSE)</f>
        <v>0.5</v>
      </c>
      <c r="K6" s="132" t="s">
        <v>13021</v>
      </c>
      <c r="L6" s="90"/>
      <c r="M6" s="90">
        <f>SUM(M11:M27)</f>
        <v>0.47500000000000009</v>
      </c>
      <c r="N6" s="278">
        <f>SUM(N11:N27)</f>
        <v>0.46558581435021856</v>
      </c>
      <c r="O6" s="279">
        <f>N6*N4</f>
        <v>448569.3</v>
      </c>
      <c r="P6" s="271"/>
      <c r="Q6" s="272"/>
    </row>
    <row r="7" spans="1:17" ht="18">
      <c r="C7" s="254" t="s">
        <v>12982</v>
      </c>
      <c r="D7" s="255">
        <f>VLOOKUP(D5,'Меню - Риск профили'!Q7:T12,4,FALSE)</f>
        <v>0.5</v>
      </c>
      <c r="K7" s="132" t="s">
        <v>13022</v>
      </c>
      <c r="M7" s="90">
        <f>SUM(M31:M41)</f>
        <v>0.5</v>
      </c>
      <c r="N7" s="278">
        <f>SUM(N31:N41)</f>
        <v>0</v>
      </c>
      <c r="O7" s="271"/>
      <c r="P7" s="271"/>
      <c r="Q7" s="272"/>
    </row>
    <row r="8" spans="1:17" ht="18.75" thickBot="1">
      <c r="K8" s="132" t="s">
        <v>13023</v>
      </c>
      <c r="M8" s="90">
        <f>M45</f>
        <v>2.4999999999999911E-2</v>
      </c>
      <c r="N8" s="278">
        <f>SUM(N45:N48)</f>
        <v>0</v>
      </c>
      <c r="O8" s="271"/>
      <c r="P8" s="271"/>
      <c r="Q8" s="272"/>
    </row>
    <row r="9" spans="1:17">
      <c r="B9" s="281" t="s">
        <v>12984</v>
      </c>
      <c r="I9" s="132"/>
      <c r="L9" s="90">
        <f>SUM(L11:L27)</f>
        <v>0.95000000000000018</v>
      </c>
      <c r="M9" s="90">
        <f>SUM(M11:M27)</f>
        <v>0.47500000000000009</v>
      </c>
      <c r="N9" s="276">
        <f>SUM(N11:N27)</f>
        <v>0.46558581435021856</v>
      </c>
      <c r="O9" s="280">
        <f>SUM(O11:O27)</f>
        <v>9.4141856497814251E-3</v>
      </c>
      <c r="P9" s="31"/>
      <c r="Q9" s="273">
        <f>SUM(Q11:Q27)</f>
        <v>14215.649999999991</v>
      </c>
    </row>
    <row r="10" spans="1:17" ht="40.5">
      <c r="A10" s="218" t="s">
        <v>228</v>
      </c>
      <c r="B10" s="215" t="s">
        <v>12883</v>
      </c>
      <c r="C10" s="205" t="s">
        <v>0</v>
      </c>
      <c r="D10" s="205" t="s">
        <v>233</v>
      </c>
      <c r="E10" s="205" t="s">
        <v>237</v>
      </c>
      <c r="F10" s="205" t="s">
        <v>52</v>
      </c>
      <c r="G10" s="205" t="s">
        <v>232</v>
      </c>
      <c r="H10" s="205" t="s">
        <v>258</v>
      </c>
      <c r="I10" s="205" t="s">
        <v>257</v>
      </c>
      <c r="J10" s="205" t="s">
        <v>256</v>
      </c>
      <c r="K10" s="205" t="s">
        <v>262</v>
      </c>
      <c r="L10" s="206" t="s">
        <v>12974</v>
      </c>
      <c r="M10" s="251" t="s">
        <v>12976</v>
      </c>
      <c r="N10" s="33" t="s">
        <v>12983</v>
      </c>
      <c r="O10" s="34" t="s">
        <v>12986</v>
      </c>
      <c r="P10" s="33" t="s">
        <v>63</v>
      </c>
      <c r="Q10" s="13" t="s">
        <v>64</v>
      </c>
    </row>
    <row r="11" spans="1:17">
      <c r="A11" s="248" t="s">
        <v>718</v>
      </c>
      <c r="B11" s="157" t="str">
        <f>VLOOKUP(A11,QUIK!C:AL,3,FALSE)</f>
        <v>ЛУКОЙЛ</v>
      </c>
      <c r="C11" s="222" t="str">
        <f>VLOOKUP(A11,QUIK!C:AL,2,FALSE)</f>
        <v>LKOH</v>
      </c>
      <c r="D11" s="154">
        <f>VLOOKUP(A11,QUIK!C:AL,6,FALSE)</f>
        <v>1</v>
      </c>
      <c r="E11" s="3">
        <f>VLOOKUP(A11,QUIK!C:AL,10,FALSE)</f>
        <v>6748.5</v>
      </c>
      <c r="F11" s="208" t="str">
        <f>VLOOKUP(A11,QUIK!C:AL,29,FALSE)</f>
        <v>SUR</v>
      </c>
      <c r="G11" s="208">
        <f>VLOOKUP(A11,QUIK!C:AL,5,FALSE)</f>
        <v>1</v>
      </c>
      <c r="H11" s="3">
        <f>VLOOKUP(A11,QUIK!C:AL,32,FALSE)</f>
        <v>-100</v>
      </c>
      <c r="I11" s="3" t="str">
        <f>VLOOKUP(A11,QUIK!C:AL,31,FALSE)</f>
        <v/>
      </c>
      <c r="J11" s="3" t="str">
        <f>VLOOKUP(A11,QUIK!C:AL,30,FALSE)</f>
        <v/>
      </c>
      <c r="K11" s="3" t="str">
        <f>VLOOKUP(A11,QUIK!C:AL,36,FALSE)</f>
        <v>торгуется</v>
      </c>
      <c r="L11" s="252">
        <v>0.05</v>
      </c>
      <c r="M11" s="252">
        <f t="shared" ref="M11:M27" si="0">L11*$D$6</f>
        <v>2.5000000000000001E-2</v>
      </c>
      <c r="N11" s="277">
        <f>IFERROR(VLOOKUP(A11,Процесс!$B$6:$F$34,5,FALSE),"")</f>
        <v>5.6036039348077549E-2</v>
      </c>
      <c r="O11" s="36">
        <f>M11-N11</f>
        <v>-3.1036039348077547E-2</v>
      </c>
      <c r="P11" s="35">
        <f>VLOOKUP(A11,'Алгоритм (Процесс_last)'!A46:Y62,20,FALSE)</f>
        <v>-4</v>
      </c>
      <c r="Q11" s="6">
        <f>VLOOKUP(A11,'Алгоритм (Процесс_last)'!A46:Y62,21,FALSE)</f>
        <v>-26994</v>
      </c>
    </row>
    <row r="12" spans="1:17">
      <c r="A12" s="248" t="s">
        <v>299</v>
      </c>
      <c r="B12" s="157" t="str">
        <f>VLOOKUP(A12,QUIK!C:AL,3,FALSE)</f>
        <v>OZON-адр</v>
      </c>
      <c r="C12" s="222" t="str">
        <f>VLOOKUP(A12,QUIK!C:AL,2,FALSE)</f>
        <v>OZON</v>
      </c>
      <c r="D12" s="154">
        <f>VLOOKUP(A12,QUIK!C:AL,6,FALSE)</f>
        <v>1</v>
      </c>
      <c r="E12" s="3">
        <f>VLOOKUP(A12,QUIK!C:AL,10,FALSE)</f>
        <v>2719.5</v>
      </c>
      <c r="F12" s="208" t="str">
        <f>VLOOKUP(A12,QUIK!C:AL,29,FALSE)</f>
        <v>SUR</v>
      </c>
      <c r="G12" s="208">
        <f>VLOOKUP(A12,QUIK!C:AL,5,FALSE)</f>
        <v>1</v>
      </c>
      <c r="H12" s="3">
        <f>VLOOKUP(A12,QUIK!C:AL,32,FALSE)</f>
        <v>-100</v>
      </c>
      <c r="I12" s="3" t="str">
        <f>VLOOKUP(A12,QUIK!C:AL,31,FALSE)</f>
        <v/>
      </c>
      <c r="J12" s="3" t="str">
        <f>VLOOKUP(A12,QUIK!C:AL,30,FALSE)</f>
        <v/>
      </c>
      <c r="K12" s="3" t="str">
        <f>VLOOKUP(A12,QUIK!C:AL,36,FALSE)</f>
        <v>торгуется</v>
      </c>
      <c r="L12" s="252">
        <v>0.05</v>
      </c>
      <c r="M12" s="252">
        <f t="shared" si="0"/>
        <v>2.5000000000000001E-2</v>
      </c>
      <c r="N12" s="277">
        <f>IFERROR(VLOOKUP(A12,Процесс!$B$6:$F$34,5,FALSE),0)</f>
        <v>0</v>
      </c>
      <c r="O12" s="36">
        <f t="shared" ref="O12:O27" si="1">M12-N12</f>
        <v>2.5000000000000001E-2</v>
      </c>
      <c r="P12" s="35">
        <f>VLOOKUP(A12,'Алгоритм (Процесс_last)'!A47:Y63,20,FALSE)</f>
        <v>8</v>
      </c>
      <c r="Q12" s="6">
        <f>VLOOKUP(A12,'Алгоритм (Процесс_last)'!A47:Y63,21,FALSE)</f>
        <v>21756</v>
      </c>
    </row>
    <row r="13" spans="1:17">
      <c r="A13" s="248" t="s">
        <v>366</v>
      </c>
      <c r="B13" s="157" t="str">
        <f>VLOOKUP(A13,QUIK!C:AL,3,FALSE)</f>
        <v>iПозитив</v>
      </c>
      <c r="C13" s="222" t="str">
        <f>VLOOKUP(A13,QUIK!C:AL,2,FALSE)</f>
        <v>POSI</v>
      </c>
      <c r="D13" s="154">
        <f>VLOOKUP(A13,QUIK!C:AL,6,FALSE)</f>
        <v>1</v>
      </c>
      <c r="E13" s="3">
        <f>VLOOKUP(A13,QUIK!C:AL,10,FALSE)</f>
        <v>1798.6</v>
      </c>
      <c r="F13" s="208" t="str">
        <f>VLOOKUP(A13,QUIK!C:AL,29,FALSE)</f>
        <v>SUR</v>
      </c>
      <c r="G13" s="208">
        <f>VLOOKUP(A13,QUIK!C:AL,5,FALSE)</f>
        <v>1</v>
      </c>
      <c r="H13" s="3">
        <f>VLOOKUP(A13,QUIK!C:AL,32,FALSE)</f>
        <v>-100</v>
      </c>
      <c r="I13" s="3" t="str">
        <f>VLOOKUP(A13,QUIK!C:AL,31,FALSE)</f>
        <v/>
      </c>
      <c r="J13" s="3" t="str">
        <f>VLOOKUP(A13,QUIK!C:AL,30,FALSE)</f>
        <v/>
      </c>
      <c r="K13" s="3" t="str">
        <f>VLOOKUP(A13,QUIK!C:AL,36,FALSE)</f>
        <v>торгуется</v>
      </c>
      <c r="L13" s="252">
        <v>0.05</v>
      </c>
      <c r="M13" s="252">
        <f t="shared" si="0"/>
        <v>2.5000000000000001E-2</v>
      </c>
      <c r="N13" s="277">
        <f>IFERROR(VLOOKUP(A13,Процесс!$B$6:$F$34,5,FALSE),0)</f>
        <v>1.120098025910783E-2</v>
      </c>
      <c r="O13" s="36">
        <f t="shared" si="1"/>
        <v>1.3799019740892171E-2</v>
      </c>
      <c r="P13" s="35">
        <f>VLOOKUP(A13,'Алгоритм (Процесс_last)'!A48:Y64,20,FALSE)</f>
        <v>7</v>
      </c>
      <c r="Q13" s="6">
        <f>VLOOKUP(A13,'Алгоритм (Процесс_last)'!A48:Y64,21,FALSE)</f>
        <v>12590.199999999999</v>
      </c>
    </row>
    <row r="14" spans="1:17">
      <c r="A14" s="248" t="s">
        <v>1224</v>
      </c>
      <c r="B14" s="157" t="str">
        <f>VLOOKUP(A14,QUIK!C:AL,3,FALSE)</f>
        <v>Сургнфгз-п</v>
      </c>
      <c r="C14" s="222" t="str">
        <f>VLOOKUP(A14,QUIK!C:AL,2,FALSE)</f>
        <v>SNGSP</v>
      </c>
      <c r="D14" s="154">
        <f>VLOOKUP(A14,QUIK!C:AL,6,FALSE)</f>
        <v>10</v>
      </c>
      <c r="E14" s="3">
        <f>VLOOKUP(A14,QUIK!C:AL,10,FALSE)</f>
        <v>55.975000000000001</v>
      </c>
      <c r="F14" s="208" t="str">
        <f>VLOOKUP(A14,QUIK!C:AL,29,FALSE)</f>
        <v>SUR</v>
      </c>
      <c r="G14" s="208">
        <f>VLOOKUP(A14,QUIK!C:AL,5,FALSE)</f>
        <v>2</v>
      </c>
      <c r="H14" s="3">
        <f>VLOOKUP(A14,QUIK!C:AL,32,FALSE)</f>
        <v>-100</v>
      </c>
      <c r="I14" s="3" t="str">
        <f>VLOOKUP(A14,QUIK!C:AL,31,FALSE)</f>
        <v/>
      </c>
      <c r="J14" s="3" t="str">
        <f>VLOOKUP(A14,QUIK!C:AL,30,FALSE)</f>
        <v/>
      </c>
      <c r="K14" s="3" t="str">
        <f>VLOOKUP(A14,QUIK!C:AL,36,FALSE)</f>
        <v>торгуется</v>
      </c>
      <c r="L14" s="252">
        <v>0.08</v>
      </c>
      <c r="M14" s="252">
        <f t="shared" si="0"/>
        <v>0.04</v>
      </c>
      <c r="N14" s="277">
        <f>IFERROR(VLOOKUP(A14,Процесс!$B$6:$F$34,5,FALSE),0)</f>
        <v>2.904920818060162E-2</v>
      </c>
      <c r="O14" s="36">
        <f t="shared" si="1"/>
        <v>1.095079181939838E-2</v>
      </c>
      <c r="P14" s="35">
        <f>VLOOKUP(A14,'Алгоритм (Процесс_last)'!A49:Y65,20,FALSE)</f>
        <v>18</v>
      </c>
      <c r="Q14" s="6">
        <f>VLOOKUP(A14,'Алгоритм (Процесс_last)'!A49:Y65,21,FALSE)</f>
        <v>10075.5</v>
      </c>
    </row>
    <row r="15" spans="1:17">
      <c r="A15" s="248" t="s">
        <v>1257</v>
      </c>
      <c r="B15" s="157" t="str">
        <f>VLOOKUP(A15,QUIK!C:AL,3,FALSE)</f>
        <v>ТКСХолд ао</v>
      </c>
      <c r="C15" s="222" t="str">
        <f>VLOOKUP(A15,QUIK!C:AL,2,FALSE)</f>
        <v>T</v>
      </c>
      <c r="D15" s="154">
        <f>VLOOKUP(A15,QUIK!C:AL,6,FALSE)</f>
        <v>1</v>
      </c>
      <c r="E15" s="3">
        <f>VLOOKUP(A15,QUIK!C:AL,10,FALSE)</f>
        <v>2348</v>
      </c>
      <c r="F15" s="208" t="str">
        <f>VLOOKUP(A15,QUIK!C:AL,29,FALSE)</f>
        <v>SUR</v>
      </c>
      <c r="G15" s="208">
        <f>VLOOKUP(A15,QUIK!C:AL,5,FALSE)</f>
        <v>1</v>
      </c>
      <c r="H15" s="3">
        <f>VLOOKUP(A15,QUIK!C:AL,32,FALSE)</f>
        <v>-100</v>
      </c>
      <c r="I15" s="3" t="str">
        <f>VLOOKUP(A15,QUIK!C:AL,31,FALSE)</f>
        <v/>
      </c>
      <c r="J15" s="3" t="str">
        <f>VLOOKUP(A15,QUIK!C:AL,30,FALSE)</f>
        <v/>
      </c>
      <c r="K15" s="3" t="str">
        <f>VLOOKUP(A15,QUIK!C:AL,36,FALSE)</f>
        <v>торгуется</v>
      </c>
      <c r="L15" s="252">
        <v>0.05</v>
      </c>
      <c r="M15" s="252">
        <f t="shared" si="0"/>
        <v>2.5000000000000001E-2</v>
      </c>
      <c r="N15" s="277">
        <f>IFERROR(VLOOKUP(A15,Процесс!$B$6:$F$34,5,FALSE),0)</f>
        <v>2.1933644208038356E-2</v>
      </c>
      <c r="O15" s="36">
        <f t="shared" si="1"/>
        <v>3.0663557919616453E-3</v>
      </c>
      <c r="P15" s="35">
        <f>VLOOKUP(A15,'Алгоритм (Процесс_last)'!A50:Y66,20,FALSE)</f>
        <v>1</v>
      </c>
      <c r="Q15" s="6">
        <f>VLOOKUP(A15,'Алгоритм (Процесс_last)'!A50:Y66,21,FALSE)</f>
        <v>2348</v>
      </c>
    </row>
    <row r="16" spans="1:17">
      <c r="A16" s="248" t="s">
        <v>1358</v>
      </c>
      <c r="B16" s="157" t="str">
        <f>VLOOKUP(A16,QUIK!C:AL,3,FALSE)</f>
        <v>Транснф ап</v>
      </c>
      <c r="C16" s="222" t="str">
        <f>VLOOKUP(A16,QUIK!C:AL,2,FALSE)</f>
        <v>TRNFP</v>
      </c>
      <c r="D16" s="154">
        <f>VLOOKUP(A16,QUIK!C:AL,6,FALSE)</f>
        <v>1</v>
      </c>
      <c r="E16" s="3">
        <f>VLOOKUP(A16,QUIK!C:AL,10,FALSE)</f>
        <v>944.5</v>
      </c>
      <c r="F16" s="208" t="str">
        <f>VLOOKUP(A16,QUIK!C:AL,29,FALSE)</f>
        <v>SUR</v>
      </c>
      <c r="G16" s="208">
        <f>VLOOKUP(A16,QUIK!C:AL,5,FALSE)</f>
        <v>1</v>
      </c>
      <c r="H16" s="3">
        <f>VLOOKUP(A16,QUIK!C:AL,32,FALSE)</f>
        <v>-100</v>
      </c>
      <c r="I16" s="3" t="str">
        <f>VLOOKUP(A16,QUIK!C:AL,31,FALSE)</f>
        <v/>
      </c>
      <c r="J16" s="3" t="str">
        <f>VLOOKUP(A16,QUIK!C:AL,30,FALSE)</f>
        <v/>
      </c>
      <c r="K16" s="3" t="str">
        <f>VLOOKUP(A16,QUIK!C:AL,36,FALSE)</f>
        <v>торгуется</v>
      </c>
      <c r="L16" s="252">
        <v>0.03</v>
      </c>
      <c r="M16" s="252">
        <f t="shared" si="0"/>
        <v>1.4999999999999999E-2</v>
      </c>
      <c r="N16" s="277">
        <f>IFERROR(VLOOKUP(A16,Процесс!$B$6:$F$34,5,FALSE),0)</f>
        <v>1.0783626561585012E-2</v>
      </c>
      <c r="O16" s="36">
        <f t="shared" si="1"/>
        <v>4.2163734384149873E-3</v>
      </c>
      <c r="P16" s="35">
        <f>VLOOKUP(A16,'Алгоритм (Процесс_last)'!A51:Y67,20,FALSE)</f>
        <v>4</v>
      </c>
      <c r="Q16" s="6">
        <f>VLOOKUP(A16,'Алгоритм (Процесс_last)'!A51:Y67,21,FALSE)</f>
        <v>3778</v>
      </c>
    </row>
    <row r="17" spans="1:17">
      <c r="A17" s="248" t="s">
        <v>1468</v>
      </c>
      <c r="B17" s="157" t="str">
        <f>VLOOKUP(A17,QUIK!C:AL,3,FALSE)</f>
        <v>ЯНДЕКС</v>
      </c>
      <c r="C17" s="222" t="str">
        <f>VLOOKUP(A17,QUIK!C:AL,2,FALSE)</f>
        <v>YDEX</v>
      </c>
      <c r="D17" s="154">
        <f>VLOOKUP(A17,QUIK!C:AL,6,FALSE)</f>
        <v>1</v>
      </c>
      <c r="E17" s="3">
        <f>VLOOKUP(A17,QUIK!C:AL,10,FALSE)</f>
        <v>3330.5</v>
      </c>
      <c r="F17" s="208" t="str">
        <f>VLOOKUP(A17,QUIK!C:AL,29,FALSE)</f>
        <v>SUR</v>
      </c>
      <c r="G17" s="208">
        <f>VLOOKUP(A17,QUIK!C:AL,5,FALSE)</f>
        <v>1</v>
      </c>
      <c r="H17" s="3">
        <f>VLOOKUP(A17,QUIK!C:AL,32,FALSE)</f>
        <v>-100</v>
      </c>
      <c r="I17" s="3" t="str">
        <f>VLOOKUP(A17,QUIK!C:AL,31,FALSE)</f>
        <v/>
      </c>
      <c r="J17" s="3" t="str">
        <f>VLOOKUP(A17,QUIK!C:AL,30,FALSE)</f>
        <v/>
      </c>
      <c r="K17" s="3" t="str">
        <f>VLOOKUP(A17,QUIK!C:AL,36,FALSE)</f>
        <v>торгуется</v>
      </c>
      <c r="L17" s="252">
        <v>0.09</v>
      </c>
      <c r="M17" s="252">
        <f t="shared" si="0"/>
        <v>4.4999999999999998E-2</v>
      </c>
      <c r="N17" s="277">
        <f>IFERROR(VLOOKUP(A17,Процесс!$B$6:$F$34,5,FALSE),0)</f>
        <v>0.10370528397909105</v>
      </c>
      <c r="O17" s="36">
        <f t="shared" si="1"/>
        <v>-5.8705283979091055E-2</v>
      </c>
      <c r="P17" s="35">
        <f>VLOOKUP(A17,'Алгоритм (Процесс_last)'!A52:Y68,20,FALSE)</f>
        <v>-16</v>
      </c>
      <c r="Q17" s="6">
        <f>VLOOKUP(A17,'Алгоритм (Процесс_last)'!A52:Y68,21,FALSE)</f>
        <v>-53288</v>
      </c>
    </row>
    <row r="18" spans="1:17">
      <c r="A18" s="248" t="s">
        <v>834</v>
      </c>
      <c r="B18" s="157" t="str">
        <f>VLOOKUP(A18,QUIK!C:AL,3,FALSE)</f>
        <v>МосБиржа</v>
      </c>
      <c r="C18" s="222" t="str">
        <f>VLOOKUP(A18,QUIK!C:AL,2,FALSE)</f>
        <v>MOEX</v>
      </c>
      <c r="D18" s="154">
        <f>VLOOKUP(A18,QUIK!C:AL,6,FALSE)</f>
        <v>10</v>
      </c>
      <c r="E18" s="3">
        <f>VLOOKUP(A18,QUIK!C:AL,10,FALSE)</f>
        <v>183.56</v>
      </c>
      <c r="F18" s="208" t="str">
        <f>VLOOKUP(A18,QUIK!C:AL,29,FALSE)</f>
        <v>SUR</v>
      </c>
      <c r="G18" s="208">
        <f>VLOOKUP(A18,QUIK!C:AL,5,FALSE)</f>
        <v>1</v>
      </c>
      <c r="H18" s="3">
        <f>VLOOKUP(A18,QUIK!C:AL,32,FALSE)</f>
        <v>-100</v>
      </c>
      <c r="I18" s="3" t="str">
        <f>VLOOKUP(A18,QUIK!C:AL,31,FALSE)</f>
        <v/>
      </c>
      <c r="J18" s="3" t="str">
        <f>VLOOKUP(A18,QUIK!C:AL,30,FALSE)</f>
        <v/>
      </c>
      <c r="K18" s="3" t="str">
        <f>VLOOKUP(A18,QUIK!C:AL,36,FALSE)</f>
        <v>торгуется</v>
      </c>
      <c r="L18" s="252">
        <v>0.05</v>
      </c>
      <c r="M18" s="252">
        <f t="shared" si="0"/>
        <v>2.5000000000000001E-2</v>
      </c>
      <c r="N18" s="277">
        <f>IFERROR(VLOOKUP(A18,Процесс!$B$6:$F$34,5,FALSE),0)</f>
        <v>2.667327097841439E-2</v>
      </c>
      <c r="O18" s="36">
        <f t="shared" si="1"/>
        <v>-1.6732709784143887E-3</v>
      </c>
      <c r="P18" s="35">
        <f>VLOOKUP(A18,'Алгоритм (Процесс_last)'!A53:Y69,20,FALSE)</f>
        <v>0</v>
      </c>
      <c r="Q18" s="6">
        <f>VLOOKUP(A18,'Алгоритм (Процесс_last)'!A53:Y69,21,FALSE)</f>
        <v>0</v>
      </c>
    </row>
    <row r="19" spans="1:17">
      <c r="A19" s="248" t="s">
        <v>1201</v>
      </c>
      <c r="B19" s="157" t="str">
        <f>VLOOKUP(A19,QUIK!C:AL,3,FALSE)</f>
        <v>Совкомбанк</v>
      </c>
      <c r="C19" s="222" t="str">
        <f>VLOOKUP(A19,QUIK!C:AL,2,FALSE)</f>
        <v>SVCB</v>
      </c>
      <c r="D19" s="154">
        <f>VLOOKUP(A19,QUIK!C:AL,6,FALSE)</f>
        <v>100</v>
      </c>
      <c r="E19" s="3">
        <f>VLOOKUP(A19,QUIK!C:AL,10,FALSE)</f>
        <v>12.58</v>
      </c>
      <c r="F19" s="208" t="str">
        <f>VLOOKUP(A19,QUIK!C:AL,29,FALSE)</f>
        <v>SUR</v>
      </c>
      <c r="G19" s="208">
        <f>VLOOKUP(A19,QUIK!C:AL,5,FALSE)</f>
        <v>1</v>
      </c>
      <c r="H19" s="3">
        <f>VLOOKUP(A19,QUIK!C:AL,32,FALSE)</f>
        <v>-100</v>
      </c>
      <c r="I19" s="3" t="str">
        <f>VLOOKUP(A19,QUIK!C:AL,31,FALSE)</f>
        <v/>
      </c>
      <c r="J19" s="3" t="str">
        <f>VLOOKUP(A19,QUIK!C:AL,30,FALSE)</f>
        <v/>
      </c>
      <c r="K19" s="3" t="str">
        <f>VLOOKUP(A19,QUIK!C:AL,36,FALSE)</f>
        <v>торгуется</v>
      </c>
      <c r="L19" s="252">
        <v>0.05</v>
      </c>
      <c r="M19" s="252">
        <f t="shared" si="0"/>
        <v>2.5000000000000001E-2</v>
      </c>
      <c r="N19" s="277">
        <f>IFERROR(VLOOKUP(A19,Процесс!$B$6:$F$34,5,FALSE),0)</f>
        <v>1.305722336442942E-2</v>
      </c>
      <c r="O19" s="36">
        <f t="shared" si="1"/>
        <v>1.1942776635570581E-2</v>
      </c>
      <c r="P19" s="35">
        <f>VLOOKUP(A19,'Алгоритм (Процесс_last)'!A54:Y70,20,FALSE)</f>
        <v>9</v>
      </c>
      <c r="Q19" s="6">
        <f>VLOOKUP(A19,'Алгоритм (Процесс_last)'!A54:Y70,21,FALSE)</f>
        <v>11322</v>
      </c>
    </row>
    <row r="20" spans="1:17">
      <c r="A20" s="248" t="s">
        <v>1386</v>
      </c>
      <c r="B20" s="157" t="str">
        <f>VLOOKUP(A20,QUIK!C:AL,3,FALSE)</f>
        <v>Хэдхантер</v>
      </c>
      <c r="C20" s="222" t="str">
        <f>VLOOKUP(A20,QUIK!C:AL,2,FALSE)</f>
        <v>HEAD</v>
      </c>
      <c r="D20" s="154">
        <f>VLOOKUP(A20,QUIK!C:AL,6,FALSE)</f>
        <v>1</v>
      </c>
      <c r="E20" s="3">
        <f>VLOOKUP(A20,QUIK!C:AL,10,FALSE)</f>
        <v>4200</v>
      </c>
      <c r="F20" s="208" t="str">
        <f>VLOOKUP(A20,QUIK!C:AL,29,FALSE)</f>
        <v>SUR</v>
      </c>
      <c r="G20" s="208">
        <f>VLOOKUP(A20,QUIK!C:AL,5,FALSE)</f>
        <v>1</v>
      </c>
      <c r="H20" s="3">
        <f>VLOOKUP(A20,QUIK!C:AL,32,FALSE)</f>
        <v>-100</v>
      </c>
      <c r="I20" s="3" t="str">
        <f>VLOOKUP(A20,QUIK!C:AL,31,FALSE)</f>
        <v/>
      </c>
      <c r="J20" s="3" t="str">
        <f>VLOOKUP(A20,QUIK!C:AL,30,FALSE)</f>
        <v/>
      </c>
      <c r="K20" s="3" t="str">
        <f>VLOOKUP(A20,QUIK!C:AL,36,FALSE)</f>
        <v>торгуется</v>
      </c>
      <c r="L20" s="252">
        <v>0.05</v>
      </c>
      <c r="M20" s="252">
        <f t="shared" si="0"/>
        <v>2.5000000000000001E-2</v>
      </c>
      <c r="N20" s="277">
        <f>IFERROR(VLOOKUP(A20,Процесс!$B$6:$F$34,5,FALSE),0)</f>
        <v>3.0515291487617245E-2</v>
      </c>
      <c r="O20" s="36">
        <f t="shared" si="1"/>
        <v>-5.5152914876172437E-3</v>
      </c>
      <c r="P20" s="35">
        <f>VLOOKUP(A20,'Алгоритм (Процесс_last)'!A55:Y71,20,FALSE)</f>
        <v>-1</v>
      </c>
      <c r="Q20" s="6">
        <f>VLOOKUP(A20,'Алгоритм (Процесс_last)'!A55:Y71,21,FALSE)</f>
        <v>-4200</v>
      </c>
    </row>
    <row r="21" spans="1:17">
      <c r="A21" s="248" t="s">
        <v>1340</v>
      </c>
      <c r="B21" s="157" t="str">
        <f>VLOOKUP(A21,QUIK!C:AL,3,FALSE)</f>
        <v>Татнфт 3ап</v>
      </c>
      <c r="C21" s="222" t="str">
        <f>VLOOKUP(A21,QUIK!C:AL,2,FALSE)</f>
        <v>TATNP</v>
      </c>
      <c r="D21" s="154">
        <f>VLOOKUP(A21,QUIK!C:AL,6,FALSE)</f>
        <v>1</v>
      </c>
      <c r="E21" s="3">
        <f>VLOOKUP(A21,QUIK!C:AL,10,FALSE)</f>
        <v>531.29999999999995</v>
      </c>
      <c r="F21" s="208" t="str">
        <f>VLOOKUP(A21,QUIK!C:AL,29,FALSE)</f>
        <v>SUR</v>
      </c>
      <c r="G21" s="208">
        <f>VLOOKUP(A21,QUIK!C:AL,5,FALSE)</f>
        <v>1</v>
      </c>
      <c r="H21" s="3">
        <f>VLOOKUP(A21,QUIK!C:AL,32,FALSE)</f>
        <v>-100</v>
      </c>
      <c r="I21" s="3" t="str">
        <f>VLOOKUP(A21,QUIK!C:AL,31,FALSE)</f>
        <v/>
      </c>
      <c r="J21" s="3" t="str">
        <f>VLOOKUP(A21,QUIK!C:AL,30,FALSE)</f>
        <v/>
      </c>
      <c r="K21" s="3" t="str">
        <f>VLOOKUP(A21,QUIK!C:AL,36,FALSE)</f>
        <v>торгуется</v>
      </c>
      <c r="L21" s="252">
        <v>0.05</v>
      </c>
      <c r="M21" s="252">
        <f t="shared" si="0"/>
        <v>2.5000000000000001E-2</v>
      </c>
      <c r="N21" s="277">
        <f>IFERROR(VLOOKUP(A21,Процесс!$B$6:$F$34,5,FALSE),0)</f>
        <v>0</v>
      </c>
      <c r="O21" s="36">
        <f t="shared" si="1"/>
        <v>2.5000000000000001E-2</v>
      </c>
      <c r="P21" s="35">
        <f>VLOOKUP(A21,'Алгоритм (Процесс_last)'!A56:Y72,20,FALSE)</f>
        <v>45</v>
      </c>
      <c r="Q21" s="6">
        <f>VLOOKUP(A21,'Алгоритм (Процесс_last)'!A56:Y72,21,FALSE)</f>
        <v>23908.499999999996</v>
      </c>
    </row>
    <row r="22" spans="1:17">
      <c r="A22" s="248" t="s">
        <v>419</v>
      </c>
      <c r="B22" s="157" t="str">
        <f>VLOOKUP(A22,QUIK!C:AL,3,FALSE)</f>
        <v>Астра ао</v>
      </c>
      <c r="C22" s="222" t="str">
        <f>VLOOKUP(A22,QUIK!C:AL,2,FALSE)</f>
        <v>ASTR</v>
      </c>
      <c r="D22" s="154">
        <f>VLOOKUP(A22,QUIK!C:AL,6,FALSE)</f>
        <v>1</v>
      </c>
      <c r="E22" s="3">
        <f>VLOOKUP(A22,QUIK!C:AL,10,FALSE)</f>
        <v>434.65</v>
      </c>
      <c r="F22" s="208" t="str">
        <f>VLOOKUP(A22,QUIK!C:AL,29,FALSE)</f>
        <v>SUR</v>
      </c>
      <c r="G22" s="208">
        <f>VLOOKUP(A22,QUIK!C:AL,5,FALSE)</f>
        <v>1</v>
      </c>
      <c r="H22" s="3">
        <f>VLOOKUP(A22,QUIK!C:AL,32,FALSE)</f>
        <v>-100</v>
      </c>
      <c r="I22" s="3" t="str">
        <f>VLOOKUP(A22,QUIK!C:AL,31,FALSE)</f>
        <v/>
      </c>
      <c r="J22" s="3" t="str">
        <f>VLOOKUP(A22,QUIK!C:AL,30,FALSE)</f>
        <v/>
      </c>
      <c r="K22" s="3" t="str">
        <f>VLOOKUP(A22,QUIK!C:AL,36,FALSE)</f>
        <v>торгуется</v>
      </c>
      <c r="L22" s="252">
        <v>0.09</v>
      </c>
      <c r="M22" s="252">
        <f t="shared" si="0"/>
        <v>4.4999999999999998E-2</v>
      </c>
      <c r="N22" s="277">
        <f>IFERROR(VLOOKUP(A22,Процесс!$B$6:$F$34,5,FALSE),0)</f>
        <v>2.2556924226348359E-2</v>
      </c>
      <c r="O22" s="36">
        <f t="shared" si="1"/>
        <v>2.2443075773651639E-2</v>
      </c>
      <c r="P22" s="35">
        <f>VLOOKUP(A22,'Алгоритм (Процесс_last)'!A57:Y73,20,FALSE)</f>
        <v>49</v>
      </c>
      <c r="Q22" s="6">
        <f>VLOOKUP(A22,'Алгоритм (Процесс_last)'!A57:Y73,21,FALSE)</f>
        <v>21297.85</v>
      </c>
    </row>
    <row r="23" spans="1:17">
      <c r="A23" s="248" t="s">
        <v>547</v>
      </c>
      <c r="B23" s="157" t="str">
        <f>VLOOKUP(A23,QUIK!C:AL,3,FALSE)</f>
        <v>Газпрнефть</v>
      </c>
      <c r="C23" s="222" t="str">
        <f>VLOOKUP(A23,QUIK!C:AL,2,FALSE)</f>
        <v>SIBN</v>
      </c>
      <c r="D23" s="154">
        <f>VLOOKUP(A23,QUIK!C:AL,6,FALSE)</f>
        <v>1</v>
      </c>
      <c r="E23" s="3">
        <f>VLOOKUP(A23,QUIK!C:AL,10,FALSE)</f>
        <v>542.9</v>
      </c>
      <c r="F23" s="208" t="str">
        <f>VLOOKUP(A23,QUIK!C:AL,29,FALSE)</f>
        <v>SUR</v>
      </c>
      <c r="G23" s="208">
        <f>VLOOKUP(A23,QUIK!C:AL,5,FALSE)</f>
        <v>3</v>
      </c>
      <c r="H23" s="3">
        <f>VLOOKUP(A23,QUIK!C:AL,32,FALSE)</f>
        <v>9</v>
      </c>
      <c r="I23" s="3" t="str">
        <f>VLOOKUP(A23,QUIK!C:AL,31,FALSE)</f>
        <v/>
      </c>
      <c r="J23" s="3" t="str">
        <f>VLOOKUP(A23,QUIK!C:AL,30,FALSE)</f>
        <v/>
      </c>
      <c r="K23" s="3" t="str">
        <f>VLOOKUP(A23,QUIK!C:AL,36,FALSE)</f>
        <v>торгуется</v>
      </c>
      <c r="L23" s="252">
        <v>0.05</v>
      </c>
      <c r="M23" s="252">
        <f t="shared" si="0"/>
        <v>2.5000000000000001E-2</v>
      </c>
      <c r="N23" s="277">
        <f>IFERROR(VLOOKUP(A23,Процесс!$B$6:$F$34,5,FALSE),0)</f>
        <v>2.253979829745225E-2</v>
      </c>
      <c r="O23" s="36">
        <f t="shared" si="1"/>
        <v>2.4602017025477513E-3</v>
      </c>
      <c r="P23" s="35">
        <f>VLOOKUP(A23,'Алгоритм (Процесс_last)'!A58:Y74,20,FALSE)</f>
        <v>4</v>
      </c>
      <c r="Q23" s="6">
        <f>VLOOKUP(A23,'Алгоритм (Процесс_last)'!A58:Y74,21,FALSE)</f>
        <v>2171.6</v>
      </c>
    </row>
    <row r="24" spans="1:17">
      <c r="A24" s="248" t="s">
        <v>293</v>
      </c>
      <c r="B24" s="157" t="str">
        <f>VLOOKUP(A24,QUIK!C:AL,3,FALSE)</f>
        <v>MDMG-ао</v>
      </c>
      <c r="C24" s="222" t="str">
        <f>VLOOKUP(A24,QUIK!C:AL,2,FALSE)</f>
        <v>MDMG</v>
      </c>
      <c r="D24" s="154">
        <f>VLOOKUP(A24,QUIK!C:AL,6,FALSE)</f>
        <v>1</v>
      </c>
      <c r="E24" s="3">
        <f>VLOOKUP(A24,QUIK!C:AL,10,FALSE)</f>
        <v>845.2</v>
      </c>
      <c r="F24" s="208" t="str">
        <f>VLOOKUP(A24,QUIK!C:AL,29,FALSE)</f>
        <v>SUR</v>
      </c>
      <c r="G24" s="208">
        <f>VLOOKUP(A24,QUIK!C:AL,5,FALSE)</f>
        <v>1</v>
      </c>
      <c r="H24" s="3">
        <f>VLOOKUP(A24,QUIK!C:AL,32,FALSE)</f>
        <v>-100</v>
      </c>
      <c r="I24" s="3" t="str">
        <f>VLOOKUP(A24,QUIK!C:AL,31,FALSE)</f>
        <v/>
      </c>
      <c r="J24" s="3" t="str">
        <f>VLOOKUP(A24,QUIK!C:AL,30,FALSE)</f>
        <v/>
      </c>
      <c r="K24" s="3" t="str">
        <f>VLOOKUP(A24,QUIK!C:AL,36,FALSE)</f>
        <v>торгуется</v>
      </c>
      <c r="L24" s="252">
        <v>0.03</v>
      </c>
      <c r="M24" s="252">
        <f t="shared" si="0"/>
        <v>1.4999999999999999E-2</v>
      </c>
      <c r="N24" s="277">
        <f>IFERROR(VLOOKUP(A24,Процесс!$B$6:$F$34,5,FALSE),0)</f>
        <v>2.193156833786913E-2</v>
      </c>
      <c r="O24" s="36">
        <f t="shared" si="1"/>
        <v>-6.931568337869131E-3</v>
      </c>
      <c r="P24" s="35">
        <f>VLOOKUP(A24,'Алгоритм (Процесс_last)'!A59:Y75,20,FALSE)</f>
        <v>-7</v>
      </c>
      <c r="Q24" s="6">
        <f>VLOOKUP(A24,'Алгоритм (Процесс_last)'!A59:Y75,21,FALSE)</f>
        <v>-5916.4000000000005</v>
      </c>
    </row>
    <row r="25" spans="1:17">
      <c r="A25" s="248" t="s">
        <v>432</v>
      </c>
      <c r="B25" s="157" t="str">
        <f>VLOOKUP(A25,QUIK!C:AL,3,FALSE)</f>
        <v>БСП ао</v>
      </c>
      <c r="C25" s="222" t="str">
        <f>VLOOKUP(A25,QUIK!C:AL,2,FALSE)</f>
        <v>BSPB</v>
      </c>
      <c r="D25" s="154">
        <f>VLOOKUP(A25,QUIK!C:AL,6,FALSE)</f>
        <v>10</v>
      </c>
      <c r="E25" s="3">
        <f>VLOOKUP(A25,QUIK!C:AL,10,FALSE)</f>
        <v>306.87</v>
      </c>
      <c r="F25" s="208" t="str">
        <f>VLOOKUP(A25,QUIK!C:AL,29,FALSE)</f>
        <v>SUR</v>
      </c>
      <c r="G25" s="208">
        <f>VLOOKUP(A25,QUIK!C:AL,5,FALSE)</f>
        <v>1</v>
      </c>
      <c r="H25" s="3">
        <f>VLOOKUP(A25,QUIK!C:AL,32,FALSE)</f>
        <v>-100</v>
      </c>
      <c r="I25" s="3" t="str">
        <f>VLOOKUP(A25,QUIK!C:AL,31,FALSE)</f>
        <v/>
      </c>
      <c r="J25" s="3" t="str">
        <f>VLOOKUP(A25,QUIK!C:AL,30,FALSE)</f>
        <v/>
      </c>
      <c r="K25" s="3" t="str">
        <f>VLOOKUP(A25,QUIK!C:AL,36,FALSE)</f>
        <v>торгуется</v>
      </c>
      <c r="L25" s="252">
        <v>0.1</v>
      </c>
      <c r="M25" s="252">
        <f t="shared" si="0"/>
        <v>0.05</v>
      </c>
      <c r="N25" s="277">
        <f>IFERROR(VLOOKUP(A25,Процесс!$B$6:$F$34,5,FALSE),0)</f>
        <v>7.6442673459633501E-2</v>
      </c>
      <c r="O25" s="36">
        <f t="shared" si="1"/>
        <v>-2.6442673459633498E-2</v>
      </c>
      <c r="P25" s="35">
        <f>VLOOKUP(A25,'Алгоритм (Процесс_last)'!A60:Y76,20,FALSE)</f>
        <v>-8</v>
      </c>
      <c r="Q25" s="6">
        <f>VLOOKUP(A25,'Алгоритм (Процесс_last)'!A60:Y76,21,FALSE)</f>
        <v>-24549.599999999999</v>
      </c>
    </row>
    <row r="26" spans="1:17">
      <c r="A26" s="248" t="s">
        <v>630</v>
      </c>
      <c r="B26" s="157" t="str">
        <f>VLOOKUP(A26,QUIK!C:AL,3,FALSE)</f>
        <v>ИнтерРАОао</v>
      </c>
      <c r="C26" s="222" t="str">
        <f>VLOOKUP(A26,QUIK!C:AL,2,FALSE)</f>
        <v>IRAO</v>
      </c>
      <c r="D26" s="154">
        <f>VLOOKUP(A26,QUIK!C:AL,6,FALSE)</f>
        <v>100</v>
      </c>
      <c r="E26" s="3">
        <f>VLOOKUP(A26,QUIK!C:AL,10,FALSE)</f>
        <v>3.6920000000000002</v>
      </c>
      <c r="F26" s="208" t="str">
        <f>VLOOKUP(A26,QUIK!C:AL,29,FALSE)</f>
        <v>SUR</v>
      </c>
      <c r="G26" s="208">
        <f>VLOOKUP(A26,QUIK!C:AL,5,FALSE)</f>
        <v>1</v>
      </c>
      <c r="H26" s="3">
        <f>VLOOKUP(A26,QUIK!C:AL,32,FALSE)</f>
        <v>-100</v>
      </c>
      <c r="I26" s="3" t="str">
        <f>VLOOKUP(A26,QUIK!C:AL,31,FALSE)</f>
        <v/>
      </c>
      <c r="J26" s="3" t="str">
        <f>VLOOKUP(A26,QUIK!C:AL,30,FALSE)</f>
        <v/>
      </c>
      <c r="K26" s="3" t="str">
        <f>VLOOKUP(A26,QUIK!C:AL,36,FALSE)</f>
        <v>торгуется</v>
      </c>
      <c r="L26" s="252">
        <v>0.05</v>
      </c>
      <c r="M26" s="252">
        <f t="shared" si="0"/>
        <v>2.5000000000000001E-2</v>
      </c>
      <c r="N26" s="277">
        <f>IFERROR(VLOOKUP(A26,Процесс!$B$6:$F$34,5,FALSE),0)</f>
        <v>1.9160281661952869E-2</v>
      </c>
      <c r="O26" s="36">
        <f t="shared" si="1"/>
        <v>5.8397183380471326E-3</v>
      </c>
      <c r="P26" s="35">
        <f>VLOOKUP(A26,'Алгоритм (Процесс_last)'!A61:Y77,20,FALSE)</f>
        <v>15</v>
      </c>
      <c r="Q26" s="6">
        <f>VLOOKUP(A26,'Алгоритм (Процесс_last)'!A61:Y77,21,FALSE)</f>
        <v>5538</v>
      </c>
    </row>
    <row r="27" spans="1:17">
      <c r="A27" s="248" t="s">
        <v>741</v>
      </c>
      <c r="B27" s="157" t="str">
        <f>VLOOKUP(A27,QUIK!C:AL,3,FALSE)</f>
        <v>Лента ао</v>
      </c>
      <c r="C27" s="222" t="str">
        <f>VLOOKUP(A27,QUIK!C:AL,2,FALSE)</f>
        <v>LENT</v>
      </c>
      <c r="D27" s="154">
        <f>VLOOKUP(A27,QUIK!C:AL,6,FALSE)</f>
        <v>1</v>
      </c>
      <c r="E27" s="3">
        <f>VLOOKUP(A27,QUIK!C:AL,10,FALSE)</f>
        <v>1027</v>
      </c>
      <c r="F27" s="208" t="str">
        <f>VLOOKUP(A27,QUIK!C:AL,29,FALSE)</f>
        <v>SUR</v>
      </c>
      <c r="G27" s="208">
        <f>VLOOKUP(A27,QUIK!C:AL,5,FALSE)</f>
        <v>1</v>
      </c>
      <c r="H27" s="3">
        <f>VLOOKUP(A27,QUIK!C:AL,32,FALSE)</f>
        <v>-100</v>
      </c>
      <c r="I27" s="3" t="str">
        <f>VLOOKUP(A27,QUIK!C:AL,31,FALSE)</f>
        <v/>
      </c>
      <c r="J27" s="3" t="str">
        <f>VLOOKUP(A27,QUIK!C:AL,30,FALSE)</f>
        <v/>
      </c>
      <c r="K27" s="3" t="str">
        <f>VLOOKUP(A27,QUIK!C:AL,36,FALSE)</f>
        <v>торгуется</v>
      </c>
      <c r="L27" s="252">
        <v>0.03</v>
      </c>
      <c r="M27" s="252">
        <f t="shared" si="0"/>
        <v>1.4999999999999999E-2</v>
      </c>
      <c r="N27" s="277">
        <f>IFERROR(VLOOKUP(A27,Процесс!$B$6:$F$34,5,FALSE),0)</f>
        <v>0</v>
      </c>
      <c r="O27" s="36">
        <f t="shared" si="1"/>
        <v>1.4999999999999999E-2</v>
      </c>
      <c r="P27" s="35">
        <f>VLOOKUP(A27,'Алгоритм (Процесс_last)'!A62:Y78,20,FALSE)</f>
        <v>14</v>
      </c>
      <c r="Q27" s="6">
        <f>VLOOKUP(A27,'Алгоритм (Процесс_last)'!A62:Y78,21,FALSE)</f>
        <v>14378</v>
      </c>
    </row>
    <row r="28" spans="1:17" ht="15.75" thickBot="1">
      <c r="B28" t="s">
        <v>12977</v>
      </c>
      <c r="C28" s="144">
        <f>COUNTA(C11:C27)</f>
        <v>17</v>
      </c>
      <c r="M28" s="113"/>
      <c r="N28" s="113"/>
      <c r="O28" s="113"/>
    </row>
    <row r="29" spans="1:17">
      <c r="B29" s="281" t="s">
        <v>12984</v>
      </c>
      <c r="I29" s="132" t="s">
        <v>13032</v>
      </c>
      <c r="J29" s="132"/>
      <c r="K29" s="253"/>
      <c r="L29" s="90">
        <f>SUM(L31:L41)</f>
        <v>1</v>
      </c>
      <c r="M29" s="90">
        <f>SUM(M31:M41)</f>
        <v>0.5</v>
      </c>
      <c r="N29" s="276">
        <f>SUM(N31:N41)</f>
        <v>0</v>
      </c>
      <c r="O29" s="30"/>
      <c r="P29" s="31"/>
      <c r="Q29" s="274">
        <f>SUM(Q31:Q41)</f>
        <v>0</v>
      </c>
    </row>
    <row r="30" spans="1:17" ht="45">
      <c r="A30" s="214" t="s">
        <v>228</v>
      </c>
      <c r="B30" s="215" t="s">
        <v>12883</v>
      </c>
      <c r="C30" s="205" t="s">
        <v>12859</v>
      </c>
      <c r="D30" s="205" t="s">
        <v>235</v>
      </c>
      <c r="E30" s="205" t="s">
        <v>237</v>
      </c>
      <c r="F30" s="205" t="s">
        <v>52</v>
      </c>
      <c r="G30" s="205" t="s">
        <v>12860</v>
      </c>
      <c r="H30" s="205" t="s">
        <v>12861</v>
      </c>
      <c r="I30" s="205" t="s">
        <v>12864</v>
      </c>
      <c r="J30" s="205" t="s">
        <v>12865</v>
      </c>
      <c r="K30" s="205" t="s">
        <v>231</v>
      </c>
      <c r="L30" s="206" t="s">
        <v>12975</v>
      </c>
      <c r="M30" s="251" t="s">
        <v>12976</v>
      </c>
      <c r="N30" s="275" t="s">
        <v>12983</v>
      </c>
      <c r="O30" s="34" t="s">
        <v>12986</v>
      </c>
      <c r="P30" s="33" t="s">
        <v>63</v>
      </c>
      <c r="Q30" s="13" t="s">
        <v>64</v>
      </c>
    </row>
    <row r="31" spans="1:17">
      <c r="A31" s="213" t="s">
        <v>2201</v>
      </c>
      <c r="B31" s="212" t="s">
        <v>2203</v>
      </c>
      <c r="C31" s="3">
        <v>19.78</v>
      </c>
      <c r="D31" s="249">
        <v>1000</v>
      </c>
      <c r="E31" s="3">
        <v>94.23</v>
      </c>
      <c r="F31" s="208" t="s">
        <v>94</v>
      </c>
      <c r="G31" s="208">
        <v>160</v>
      </c>
      <c r="H31" s="209">
        <v>45854</v>
      </c>
      <c r="I31" s="3">
        <v>2.84</v>
      </c>
      <c r="J31" s="209">
        <v>45854</v>
      </c>
      <c r="K31" s="3" t="s">
        <v>2125</v>
      </c>
      <c r="L31" s="219">
        <v>0.1</v>
      </c>
      <c r="M31" s="252">
        <f t="shared" ref="M31:M41" si="2">L31*$D$7</f>
        <v>0.05</v>
      </c>
      <c r="N31" s="277">
        <v>0</v>
      </c>
      <c r="O31" s="36">
        <f t="shared" ref="O31:O41" si="3">M31-N31</f>
        <v>0.05</v>
      </c>
      <c r="P31">
        <v>0</v>
      </c>
      <c r="Q31">
        <v>0</v>
      </c>
    </row>
    <row r="32" spans="1:17">
      <c r="A32" s="213" t="s">
        <v>2166</v>
      </c>
      <c r="B32" s="212" t="s">
        <v>2168</v>
      </c>
      <c r="C32" s="3">
        <v>17.88</v>
      </c>
      <c r="D32" s="249">
        <v>1000</v>
      </c>
      <c r="E32" s="3">
        <v>87.129000000000005</v>
      </c>
      <c r="F32" s="208" t="s">
        <v>94</v>
      </c>
      <c r="G32" s="208">
        <v>608</v>
      </c>
      <c r="H32" s="209">
        <v>46302</v>
      </c>
      <c r="I32" s="3">
        <v>26.35</v>
      </c>
      <c r="J32" s="209">
        <v>45756</v>
      </c>
      <c r="K32" s="3" t="s">
        <v>2125</v>
      </c>
      <c r="L32" s="219">
        <v>0.1</v>
      </c>
      <c r="M32" s="252">
        <f t="shared" si="2"/>
        <v>0.05</v>
      </c>
      <c r="N32" s="277">
        <v>0</v>
      </c>
      <c r="O32" s="36">
        <f t="shared" si="3"/>
        <v>0.05</v>
      </c>
      <c r="P32">
        <v>0</v>
      </c>
      <c r="Q32">
        <v>0</v>
      </c>
    </row>
    <row r="33" spans="1:17">
      <c r="A33" s="213" t="s">
        <v>2176</v>
      </c>
      <c r="B33" s="212" t="s">
        <v>2178</v>
      </c>
      <c r="C33" s="3">
        <v>19.260000000000002</v>
      </c>
      <c r="D33" s="249">
        <v>1000</v>
      </c>
      <c r="E33" s="3">
        <v>92.28</v>
      </c>
      <c r="F33" s="208" t="s">
        <v>94</v>
      </c>
      <c r="G33" s="208">
        <v>279</v>
      </c>
      <c r="H33" s="209">
        <v>45973</v>
      </c>
      <c r="I33" s="3">
        <v>16.850000000000001</v>
      </c>
      <c r="J33" s="209">
        <v>45791</v>
      </c>
      <c r="K33" s="3" t="s">
        <v>2125</v>
      </c>
      <c r="L33" s="219">
        <v>0.1</v>
      </c>
      <c r="M33" s="252">
        <f t="shared" si="2"/>
        <v>0.05</v>
      </c>
      <c r="N33" s="277">
        <v>0</v>
      </c>
      <c r="O33" s="36">
        <f t="shared" si="3"/>
        <v>0.05</v>
      </c>
      <c r="P33">
        <v>0</v>
      </c>
      <c r="Q33">
        <v>0</v>
      </c>
    </row>
    <row r="34" spans="1:17">
      <c r="A34" s="213" t="s">
        <v>9535</v>
      </c>
      <c r="B34" s="212" t="s">
        <v>9536</v>
      </c>
      <c r="C34" s="3">
        <v>20.72</v>
      </c>
      <c r="D34" s="249">
        <v>1000</v>
      </c>
      <c r="E34" s="3">
        <v>87.68</v>
      </c>
      <c r="F34" s="208" t="s">
        <v>94</v>
      </c>
      <c r="G34" s="208">
        <v>427</v>
      </c>
      <c r="H34" s="209">
        <v>46121</v>
      </c>
      <c r="I34" s="3">
        <v>24.49</v>
      </c>
      <c r="J34" s="209">
        <v>45757</v>
      </c>
      <c r="K34" s="3" t="s">
        <v>2413</v>
      </c>
      <c r="L34" s="219">
        <v>0.1</v>
      </c>
      <c r="M34" s="252">
        <f t="shared" si="2"/>
        <v>0.05</v>
      </c>
      <c r="N34" s="277">
        <v>0</v>
      </c>
      <c r="O34" s="36">
        <f t="shared" si="3"/>
        <v>0.05</v>
      </c>
      <c r="P34">
        <v>0</v>
      </c>
      <c r="Q34">
        <v>0</v>
      </c>
    </row>
    <row r="35" spans="1:17">
      <c r="A35" s="213" t="s">
        <v>7363</v>
      </c>
      <c r="B35" s="212" t="s">
        <v>7364</v>
      </c>
      <c r="C35" s="3">
        <v>23.57</v>
      </c>
      <c r="D35" s="249">
        <v>1000</v>
      </c>
      <c r="E35" s="3">
        <v>100.15</v>
      </c>
      <c r="F35" s="208" t="s">
        <v>94</v>
      </c>
      <c r="G35" s="208">
        <v>437</v>
      </c>
      <c r="H35" s="209">
        <v>46131</v>
      </c>
      <c r="I35" s="3">
        <v>8.25</v>
      </c>
      <c r="J35" s="209">
        <v>45711</v>
      </c>
      <c r="K35" s="3" t="s">
        <v>2413</v>
      </c>
      <c r="L35" s="219">
        <v>0.1</v>
      </c>
      <c r="M35" s="252">
        <f t="shared" si="2"/>
        <v>0.05</v>
      </c>
      <c r="N35" s="277">
        <v>0</v>
      </c>
      <c r="O35" s="36">
        <f t="shared" si="3"/>
        <v>0.05</v>
      </c>
      <c r="P35">
        <v>0</v>
      </c>
      <c r="Q35">
        <v>0</v>
      </c>
    </row>
    <row r="36" spans="1:17">
      <c r="A36" s="213" t="s">
        <v>9543</v>
      </c>
      <c r="B36" s="212" t="s">
        <v>9544</v>
      </c>
      <c r="C36" s="3">
        <v>20.86</v>
      </c>
      <c r="D36" s="249">
        <v>1000</v>
      </c>
      <c r="E36" s="3">
        <v>85.79</v>
      </c>
      <c r="F36" s="208" t="s">
        <v>94</v>
      </c>
      <c r="G36" s="208">
        <v>494</v>
      </c>
      <c r="H36" s="209">
        <v>46188</v>
      </c>
      <c r="I36" s="3">
        <v>10.75</v>
      </c>
      <c r="J36" s="209">
        <v>45824</v>
      </c>
      <c r="K36" s="3" t="s">
        <v>2413</v>
      </c>
      <c r="L36" s="219">
        <v>0.1</v>
      </c>
      <c r="M36" s="252">
        <f t="shared" si="2"/>
        <v>0.05</v>
      </c>
      <c r="N36" s="277">
        <v>0</v>
      </c>
      <c r="O36" s="36">
        <f t="shared" si="3"/>
        <v>0.05</v>
      </c>
      <c r="P36">
        <v>0</v>
      </c>
      <c r="Q36">
        <v>0</v>
      </c>
    </row>
    <row r="37" spans="1:17">
      <c r="A37" s="213" t="s">
        <v>4254</v>
      </c>
      <c r="B37" s="212" t="s">
        <v>4255</v>
      </c>
      <c r="C37" s="3">
        <v>21.88</v>
      </c>
      <c r="D37" s="249">
        <v>1000</v>
      </c>
      <c r="E37" s="3">
        <v>81.599999999999994</v>
      </c>
      <c r="F37" s="208" t="s">
        <v>94</v>
      </c>
      <c r="G37" s="208">
        <v>875</v>
      </c>
      <c r="H37" s="209">
        <v>46569</v>
      </c>
      <c r="I37" s="3">
        <v>1.75</v>
      </c>
      <c r="J37" s="209">
        <v>45871</v>
      </c>
      <c r="K37" s="3" t="s">
        <v>2413</v>
      </c>
      <c r="L37" s="219">
        <v>0.05</v>
      </c>
      <c r="M37" s="252">
        <f t="shared" si="2"/>
        <v>2.5000000000000001E-2</v>
      </c>
      <c r="N37" s="277">
        <v>0</v>
      </c>
      <c r="O37" s="36">
        <f t="shared" si="3"/>
        <v>2.5000000000000001E-2</v>
      </c>
      <c r="P37">
        <v>0</v>
      </c>
      <c r="Q37">
        <v>0</v>
      </c>
    </row>
    <row r="38" spans="1:17">
      <c r="A38" s="213" t="s">
        <v>2131</v>
      </c>
      <c r="B38" s="212" t="s">
        <v>2133</v>
      </c>
      <c r="C38" s="3">
        <v>17.63</v>
      </c>
      <c r="D38" s="249">
        <v>1000</v>
      </c>
      <c r="E38" s="3">
        <v>85.697999999999993</v>
      </c>
      <c r="F38" s="208" t="s">
        <v>94</v>
      </c>
      <c r="G38" s="208">
        <v>727</v>
      </c>
      <c r="H38" s="209">
        <v>46421</v>
      </c>
      <c r="I38" s="3">
        <v>0.45</v>
      </c>
      <c r="J38" s="209">
        <v>45875</v>
      </c>
      <c r="K38" s="3" t="s">
        <v>2125</v>
      </c>
      <c r="L38" s="219">
        <v>0.1</v>
      </c>
      <c r="M38" s="252">
        <f t="shared" si="2"/>
        <v>0.05</v>
      </c>
      <c r="N38" s="277">
        <v>0</v>
      </c>
      <c r="O38" s="36">
        <f t="shared" si="3"/>
        <v>0.05</v>
      </c>
      <c r="P38">
        <v>0</v>
      </c>
      <c r="Q38">
        <v>0</v>
      </c>
    </row>
    <row r="39" spans="1:17">
      <c r="A39" s="213" t="s">
        <v>2136</v>
      </c>
      <c r="B39" s="212" t="s">
        <v>2138</v>
      </c>
      <c r="C39" s="3">
        <v>17.43</v>
      </c>
      <c r="D39" s="249">
        <v>1000</v>
      </c>
      <c r="E39" s="3">
        <v>78.164000000000001</v>
      </c>
      <c r="F39" s="208" t="s">
        <v>94</v>
      </c>
      <c r="G39" s="208">
        <v>1077</v>
      </c>
      <c r="H39" s="209">
        <v>46771</v>
      </c>
      <c r="I39" s="3">
        <v>3.09</v>
      </c>
      <c r="J39" s="209">
        <v>45861</v>
      </c>
      <c r="K39" s="3" t="s">
        <v>2125</v>
      </c>
      <c r="L39" s="219">
        <v>0.05</v>
      </c>
      <c r="M39" s="252">
        <f t="shared" si="2"/>
        <v>2.5000000000000001E-2</v>
      </c>
      <c r="N39" s="277">
        <v>0</v>
      </c>
      <c r="O39" s="36">
        <f t="shared" si="3"/>
        <v>2.5000000000000001E-2</v>
      </c>
      <c r="P39">
        <v>0</v>
      </c>
      <c r="Q39">
        <v>0</v>
      </c>
    </row>
    <row r="40" spans="1:17">
      <c r="A40" s="213" t="s">
        <v>8988</v>
      </c>
      <c r="B40" s="212" t="s">
        <v>8989</v>
      </c>
      <c r="C40" s="3">
        <v>20.92</v>
      </c>
      <c r="D40" s="249">
        <v>1000</v>
      </c>
      <c r="E40" s="3">
        <v>94.9</v>
      </c>
      <c r="F40" s="208" t="s">
        <v>94</v>
      </c>
      <c r="G40" s="208">
        <v>419</v>
      </c>
      <c r="H40" s="209">
        <v>46113</v>
      </c>
      <c r="I40" s="3">
        <v>14.6</v>
      </c>
      <c r="J40" s="209">
        <v>45749</v>
      </c>
      <c r="K40" s="3" t="s">
        <v>2413</v>
      </c>
      <c r="L40" s="219">
        <v>0.1</v>
      </c>
      <c r="M40" s="252">
        <f t="shared" si="2"/>
        <v>0.05</v>
      </c>
      <c r="N40" s="277">
        <v>0</v>
      </c>
      <c r="O40" s="36">
        <f t="shared" si="3"/>
        <v>0.05</v>
      </c>
      <c r="P40">
        <v>0</v>
      </c>
      <c r="Q40">
        <v>0</v>
      </c>
    </row>
    <row r="41" spans="1:17">
      <c r="A41" s="213" t="s">
        <v>1977</v>
      </c>
      <c r="B41" s="212" t="s">
        <v>1975</v>
      </c>
      <c r="C41" s="3">
        <v>24.96</v>
      </c>
      <c r="D41" s="249">
        <v>1000</v>
      </c>
      <c r="E41" s="3">
        <v>97</v>
      </c>
      <c r="F41" s="208" t="s">
        <v>94</v>
      </c>
      <c r="G41" s="208">
        <v>138</v>
      </c>
      <c r="H41" s="209">
        <v>45832</v>
      </c>
      <c r="I41" s="3">
        <v>12.64</v>
      </c>
      <c r="J41" s="209">
        <v>45741</v>
      </c>
      <c r="K41" s="3" t="s">
        <v>2413</v>
      </c>
      <c r="L41" s="219">
        <v>0.1</v>
      </c>
      <c r="M41" s="252">
        <f t="shared" si="2"/>
        <v>0.05</v>
      </c>
      <c r="N41" s="277">
        <v>0</v>
      </c>
      <c r="O41" s="36">
        <f t="shared" si="3"/>
        <v>0.05</v>
      </c>
      <c r="P41">
        <v>0</v>
      </c>
      <c r="Q41">
        <v>0</v>
      </c>
    </row>
    <row r="42" spans="1:17" ht="15.75" thickBot="1">
      <c r="B42" t="s">
        <v>12978</v>
      </c>
      <c r="C42" s="144">
        <f>COUNTA(C31:C41)</f>
        <v>11</v>
      </c>
      <c r="N42" s="90"/>
    </row>
    <row r="43" spans="1:17">
      <c r="B43" s="281" t="s">
        <v>12984</v>
      </c>
      <c r="N43" s="276">
        <f>SUM(N45:N60)</f>
        <v>0.47163583416491833</v>
      </c>
      <c r="O43" s="30"/>
      <c r="P43" s="31">
        <f>COUNTIF(P45:P60,"&gt;0")</f>
        <v>12</v>
      </c>
      <c r="Q43" s="274">
        <f>SUM(Q45:Q60)</f>
        <v>454398.2</v>
      </c>
    </row>
    <row r="44" spans="1:17" ht="45">
      <c r="A44" s="282" t="s">
        <v>228</v>
      </c>
      <c r="B44" s="282" t="s">
        <v>1964</v>
      </c>
      <c r="C44" s="283" t="s">
        <v>229</v>
      </c>
      <c r="D44" s="284" t="s">
        <v>233</v>
      </c>
      <c r="E44" s="284" t="s">
        <v>235</v>
      </c>
      <c r="F44" s="285" t="s">
        <v>12860</v>
      </c>
      <c r="G44" s="284" t="s">
        <v>237</v>
      </c>
      <c r="H44" s="284" t="s">
        <v>52</v>
      </c>
      <c r="I44" s="284" t="s">
        <v>232</v>
      </c>
      <c r="J44" s="284" t="s">
        <v>258</v>
      </c>
      <c r="K44" s="284" t="s">
        <v>257</v>
      </c>
      <c r="L44" s="284" t="s">
        <v>256</v>
      </c>
      <c r="M44" s="286" t="s">
        <v>12976</v>
      </c>
      <c r="N44" s="287" t="s">
        <v>12983</v>
      </c>
      <c r="O44" s="288" t="s">
        <v>13026</v>
      </c>
      <c r="P44" s="287" t="s">
        <v>63</v>
      </c>
      <c r="Q44" s="289" t="s">
        <v>64</v>
      </c>
    </row>
    <row r="45" spans="1:17">
      <c r="A45" s="3" t="s">
        <v>99</v>
      </c>
      <c r="B45" s="3" t="s">
        <v>100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232">
        <f>100%-SUM(M29,M9)</f>
        <v>2.4999999999999911E-2</v>
      </c>
      <c r="N45" s="115">
        <f>IFERROR(VLOOKUP(A45,Процесс!$B$6:$F$34,5,FALSE),0)</f>
        <v>0</v>
      </c>
      <c r="O45" s="232">
        <f t="shared" ref="O45:O48" si="4">N45</f>
        <v>0</v>
      </c>
      <c r="P45" s="3"/>
      <c r="Q45" s="3"/>
    </row>
    <row r="46" spans="1:17">
      <c r="A46" s="3"/>
      <c r="B46" s="3" t="s">
        <v>12207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>
        <v>0</v>
      </c>
      <c r="N46" s="115">
        <f>IFERROR(VLOOKUP(A46,Процесс!$B$6:$F$34,5,FALSE),0)</f>
        <v>0</v>
      </c>
      <c r="O46" s="232">
        <f t="shared" si="4"/>
        <v>0</v>
      </c>
      <c r="P46" s="3"/>
      <c r="Q46" s="3"/>
    </row>
    <row r="47" spans="1:17">
      <c r="A47" s="3"/>
      <c r="B47" s="3" t="s">
        <v>13024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>
        <v>0</v>
      </c>
      <c r="N47" s="115">
        <f>IFERROR(VLOOKUP(A47,Процесс!$B$6:$F$34,5,FALSE),0)</f>
        <v>0</v>
      </c>
      <c r="O47" s="232">
        <f t="shared" si="4"/>
        <v>0</v>
      </c>
      <c r="P47" s="3"/>
      <c r="Q47" s="3"/>
    </row>
    <row r="48" spans="1:17">
      <c r="A48" s="3"/>
      <c r="B48" s="3" t="s">
        <v>13025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>
        <v>0</v>
      </c>
      <c r="N48" s="115">
        <f>IFERROR(VLOOKUP(A48,Процесс!$B$6:$F$34,5,FALSE),0)</f>
        <v>0</v>
      </c>
      <c r="O48" s="232">
        <f t="shared" si="4"/>
        <v>0</v>
      </c>
      <c r="P48" s="3"/>
      <c r="Q48" s="3"/>
    </row>
    <row r="49" spans="1:17">
      <c r="A49" s="3" t="s">
        <v>452</v>
      </c>
      <c r="B49" s="3" t="s">
        <v>454</v>
      </c>
      <c r="C49" s="3" t="s">
        <v>453</v>
      </c>
      <c r="D49" s="3">
        <v>1</v>
      </c>
      <c r="E49" s="3">
        <v>1</v>
      </c>
      <c r="F49" s="3"/>
      <c r="G49" s="3">
        <v>1084</v>
      </c>
      <c r="H49" s="3" t="s">
        <v>94</v>
      </c>
      <c r="I49" s="3">
        <v>3</v>
      </c>
      <c r="J49" s="3" t="s">
        <v>226</v>
      </c>
      <c r="K49" s="3">
        <v>9</v>
      </c>
      <c r="L49" s="3"/>
      <c r="M49" s="3">
        <v>0</v>
      </c>
      <c r="N49" s="115">
        <f>IFERROR(VLOOKUP(A49,Процесс!$B$6:$F$34,5,FALSE),0)</f>
        <v>5.6256081586015465E-2</v>
      </c>
      <c r="O49" s="232">
        <f>N49</f>
        <v>5.6256081586015465E-2</v>
      </c>
      <c r="P49" s="3">
        <v>50</v>
      </c>
      <c r="Q49" s="290">
        <v>54200</v>
      </c>
    </row>
    <row r="50" spans="1:17">
      <c r="A50" s="3" t="s">
        <v>769</v>
      </c>
      <c r="B50" s="3" t="s">
        <v>771</v>
      </c>
      <c r="C50" s="3" t="s">
        <v>770</v>
      </c>
      <c r="D50" s="3">
        <v>1</v>
      </c>
      <c r="E50" s="3">
        <v>1</v>
      </c>
      <c r="F50" s="3"/>
      <c r="G50" s="3">
        <v>255</v>
      </c>
      <c r="H50" s="3" t="s">
        <v>94</v>
      </c>
      <c r="I50" s="3">
        <v>1</v>
      </c>
      <c r="J50" s="3" t="s">
        <v>226</v>
      </c>
      <c r="K50" s="3">
        <v>-100</v>
      </c>
      <c r="L50" s="3"/>
      <c r="M50" s="3">
        <v>0</v>
      </c>
      <c r="N50" s="115">
        <f>IFERROR(VLOOKUP(A50,Процесс!$B$6:$F$34,5,FALSE),0)</f>
        <v>1.3233672328813601E-2</v>
      </c>
      <c r="O50" s="232">
        <f t="shared" ref="O50:O60" si="5">N50</f>
        <v>1.3233672328813601E-2</v>
      </c>
      <c r="P50" s="3">
        <v>50</v>
      </c>
      <c r="Q50" s="290">
        <v>12750</v>
      </c>
    </row>
    <row r="51" spans="1:17">
      <c r="A51" s="3" t="s">
        <v>877</v>
      </c>
      <c r="B51" s="3" t="s">
        <v>879</v>
      </c>
      <c r="C51" s="3" t="s">
        <v>878</v>
      </c>
      <c r="D51" s="3">
        <v>1</v>
      </c>
      <c r="E51" s="3">
        <v>1</v>
      </c>
      <c r="F51" s="3"/>
      <c r="G51" s="3">
        <v>580</v>
      </c>
      <c r="H51" s="3" t="s">
        <v>94</v>
      </c>
      <c r="I51" s="3">
        <v>1</v>
      </c>
      <c r="J51" s="3" t="s">
        <v>226</v>
      </c>
      <c r="K51" s="3">
        <v>-100</v>
      </c>
      <c r="L51" s="3"/>
      <c r="M51" s="3">
        <v>0</v>
      </c>
      <c r="N51" s="115">
        <f>IFERROR(VLOOKUP(A51,Процесс!$B$6:$F$34,5,FALSE),0)</f>
        <v>7.2240281889053067E-3</v>
      </c>
      <c r="O51" s="232">
        <f t="shared" si="5"/>
        <v>7.2240281889053067E-3</v>
      </c>
      <c r="P51" s="3">
        <v>12</v>
      </c>
      <c r="Q51" s="290">
        <v>6960</v>
      </c>
    </row>
    <row r="52" spans="1:17">
      <c r="A52" s="3" t="s">
        <v>1053</v>
      </c>
      <c r="B52" s="3" t="s">
        <v>110</v>
      </c>
      <c r="C52" s="3" t="s">
        <v>109</v>
      </c>
      <c r="D52" s="3">
        <v>10</v>
      </c>
      <c r="E52" s="3">
        <v>1</v>
      </c>
      <c r="F52" s="3"/>
      <c r="G52" s="3">
        <v>52.67</v>
      </c>
      <c r="H52" s="3" t="s">
        <v>94</v>
      </c>
      <c r="I52" s="3">
        <v>1</v>
      </c>
      <c r="J52" s="3" t="s">
        <v>226</v>
      </c>
      <c r="K52" s="3">
        <v>-100</v>
      </c>
      <c r="L52" s="3"/>
      <c r="M52" s="3">
        <v>0</v>
      </c>
      <c r="N52" s="115">
        <f>IFERROR(VLOOKUP(A52,Процесс!$B$6:$F$34,5,FALSE),0)</f>
        <v>5.4668040906557837E-3</v>
      </c>
      <c r="O52" s="232">
        <f t="shared" si="5"/>
        <v>5.4668040906557837E-3</v>
      </c>
      <c r="P52" s="3">
        <v>10</v>
      </c>
      <c r="Q52" s="290">
        <v>5267</v>
      </c>
    </row>
    <row r="53" spans="1:17">
      <c r="A53" s="3" t="s">
        <v>987</v>
      </c>
      <c r="B53" s="3" t="s">
        <v>989</v>
      </c>
      <c r="C53" s="3" t="s">
        <v>988</v>
      </c>
      <c r="D53" s="3">
        <v>1000</v>
      </c>
      <c r="E53" s="3">
        <v>1</v>
      </c>
      <c r="F53" s="3"/>
      <c r="G53" s="3">
        <v>1.0745</v>
      </c>
      <c r="H53" s="3" t="s">
        <v>94</v>
      </c>
      <c r="I53" s="3">
        <v>2</v>
      </c>
      <c r="J53" s="3" t="s">
        <v>226</v>
      </c>
      <c r="K53" s="3">
        <v>-100</v>
      </c>
      <c r="L53" s="3"/>
      <c r="M53" s="3">
        <v>0</v>
      </c>
      <c r="N53" s="115">
        <f>IFERROR(VLOOKUP(A53,Процесс!$B$6:$F$34,5,FALSE),0)</f>
        <v>1.1152612484164874E-2</v>
      </c>
      <c r="O53" s="232">
        <f t="shared" si="5"/>
        <v>1.1152612484164874E-2</v>
      </c>
      <c r="P53" s="3">
        <v>10</v>
      </c>
      <c r="Q53" s="290">
        <v>10745</v>
      </c>
    </row>
    <row r="54" spans="1:17">
      <c r="A54" s="3" t="s">
        <v>997</v>
      </c>
      <c r="B54" s="3" t="s">
        <v>999</v>
      </c>
      <c r="C54" s="3" t="s">
        <v>998</v>
      </c>
      <c r="D54" s="3">
        <v>10000</v>
      </c>
      <c r="E54" s="3">
        <v>1</v>
      </c>
      <c r="F54" s="3"/>
      <c r="G54" s="3">
        <v>0.32429999999999998</v>
      </c>
      <c r="H54" s="3" t="s">
        <v>94</v>
      </c>
      <c r="I54" s="3">
        <v>2</v>
      </c>
      <c r="J54" s="3" t="s">
        <v>226</v>
      </c>
      <c r="K54" s="3">
        <v>-100</v>
      </c>
      <c r="L54" s="3"/>
      <c r="M54" s="3">
        <v>0</v>
      </c>
      <c r="N54" s="115">
        <f>IFERROR(VLOOKUP(A54,Процесс!$B$6:$F$34,5,FALSE),0)</f>
        <v>7.7418540026186491E-2</v>
      </c>
      <c r="O54" s="232">
        <f t="shared" si="5"/>
        <v>7.7418540026186491E-2</v>
      </c>
      <c r="P54" s="3">
        <v>23</v>
      </c>
      <c r="Q54" s="290">
        <v>74589</v>
      </c>
    </row>
    <row r="55" spans="1:17">
      <c r="A55" s="3" t="s">
        <v>1151</v>
      </c>
      <c r="B55" s="3" t="s">
        <v>1153</v>
      </c>
      <c r="C55" s="3" t="s">
        <v>1152</v>
      </c>
      <c r="D55" s="3">
        <v>10</v>
      </c>
      <c r="E55" s="3">
        <v>1</v>
      </c>
      <c r="F55" s="3"/>
      <c r="G55" s="3">
        <v>228.11</v>
      </c>
      <c r="H55" s="3" t="s">
        <v>94</v>
      </c>
      <c r="I55" s="3">
        <v>1</v>
      </c>
      <c r="J55" s="3" t="s">
        <v>226</v>
      </c>
      <c r="K55" s="3">
        <v>-100</v>
      </c>
      <c r="L55" s="3"/>
      <c r="M55" s="3">
        <v>0</v>
      </c>
      <c r="N55" s="115">
        <f>IFERROR(VLOOKUP(A55,Процесс!$B$6:$F$34,5,FALSE),0)</f>
        <v>9.4705348860413194E-2</v>
      </c>
      <c r="O55" s="232">
        <f t="shared" si="5"/>
        <v>9.4705348860413194E-2</v>
      </c>
      <c r="P55" s="3">
        <v>40</v>
      </c>
      <c r="Q55" s="290">
        <v>91244</v>
      </c>
    </row>
    <row r="56" spans="1:17">
      <c r="A56" s="3" t="s">
        <v>1156</v>
      </c>
      <c r="B56" s="3" t="s">
        <v>1158</v>
      </c>
      <c r="C56" s="3" t="s">
        <v>1157</v>
      </c>
      <c r="D56" s="3">
        <v>10</v>
      </c>
      <c r="E56" s="3">
        <v>1</v>
      </c>
      <c r="F56" s="3"/>
      <c r="G56" s="3">
        <v>228.35</v>
      </c>
      <c r="H56" s="3" t="s">
        <v>94</v>
      </c>
      <c r="I56" s="3">
        <v>1</v>
      </c>
      <c r="J56" s="3" t="s">
        <v>226</v>
      </c>
      <c r="K56" s="3">
        <v>-100</v>
      </c>
      <c r="L56" s="3"/>
      <c r="M56" s="3">
        <v>0</v>
      </c>
      <c r="N56" s="115">
        <f>IFERROR(VLOOKUP(A56,Процесс!$B$6:$F$34,5,FALSE),0)</f>
        <v>7.1103742971402026E-2</v>
      </c>
      <c r="O56" s="232">
        <f t="shared" si="5"/>
        <v>7.1103742971402026E-2</v>
      </c>
      <c r="P56" s="3">
        <v>30</v>
      </c>
      <c r="Q56" s="290">
        <v>68505</v>
      </c>
    </row>
    <row r="57" spans="1:17">
      <c r="A57" s="3" t="s">
        <v>1335</v>
      </c>
      <c r="B57" s="3" t="s">
        <v>1337</v>
      </c>
      <c r="C57" s="3" t="s">
        <v>1336</v>
      </c>
      <c r="D57" s="3">
        <v>1</v>
      </c>
      <c r="E57" s="3">
        <v>1</v>
      </c>
      <c r="F57" s="3"/>
      <c r="G57" s="3">
        <v>532.9</v>
      </c>
      <c r="H57" s="3" t="s">
        <v>94</v>
      </c>
      <c r="I57" s="3">
        <v>1</v>
      </c>
      <c r="J57" s="3" t="s">
        <v>226</v>
      </c>
      <c r="K57" s="3">
        <v>-100</v>
      </c>
      <c r="L57" s="3"/>
      <c r="M57" s="3">
        <v>0</v>
      </c>
      <c r="N57" s="115">
        <f>IFERROR(VLOOKUP(A57,Процесс!$B$6:$F$34,5,FALSE),0)</f>
        <v>2.7655780329508894E-2</v>
      </c>
      <c r="O57" s="232">
        <f t="shared" si="5"/>
        <v>2.7655780329508894E-2</v>
      </c>
      <c r="P57" s="3">
        <v>50</v>
      </c>
      <c r="Q57" s="290">
        <v>26645</v>
      </c>
    </row>
    <row r="58" spans="1:17">
      <c r="A58" s="3" t="s">
        <v>1977</v>
      </c>
      <c r="B58" s="3" t="s">
        <v>1975</v>
      </c>
      <c r="C58" s="3" t="s">
        <v>1977</v>
      </c>
      <c r="D58" s="3">
        <v>1</v>
      </c>
      <c r="E58" s="3">
        <v>1000</v>
      </c>
      <c r="F58" s="3">
        <v>1077</v>
      </c>
      <c r="G58" s="3">
        <v>94.58</v>
      </c>
      <c r="H58" s="3" t="s">
        <v>94</v>
      </c>
      <c r="I58" s="3">
        <v>1</v>
      </c>
      <c r="J58" s="3" t="s">
        <v>226</v>
      </c>
      <c r="K58" s="3">
        <v>6</v>
      </c>
      <c r="L58" s="3"/>
      <c r="M58" s="3">
        <v>0</v>
      </c>
      <c r="N58" s="115">
        <f>IFERROR(VLOOKUP(A58,Процесс!$B$6:$F$34,5,FALSE),0)</f>
        <v>4.9083950151340802E-2</v>
      </c>
      <c r="O58" s="232">
        <f t="shared" si="5"/>
        <v>4.9083950151340802E-2</v>
      </c>
      <c r="P58" s="3">
        <v>50</v>
      </c>
      <c r="Q58" s="290">
        <v>47290</v>
      </c>
    </row>
    <row r="59" spans="1:17">
      <c r="A59" s="3" t="s">
        <v>1979</v>
      </c>
      <c r="B59" s="3" t="s">
        <v>1978</v>
      </c>
      <c r="C59" s="3" t="s">
        <v>1979</v>
      </c>
      <c r="D59" s="3">
        <v>1</v>
      </c>
      <c r="E59" s="3">
        <v>1000</v>
      </c>
      <c r="F59" s="3">
        <v>419</v>
      </c>
      <c r="G59" s="3">
        <v>91.11</v>
      </c>
      <c r="H59" s="3" t="s">
        <v>94</v>
      </c>
      <c r="I59" s="3">
        <v>1</v>
      </c>
      <c r="J59" s="3" t="s">
        <v>226</v>
      </c>
      <c r="K59" s="3">
        <v>6</v>
      </c>
      <c r="L59" s="3"/>
      <c r="M59" s="3">
        <v>0</v>
      </c>
      <c r="N59" s="115">
        <f>IFERROR(VLOOKUP(A59,Процесс!$B$6:$F$34,5,FALSE),0)</f>
        <v>3.0261204978904024E-2</v>
      </c>
      <c r="O59" s="232">
        <f t="shared" si="5"/>
        <v>3.0261204978904024E-2</v>
      </c>
      <c r="P59" s="3">
        <v>32</v>
      </c>
      <c r="Q59" s="290">
        <v>29155.200000000001</v>
      </c>
    </row>
    <row r="60" spans="1:17">
      <c r="A60" s="3" t="s">
        <v>1981</v>
      </c>
      <c r="B60" s="3" t="s">
        <v>1980</v>
      </c>
      <c r="C60" s="3" t="s">
        <v>1981</v>
      </c>
      <c r="D60" s="3">
        <v>1</v>
      </c>
      <c r="E60" s="3">
        <v>1000</v>
      </c>
      <c r="F60" s="3">
        <v>138</v>
      </c>
      <c r="G60" s="3">
        <v>90.16</v>
      </c>
      <c r="H60" s="3" t="s">
        <v>94</v>
      </c>
      <c r="I60" s="3">
        <v>1</v>
      </c>
      <c r="J60" s="3" t="s">
        <v>226</v>
      </c>
      <c r="K60" s="3">
        <v>6</v>
      </c>
      <c r="L60" s="3"/>
      <c r="M60" s="3">
        <v>0</v>
      </c>
      <c r="N60" s="115">
        <f>IFERROR(VLOOKUP(A60,Процесс!$B$6:$F$34,5,FALSE),0)</f>
        <v>2.8074068168607861E-2</v>
      </c>
      <c r="O60" s="232">
        <f t="shared" si="5"/>
        <v>2.8074068168607861E-2</v>
      </c>
      <c r="P60" s="3">
        <v>30</v>
      </c>
      <c r="Q60" s="290">
        <v>27048</v>
      </c>
    </row>
    <row r="71" spans="16:16">
      <c r="P71" t="s">
        <v>13031</v>
      </c>
    </row>
    <row r="72" spans="16:16">
      <c r="P72" t="s">
        <v>13028</v>
      </c>
    </row>
    <row r="73" spans="16:16">
      <c r="P73" t="s">
        <v>13029</v>
      </c>
    </row>
    <row r="74" spans="16:16">
      <c r="P74" t="s">
        <v>13030</v>
      </c>
    </row>
  </sheetData>
  <mergeCells count="2">
    <mergeCell ref="N4:Q4"/>
    <mergeCell ref="N3:Q3"/>
  </mergeCells>
  <conditionalFormatting sqref="M11:M27">
    <cfRule type="colorScale" priority="5">
      <colorScale>
        <cfvo type="min"/>
        <cfvo type="max"/>
        <color rgb="FFFCFCFF"/>
        <color rgb="FF63BE7B"/>
      </colorScale>
    </cfRule>
  </conditionalFormatting>
  <conditionalFormatting sqref="M31:M41">
    <cfRule type="colorScale" priority="4">
      <colorScale>
        <cfvo type="min"/>
        <cfvo type="max"/>
        <color rgb="FFFCFCFF"/>
        <color rgb="FF63BE7B"/>
      </colorScale>
    </cfRule>
  </conditionalFormatting>
  <conditionalFormatting sqref="O11:O2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N27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{45C8D931-A962-4B51-92BE-D99E6EDB8107}</x14:id>
        </ext>
      </extLst>
    </cfRule>
  </conditionalFormatting>
  <conditionalFormatting sqref="O31:O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50" r:id="rId4" name="Drop Down 10">
              <controlPr defaultSize="0" autoLine="0" autoPict="0">
                <anchor moveWithCells="1">
                  <from>
                    <xdr:col>1</xdr:col>
                    <xdr:colOff>28575</xdr:colOff>
                    <xdr:row>2</xdr:row>
                    <xdr:rowOff>66675</xdr:rowOff>
                  </from>
                  <to>
                    <xdr:col>1</xdr:col>
                    <xdr:colOff>2000250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5" name="Drop Down 11">
              <controlPr defaultSize="0" autoLine="0" autoPict="0">
                <anchor moveWithCells="1">
                  <from>
                    <xdr:col>1</xdr:col>
                    <xdr:colOff>19050</xdr:colOff>
                    <xdr:row>4</xdr:row>
                    <xdr:rowOff>0</xdr:rowOff>
                  </from>
                  <to>
                    <xdr:col>1</xdr:col>
                    <xdr:colOff>2000250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6" name="Drop Down 12">
              <controlPr defaultSize="0" autoLine="0" autoPict="0">
                <anchor moveWithCells="1">
                  <from>
                    <xdr:col>1</xdr:col>
                    <xdr:colOff>28575</xdr:colOff>
                    <xdr:row>0</xdr:row>
                    <xdr:rowOff>0</xdr:rowOff>
                  </from>
                  <to>
                    <xdr:col>1</xdr:col>
                    <xdr:colOff>2009775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C8D931-A962-4B51-92BE-D99E6EDB81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N11:N27</xm:sqref>
        </x14:conditionalFormatting>
        <x14:conditionalFormatting xmlns:xm="http://schemas.microsoft.com/office/excel/2006/main">
          <x14:cfRule type="iconSet" priority="6" id="{0BAD3E49-85F5-4AA6-982D-19D83011AA17}">
            <x14:iconSet iconSet="3Flags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G11:G27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61BAB-CAB1-4495-AB0E-65CDC15C3276}">
  <sheetPr codeName="Лист5">
    <tabColor theme="8"/>
  </sheetPr>
  <dimension ref="A1:W237"/>
  <sheetViews>
    <sheetView topLeftCell="A89" workbookViewId="0">
      <selection activeCell="T111" sqref="T111"/>
    </sheetView>
  </sheetViews>
  <sheetFormatPr defaultRowHeight="15"/>
  <cols>
    <col min="1" max="1" width="17.5703125" customWidth="1"/>
    <col min="2" max="2" width="17.140625" customWidth="1"/>
    <col min="3" max="4" width="14.28515625" customWidth="1"/>
    <col min="5" max="5" width="14.42578125" customWidth="1"/>
    <col min="6" max="6" width="10.7109375" customWidth="1"/>
    <col min="7" max="7" width="10.140625" customWidth="1"/>
    <col min="9" max="9" width="12.5703125" customWidth="1"/>
    <col min="10" max="10" width="15.140625" bestFit="1" customWidth="1"/>
    <col min="11" max="11" width="12.85546875" customWidth="1"/>
    <col min="15" max="15" width="12" bestFit="1" customWidth="1"/>
    <col min="16" max="16" width="9.42578125" bestFit="1" customWidth="1"/>
    <col min="17" max="17" width="12.42578125" bestFit="1" customWidth="1"/>
    <col min="18" max="18" width="13.85546875" customWidth="1"/>
    <col min="19" max="19" width="13.140625" customWidth="1"/>
    <col min="20" max="20" width="10.85546875" customWidth="1"/>
  </cols>
  <sheetData>
    <row r="1" spans="1:18" ht="21">
      <c r="A1" s="166" t="s">
        <v>12251</v>
      </c>
    </row>
    <row r="3" spans="1:18">
      <c r="D3" s="132" t="s">
        <v>12754</v>
      </c>
      <c r="E3" s="131">
        <f>QUIK_портфель!P3</f>
        <v>963451.3899999999</v>
      </c>
      <c r="F3" t="str">
        <f>IF(ABS(F4)&lt;1%,"ОК","Данные Портфеля не корректны!")</f>
        <v>ОК</v>
      </c>
    </row>
    <row r="4" spans="1:18">
      <c r="D4" s="132" t="s">
        <v>12755</v>
      </c>
      <c r="E4" s="131">
        <f>SUM(E7:E34)</f>
        <v>963451.3899999999</v>
      </c>
      <c r="F4" s="113">
        <f>(E4-E3)/E3</f>
        <v>0</v>
      </c>
    </row>
    <row r="5" spans="1:18">
      <c r="A5" t="s">
        <v>2113</v>
      </c>
      <c r="I5" t="s">
        <v>12252</v>
      </c>
    </row>
    <row r="6" spans="1:18">
      <c r="A6" s="3" t="s">
        <v>229</v>
      </c>
      <c r="B6" s="3" t="s">
        <v>228</v>
      </c>
      <c r="C6" s="3" t="s">
        <v>1964</v>
      </c>
      <c r="D6" s="3" t="s">
        <v>1966</v>
      </c>
      <c r="E6" s="3" t="s">
        <v>1967</v>
      </c>
      <c r="F6" s="3" t="s">
        <v>1968</v>
      </c>
      <c r="I6" s="3" t="s">
        <v>229</v>
      </c>
      <c r="J6" s="3" t="s">
        <v>1964</v>
      </c>
      <c r="K6" s="154" t="s">
        <v>140</v>
      </c>
    </row>
    <row r="7" spans="1:18" ht="15.75">
      <c r="A7" s="3" t="s">
        <v>94</v>
      </c>
      <c r="B7" s="3"/>
      <c r="C7" s="3"/>
      <c r="D7" s="3">
        <f>QUIK_деньги!J3</f>
        <v>3518.69</v>
      </c>
      <c r="E7" s="3">
        <f>D7</f>
        <v>3518.69</v>
      </c>
      <c r="F7" s="115">
        <f>E7/$E$3</f>
        <v>3.6521718028763241E-3</v>
      </c>
      <c r="I7" s="155" t="s">
        <v>94</v>
      </c>
      <c r="J7" s="155"/>
      <c r="K7" s="155" t="s">
        <v>95</v>
      </c>
      <c r="L7" s="156" t="s">
        <v>62</v>
      </c>
      <c r="M7" s="171"/>
    </row>
    <row r="8" spans="1:18">
      <c r="A8" s="3" t="s">
        <v>99</v>
      </c>
      <c r="B8" s="3" t="s">
        <v>1571</v>
      </c>
      <c r="C8" s="3" t="s">
        <v>188</v>
      </c>
      <c r="D8" s="3">
        <v>37000</v>
      </c>
      <c r="E8" s="178">
        <v>56965.200000000004</v>
      </c>
      <c r="F8" s="115">
        <f t="shared" ref="F8:F34" si="0">E8/$E$3</f>
        <v>5.9126179681986871E-2</v>
      </c>
      <c r="I8" s="157" t="s">
        <v>101</v>
      </c>
      <c r="J8" s="157" t="s">
        <v>718</v>
      </c>
      <c r="K8" s="157" t="s">
        <v>102</v>
      </c>
      <c r="L8" s="158">
        <v>0.05</v>
      </c>
      <c r="M8" s="172"/>
      <c r="Q8" s="179"/>
      <c r="R8" s="180"/>
    </row>
    <row r="9" spans="1:18">
      <c r="A9" s="3" t="s">
        <v>107</v>
      </c>
      <c r="B9" s="3" t="str">
        <f>VLOOKUP(A9,Лист5!A:E,5,FALSE)</f>
        <v>RU000A103X66</v>
      </c>
      <c r="C9" s="3" t="s">
        <v>108</v>
      </c>
      <c r="D9" s="3">
        <v>6</v>
      </c>
      <c r="E9" s="178">
        <v>10791.599999999999</v>
      </c>
      <c r="F9" s="115">
        <f t="shared" si="0"/>
        <v>1.120098025910783E-2</v>
      </c>
      <c r="I9" s="157" t="s">
        <v>104</v>
      </c>
      <c r="J9" s="157" t="s">
        <v>299</v>
      </c>
      <c r="K9" s="157" t="s">
        <v>105</v>
      </c>
      <c r="L9" s="158">
        <v>0.05</v>
      </c>
      <c r="Q9" s="179"/>
      <c r="R9" s="180"/>
    </row>
    <row r="10" spans="1:18" ht="15.75">
      <c r="A10" s="3" t="s">
        <v>132</v>
      </c>
      <c r="B10" s="3" t="str">
        <f>VLOOKUP(A10,Лист5!A:E,5,FALSE)</f>
        <v>RU000A108KL3</v>
      </c>
      <c r="C10" s="3" t="s">
        <v>133</v>
      </c>
      <c r="D10" s="3">
        <v>25</v>
      </c>
      <c r="E10" s="178">
        <v>21130</v>
      </c>
      <c r="F10" s="115">
        <f t="shared" si="0"/>
        <v>2.193156833786913E-2</v>
      </c>
      <c r="I10" s="157" t="s">
        <v>107</v>
      </c>
      <c r="J10" s="157" t="s">
        <v>366</v>
      </c>
      <c r="K10" s="157" t="s">
        <v>108</v>
      </c>
      <c r="L10" s="158">
        <v>0.05</v>
      </c>
      <c r="M10" s="171"/>
      <c r="Q10" s="179"/>
      <c r="R10" s="180"/>
    </row>
    <row r="11" spans="1:18">
      <c r="A11" s="3" t="s">
        <v>128</v>
      </c>
      <c r="B11" s="3" t="str">
        <f>VLOOKUP(A11,Лист5!A:E,5,FALSE)</f>
        <v>RU000A106T36</v>
      </c>
      <c r="C11" s="3" t="s">
        <v>129</v>
      </c>
      <c r="D11" s="3">
        <v>50</v>
      </c>
      <c r="E11" s="178">
        <v>21732.5</v>
      </c>
      <c r="F11" s="115">
        <f t="shared" si="0"/>
        <v>2.2556924226348359E-2</v>
      </c>
      <c r="I11" s="157" t="s">
        <v>109</v>
      </c>
      <c r="J11" s="157" t="s">
        <v>1053</v>
      </c>
      <c r="K11" s="157" t="s">
        <v>110</v>
      </c>
      <c r="L11" s="159">
        <v>0</v>
      </c>
      <c r="Q11" s="179"/>
      <c r="R11" s="180"/>
    </row>
    <row r="12" spans="1:18">
      <c r="A12" s="3" t="s">
        <v>453</v>
      </c>
      <c r="B12" s="3" t="str">
        <f>VLOOKUP(A12,Лист5!A:E,5,FALSE)</f>
        <v>RU0007976965</v>
      </c>
      <c r="C12" s="3" t="s">
        <v>454</v>
      </c>
      <c r="D12" s="3">
        <v>50</v>
      </c>
      <c r="E12" s="178">
        <v>54200</v>
      </c>
      <c r="F12" s="115">
        <f t="shared" si="0"/>
        <v>5.6256081586015465E-2</v>
      </c>
      <c r="I12" s="157" t="s">
        <v>112</v>
      </c>
      <c r="J12" s="157" t="s">
        <v>1224</v>
      </c>
      <c r="K12" s="157" t="s">
        <v>113</v>
      </c>
      <c r="L12" s="160">
        <v>0.08</v>
      </c>
      <c r="Q12" s="179"/>
      <c r="R12" s="180"/>
    </row>
    <row r="13" spans="1:18">
      <c r="A13" s="3" t="s">
        <v>134</v>
      </c>
      <c r="B13" s="3" t="str">
        <f>VLOOKUP(A13,Лист5!A:E,5,FALSE)</f>
        <v>RU0009100945</v>
      </c>
      <c r="C13" s="3" t="s">
        <v>135</v>
      </c>
      <c r="D13" s="3">
        <v>240</v>
      </c>
      <c r="E13" s="178">
        <v>73648.800000000003</v>
      </c>
      <c r="F13" s="115">
        <f t="shared" si="0"/>
        <v>7.6442673459633501E-2</v>
      </c>
      <c r="I13" s="157" t="s">
        <v>114</v>
      </c>
      <c r="J13" s="157" t="s">
        <v>1257</v>
      </c>
      <c r="K13" s="157" t="s">
        <v>115</v>
      </c>
      <c r="L13" s="158">
        <v>0.05</v>
      </c>
      <c r="Q13" s="179"/>
      <c r="R13" s="180"/>
    </row>
    <row r="14" spans="1:18">
      <c r="A14" s="3" t="s">
        <v>130</v>
      </c>
      <c r="B14" s="3" t="str">
        <f>VLOOKUP(A14,Лист5!A:E,5,FALSE)</f>
        <v>RU0009062467</v>
      </c>
      <c r="C14" s="3" t="s">
        <v>131</v>
      </c>
      <c r="D14" s="3">
        <v>40</v>
      </c>
      <c r="E14" s="178">
        <v>21716</v>
      </c>
      <c r="F14" s="115">
        <f t="shared" si="0"/>
        <v>2.253979829745225E-2</v>
      </c>
      <c r="I14" s="157" t="s">
        <v>116</v>
      </c>
      <c r="J14" s="157" t="s">
        <v>1358</v>
      </c>
      <c r="K14" s="157" t="s">
        <v>117</v>
      </c>
      <c r="L14" s="161">
        <v>0.03</v>
      </c>
      <c r="Q14" s="179"/>
      <c r="R14" s="180"/>
    </row>
    <row r="15" spans="1:18">
      <c r="A15" s="3" t="s">
        <v>136</v>
      </c>
      <c r="B15" s="3" t="str">
        <f>VLOOKUP(A15,Лист5!A:E,5,FALSE)</f>
        <v>RU000A0JPNM1</v>
      </c>
      <c r="C15" s="3" t="s">
        <v>137</v>
      </c>
      <c r="D15" s="3">
        <v>5000</v>
      </c>
      <c r="E15" s="178">
        <v>18460</v>
      </c>
      <c r="F15" s="115">
        <f t="shared" si="0"/>
        <v>1.9160281661952869E-2</v>
      </c>
      <c r="I15" s="157" t="s">
        <v>118</v>
      </c>
      <c r="J15" s="157" t="s">
        <v>1468</v>
      </c>
      <c r="K15" s="157" t="s">
        <v>119</v>
      </c>
      <c r="L15" s="162">
        <v>0.09</v>
      </c>
      <c r="Q15" s="179"/>
      <c r="R15" s="180"/>
    </row>
    <row r="16" spans="1:18">
      <c r="A16" s="3" t="s">
        <v>101</v>
      </c>
      <c r="B16" s="3" t="str">
        <f>VLOOKUP(A16,Лист5!A:E,5,FALSE)</f>
        <v>RU0009024277</v>
      </c>
      <c r="C16" s="3" t="s">
        <v>102</v>
      </c>
      <c r="D16" s="3">
        <v>8</v>
      </c>
      <c r="E16" s="178">
        <v>53988</v>
      </c>
      <c r="F16" s="115">
        <f t="shared" si="0"/>
        <v>5.6036039348077549E-2</v>
      </c>
      <c r="I16" s="157" t="s">
        <v>120</v>
      </c>
      <c r="J16" s="157" t="s">
        <v>834</v>
      </c>
      <c r="K16" s="157" t="s">
        <v>121</v>
      </c>
      <c r="L16" s="158">
        <v>0.05</v>
      </c>
      <c r="Q16" s="179"/>
      <c r="R16" s="180"/>
    </row>
    <row r="17" spans="1:18">
      <c r="A17" s="3" t="s">
        <v>770</v>
      </c>
      <c r="B17" s="3" t="str">
        <f>VLOOKUP(A17,Лист5!A:E,5,FALSE)</f>
        <v>RU000A106YF0</v>
      </c>
      <c r="C17" s="3" t="s">
        <v>771</v>
      </c>
      <c r="D17" s="3">
        <v>50</v>
      </c>
      <c r="E17" s="178">
        <v>12750</v>
      </c>
      <c r="F17" s="115">
        <f t="shared" si="0"/>
        <v>1.3233672328813601E-2</v>
      </c>
      <c r="I17" s="157" t="s">
        <v>122</v>
      </c>
      <c r="J17" s="157" t="s">
        <v>1201</v>
      </c>
      <c r="K17" s="157" t="s">
        <v>123</v>
      </c>
      <c r="L17" s="158">
        <v>0.05</v>
      </c>
      <c r="Q17" s="179"/>
      <c r="R17" s="180"/>
    </row>
    <row r="18" spans="1:18">
      <c r="A18" s="3" t="s">
        <v>120</v>
      </c>
      <c r="B18" s="3" t="str">
        <f>VLOOKUP(A18,Лист5!A:E,5,FALSE)</f>
        <v>RU000A0JR4A1</v>
      </c>
      <c r="C18" s="3" t="s">
        <v>121</v>
      </c>
      <c r="D18" s="3">
        <v>140</v>
      </c>
      <c r="E18" s="178">
        <v>25698.400000000001</v>
      </c>
      <c r="F18" s="115">
        <f t="shared" si="0"/>
        <v>2.667327097841439E-2</v>
      </c>
      <c r="I18" s="157" t="s">
        <v>124</v>
      </c>
      <c r="J18" s="157" t="s">
        <v>1386</v>
      </c>
      <c r="K18" s="157" t="s">
        <v>125</v>
      </c>
      <c r="L18" s="158">
        <v>0.05</v>
      </c>
      <c r="Q18" s="179"/>
      <c r="R18" s="180"/>
    </row>
    <row r="19" spans="1:18">
      <c r="A19" s="3" t="s">
        <v>878</v>
      </c>
      <c r="B19" s="3" t="str">
        <f>VLOOKUP(A19,Лист5!A:E,5,FALSE)</f>
        <v>RU000A0HL5M1</v>
      </c>
      <c r="C19" s="3" t="s">
        <v>879</v>
      </c>
      <c r="D19" s="3">
        <v>12</v>
      </c>
      <c r="E19" s="178">
        <v>6960</v>
      </c>
      <c r="F19" s="115">
        <f t="shared" si="0"/>
        <v>7.2240281889053067E-3</v>
      </c>
      <c r="I19" s="157" t="s">
        <v>126</v>
      </c>
      <c r="J19" s="157" t="s">
        <v>1340</v>
      </c>
      <c r="K19" s="157" t="s">
        <v>127</v>
      </c>
      <c r="L19" s="158">
        <v>0.05</v>
      </c>
      <c r="Q19" s="179"/>
      <c r="R19" s="180"/>
    </row>
    <row r="20" spans="1:18">
      <c r="A20" s="3" t="s">
        <v>109</v>
      </c>
      <c r="B20" s="3" t="str">
        <f>VLOOKUP(A20,Лист5!A:E,5,FALSE)</f>
        <v>RU0008943394</v>
      </c>
      <c r="C20" s="3" t="s">
        <v>110</v>
      </c>
      <c r="D20" s="3">
        <v>100</v>
      </c>
      <c r="E20" s="178">
        <v>5267</v>
      </c>
      <c r="F20" s="115">
        <f t="shared" si="0"/>
        <v>5.4668040906557837E-3</v>
      </c>
      <c r="I20" s="157" t="s">
        <v>128</v>
      </c>
      <c r="J20" s="157" t="s">
        <v>419</v>
      </c>
      <c r="K20" s="157" t="s">
        <v>129</v>
      </c>
      <c r="L20" s="162">
        <v>0.09</v>
      </c>
      <c r="Q20" s="179"/>
      <c r="R20" s="180"/>
    </row>
    <row r="21" spans="1:18">
      <c r="A21" s="3" t="s">
        <v>988</v>
      </c>
      <c r="B21" s="3" t="str">
        <f>VLOOKUP(A21,Лист5!A:E,5,FALSE)</f>
        <v>RU000A0ET7Y7</v>
      </c>
      <c r="C21" s="3" t="s">
        <v>989</v>
      </c>
      <c r="D21" s="3">
        <v>10000</v>
      </c>
      <c r="E21" s="178">
        <v>10745</v>
      </c>
      <c r="F21" s="115">
        <f t="shared" si="0"/>
        <v>1.1152612484164874E-2</v>
      </c>
      <c r="I21" s="157" t="s">
        <v>130</v>
      </c>
      <c r="J21" s="157" t="s">
        <v>547</v>
      </c>
      <c r="K21" s="157" t="s">
        <v>131</v>
      </c>
      <c r="L21" s="158">
        <v>0.05</v>
      </c>
      <c r="Q21" s="179"/>
      <c r="R21" s="180"/>
    </row>
    <row r="22" spans="1:18">
      <c r="A22" s="3" t="s">
        <v>998</v>
      </c>
      <c r="B22" s="3" t="str">
        <f>VLOOKUP(A22,Лист5!A:E,5,FALSE)</f>
        <v>RU000A0JPN96</v>
      </c>
      <c r="C22" s="3" t="s">
        <v>999</v>
      </c>
      <c r="D22" s="3">
        <v>230000</v>
      </c>
      <c r="E22" s="178">
        <v>74589</v>
      </c>
      <c r="F22" s="115">
        <f t="shared" si="0"/>
        <v>7.7418540026186491E-2</v>
      </c>
      <c r="I22" s="157" t="s">
        <v>132</v>
      </c>
      <c r="J22" s="157" t="s">
        <v>293</v>
      </c>
      <c r="K22" s="157" t="s">
        <v>133</v>
      </c>
      <c r="L22" s="161">
        <v>0.03</v>
      </c>
      <c r="Q22" s="179"/>
      <c r="R22" s="180"/>
    </row>
    <row r="23" spans="1:18">
      <c r="A23" s="3" t="s">
        <v>1152</v>
      </c>
      <c r="B23" s="3" t="str">
        <f>VLOOKUP(A23,Лист5!A:E,5,FALSE)</f>
        <v>RU0009029540</v>
      </c>
      <c r="C23" s="3" t="s">
        <v>1153</v>
      </c>
      <c r="D23" s="3">
        <v>400</v>
      </c>
      <c r="E23" s="178">
        <v>91244</v>
      </c>
      <c r="F23" s="115">
        <f t="shared" si="0"/>
        <v>9.4705348860413194E-2</v>
      </c>
      <c r="I23" s="157" t="s">
        <v>134</v>
      </c>
      <c r="J23" s="157" t="s">
        <v>432</v>
      </c>
      <c r="K23" s="157" t="s">
        <v>135</v>
      </c>
      <c r="L23" s="163">
        <v>0.1</v>
      </c>
      <c r="Q23" s="179"/>
      <c r="R23" s="180"/>
    </row>
    <row r="24" spans="1:18">
      <c r="A24" s="3" t="s">
        <v>1157</v>
      </c>
      <c r="B24" s="3" t="str">
        <f>VLOOKUP(A24,Лист5!A:E,5,FALSE)</f>
        <v>RU0009029557</v>
      </c>
      <c r="C24" s="3" t="s">
        <v>1158</v>
      </c>
      <c r="D24" s="3">
        <v>300</v>
      </c>
      <c r="E24" s="178">
        <v>68505</v>
      </c>
      <c r="F24" s="115">
        <f t="shared" si="0"/>
        <v>7.1103742971402026E-2</v>
      </c>
      <c r="I24" s="157" t="s">
        <v>136</v>
      </c>
      <c r="J24" s="157" t="s">
        <v>630</v>
      </c>
      <c r="K24" s="157" t="s">
        <v>137</v>
      </c>
      <c r="L24" s="158">
        <v>0.05</v>
      </c>
      <c r="Q24" s="179"/>
      <c r="R24" s="180"/>
    </row>
    <row r="25" spans="1:18">
      <c r="A25" s="3" t="s">
        <v>122</v>
      </c>
      <c r="B25" s="3" t="str">
        <f>VLOOKUP(A25,Лист5!A:E,5,FALSE)</f>
        <v>RU000A0ZZAC4</v>
      </c>
      <c r="C25" s="3" t="s">
        <v>123</v>
      </c>
      <c r="D25" s="3">
        <v>1000</v>
      </c>
      <c r="E25" s="178">
        <v>12580</v>
      </c>
      <c r="F25" s="115">
        <f t="shared" si="0"/>
        <v>1.305722336442942E-2</v>
      </c>
      <c r="I25" s="157" t="s">
        <v>138</v>
      </c>
      <c r="J25" s="157" t="s">
        <v>741</v>
      </c>
      <c r="K25" s="157" t="s">
        <v>139</v>
      </c>
      <c r="L25" s="161">
        <v>0.03</v>
      </c>
      <c r="Q25" s="179"/>
      <c r="R25" s="180"/>
    </row>
    <row r="26" spans="1:18">
      <c r="A26" s="3" t="s">
        <v>112</v>
      </c>
      <c r="B26" s="3" t="str">
        <f>VLOOKUP(A26,Лист5!A:E,5,FALSE)</f>
        <v>RU0009029524</v>
      </c>
      <c r="C26" s="3" t="s">
        <v>113</v>
      </c>
      <c r="D26" s="3">
        <v>500</v>
      </c>
      <c r="E26" s="178">
        <v>27987.5</v>
      </c>
      <c r="F26" s="115">
        <f t="shared" si="0"/>
        <v>2.904920818060162E-2</v>
      </c>
      <c r="Q26" s="179"/>
      <c r="R26" s="180"/>
    </row>
    <row r="27" spans="1:18">
      <c r="A27" s="3" t="s">
        <v>1336</v>
      </c>
      <c r="B27" s="3" t="str">
        <f>VLOOKUP(A27,Лист5!A:E,5,FALSE)</f>
        <v>RU0009033591</v>
      </c>
      <c r="C27" s="3" t="s">
        <v>1337</v>
      </c>
      <c r="D27" s="3">
        <v>50</v>
      </c>
      <c r="E27" s="178">
        <v>26645</v>
      </c>
      <c r="F27" s="115">
        <f t="shared" si="0"/>
        <v>2.7655780329508894E-2</v>
      </c>
      <c r="Q27" s="179"/>
      <c r="R27" s="180"/>
    </row>
    <row r="28" spans="1:18">
      <c r="A28" s="3" t="s">
        <v>114</v>
      </c>
      <c r="B28" s="3" t="str">
        <f>VLOOKUP(A28,Лист5!A:E,5,FALSE)</f>
        <v>RU000A107UL4</v>
      </c>
      <c r="C28" s="3" t="s">
        <v>115</v>
      </c>
      <c r="D28" s="3">
        <v>9</v>
      </c>
      <c r="E28" s="178">
        <v>21132</v>
      </c>
      <c r="F28" s="115">
        <f t="shared" si="0"/>
        <v>2.1933644208038356E-2</v>
      </c>
      <c r="Q28" s="179"/>
      <c r="R28" s="180"/>
    </row>
    <row r="29" spans="1:18">
      <c r="A29" s="3" t="s">
        <v>116</v>
      </c>
      <c r="B29" s="3" t="str">
        <f>VLOOKUP(A29,Лист5!A:E,5,FALSE)</f>
        <v>RU0009091573</v>
      </c>
      <c r="C29" s="3" t="s">
        <v>117</v>
      </c>
      <c r="D29" s="3">
        <v>11</v>
      </c>
      <c r="E29" s="178">
        <v>10389.5</v>
      </c>
      <c r="F29" s="115">
        <f t="shared" si="0"/>
        <v>1.0783626561585012E-2</v>
      </c>
      <c r="Q29" s="179"/>
      <c r="R29" s="180"/>
    </row>
    <row r="30" spans="1:18">
      <c r="A30" s="3" t="s">
        <v>124</v>
      </c>
      <c r="B30" s="3" t="str">
        <f>VLOOKUP(A30,Лист5!A:E,5,FALSE)</f>
        <v>RU000A107662</v>
      </c>
      <c r="C30" s="3" t="s">
        <v>125</v>
      </c>
      <c r="D30" s="3">
        <v>7</v>
      </c>
      <c r="E30" s="178">
        <v>29400</v>
      </c>
      <c r="F30" s="115">
        <f t="shared" si="0"/>
        <v>3.0515291487617245E-2</v>
      </c>
      <c r="Q30" s="179"/>
      <c r="R30" s="180"/>
    </row>
    <row r="31" spans="1:18">
      <c r="A31" s="3" t="s">
        <v>118</v>
      </c>
      <c r="B31" s="3" t="str">
        <f>VLOOKUP(A31,Лист5!A:E,5,FALSE)</f>
        <v>RU000A107T19</v>
      </c>
      <c r="C31" s="3" t="s">
        <v>119</v>
      </c>
      <c r="D31" s="3">
        <v>30</v>
      </c>
      <c r="E31" s="178">
        <v>99915</v>
      </c>
      <c r="F31" s="115">
        <f t="shared" si="0"/>
        <v>0.10370528397909105</v>
      </c>
      <c r="Q31" s="179"/>
      <c r="R31" s="180"/>
    </row>
    <row r="32" spans="1:18">
      <c r="A32" s="3" t="s">
        <v>1977</v>
      </c>
      <c r="B32" s="3" t="s">
        <v>1977</v>
      </c>
      <c r="C32" s="3" t="s">
        <v>1975</v>
      </c>
      <c r="D32" s="3">
        <v>50</v>
      </c>
      <c r="E32" s="178">
        <v>47290</v>
      </c>
      <c r="F32" s="115">
        <f t="shared" si="0"/>
        <v>4.9083950151340802E-2</v>
      </c>
      <c r="Q32" s="179"/>
      <c r="R32" s="180"/>
    </row>
    <row r="33" spans="1:18">
      <c r="A33" s="3" t="s">
        <v>1979</v>
      </c>
      <c r="B33" s="3" t="s">
        <v>1979</v>
      </c>
      <c r="C33" s="3" t="s">
        <v>1978</v>
      </c>
      <c r="D33" s="3">
        <v>32</v>
      </c>
      <c r="E33" s="178">
        <v>29155.200000000001</v>
      </c>
      <c r="F33" s="115">
        <f t="shared" si="0"/>
        <v>3.0261204978904024E-2</v>
      </c>
      <c r="Q33" s="179"/>
      <c r="R33" s="180"/>
    </row>
    <row r="34" spans="1:18">
      <c r="A34" s="3" t="s">
        <v>1981</v>
      </c>
      <c r="B34" s="3" t="s">
        <v>1981</v>
      </c>
      <c r="C34" s="3" t="s">
        <v>1980</v>
      </c>
      <c r="D34" s="3">
        <v>30</v>
      </c>
      <c r="E34" s="178">
        <v>27047.999999999996</v>
      </c>
      <c r="F34" s="115">
        <f t="shared" si="0"/>
        <v>2.8074068168607861E-2</v>
      </c>
      <c r="Q34" s="179"/>
      <c r="R34" s="180"/>
    </row>
    <row r="39" spans="1:18" ht="21">
      <c r="A39" s="166" t="s">
        <v>12260</v>
      </c>
    </row>
    <row r="40" spans="1:18" ht="15.75">
      <c r="A40" s="164" t="s">
        <v>12253</v>
      </c>
    </row>
    <row r="41" spans="1:18" ht="15.75">
      <c r="A41" s="164" t="s">
        <v>12254</v>
      </c>
    </row>
    <row r="42" spans="1:18">
      <c r="A42" s="152" t="s">
        <v>12238</v>
      </c>
      <c r="E42" t="s">
        <v>12262</v>
      </c>
    </row>
    <row r="43" spans="1:18">
      <c r="A43" s="152"/>
      <c r="E43" s="170" t="s">
        <v>12261</v>
      </c>
      <c r="F43" s="170" t="s">
        <v>12263</v>
      </c>
      <c r="G43" s="170" t="s">
        <v>12261</v>
      </c>
      <c r="H43" s="170" t="s">
        <v>12264</v>
      </c>
      <c r="I43" s="170" t="s">
        <v>12261</v>
      </c>
      <c r="J43" s="170" t="s">
        <v>12261</v>
      </c>
      <c r="K43" s="170" t="s">
        <v>12261</v>
      </c>
      <c r="L43" s="170" t="s">
        <v>12261</v>
      </c>
      <c r="M43" s="170" t="s">
        <v>12261</v>
      </c>
      <c r="N43" s="170" t="s">
        <v>12261</v>
      </c>
    </row>
    <row r="44" spans="1:18" ht="45">
      <c r="A44" s="168" t="s">
        <v>229</v>
      </c>
      <c r="B44" s="168" t="s">
        <v>1964</v>
      </c>
      <c r="C44" s="168" t="s">
        <v>12256</v>
      </c>
      <c r="D44" s="169" t="s">
        <v>140</v>
      </c>
      <c r="E44" s="116" t="s">
        <v>12243</v>
      </c>
      <c r="F44" s="116" t="s">
        <v>12244</v>
      </c>
      <c r="G44" s="116" t="s">
        <v>12236</v>
      </c>
      <c r="H44" s="165" t="s">
        <v>12242</v>
      </c>
      <c r="I44" s="116" t="s">
        <v>2075</v>
      </c>
      <c r="J44" s="116" t="s">
        <v>2076</v>
      </c>
      <c r="K44" s="116" t="s">
        <v>2090</v>
      </c>
      <c r="L44" s="116" t="s">
        <v>2091</v>
      </c>
      <c r="M44" s="116" t="s">
        <v>2092</v>
      </c>
      <c r="N44" s="165" t="s">
        <v>2094</v>
      </c>
    </row>
    <row r="45" spans="1:18">
      <c r="A45" s="122" t="s">
        <v>101</v>
      </c>
      <c r="B45" s="122" t="s">
        <v>102</v>
      </c>
      <c r="C45" s="123" t="s">
        <v>12257</v>
      </c>
      <c r="D45" s="124">
        <v>0.05</v>
      </c>
      <c r="E45" s="150" t="str">
        <f>VLOOKUP(A45,QUIK!D:AL,3,FALSE)</f>
        <v>ао</v>
      </c>
      <c r="F45" s="150" t="str">
        <f>IF(ISERROR(VLOOKUP(E45,Лист12!$A$23:$A$27,1,FALSE))=FALSE,"Обл",IF(OR(E45="ао",E45="ап",E45="др"),"Акции","Прочее"))</f>
        <v>Акции</v>
      </c>
      <c r="G45" s="149">
        <f>IFERROR(VLOOKUP(A45,QUIK_купитьпродать!B:G,6,FALSE),)</f>
        <v>8</v>
      </c>
      <c r="H45" s="149">
        <f>IF(F45="Обл",VLOOKUP(A45,QUIK!C:J,8,FALSE),1)</f>
        <v>1</v>
      </c>
      <c r="I45">
        <f>VLOOKUP(A45,QUIK!$D:$AL,5,FALSE)</f>
        <v>1</v>
      </c>
      <c r="J45">
        <f>VLOOKUP(A45,QUIK!$D:$AL,9,FALSE)</f>
        <v>6748.5</v>
      </c>
      <c r="K45" t="str">
        <f>VLOOKUP(A45,QUIK!$D:$AL,28,FALSE)</f>
        <v>SUR</v>
      </c>
      <c r="L45">
        <f>VLOOKUP(A45,QUIK!$D:$AL,31,FALSE)</f>
        <v>-100</v>
      </c>
      <c r="M45" t="str">
        <f>VLOOKUP(A45,QUIK!$D:$AL,30,FALSE)</f>
        <v/>
      </c>
      <c r="N45">
        <f>VLOOKUP(A45,QUIK!$D:$AL,4,FALSE)</f>
        <v>1</v>
      </c>
    </row>
    <row r="46" spans="1:18">
      <c r="A46" s="122" t="s">
        <v>104</v>
      </c>
      <c r="B46" s="122" t="s">
        <v>105</v>
      </c>
      <c r="C46" s="123" t="s">
        <v>12257</v>
      </c>
      <c r="D46" s="124">
        <v>0.05</v>
      </c>
      <c r="E46" s="150" t="str">
        <f>VLOOKUP(A46,QUIK!D:AL,3,FALSE)</f>
        <v>др</v>
      </c>
      <c r="F46" s="150" t="str">
        <f>IF(ISERROR(VLOOKUP(E46,Лист12!$A$23:$A$27,1,FALSE))=FALSE,"Обл",IF(OR(E46="ао",E46="ап",E46="др"),"Акции","Прочее"))</f>
        <v>Акции</v>
      </c>
      <c r="G46" s="149">
        <f>IFERROR(VLOOKUP(A46,QUIK_купитьпродать!B:G,6,FALSE),)</f>
        <v>0</v>
      </c>
      <c r="H46" s="149">
        <f>IF(F46="Обл",VLOOKUP(A46,QUIK!C:J,8,FALSE),1)</f>
        <v>1</v>
      </c>
      <c r="I46">
        <f>VLOOKUP(A46,QUIK!$D:$AL,5,FALSE)</f>
        <v>1</v>
      </c>
      <c r="J46">
        <f>VLOOKUP(A46,QUIK!$D:$AL,9,FALSE)</f>
        <v>2719.5</v>
      </c>
      <c r="K46" t="str">
        <f>VLOOKUP(A46,QUIK!$D:$AL,28,FALSE)</f>
        <v>SUR</v>
      </c>
      <c r="L46">
        <f>VLOOKUP(A46,QUIK!$D:$AL,31,FALSE)</f>
        <v>-100</v>
      </c>
      <c r="M46" t="str">
        <f>VLOOKUP(A46,QUIK!$D:$AL,30,FALSE)</f>
        <v/>
      </c>
      <c r="N46">
        <f>VLOOKUP(A46,QUIK!$D:$AL,4,FALSE)</f>
        <v>1</v>
      </c>
    </row>
    <row r="47" spans="1:18">
      <c r="A47" s="122" t="s">
        <v>107</v>
      </c>
      <c r="B47" s="122" t="s">
        <v>108</v>
      </c>
      <c r="C47" s="123" t="s">
        <v>12257</v>
      </c>
      <c r="D47" s="124">
        <v>0.05</v>
      </c>
      <c r="E47" s="150" t="str">
        <f>VLOOKUP(A47,QUIK!D:AL,3,FALSE)</f>
        <v>ао</v>
      </c>
      <c r="F47" s="150" t="str">
        <f>IF(ISERROR(VLOOKUP(E47,Лист12!$A$23:$A$27,1,FALSE))=FALSE,"Обл",IF(OR(E47="ао",E47="ап",E47="др"),"Акции","Прочее"))</f>
        <v>Акции</v>
      </c>
      <c r="G47" s="149">
        <f>IFERROR(VLOOKUP(A47,QUIK_купитьпродать!B:G,6,FALSE),)</f>
        <v>6</v>
      </c>
      <c r="H47" s="149">
        <f>IF(F47="Обл",VLOOKUP(A47,QUIK!C:J,8,FALSE),1)</f>
        <v>1</v>
      </c>
      <c r="I47">
        <f>VLOOKUP(A47,QUIK!$D:$AL,5,FALSE)</f>
        <v>1</v>
      </c>
      <c r="J47">
        <f>VLOOKUP(A47,QUIK!$D:$AL,9,FALSE)</f>
        <v>1798.6</v>
      </c>
      <c r="K47" t="str">
        <f>VLOOKUP(A47,QUIK!$D:$AL,28,FALSE)</f>
        <v>SUR</v>
      </c>
      <c r="L47">
        <f>VLOOKUP(A47,QUIK!$D:$AL,31,FALSE)</f>
        <v>-100</v>
      </c>
      <c r="M47" t="str">
        <f>VLOOKUP(A47,QUIK!$D:$AL,30,FALSE)</f>
        <v/>
      </c>
      <c r="N47">
        <f>VLOOKUP(A47,QUIK!$D:$AL,4,FALSE)</f>
        <v>1</v>
      </c>
    </row>
    <row r="48" spans="1:18">
      <c r="A48" s="122" t="s">
        <v>112</v>
      </c>
      <c r="B48" s="122" t="s">
        <v>113</v>
      </c>
      <c r="C48" s="123" t="s">
        <v>12257</v>
      </c>
      <c r="D48" s="127">
        <v>0.08</v>
      </c>
      <c r="E48" s="150" t="str">
        <f>VLOOKUP(A48,QUIK!D:AL,3,FALSE)</f>
        <v>ап</v>
      </c>
      <c r="F48" s="150" t="str">
        <f>IF(ISERROR(VLOOKUP(E48,Лист12!$A$23:$A$27,1,FALSE))=FALSE,"Обл",IF(OR(E48="ао",E48="ап",E48="др"),"Акции","Прочее"))</f>
        <v>Акции</v>
      </c>
      <c r="G48" s="149">
        <f>IFERROR(VLOOKUP(A48,QUIK_купитьпродать!B:G,6,FALSE),)</f>
        <v>500</v>
      </c>
      <c r="H48" s="149">
        <f>IF(F48="Обл",VLOOKUP(A48,QUIK!C:J,8,FALSE),1)</f>
        <v>1</v>
      </c>
      <c r="I48">
        <f>VLOOKUP(A48,QUIK!$D:$AL,5,FALSE)</f>
        <v>10</v>
      </c>
      <c r="J48">
        <f>VLOOKUP(A48,QUIK!$D:$AL,9,FALSE)</f>
        <v>55.975000000000001</v>
      </c>
      <c r="K48" t="str">
        <f>VLOOKUP(A48,QUIK!$D:$AL,28,FALSE)</f>
        <v>SUR</v>
      </c>
      <c r="L48">
        <f>VLOOKUP(A48,QUIK!$D:$AL,31,FALSE)</f>
        <v>-100</v>
      </c>
      <c r="M48" t="str">
        <f>VLOOKUP(A48,QUIK!$D:$AL,30,FALSE)</f>
        <v/>
      </c>
      <c r="N48">
        <f>VLOOKUP(A48,QUIK!$D:$AL,4,FALSE)</f>
        <v>2</v>
      </c>
    </row>
    <row r="49" spans="1:14">
      <c r="A49" s="122" t="s">
        <v>114</v>
      </c>
      <c r="B49" s="122" t="s">
        <v>115</v>
      </c>
      <c r="C49" s="123" t="s">
        <v>12257</v>
      </c>
      <c r="D49" s="124">
        <v>0.05</v>
      </c>
      <c r="E49" s="150" t="str">
        <f>VLOOKUP(A49,QUIK!D:AL,3,FALSE)</f>
        <v>ао</v>
      </c>
      <c r="F49" s="150" t="str">
        <f>IF(ISERROR(VLOOKUP(E49,Лист12!$A$23:$A$27,1,FALSE))=FALSE,"Обл",IF(OR(E49="ао",E49="ап",E49="др"),"Акции","Прочее"))</f>
        <v>Акции</v>
      </c>
      <c r="G49" s="149">
        <f>IFERROR(VLOOKUP(A49,QUIK_купитьпродать!B:G,6,FALSE),)</f>
        <v>9</v>
      </c>
      <c r="H49" s="149">
        <f>IF(F49="Обл",VLOOKUP(A49,QUIK!C:J,8,FALSE),1)</f>
        <v>1</v>
      </c>
      <c r="I49">
        <f>VLOOKUP(A49,QUIK!$D:$AL,5,FALSE)</f>
        <v>1</v>
      </c>
      <c r="J49">
        <f>VLOOKUP(A49,QUIK!$D:$AL,9,FALSE)</f>
        <v>2348</v>
      </c>
      <c r="K49" t="str">
        <f>VLOOKUP(A49,QUIK!$D:$AL,28,FALSE)</f>
        <v>SUR</v>
      </c>
      <c r="L49">
        <f>VLOOKUP(A49,QUIK!$D:$AL,31,FALSE)</f>
        <v>-100</v>
      </c>
      <c r="M49" t="str">
        <f>VLOOKUP(A49,QUIK!$D:$AL,30,FALSE)</f>
        <v/>
      </c>
      <c r="N49">
        <f>VLOOKUP(A49,QUIK!$D:$AL,4,FALSE)</f>
        <v>1</v>
      </c>
    </row>
    <row r="50" spans="1:14">
      <c r="A50" s="122" t="s">
        <v>116</v>
      </c>
      <c r="B50" s="122" t="s">
        <v>117</v>
      </c>
      <c r="C50" s="123" t="s">
        <v>12257</v>
      </c>
      <c r="D50" s="128">
        <v>0.03</v>
      </c>
      <c r="E50" s="150" t="str">
        <f>VLOOKUP(A50,QUIK!D:AL,3,FALSE)</f>
        <v>ап</v>
      </c>
      <c r="F50" s="150" t="str">
        <f>IF(ISERROR(VLOOKUP(E50,Лист12!$A$23:$A$27,1,FALSE))=FALSE,"Обл",IF(OR(E50="ао",E50="ап",E50="др"),"Акции","Прочее"))</f>
        <v>Акции</v>
      </c>
      <c r="G50" s="149">
        <f>IFERROR(VLOOKUP(A50,QUIK_купитьпродать!B:G,6,FALSE),)</f>
        <v>11</v>
      </c>
      <c r="H50" s="149">
        <f>IF(F50="Обл",VLOOKUP(A50,QUIK!C:J,8,FALSE),1)</f>
        <v>1</v>
      </c>
      <c r="I50">
        <f>VLOOKUP(A50,QUIK!$D:$AL,5,FALSE)</f>
        <v>1</v>
      </c>
      <c r="J50">
        <f>VLOOKUP(A50,QUIK!$D:$AL,9,FALSE)</f>
        <v>944.5</v>
      </c>
      <c r="K50" t="str">
        <f>VLOOKUP(A50,QUIK!$D:$AL,28,FALSE)</f>
        <v>SUR</v>
      </c>
      <c r="L50">
        <f>VLOOKUP(A50,QUIK!$D:$AL,31,FALSE)</f>
        <v>-100</v>
      </c>
      <c r="M50" t="str">
        <f>VLOOKUP(A50,QUIK!$D:$AL,30,FALSE)</f>
        <v/>
      </c>
      <c r="N50">
        <f>VLOOKUP(A50,QUIK!$D:$AL,4,FALSE)</f>
        <v>1</v>
      </c>
    </row>
    <row r="51" spans="1:14">
      <c r="A51" s="122" t="s">
        <v>118</v>
      </c>
      <c r="B51" s="122" t="s">
        <v>119</v>
      </c>
      <c r="C51" s="123" t="s">
        <v>12257</v>
      </c>
      <c r="D51" s="129">
        <v>0.09</v>
      </c>
      <c r="E51" s="150" t="str">
        <f>VLOOKUP(A51,QUIK!D:AL,3,FALSE)</f>
        <v>ао</v>
      </c>
      <c r="F51" s="150" t="str">
        <f>IF(ISERROR(VLOOKUP(E51,Лист12!$A$23:$A$27,1,FALSE))=FALSE,"Обл",IF(OR(E51="ао",E51="ап",E51="др"),"Акции","Прочее"))</f>
        <v>Акции</v>
      </c>
      <c r="G51" s="149">
        <f>IFERROR(VLOOKUP(A51,QUIK_купитьпродать!B:G,6,FALSE),)</f>
        <v>30</v>
      </c>
      <c r="H51" s="149">
        <f>IF(F51="Обл",VLOOKUP(A51,QUIK!C:J,8,FALSE),1)</f>
        <v>1</v>
      </c>
      <c r="I51">
        <f>VLOOKUP(A51,QUIK!$D:$AL,5,FALSE)</f>
        <v>1</v>
      </c>
      <c r="J51">
        <f>VLOOKUP(A51,QUIK!$D:$AL,9,FALSE)</f>
        <v>3330.5</v>
      </c>
      <c r="K51" t="str">
        <f>VLOOKUP(A51,QUIK!$D:$AL,28,FALSE)</f>
        <v>SUR</v>
      </c>
      <c r="L51">
        <f>VLOOKUP(A51,QUIK!$D:$AL,31,FALSE)</f>
        <v>-100</v>
      </c>
      <c r="M51" t="str">
        <f>VLOOKUP(A51,QUIK!$D:$AL,30,FALSE)</f>
        <v/>
      </c>
      <c r="N51">
        <f>VLOOKUP(A51,QUIK!$D:$AL,4,FALSE)</f>
        <v>1</v>
      </c>
    </row>
    <row r="52" spans="1:14">
      <c r="A52" s="122" t="s">
        <v>120</v>
      </c>
      <c r="B52" s="122" t="s">
        <v>121</v>
      </c>
      <c r="C52" s="123" t="s">
        <v>12257</v>
      </c>
      <c r="D52" s="124">
        <v>0.05</v>
      </c>
      <c r="E52" s="150" t="str">
        <f>VLOOKUP(A52,QUIK!D:AL,3,FALSE)</f>
        <v>ао</v>
      </c>
      <c r="F52" s="150" t="str">
        <f>IF(ISERROR(VLOOKUP(E52,Лист12!$A$23:$A$27,1,FALSE))=FALSE,"Обл",IF(OR(E52="ао",E52="ап",E52="др"),"Акции","Прочее"))</f>
        <v>Акции</v>
      </c>
      <c r="G52" s="149">
        <f>IFERROR(VLOOKUP(A52,QUIK_купитьпродать!B:G,6,FALSE),)</f>
        <v>140</v>
      </c>
      <c r="H52" s="149">
        <f>IF(F52="Обл",VLOOKUP(A52,QUIK!C:J,8,FALSE),1)</f>
        <v>1</v>
      </c>
      <c r="I52">
        <f>VLOOKUP(A52,QUIK!$D:$AL,5,FALSE)</f>
        <v>10</v>
      </c>
      <c r="J52">
        <f>VLOOKUP(A52,QUIK!$D:$AL,9,FALSE)</f>
        <v>183.56</v>
      </c>
      <c r="K52" t="str">
        <f>VLOOKUP(A52,QUIK!$D:$AL,28,FALSE)</f>
        <v>SUR</v>
      </c>
      <c r="L52">
        <f>VLOOKUP(A52,QUIK!$D:$AL,31,FALSE)</f>
        <v>-100</v>
      </c>
      <c r="M52" t="str">
        <f>VLOOKUP(A52,QUIK!$D:$AL,30,FALSE)</f>
        <v/>
      </c>
      <c r="N52">
        <f>VLOOKUP(A52,QUIK!$D:$AL,4,FALSE)</f>
        <v>1</v>
      </c>
    </row>
    <row r="53" spans="1:14">
      <c r="A53" s="122" t="s">
        <v>122</v>
      </c>
      <c r="B53" s="122" t="s">
        <v>123</v>
      </c>
      <c r="C53" s="123" t="s">
        <v>12257</v>
      </c>
      <c r="D53" s="124">
        <v>0.05</v>
      </c>
      <c r="E53" s="150" t="str">
        <f>VLOOKUP(A53,QUIK!D:AL,3,FALSE)</f>
        <v>ао</v>
      </c>
      <c r="F53" s="150" t="str">
        <f>IF(ISERROR(VLOOKUP(E53,Лист12!$A$23:$A$27,1,FALSE))=FALSE,"Обл",IF(OR(E53="ао",E53="ап",E53="др"),"Акции","Прочее"))</f>
        <v>Акции</v>
      </c>
      <c r="G53" s="149">
        <f>IFERROR(VLOOKUP(A53,QUIK_купитьпродать!B:G,6,FALSE),)</f>
        <v>1000</v>
      </c>
      <c r="H53" s="149">
        <f>IF(F53="Обл",VLOOKUP(A53,QUIK!C:J,8,FALSE),1)</f>
        <v>1</v>
      </c>
      <c r="I53">
        <f>VLOOKUP(A53,QUIK!$D:$AL,5,FALSE)</f>
        <v>100</v>
      </c>
      <c r="J53">
        <f>VLOOKUP(A53,QUIK!$D:$AL,9,FALSE)</f>
        <v>12.58</v>
      </c>
      <c r="K53" t="str">
        <f>VLOOKUP(A53,QUIK!$D:$AL,28,FALSE)</f>
        <v>SUR</v>
      </c>
      <c r="L53">
        <f>VLOOKUP(A53,QUIK!$D:$AL,31,FALSE)</f>
        <v>-100</v>
      </c>
      <c r="M53" t="str">
        <f>VLOOKUP(A53,QUIK!$D:$AL,30,FALSE)</f>
        <v/>
      </c>
      <c r="N53">
        <f>VLOOKUP(A53,QUIK!$D:$AL,4,FALSE)</f>
        <v>1</v>
      </c>
    </row>
    <row r="54" spans="1:14">
      <c r="A54" s="122" t="s">
        <v>124</v>
      </c>
      <c r="B54" s="122" t="s">
        <v>125</v>
      </c>
      <c r="C54" s="123" t="s">
        <v>12257</v>
      </c>
      <c r="D54" s="124">
        <v>0.05</v>
      </c>
      <c r="E54" s="150" t="str">
        <f>VLOOKUP(A54,QUIK!D:AL,3,FALSE)</f>
        <v>ао</v>
      </c>
      <c r="F54" s="150" t="str">
        <f>IF(ISERROR(VLOOKUP(E54,Лист12!$A$23:$A$27,1,FALSE))=FALSE,"Обл",IF(OR(E54="ао",E54="ап",E54="др"),"Акции","Прочее"))</f>
        <v>Акции</v>
      </c>
      <c r="G54" s="149">
        <f>IFERROR(VLOOKUP(A54,QUIK_купитьпродать!B:G,6,FALSE),)</f>
        <v>7</v>
      </c>
      <c r="H54" s="149">
        <f>IF(F54="Обл",VLOOKUP(A54,QUIK!C:J,8,FALSE),1)</f>
        <v>1</v>
      </c>
      <c r="I54">
        <f>VLOOKUP(A54,QUIK!$D:$AL,5,FALSE)</f>
        <v>1</v>
      </c>
      <c r="J54">
        <f>VLOOKUP(A54,QUIK!$D:$AL,9,FALSE)</f>
        <v>4200</v>
      </c>
      <c r="K54" t="str">
        <f>VLOOKUP(A54,QUIK!$D:$AL,28,FALSE)</f>
        <v>SUR</v>
      </c>
      <c r="L54">
        <f>VLOOKUP(A54,QUIK!$D:$AL,31,FALSE)</f>
        <v>-100</v>
      </c>
      <c r="M54" t="str">
        <f>VLOOKUP(A54,QUIK!$D:$AL,30,FALSE)</f>
        <v/>
      </c>
      <c r="N54">
        <f>VLOOKUP(A54,QUIK!$D:$AL,4,FALSE)</f>
        <v>1</v>
      </c>
    </row>
    <row r="55" spans="1:14">
      <c r="A55" s="122" t="s">
        <v>126</v>
      </c>
      <c r="B55" s="122" t="s">
        <v>127</v>
      </c>
      <c r="C55" s="123" t="s">
        <v>12257</v>
      </c>
      <c r="D55" s="124">
        <v>0.05</v>
      </c>
      <c r="E55" s="150" t="str">
        <f>VLOOKUP(A55,QUIK!D:AL,3,FALSE)</f>
        <v>ап</v>
      </c>
      <c r="F55" s="150" t="str">
        <f>IF(ISERROR(VLOOKUP(E55,Лист12!$A$23:$A$27,1,FALSE))=FALSE,"Обл",IF(OR(E55="ао",E55="ап",E55="др"),"Акции","Прочее"))</f>
        <v>Акции</v>
      </c>
      <c r="G55" s="149">
        <f>IFERROR(VLOOKUP(A55,QUIK_купитьпродать!B:G,6,FALSE),)</f>
        <v>0</v>
      </c>
      <c r="H55" s="149">
        <f>IF(F55="Обл",VLOOKUP(A55,QUIK!C:J,8,FALSE),1)</f>
        <v>1</v>
      </c>
      <c r="I55">
        <f>VLOOKUP(A55,QUIK!$D:$AL,5,FALSE)</f>
        <v>1</v>
      </c>
      <c r="J55">
        <f>VLOOKUP(A55,QUIK!$D:$AL,9,FALSE)</f>
        <v>531.29999999999995</v>
      </c>
      <c r="K55" t="str">
        <f>VLOOKUP(A55,QUIK!$D:$AL,28,FALSE)</f>
        <v>SUR</v>
      </c>
      <c r="L55">
        <f>VLOOKUP(A55,QUIK!$D:$AL,31,FALSE)</f>
        <v>-100</v>
      </c>
      <c r="M55" t="str">
        <f>VLOOKUP(A55,QUIK!$D:$AL,30,FALSE)</f>
        <v/>
      </c>
      <c r="N55">
        <f>VLOOKUP(A55,QUIK!$D:$AL,4,FALSE)</f>
        <v>1</v>
      </c>
    </row>
    <row r="56" spans="1:14">
      <c r="A56" s="122" t="s">
        <v>128</v>
      </c>
      <c r="B56" s="122" t="s">
        <v>129</v>
      </c>
      <c r="C56" s="123" t="s">
        <v>12257</v>
      </c>
      <c r="D56" s="129">
        <v>0.09</v>
      </c>
      <c r="E56" s="150" t="str">
        <f>VLOOKUP(A56,QUIK!D:AL,3,FALSE)</f>
        <v>ао</v>
      </c>
      <c r="F56" s="150" t="str">
        <f>IF(ISERROR(VLOOKUP(E56,Лист12!$A$23:$A$27,1,FALSE))=FALSE,"Обл",IF(OR(E56="ао",E56="ап",E56="др"),"Акции","Прочее"))</f>
        <v>Акции</v>
      </c>
      <c r="G56" s="149">
        <f>IFERROR(VLOOKUP(A56,QUIK_купитьпродать!B:G,6,FALSE),)</f>
        <v>50</v>
      </c>
      <c r="H56" s="149">
        <f>IF(F56="Обл",VLOOKUP(A56,QUIK!C:J,8,FALSE),1)</f>
        <v>1</v>
      </c>
      <c r="I56">
        <f>VLOOKUP(A56,QUIK!$D:$AL,5,FALSE)</f>
        <v>1</v>
      </c>
      <c r="J56">
        <f>VLOOKUP(A56,QUIK!$D:$AL,9,FALSE)</f>
        <v>434.65</v>
      </c>
      <c r="K56" t="str">
        <f>VLOOKUP(A56,QUIK!$D:$AL,28,FALSE)</f>
        <v>SUR</v>
      </c>
      <c r="L56">
        <f>VLOOKUP(A56,QUIK!$D:$AL,31,FALSE)</f>
        <v>-100</v>
      </c>
      <c r="M56" t="str">
        <f>VLOOKUP(A56,QUIK!$D:$AL,30,FALSE)</f>
        <v/>
      </c>
      <c r="N56">
        <f>VLOOKUP(A56,QUIK!$D:$AL,4,FALSE)</f>
        <v>1</v>
      </c>
    </row>
    <row r="57" spans="1:14">
      <c r="A57" s="122" t="s">
        <v>130</v>
      </c>
      <c r="B57" s="122" t="s">
        <v>131</v>
      </c>
      <c r="C57" s="123" t="s">
        <v>12257</v>
      </c>
      <c r="D57" s="124">
        <v>0.05</v>
      </c>
      <c r="E57" s="150" t="str">
        <f>VLOOKUP(A57,QUIK!D:AL,3,FALSE)</f>
        <v>ао</v>
      </c>
      <c r="F57" s="150" t="str">
        <f>IF(ISERROR(VLOOKUP(E57,Лист12!$A$23:$A$27,1,FALSE))=FALSE,"Обл",IF(OR(E57="ао",E57="ап",E57="др"),"Акции","Прочее"))</f>
        <v>Акции</v>
      </c>
      <c r="G57" s="149">
        <f>IFERROR(VLOOKUP(A57,QUIK_купитьпродать!B:G,6,FALSE),)</f>
        <v>40</v>
      </c>
      <c r="H57" s="149">
        <f>IF(F57="Обл",VLOOKUP(A57,QUIK!C:J,8,FALSE),1)</f>
        <v>1</v>
      </c>
      <c r="I57">
        <f>VLOOKUP(A57,QUIK!$D:$AL,5,FALSE)</f>
        <v>1</v>
      </c>
      <c r="J57">
        <f>VLOOKUP(A57,QUIK!$D:$AL,9,FALSE)</f>
        <v>542.9</v>
      </c>
      <c r="K57" t="str">
        <f>VLOOKUP(A57,QUIK!$D:$AL,28,FALSE)</f>
        <v>SUR</v>
      </c>
      <c r="L57">
        <f>VLOOKUP(A57,QUIK!$D:$AL,31,FALSE)</f>
        <v>9</v>
      </c>
      <c r="M57" t="str">
        <f>VLOOKUP(A57,QUIK!$D:$AL,30,FALSE)</f>
        <v/>
      </c>
      <c r="N57">
        <f>VLOOKUP(A57,QUIK!$D:$AL,4,FALSE)</f>
        <v>3</v>
      </c>
    </row>
    <row r="58" spans="1:14">
      <c r="A58" s="122" t="s">
        <v>132</v>
      </c>
      <c r="B58" s="122" t="s">
        <v>133</v>
      </c>
      <c r="C58" s="123" t="s">
        <v>12257</v>
      </c>
      <c r="D58" s="128">
        <v>0.03</v>
      </c>
      <c r="E58" s="150" t="str">
        <f>VLOOKUP(A58,QUIK!D:AL,3,FALSE)</f>
        <v>ао</v>
      </c>
      <c r="F58" s="150" t="str">
        <f>IF(ISERROR(VLOOKUP(E58,Лист12!$A$23:$A$27,1,FALSE))=FALSE,"Обл",IF(OR(E58="ао",E58="ап",E58="др"),"Акции","Прочее"))</f>
        <v>Акции</v>
      </c>
      <c r="G58" s="149">
        <f>IFERROR(VLOOKUP(A58,QUIK_купитьпродать!B:G,6,FALSE),)</f>
        <v>25</v>
      </c>
      <c r="H58" s="149">
        <f>IF(F58="Обл",VLOOKUP(A58,QUIK!C:J,8,FALSE),1)</f>
        <v>1</v>
      </c>
      <c r="I58">
        <f>VLOOKUP(A58,QUIK!$D:$AL,5,FALSE)</f>
        <v>1</v>
      </c>
      <c r="J58">
        <f>VLOOKUP(A58,QUIK!$D:$AL,9,FALSE)</f>
        <v>845.2</v>
      </c>
      <c r="K58" t="str">
        <f>VLOOKUP(A58,QUIK!$D:$AL,28,FALSE)</f>
        <v>SUR</v>
      </c>
      <c r="L58">
        <f>VLOOKUP(A58,QUIK!$D:$AL,31,FALSE)</f>
        <v>-100</v>
      </c>
      <c r="M58" t="str">
        <f>VLOOKUP(A58,QUIK!$D:$AL,30,FALSE)</f>
        <v/>
      </c>
      <c r="N58">
        <f>VLOOKUP(A58,QUIK!$D:$AL,4,FALSE)</f>
        <v>1</v>
      </c>
    </row>
    <row r="59" spans="1:14">
      <c r="A59" s="122" t="s">
        <v>134</v>
      </c>
      <c r="B59" s="122" t="s">
        <v>135</v>
      </c>
      <c r="C59" s="123" t="s">
        <v>12257</v>
      </c>
      <c r="D59" s="130">
        <v>0.1</v>
      </c>
      <c r="E59" s="150" t="str">
        <f>VLOOKUP(A59,QUIK!D:AL,3,FALSE)</f>
        <v>ао</v>
      </c>
      <c r="F59" s="150" t="str">
        <f>IF(ISERROR(VLOOKUP(E59,Лист12!$A$23:$A$27,1,FALSE))=FALSE,"Обл",IF(OR(E59="ао",E59="ап",E59="др"),"Акции","Прочее"))</f>
        <v>Акции</v>
      </c>
      <c r="G59" s="149">
        <f>IFERROR(VLOOKUP(A59,QUIK_купитьпродать!B:G,6,FALSE),)</f>
        <v>240</v>
      </c>
      <c r="H59" s="149">
        <f>IF(F59="Обл",VLOOKUP(A59,QUIK!C:J,8,FALSE),1)</f>
        <v>1</v>
      </c>
      <c r="I59">
        <f>VLOOKUP(A59,QUIK!$D:$AL,5,FALSE)</f>
        <v>10</v>
      </c>
      <c r="J59">
        <f>VLOOKUP(A59,QUIK!$D:$AL,9,FALSE)</f>
        <v>306.87</v>
      </c>
      <c r="K59" t="str">
        <f>VLOOKUP(A59,QUIK!$D:$AL,28,FALSE)</f>
        <v>SUR</v>
      </c>
      <c r="L59">
        <f>VLOOKUP(A59,QUIK!$D:$AL,31,FALSE)</f>
        <v>-100</v>
      </c>
      <c r="M59" t="str">
        <f>VLOOKUP(A59,QUIK!$D:$AL,30,FALSE)</f>
        <v/>
      </c>
      <c r="N59">
        <f>VLOOKUP(A59,QUIK!$D:$AL,4,FALSE)</f>
        <v>1</v>
      </c>
    </row>
    <row r="60" spans="1:14">
      <c r="A60" s="122" t="s">
        <v>136</v>
      </c>
      <c r="B60" s="122" t="s">
        <v>137</v>
      </c>
      <c r="C60" s="123" t="s">
        <v>12257</v>
      </c>
      <c r="D60" s="124">
        <v>0.05</v>
      </c>
      <c r="E60" s="150" t="str">
        <f>VLOOKUP(A60,QUIK!D:AL,3,FALSE)</f>
        <v>ао</v>
      </c>
      <c r="F60" s="150" t="str">
        <f>IF(ISERROR(VLOOKUP(E60,Лист12!$A$23:$A$27,1,FALSE))=FALSE,"Обл",IF(OR(E60="ао",E60="ап",E60="др"),"Акции","Прочее"))</f>
        <v>Акции</v>
      </c>
      <c r="G60" s="149">
        <f>IFERROR(VLOOKUP(A60,QUIK_купитьпродать!B:G,6,FALSE),)</f>
        <v>5000</v>
      </c>
      <c r="H60" s="149">
        <f>IF(F60="Обл",VLOOKUP(A60,QUIK!C:J,8,FALSE),1)</f>
        <v>1</v>
      </c>
      <c r="I60">
        <f>VLOOKUP(A60,QUIK!$D:$AL,5,FALSE)</f>
        <v>100</v>
      </c>
      <c r="J60">
        <f>VLOOKUP(A60,QUIK!$D:$AL,9,FALSE)</f>
        <v>3.6920000000000002</v>
      </c>
      <c r="K60" t="str">
        <f>VLOOKUP(A60,QUIK!$D:$AL,28,FALSE)</f>
        <v>SUR</v>
      </c>
      <c r="L60">
        <f>VLOOKUP(A60,QUIK!$D:$AL,31,FALSE)</f>
        <v>-100</v>
      </c>
      <c r="M60" t="str">
        <f>VLOOKUP(A60,QUIK!$D:$AL,30,FALSE)</f>
        <v/>
      </c>
      <c r="N60">
        <f>VLOOKUP(A60,QUIK!$D:$AL,4,FALSE)</f>
        <v>1</v>
      </c>
    </row>
    <row r="61" spans="1:14">
      <c r="A61" s="122" t="s">
        <v>138</v>
      </c>
      <c r="B61" s="122" t="s">
        <v>139</v>
      </c>
      <c r="C61" s="123" t="s">
        <v>12257</v>
      </c>
      <c r="D61" s="128">
        <v>0.03</v>
      </c>
      <c r="E61" s="150" t="str">
        <f>VLOOKUP(A61,QUIK!D:AL,3,FALSE)</f>
        <v>ао</v>
      </c>
      <c r="F61" s="150" t="str">
        <f>IF(ISERROR(VLOOKUP(E61,Лист12!$A$23:$A$27,1,FALSE))=FALSE,"Обл",IF(OR(E61="ао",E61="ап",E61="др"),"Акции","Прочее"))</f>
        <v>Акции</v>
      </c>
      <c r="G61" s="149">
        <f>IFERROR(VLOOKUP(A61,QUIK_купитьпродать!B:G,6,FALSE),)</f>
        <v>0</v>
      </c>
      <c r="H61" s="149">
        <f>IF(F61="Обл",VLOOKUP(A61,QUIK!C:J,8,FALSE),1)</f>
        <v>1</v>
      </c>
      <c r="I61">
        <f>VLOOKUP(A61,QUIK!$D:$AL,5,FALSE)</f>
        <v>1</v>
      </c>
      <c r="J61">
        <f>VLOOKUP(A61,QUIK!$D:$AL,9,FALSE)</f>
        <v>1027</v>
      </c>
      <c r="K61" t="str">
        <f>VLOOKUP(A61,QUIK!$D:$AL,28,FALSE)</f>
        <v>SUR</v>
      </c>
      <c r="L61">
        <f>VLOOKUP(A61,QUIK!$D:$AL,31,FALSE)</f>
        <v>-100</v>
      </c>
      <c r="M61" t="str">
        <f>VLOOKUP(A61,QUIK!$D:$AL,30,FALSE)</f>
        <v/>
      </c>
      <c r="N61">
        <f>VLOOKUP(A61,QUIK!$D:$AL,4,FALSE)</f>
        <v>1</v>
      </c>
    </row>
    <row r="64" spans="1:14" ht="15.75">
      <c r="A64" s="164" t="s">
        <v>12255</v>
      </c>
    </row>
    <row r="65" spans="1:14">
      <c r="A65" s="151" t="s">
        <v>12237</v>
      </c>
      <c r="E65" s="150"/>
      <c r="F65" s="150"/>
      <c r="H65" s="149"/>
    </row>
    <row r="66" spans="1:14" ht="45.75" thickBot="1">
      <c r="A66" s="168" t="s">
        <v>229</v>
      </c>
      <c r="B66" s="168" t="s">
        <v>1964</v>
      </c>
      <c r="C66" s="168" t="s">
        <v>12256</v>
      </c>
      <c r="D66" s="169" t="s">
        <v>140</v>
      </c>
      <c r="E66" s="116" t="s">
        <v>12243</v>
      </c>
      <c r="F66" s="116" t="s">
        <v>12244</v>
      </c>
      <c r="G66" s="116" t="s">
        <v>12236</v>
      </c>
      <c r="H66" s="165" t="s">
        <v>12242</v>
      </c>
      <c r="I66" s="116" t="s">
        <v>2075</v>
      </c>
      <c r="J66" s="116" t="s">
        <v>2076</v>
      </c>
      <c r="K66" s="116" t="s">
        <v>2090</v>
      </c>
      <c r="L66" s="116" t="s">
        <v>2091</v>
      </c>
      <c r="M66" s="116" t="s">
        <v>2092</v>
      </c>
      <c r="N66" s="165" t="s">
        <v>2094</v>
      </c>
    </row>
    <row r="67" spans="1:14" ht="15.75" thickBot="1">
      <c r="A67" t="s">
        <v>453</v>
      </c>
      <c r="B67" t="s">
        <v>454</v>
      </c>
      <c r="C67" s="94" t="s">
        <v>111</v>
      </c>
      <c r="E67" s="150" t="str">
        <f>VLOOKUP(A67,QUIK!D:AL,3,FALSE)</f>
        <v>ап</v>
      </c>
      <c r="F67" s="150" t="str">
        <f>IF(ISERROR(VLOOKUP(E67,Лист12!$A$23:$A$27,1,FALSE))=FALSE,"Обл",IF(OR(E67="ао",E67="ап",E67="др"),"Акции","Прочее"))</f>
        <v>Акции</v>
      </c>
      <c r="G67" s="149">
        <f>IFERROR(VLOOKUP(A67,QUIK_купитьпродать!B:G,6,FALSE),)</f>
        <v>50</v>
      </c>
      <c r="H67" s="149">
        <f>IF(F67="Обл",VLOOKUP(A67,QUIK!C:J,8,FALSE),1)</f>
        <v>1</v>
      </c>
      <c r="I67">
        <f>VLOOKUP(A67,QUIK!$D:$AL,5,FALSE)</f>
        <v>1</v>
      </c>
      <c r="J67">
        <f>VLOOKUP(A67,QUIK!$D:$AL,9,FALSE)</f>
        <v>1084</v>
      </c>
      <c r="K67" t="str">
        <f>VLOOKUP(A67,QUIK!$D:$AL,28,FALSE)</f>
        <v>SUR</v>
      </c>
      <c r="L67">
        <f>VLOOKUP(A67,QUIK!$D:$AL,31,FALSE)</f>
        <v>9</v>
      </c>
      <c r="M67" t="str">
        <f>VLOOKUP(A67,QUIK!$D:$AL,30,FALSE)</f>
        <v/>
      </c>
      <c r="N67">
        <f>VLOOKUP(A67,QUIK!$D:$AL,4,FALSE)</f>
        <v>3</v>
      </c>
    </row>
    <row r="68" spans="1:14" ht="15.75" thickBot="1">
      <c r="A68" t="s">
        <v>770</v>
      </c>
      <c r="B68" t="s">
        <v>771</v>
      </c>
      <c r="C68" s="94" t="s">
        <v>111</v>
      </c>
      <c r="E68" s="150" t="str">
        <f>VLOOKUP(A68,QUIK!D:AL,3,FALSE)</f>
        <v>ао</v>
      </c>
      <c r="F68" s="150" t="str">
        <f>IF(ISERROR(VLOOKUP(E68,Лист12!$A$23:$A$27,1,FALSE))=FALSE,"Обл",IF(OR(E68="ао",E68="ап",E68="др"),"Акции","Прочее"))</f>
        <v>Акции</v>
      </c>
      <c r="G68" s="149">
        <f>IFERROR(VLOOKUP(A68,QUIK_купитьпродать!B:G,6,FALSE),)</f>
        <v>50</v>
      </c>
      <c r="H68" s="149">
        <f>IF(F68="Обл",VLOOKUP(A68,QUIK!C:J,8,FALSE),1)</f>
        <v>1</v>
      </c>
      <c r="I68">
        <f>VLOOKUP(A68,QUIK!$D:$AL,5,FALSE)</f>
        <v>1</v>
      </c>
      <c r="J68">
        <f>VLOOKUP(A68,QUIK!$D:$AL,9,FALSE)</f>
        <v>255</v>
      </c>
      <c r="K68" t="str">
        <f>VLOOKUP(A68,QUIK!$D:$AL,28,FALSE)</f>
        <v>SUR</v>
      </c>
      <c r="L68">
        <f>VLOOKUP(A68,QUIK!$D:$AL,31,FALSE)</f>
        <v>-100</v>
      </c>
      <c r="M68" t="str">
        <f>VLOOKUP(A68,QUIK!$D:$AL,30,FALSE)</f>
        <v/>
      </c>
      <c r="N68">
        <f>VLOOKUP(A68,QUIK!$D:$AL,4,FALSE)</f>
        <v>1</v>
      </c>
    </row>
    <row r="69" spans="1:14" ht="15.75" thickBot="1">
      <c r="A69" t="s">
        <v>878</v>
      </c>
      <c r="B69" t="s">
        <v>879</v>
      </c>
      <c r="C69" s="94" t="s">
        <v>111</v>
      </c>
      <c r="E69" s="150" t="str">
        <f>VLOOKUP(A69,QUIK!D:AL,3,FALSE)</f>
        <v>ао</v>
      </c>
      <c r="F69" s="150" t="str">
        <f>IF(ISERROR(VLOOKUP(E69,Лист12!$A$23:$A$27,1,FALSE))=FALSE,"Обл",IF(OR(E69="ао",E69="ап",E69="др"),"Акции","Прочее"))</f>
        <v>Акции</v>
      </c>
      <c r="G69" s="149">
        <f>IFERROR(VLOOKUP(A69,QUIK_купитьпродать!B:G,6,FALSE),)</f>
        <v>12</v>
      </c>
      <c r="H69" s="149">
        <f>IF(F69="Обл",VLOOKUP(A69,QUIK!C:J,8,FALSE),1)</f>
        <v>1</v>
      </c>
      <c r="I69">
        <f>VLOOKUP(A69,QUIK!$D:$AL,5,FALSE)</f>
        <v>1</v>
      </c>
      <c r="J69">
        <f>VLOOKUP(A69,QUIK!$D:$AL,9,FALSE)</f>
        <v>580</v>
      </c>
      <c r="K69" t="str">
        <f>VLOOKUP(A69,QUIK!$D:$AL,28,FALSE)</f>
        <v>SUR</v>
      </c>
      <c r="L69">
        <f>VLOOKUP(A69,QUIK!$D:$AL,31,FALSE)</f>
        <v>-100</v>
      </c>
      <c r="M69" t="str">
        <f>VLOOKUP(A69,QUIK!$D:$AL,30,FALSE)</f>
        <v/>
      </c>
      <c r="N69">
        <f>VLOOKUP(A69,QUIK!$D:$AL,4,FALSE)</f>
        <v>1</v>
      </c>
    </row>
    <row r="70" spans="1:14" ht="15.75" thickBot="1">
      <c r="A70" t="s">
        <v>109</v>
      </c>
      <c r="B70" t="s">
        <v>110</v>
      </c>
      <c r="C70" s="94" t="s">
        <v>111</v>
      </c>
      <c r="E70" s="150" t="str">
        <f>VLOOKUP(A70,QUIK!D:AL,3,FALSE)</f>
        <v>ао</v>
      </c>
      <c r="F70" s="150" t="str">
        <f>IF(ISERROR(VLOOKUP(E70,Лист12!$A$23:$A$27,1,FALSE))=FALSE,"Обл",IF(OR(E70="ао",E70="ап",E70="др"),"Акции","Прочее"))</f>
        <v>Акции</v>
      </c>
      <c r="G70" s="149">
        <f>IFERROR(VLOOKUP(A70,QUIK_купитьпродать!B:G,6,FALSE),)</f>
        <v>100</v>
      </c>
      <c r="H70" s="149">
        <f>IF(F70="Обл",VLOOKUP(A70,QUIK!C:J,8,FALSE),1)</f>
        <v>1</v>
      </c>
      <c r="I70">
        <f>VLOOKUP(A70,QUIK!$D:$AL,5,FALSE)</f>
        <v>10</v>
      </c>
      <c r="J70">
        <f>VLOOKUP(A70,QUIK!$D:$AL,9,FALSE)</f>
        <v>52.67</v>
      </c>
      <c r="K70" t="str">
        <f>VLOOKUP(A70,QUIK!$D:$AL,28,FALSE)</f>
        <v>SUR</v>
      </c>
      <c r="L70">
        <f>VLOOKUP(A70,QUIK!$D:$AL,31,FALSE)</f>
        <v>-100</v>
      </c>
      <c r="M70" t="str">
        <f>VLOOKUP(A70,QUIK!$D:$AL,30,FALSE)</f>
        <v/>
      </c>
      <c r="N70">
        <f>VLOOKUP(A70,QUIK!$D:$AL,4,FALSE)</f>
        <v>1</v>
      </c>
    </row>
    <row r="71" spans="1:14" ht="15.75" thickBot="1">
      <c r="A71" t="s">
        <v>988</v>
      </c>
      <c r="B71" t="s">
        <v>989</v>
      </c>
      <c r="C71" s="94" t="s">
        <v>111</v>
      </c>
      <c r="E71" s="150" t="str">
        <f>VLOOKUP(A71,QUIK!D:AL,3,FALSE)</f>
        <v>ао</v>
      </c>
      <c r="F71" s="150" t="str">
        <f>IF(ISERROR(VLOOKUP(E71,Лист12!$A$23:$A$27,1,FALSE))=FALSE,"Обл",IF(OR(E71="ао",E71="ап",E71="др"),"Акции","Прочее"))</f>
        <v>Акции</v>
      </c>
      <c r="G71" s="149">
        <f>IFERROR(VLOOKUP(A71,QUIK_купитьпродать!B:G,6,FALSE),)</f>
        <v>10000</v>
      </c>
      <c r="H71" s="149">
        <f>IF(F71="Обл",VLOOKUP(A71,QUIK!C:J,8,FALSE),1)</f>
        <v>1</v>
      </c>
      <c r="I71">
        <f>VLOOKUP(A71,QUIK!$D:$AL,5,FALSE)</f>
        <v>1000</v>
      </c>
      <c r="J71">
        <f>VLOOKUP(A71,QUIK!$D:$AL,9,FALSE)</f>
        <v>1.0745</v>
      </c>
      <c r="K71" t="str">
        <f>VLOOKUP(A71,QUIK!$D:$AL,28,FALSE)</f>
        <v>SUR</v>
      </c>
      <c r="L71">
        <f>VLOOKUP(A71,QUIK!$D:$AL,31,FALSE)</f>
        <v>-100</v>
      </c>
      <c r="M71" t="str">
        <f>VLOOKUP(A71,QUIK!$D:$AL,30,FALSE)</f>
        <v/>
      </c>
      <c r="N71">
        <f>VLOOKUP(A71,QUIK!$D:$AL,4,FALSE)</f>
        <v>2</v>
      </c>
    </row>
    <row r="72" spans="1:14" ht="15.75" thickBot="1">
      <c r="A72" t="s">
        <v>998</v>
      </c>
      <c r="B72" t="s">
        <v>999</v>
      </c>
      <c r="C72" s="94" t="s">
        <v>111</v>
      </c>
      <c r="E72" s="150" t="str">
        <f>VLOOKUP(A72,QUIK!D:AL,3,FALSE)</f>
        <v>ао</v>
      </c>
      <c r="F72" s="150" t="str">
        <f>IF(ISERROR(VLOOKUP(E72,Лист12!$A$23:$A$27,1,FALSE))=FALSE,"Обл",IF(OR(E72="ао",E72="ап",E72="др"),"Акции","Прочее"))</f>
        <v>Акции</v>
      </c>
      <c r="G72" s="149">
        <f>IFERROR(VLOOKUP(A72,QUIK_купитьпродать!B:G,6,FALSE),)</f>
        <v>230000</v>
      </c>
      <c r="H72" s="149">
        <f>IF(F72="Обл",VLOOKUP(A72,QUIK!C:J,8,FALSE),1)</f>
        <v>1</v>
      </c>
      <c r="I72">
        <f>VLOOKUP(A72,QUIK!$D:$AL,5,FALSE)</f>
        <v>10000</v>
      </c>
      <c r="J72">
        <f>VLOOKUP(A72,QUIK!$D:$AL,9,FALSE)</f>
        <v>0.32429999999999998</v>
      </c>
      <c r="K72" t="str">
        <f>VLOOKUP(A72,QUIK!$D:$AL,28,FALSE)</f>
        <v>SUR</v>
      </c>
      <c r="L72">
        <f>VLOOKUP(A72,QUIK!$D:$AL,31,FALSE)</f>
        <v>-100</v>
      </c>
      <c r="M72" t="str">
        <f>VLOOKUP(A72,QUIK!$D:$AL,30,FALSE)</f>
        <v/>
      </c>
      <c r="N72">
        <f>VLOOKUP(A72,QUIK!$D:$AL,4,FALSE)</f>
        <v>2</v>
      </c>
    </row>
    <row r="73" spans="1:14" ht="15.75" thickBot="1">
      <c r="A73" t="s">
        <v>1152</v>
      </c>
      <c r="B73" t="s">
        <v>1153</v>
      </c>
      <c r="C73" s="94" t="s">
        <v>111</v>
      </c>
      <c r="E73" s="150" t="str">
        <f>VLOOKUP(A73,QUIK!D:AL,3,FALSE)</f>
        <v>ао</v>
      </c>
      <c r="F73" s="150" t="str">
        <f>IF(ISERROR(VLOOKUP(E73,Лист12!$A$23:$A$27,1,FALSE))=FALSE,"Обл",IF(OR(E73="ао",E73="ап",E73="др"),"Акции","Прочее"))</f>
        <v>Акции</v>
      </c>
      <c r="G73" s="149">
        <f>IFERROR(VLOOKUP(A73,QUIK_купитьпродать!B:G,6,FALSE),)</f>
        <v>400</v>
      </c>
      <c r="H73" s="149">
        <f>IF(F73="Обл",VLOOKUP(A73,QUIK!C:J,8,FALSE),1)</f>
        <v>1</v>
      </c>
      <c r="I73">
        <f>VLOOKUP(A73,QUIK!$D:$AL,5,FALSE)</f>
        <v>10</v>
      </c>
      <c r="J73">
        <f>VLOOKUP(A73,QUIK!$D:$AL,9,FALSE)</f>
        <v>228.11</v>
      </c>
      <c r="K73" t="str">
        <f>VLOOKUP(A73,QUIK!$D:$AL,28,FALSE)</f>
        <v>SUR</v>
      </c>
      <c r="L73">
        <f>VLOOKUP(A73,QUIK!$D:$AL,31,FALSE)</f>
        <v>-100</v>
      </c>
      <c r="M73" t="str">
        <f>VLOOKUP(A73,QUIK!$D:$AL,30,FALSE)</f>
        <v/>
      </c>
      <c r="N73">
        <f>VLOOKUP(A73,QUIK!$D:$AL,4,FALSE)</f>
        <v>1</v>
      </c>
    </row>
    <row r="74" spans="1:14" ht="15.75" thickBot="1">
      <c r="A74" t="s">
        <v>1157</v>
      </c>
      <c r="B74" t="s">
        <v>1158</v>
      </c>
      <c r="C74" s="94" t="s">
        <v>111</v>
      </c>
      <c r="E74" s="150" t="str">
        <f>VLOOKUP(A74,QUIK!D:AL,3,FALSE)</f>
        <v>ап</v>
      </c>
      <c r="F74" s="150" t="str">
        <f>IF(ISERROR(VLOOKUP(E74,Лист12!$A$23:$A$27,1,FALSE))=FALSE,"Обл",IF(OR(E74="ао",E74="ап",E74="др"),"Акции","Прочее"))</f>
        <v>Акции</v>
      </c>
      <c r="G74" s="149">
        <f>IFERROR(VLOOKUP(A74,QUIK_купитьпродать!B:G,6,FALSE),)</f>
        <v>300</v>
      </c>
      <c r="H74" s="149">
        <f>IF(F74="Обл",VLOOKUP(A74,QUIK!C:J,8,FALSE),1)</f>
        <v>1</v>
      </c>
      <c r="I74">
        <f>VLOOKUP(A74,QUIK!$D:$AL,5,FALSE)</f>
        <v>10</v>
      </c>
      <c r="J74">
        <f>VLOOKUP(A74,QUIK!$D:$AL,9,FALSE)</f>
        <v>228.35</v>
      </c>
      <c r="K74" t="str">
        <f>VLOOKUP(A74,QUIK!$D:$AL,28,FALSE)</f>
        <v>SUR</v>
      </c>
      <c r="L74">
        <f>VLOOKUP(A74,QUIK!$D:$AL,31,FALSE)</f>
        <v>-100</v>
      </c>
      <c r="M74" t="str">
        <f>VLOOKUP(A74,QUIK!$D:$AL,30,FALSE)</f>
        <v/>
      </c>
      <c r="N74">
        <f>VLOOKUP(A74,QUIK!$D:$AL,4,FALSE)</f>
        <v>1</v>
      </c>
    </row>
    <row r="75" spans="1:14" ht="15.75" thickBot="1">
      <c r="A75" t="s">
        <v>1336</v>
      </c>
      <c r="B75" t="s">
        <v>1337</v>
      </c>
      <c r="C75" s="94" t="s">
        <v>111</v>
      </c>
      <c r="E75" s="150" t="str">
        <f>VLOOKUP(A75,QUIK!D:AL,3,FALSE)</f>
        <v>ао</v>
      </c>
      <c r="F75" s="150" t="str">
        <f>IF(ISERROR(VLOOKUP(E75,Лист12!$A$23:$A$27,1,FALSE))=FALSE,"Обл",IF(OR(E75="ао",E75="ап",E75="др"),"Акции","Прочее"))</f>
        <v>Акции</v>
      </c>
      <c r="G75" s="149">
        <f>IFERROR(VLOOKUP(A75,QUIK_купитьпродать!B:G,6,FALSE),)</f>
        <v>50</v>
      </c>
      <c r="H75" s="149">
        <f>IF(F75="Обл",VLOOKUP(A75,QUIK!C:J,8,FALSE),1)</f>
        <v>1</v>
      </c>
      <c r="I75">
        <f>VLOOKUP(A75,QUIK!$D:$AL,5,FALSE)</f>
        <v>1</v>
      </c>
      <c r="J75">
        <f>VLOOKUP(A75,QUIK!$D:$AL,9,FALSE)</f>
        <v>532.9</v>
      </c>
      <c r="K75" t="str">
        <f>VLOOKUP(A75,QUIK!$D:$AL,28,FALSE)</f>
        <v>SUR</v>
      </c>
      <c r="L75">
        <f>VLOOKUP(A75,QUIK!$D:$AL,31,FALSE)</f>
        <v>-100</v>
      </c>
      <c r="M75" t="str">
        <f>VLOOKUP(A75,QUIK!$D:$AL,30,FALSE)</f>
        <v/>
      </c>
      <c r="N75">
        <f>VLOOKUP(A75,QUIK!$D:$AL,4,FALSE)</f>
        <v>1</v>
      </c>
    </row>
    <row r="76" spans="1:14" ht="15.75" thickBot="1">
      <c r="A76" t="s">
        <v>1977</v>
      </c>
      <c r="B76" t="s">
        <v>1975</v>
      </c>
      <c r="C76" s="94" t="s">
        <v>111</v>
      </c>
      <c r="E76" s="150" t="str">
        <f>VLOOKUP(A76,QUIK!D:AL,3,FALSE)</f>
        <v>бирж.обл.</v>
      </c>
      <c r="F76" s="150" t="str">
        <f>IF(ISERROR(VLOOKUP(E76,Лист12!$A$23:$A$27,1,FALSE))=FALSE,"Обл",IF(OR(E76="ао",E76="ап",E76="др"),"Акции","Прочее"))</f>
        <v>Обл</v>
      </c>
      <c r="G76" s="149">
        <f>IFERROR(VLOOKUP(A76,QUIK_купитьпродать!B:G,6,FALSE),)</f>
        <v>50</v>
      </c>
      <c r="H76" s="149">
        <f>IF(F76="Обл",VLOOKUP(A76,QUIK!C:J,8,FALSE),1)</f>
        <v>1000</v>
      </c>
      <c r="I76">
        <f>VLOOKUP(A76,QUIK!$D:$AL,5,FALSE)</f>
        <v>1</v>
      </c>
      <c r="J76">
        <f>VLOOKUP(A76,QUIK!$D:$AL,9,FALSE)</f>
        <v>94.58</v>
      </c>
      <c r="K76" t="str">
        <f>VLOOKUP(A76,QUIK!$D:$AL,28,FALSE)</f>
        <v>SUR</v>
      </c>
      <c r="L76">
        <f>VLOOKUP(A76,QUIK!$D:$AL,31,FALSE)</f>
        <v>6</v>
      </c>
      <c r="M76" t="str">
        <f>VLOOKUP(A76,QUIK!$D:$AL,30,FALSE)</f>
        <v/>
      </c>
      <c r="N76">
        <f>VLOOKUP(A76,QUIK!$D:$AL,4,FALSE)</f>
        <v>1</v>
      </c>
    </row>
    <row r="77" spans="1:14" ht="15.75" thickBot="1">
      <c r="A77" t="s">
        <v>1979</v>
      </c>
      <c r="B77" t="s">
        <v>1978</v>
      </c>
      <c r="C77" s="94" t="s">
        <v>111</v>
      </c>
      <c r="E77" s="150" t="str">
        <f>VLOOKUP(A77,QUIK!D:AL,3,FALSE)</f>
        <v>бирж.обл.</v>
      </c>
      <c r="F77" s="150" t="str">
        <f>IF(ISERROR(VLOOKUP(E77,Лист12!$A$23:$A$27,1,FALSE))=FALSE,"Обл","")</f>
        <v>Обл</v>
      </c>
      <c r="G77" s="149">
        <f>IFERROR(VLOOKUP(A77,QUIK_купитьпродать!B:G,6,FALSE),)</f>
        <v>32</v>
      </c>
      <c r="H77" s="149">
        <f>IF(F77="Обл",VLOOKUP(A77,QUIK!C:J,8,FALSE),1)</f>
        <v>1000</v>
      </c>
      <c r="I77">
        <f>VLOOKUP(A77,QUIK!$D:$AL,5,FALSE)</f>
        <v>1</v>
      </c>
      <c r="J77">
        <f>VLOOKUP(A77,QUIK!$D:$AL,9,FALSE)</f>
        <v>91.11</v>
      </c>
      <c r="K77" t="str">
        <f>VLOOKUP(A77,QUIK!$D:$AL,28,FALSE)</f>
        <v>SUR</v>
      </c>
      <c r="L77">
        <f>VLOOKUP(A77,QUIK!$D:$AL,31,FALSE)</f>
        <v>6</v>
      </c>
      <c r="M77" t="str">
        <f>VLOOKUP(A77,QUIK!$D:$AL,30,FALSE)</f>
        <v/>
      </c>
      <c r="N77">
        <f>VLOOKUP(A77,QUIK!$D:$AL,4,FALSE)</f>
        <v>1</v>
      </c>
    </row>
    <row r="78" spans="1:14" ht="15.75" thickBot="1">
      <c r="A78" t="s">
        <v>1981</v>
      </c>
      <c r="B78" t="s">
        <v>1980</v>
      </c>
      <c r="C78" s="94" t="s">
        <v>111</v>
      </c>
      <c r="E78" s="150" t="str">
        <f>VLOOKUP(A78,QUIK!D:AL,3,FALSE)</f>
        <v>бирж.обл.</v>
      </c>
      <c r="F78" s="150" t="str">
        <f>IF(ISERROR(VLOOKUP(E78,Лист12!$A$23:$A$27,1,FALSE))=FALSE,"Обл","")</f>
        <v>Обл</v>
      </c>
      <c r="G78" s="149">
        <f>IFERROR(VLOOKUP(A78,QUIK_купитьпродать!B:G,6,FALSE),)</f>
        <v>30</v>
      </c>
      <c r="H78" s="149">
        <f>IF(F78="Обл",VLOOKUP(A78,QUIK!C:J,8,FALSE),1)</f>
        <v>1000</v>
      </c>
      <c r="I78">
        <f>VLOOKUP(A78,QUIK!$D:$AL,5,FALSE)</f>
        <v>1</v>
      </c>
      <c r="J78">
        <f>VLOOKUP(A78,QUIK!$D:$AL,9,FALSE)</f>
        <v>90.16</v>
      </c>
      <c r="K78" t="str">
        <f>VLOOKUP(A78,QUIK!$D:$AL,28,FALSE)</f>
        <v>SUR</v>
      </c>
      <c r="L78">
        <f>VLOOKUP(A78,QUIK!$D:$AL,31,FALSE)</f>
        <v>6</v>
      </c>
      <c r="M78" t="str">
        <f>VLOOKUP(A78,QUIK!$D:$AL,30,FALSE)</f>
        <v/>
      </c>
      <c r="N78">
        <f>VLOOKUP(A78,QUIK!$D:$AL,4,FALSE)</f>
        <v>1</v>
      </c>
    </row>
    <row r="81" spans="1:23" ht="15.75">
      <c r="A81" s="164" t="s">
        <v>12258</v>
      </c>
    </row>
    <row r="82" spans="1:23">
      <c r="A82" t="s">
        <v>12259</v>
      </c>
    </row>
    <row r="83" spans="1:23">
      <c r="A83" t="s">
        <v>12248</v>
      </c>
    </row>
    <row r="84" spans="1:23" ht="45">
      <c r="A84" s="168" t="s">
        <v>229</v>
      </c>
      <c r="B84" s="168" t="s">
        <v>1964</v>
      </c>
      <c r="C84" s="168" t="s">
        <v>12256</v>
      </c>
      <c r="D84" s="169" t="s">
        <v>140</v>
      </c>
      <c r="E84" s="116" t="s">
        <v>12243</v>
      </c>
      <c r="F84" s="116" t="s">
        <v>12244</v>
      </c>
      <c r="G84" s="116" t="s">
        <v>12236</v>
      </c>
      <c r="H84" s="165" t="s">
        <v>12242</v>
      </c>
      <c r="I84" s="116" t="s">
        <v>2075</v>
      </c>
      <c r="J84" s="116" t="s">
        <v>2076</v>
      </c>
      <c r="K84" s="116" t="s">
        <v>2090</v>
      </c>
      <c r="L84" s="116" t="s">
        <v>2091</v>
      </c>
      <c r="M84" s="116" t="s">
        <v>2092</v>
      </c>
      <c r="N84" s="165" t="s">
        <v>2094</v>
      </c>
    </row>
    <row r="85" spans="1:23">
      <c r="A85" s="167" t="s">
        <v>99</v>
      </c>
      <c r="B85" s="167" t="s">
        <v>188</v>
      </c>
      <c r="C85" s="118"/>
      <c r="D85" s="121">
        <v>0</v>
      </c>
      <c r="E85" s="150" t="s">
        <v>100</v>
      </c>
      <c r="F85" s="153" t="s">
        <v>12751</v>
      </c>
      <c r="G85" s="149">
        <f>IFERROR(VLOOKUP(A85,QUIK_купитьпродать!B:G,6,FALSE),)</f>
        <v>37000</v>
      </c>
      <c r="H85" s="149" t="str">
        <f>IF(ISERROR(VLOOKUP(E85,Лист12!$A$23:$A$27,1,FALSE))=FALSE,VLOOKUP(A85,QUIK!C:J,8,FALSE),"")</f>
        <v/>
      </c>
      <c r="I85">
        <f>VLOOKUP(A85,QUIK!$D:$AL,5,FALSE)</f>
        <v>1</v>
      </c>
      <c r="J85">
        <f>VLOOKUP(A85,QUIK!$D:$AL,9,FALSE)</f>
        <v>1.5396000000000001</v>
      </c>
      <c r="K85" t="str">
        <f>VLOOKUP(A85,QUIK!$D:$AL,28,FALSE)</f>
        <v>SUR</v>
      </c>
      <c r="L85">
        <f>VLOOKUP(A85,QUIK!$D:$AL,31,FALSE)</f>
        <v>-100</v>
      </c>
      <c r="M85" t="str">
        <f>VLOOKUP(A85,QUIK!$D:$AL,30,FALSE)</f>
        <v/>
      </c>
      <c r="N85">
        <f>VLOOKUP(A85,QUIK!$D:$AL,4,FALSE)</f>
        <v>1</v>
      </c>
    </row>
    <row r="86" spans="1:23">
      <c r="A86" s="117" t="s">
        <v>94</v>
      </c>
      <c r="B86" s="117" t="s">
        <v>95</v>
      </c>
      <c r="C86" s="118"/>
      <c r="D86" s="119">
        <v>0</v>
      </c>
      <c r="E86" s="150" t="s">
        <v>12749</v>
      </c>
      <c r="F86" s="149" t="s">
        <v>12750</v>
      </c>
      <c r="G86" s="149">
        <f>IFERROR(VLOOKUP(A86,QUIK_купитьпродать!B:G,6,FALSE),)</f>
        <v>0</v>
      </c>
      <c r="H86" s="149" t="str">
        <f>IF(ISERROR(VLOOKUP(E86,Лист12!$A$23:$A$27,1,FALSE))=FALSE,VLOOKUP(A86,QUIK!C:J,8,FALSE),"")</f>
        <v/>
      </c>
    </row>
    <row r="89" spans="1:23" ht="21">
      <c r="A89" s="166" t="s">
        <v>12753</v>
      </c>
    </row>
    <row r="90" spans="1:23">
      <c r="A90" t="s">
        <v>12752</v>
      </c>
    </row>
    <row r="92" spans="1:23">
      <c r="A92" s="152" t="s">
        <v>12238</v>
      </c>
      <c r="E92" t="s">
        <v>12262</v>
      </c>
    </row>
    <row r="93" spans="1:23">
      <c r="A93" s="152"/>
      <c r="E93" s="170" t="s">
        <v>12261</v>
      </c>
      <c r="F93" s="170" t="s">
        <v>12263</v>
      </c>
      <c r="G93" s="170" t="s">
        <v>12261</v>
      </c>
      <c r="H93" s="170" t="s">
        <v>12264</v>
      </c>
      <c r="I93" s="170" t="s">
        <v>12261</v>
      </c>
      <c r="J93" s="170" t="s">
        <v>12261</v>
      </c>
      <c r="K93" s="170" t="s">
        <v>12261</v>
      </c>
      <c r="L93" s="170" t="s">
        <v>12261</v>
      </c>
      <c r="M93" s="170" t="s">
        <v>12261</v>
      </c>
      <c r="N93" s="170" t="s">
        <v>12261</v>
      </c>
    </row>
    <row r="94" spans="1:23" ht="54">
      <c r="A94" s="168" t="s">
        <v>229</v>
      </c>
      <c r="B94" s="168" t="s">
        <v>1964</v>
      </c>
      <c r="C94" s="168" t="s">
        <v>12256</v>
      </c>
      <c r="D94" s="169" t="s">
        <v>140</v>
      </c>
      <c r="E94" s="176" t="s">
        <v>12243</v>
      </c>
      <c r="F94" s="176" t="s">
        <v>12244</v>
      </c>
      <c r="G94" s="176" t="s">
        <v>12236</v>
      </c>
      <c r="H94" s="177" t="s">
        <v>12242</v>
      </c>
      <c r="I94" s="176" t="s">
        <v>2075</v>
      </c>
      <c r="J94" s="176" t="s">
        <v>2076</v>
      </c>
      <c r="K94" s="176" t="s">
        <v>2090</v>
      </c>
      <c r="L94" s="176" t="s">
        <v>2091</v>
      </c>
      <c r="M94" s="176" t="s">
        <v>2092</v>
      </c>
      <c r="N94" s="177" t="s">
        <v>2094</v>
      </c>
      <c r="O94" s="173" t="s">
        <v>12231</v>
      </c>
      <c r="P94" s="174" t="s">
        <v>2115</v>
      </c>
      <c r="Q94" s="173" t="s">
        <v>12230</v>
      </c>
      <c r="R94" s="175" t="s">
        <v>12239</v>
      </c>
      <c r="S94" s="175" t="s">
        <v>12235</v>
      </c>
      <c r="T94" s="175" t="s">
        <v>12240</v>
      </c>
      <c r="U94" s="175" t="s">
        <v>12246</v>
      </c>
      <c r="V94" s="175" t="s">
        <v>12247</v>
      </c>
      <c r="W94" s="175" t="s">
        <v>12249</v>
      </c>
    </row>
    <row r="95" spans="1:23">
      <c r="A95" s="122" t="s">
        <v>101</v>
      </c>
      <c r="B95" s="122" t="s">
        <v>102</v>
      </c>
      <c r="C95" s="123" t="s">
        <v>12257</v>
      </c>
      <c r="D95" s="124">
        <v>0.05</v>
      </c>
      <c r="E95" s="150" t="str">
        <f>VLOOKUP(A95,QUIK!D:AL,3,FALSE)</f>
        <v>ао</v>
      </c>
      <c r="F95" s="150" t="str">
        <f>IF(ISERROR(VLOOKUP(E95,Лист12!$A$23:$A$27,1,FALSE))=FALSE,"Обл",IF(OR(E95="ао",E95="ап",E95="др"),"Акции","Прочее"))</f>
        <v>Акции</v>
      </c>
      <c r="G95" s="149">
        <f>IFERROR(VLOOKUP(A95,QUIK_купитьпродать!B:G,6,FALSE),)</f>
        <v>8</v>
      </c>
      <c r="H95" s="149">
        <f>IF(F95="Обл",VLOOKUP(A95,QUIK!C:J,8,FALSE),1)</f>
        <v>1</v>
      </c>
      <c r="I95">
        <f>VLOOKUP(A95,QUIK!$D:$AL,5,FALSE)</f>
        <v>1</v>
      </c>
      <c r="J95">
        <f>VLOOKUP(A95,QUIK!$D:$AL,9,FALSE)</f>
        <v>6748.5</v>
      </c>
      <c r="K95" t="str">
        <f>VLOOKUP(A95,QUIK!$D:$AL,28,FALSE)</f>
        <v>SUR</v>
      </c>
      <c r="L95">
        <f>VLOOKUP(A95,QUIK!$D:$AL,31,FALSE)</f>
        <v>-100</v>
      </c>
      <c r="M95" t="str">
        <f>VLOOKUP(A95,QUIK!$D:$AL,30,FALSE)</f>
        <v/>
      </c>
      <c r="N95">
        <f>VLOOKUP(A95,QUIK!$D:$AL,4,FALSE)</f>
        <v>1</v>
      </c>
      <c r="O95" s="113">
        <f t="shared" ref="O95:O110" si="1">IFERROR(VLOOKUP(A95,$A$7:$F$34,5,FALSE)/$E$3,"")</f>
        <v>5.6036039348077549E-2</v>
      </c>
      <c r="P95" s="90">
        <f>IFERROR(D95-O95,D95)</f>
        <v>-6.0360393480775459E-3</v>
      </c>
      <c r="Q95" s="113">
        <f>IF(F95="Обл",(I95*J95%*H95)/$E$3,(I95*J95)/$E$3)</f>
        <v>7.0045049185096936E-3</v>
      </c>
      <c r="R95" s="145">
        <f>P95*$E$3</f>
        <v>-5815.4305000000049</v>
      </c>
      <c r="S95" s="148">
        <f t="shared" ref="S95:S110" si="2">IF(ABS(P95)&lt;Q95,0,ROUNDDOWN(R95/(IF(F95="Обл",(J95%*I95*H95),(J95*I95))),0))</f>
        <v>0</v>
      </c>
      <c r="T95" s="148">
        <f t="shared" ref="T95:T111" si="3">IF(F95="Обл",S95*I95*J95%*H95,S95*I95*J95)</f>
        <v>0</v>
      </c>
      <c r="U95" s="148">
        <f>(IF(G95&lt;&gt;0,G95,0)+S95*I95)</f>
        <v>8</v>
      </c>
      <c r="V95" s="148">
        <f>U95*J95</f>
        <v>53988</v>
      </c>
      <c r="W95" s="113">
        <f>V95/$E$3</f>
        <v>5.6036039348077549E-2</v>
      </c>
    </row>
    <row r="96" spans="1:23">
      <c r="A96" s="122" t="s">
        <v>104</v>
      </c>
      <c r="B96" s="122" t="s">
        <v>105</v>
      </c>
      <c r="C96" s="123" t="s">
        <v>12257</v>
      </c>
      <c r="D96" s="124">
        <v>0.05</v>
      </c>
      <c r="E96" s="150" t="str">
        <f>VLOOKUP(A96,QUIK!D:AL,3,FALSE)</f>
        <v>др</v>
      </c>
      <c r="F96" s="150" t="str">
        <f>IF(ISERROR(VLOOKUP(E96,Лист12!$A$23:$A$27,1,FALSE))=FALSE,"Обл",IF(OR(E96="ао",E96="ап",E96="др"),"Акции","Прочее"))</f>
        <v>Акции</v>
      </c>
      <c r="G96" s="149">
        <f>IFERROR(VLOOKUP(A96,QUIK_купитьпродать!B:G,6,FALSE),)</f>
        <v>0</v>
      </c>
      <c r="H96" s="149">
        <f>IF(F96="Обл",VLOOKUP(A96,QUIK!C:J,8,FALSE),1)</f>
        <v>1</v>
      </c>
      <c r="I96">
        <f>VLOOKUP(A96,QUIK!$D:$AL,5,FALSE)</f>
        <v>1</v>
      </c>
      <c r="J96">
        <f>VLOOKUP(A96,QUIK!$D:$AL,9,FALSE)</f>
        <v>2719.5</v>
      </c>
      <c r="K96" t="str">
        <f>VLOOKUP(A96,QUIK!$D:$AL,28,FALSE)</f>
        <v>SUR</v>
      </c>
      <c r="L96">
        <f>VLOOKUP(A96,QUIK!$D:$AL,31,FALSE)</f>
        <v>-100</v>
      </c>
      <c r="M96" t="str">
        <f>VLOOKUP(A96,QUIK!$D:$AL,30,FALSE)</f>
        <v/>
      </c>
      <c r="N96">
        <f>VLOOKUP(A96,QUIK!$D:$AL,4,FALSE)</f>
        <v>1</v>
      </c>
      <c r="O96" s="113" t="str">
        <f t="shared" si="1"/>
        <v/>
      </c>
      <c r="P96" s="90">
        <f t="shared" ref="P96:P111" si="4">IFERROR(D96-O96,D96)</f>
        <v>0.05</v>
      </c>
      <c r="Q96" s="113">
        <f t="shared" ref="Q96:Q111" si="5">IF(F96="Обл",(I96*J96%*H96)/$E$3,(I96*J96)/$E$3)</f>
        <v>2.8226644626045952E-3</v>
      </c>
      <c r="R96" s="145">
        <f t="shared" ref="R96:R111" si="6">P96*$E$3</f>
        <v>48172.569499999998</v>
      </c>
      <c r="S96" s="148">
        <f t="shared" si="2"/>
        <v>17</v>
      </c>
      <c r="T96" s="148">
        <f t="shared" si="3"/>
        <v>46231.5</v>
      </c>
      <c r="U96" s="148">
        <f t="shared" ref="U96:U111" si="7">(IF(G96&lt;&gt;0,G96,0)+S96*I96)</f>
        <v>17</v>
      </c>
      <c r="V96" s="148">
        <f t="shared" ref="V96:V111" si="8">U96*J96</f>
        <v>46231.5</v>
      </c>
      <c r="W96" s="113">
        <f t="shared" ref="W96:W111" si="9">V96/$E$3</f>
        <v>4.7985295864278119E-2</v>
      </c>
    </row>
    <row r="97" spans="1:23">
      <c r="A97" s="122" t="s">
        <v>107</v>
      </c>
      <c r="B97" s="122" t="s">
        <v>108</v>
      </c>
      <c r="C97" s="123" t="s">
        <v>12257</v>
      </c>
      <c r="D97" s="124">
        <v>0.05</v>
      </c>
      <c r="E97" s="150" t="str">
        <f>VLOOKUP(A97,QUIK!D:AL,3,FALSE)</f>
        <v>ао</v>
      </c>
      <c r="F97" s="150" t="str">
        <f>IF(ISERROR(VLOOKUP(E97,Лист12!$A$23:$A$27,1,FALSE))=FALSE,"Обл",IF(OR(E97="ао",E97="ап",E97="др"),"Акции","Прочее"))</f>
        <v>Акции</v>
      </c>
      <c r="G97" s="149">
        <f>IFERROR(VLOOKUP(A97,QUIK_купитьпродать!B:G,6,FALSE),)</f>
        <v>6</v>
      </c>
      <c r="H97" s="149">
        <f>IF(F97="Обл",VLOOKUP(A97,QUIK!C:J,8,FALSE),1)</f>
        <v>1</v>
      </c>
      <c r="I97">
        <f>VLOOKUP(A97,QUIK!$D:$AL,5,FALSE)</f>
        <v>1</v>
      </c>
      <c r="J97">
        <f>VLOOKUP(A97,QUIK!$D:$AL,9,FALSE)</f>
        <v>1798.6</v>
      </c>
      <c r="K97" t="str">
        <f>VLOOKUP(A97,QUIK!$D:$AL,28,FALSE)</f>
        <v>SUR</v>
      </c>
      <c r="L97">
        <f>VLOOKUP(A97,QUIK!$D:$AL,31,FALSE)</f>
        <v>-100</v>
      </c>
      <c r="M97" t="str">
        <f>VLOOKUP(A97,QUIK!$D:$AL,30,FALSE)</f>
        <v/>
      </c>
      <c r="N97">
        <f>VLOOKUP(A97,QUIK!$D:$AL,4,FALSE)</f>
        <v>1</v>
      </c>
      <c r="O97" s="113">
        <f t="shared" si="1"/>
        <v>1.120098025910783E-2</v>
      </c>
      <c r="P97" s="90">
        <f t="shared" si="4"/>
        <v>3.8799019740892171E-2</v>
      </c>
      <c r="Q97" s="113">
        <f t="shared" si="5"/>
        <v>1.8668300431846387E-3</v>
      </c>
      <c r="R97" s="145">
        <f t="shared" si="6"/>
        <v>37380.969499999999</v>
      </c>
      <c r="S97" s="148">
        <f t="shared" si="2"/>
        <v>20</v>
      </c>
      <c r="T97" s="148">
        <f t="shared" si="3"/>
        <v>35972</v>
      </c>
      <c r="U97" s="148">
        <f t="shared" si="7"/>
        <v>26</v>
      </c>
      <c r="V97" s="148">
        <f t="shared" si="8"/>
        <v>46763.6</v>
      </c>
      <c r="W97" s="113">
        <f t="shared" si="9"/>
        <v>4.8537581122800606E-2</v>
      </c>
    </row>
    <row r="98" spans="1:23">
      <c r="A98" s="122" t="s">
        <v>112</v>
      </c>
      <c r="B98" s="122" t="s">
        <v>113</v>
      </c>
      <c r="C98" s="123" t="s">
        <v>12257</v>
      </c>
      <c r="D98" s="127">
        <v>0.08</v>
      </c>
      <c r="E98" s="150" t="str">
        <f>VLOOKUP(A98,QUIK!D:AL,3,FALSE)</f>
        <v>ап</v>
      </c>
      <c r="F98" s="150" t="str">
        <f>IF(ISERROR(VLOOKUP(E98,Лист12!$A$23:$A$27,1,FALSE))=FALSE,"Обл",IF(OR(E98="ао",E98="ап",E98="др"),"Акции","Прочее"))</f>
        <v>Акции</v>
      </c>
      <c r="G98" s="149">
        <f>IFERROR(VLOOKUP(A98,QUIK_купитьпродать!B:G,6,FALSE),)</f>
        <v>500</v>
      </c>
      <c r="H98" s="149">
        <f>IF(F98="Обл",VLOOKUP(A98,QUIK!C:J,8,FALSE),1)</f>
        <v>1</v>
      </c>
      <c r="I98">
        <f>VLOOKUP(A98,QUIK!$D:$AL,5,FALSE)</f>
        <v>10</v>
      </c>
      <c r="J98">
        <f>VLOOKUP(A98,QUIK!$D:$AL,9,FALSE)</f>
        <v>55.975000000000001</v>
      </c>
      <c r="K98" t="str">
        <f>VLOOKUP(A98,QUIK!$D:$AL,28,FALSE)</f>
        <v>SUR</v>
      </c>
      <c r="L98">
        <f>VLOOKUP(A98,QUIK!$D:$AL,31,FALSE)</f>
        <v>-100</v>
      </c>
      <c r="M98" t="str">
        <f>VLOOKUP(A98,QUIK!$D:$AL,30,FALSE)</f>
        <v/>
      </c>
      <c r="N98">
        <f>VLOOKUP(A98,QUIK!$D:$AL,4,FALSE)</f>
        <v>2</v>
      </c>
      <c r="O98" s="113">
        <f t="shared" si="1"/>
        <v>2.904920818060162E-2</v>
      </c>
      <c r="P98" s="90">
        <f t="shared" si="4"/>
        <v>5.0950791819398378E-2</v>
      </c>
      <c r="Q98" s="113">
        <f t="shared" si="5"/>
        <v>5.8098416361203244E-4</v>
      </c>
      <c r="R98" s="145">
        <f t="shared" si="6"/>
        <v>49088.611199999992</v>
      </c>
      <c r="S98" s="148">
        <f t="shared" si="2"/>
        <v>87</v>
      </c>
      <c r="T98" s="148">
        <f t="shared" si="3"/>
        <v>48698.25</v>
      </c>
      <c r="U98" s="148">
        <f t="shared" si="7"/>
        <v>1370</v>
      </c>
      <c r="V98" s="148">
        <f t="shared" si="8"/>
        <v>76685.75</v>
      </c>
      <c r="W98" s="113">
        <f t="shared" si="9"/>
        <v>7.9594830414848439E-2</v>
      </c>
    </row>
    <row r="99" spans="1:23">
      <c r="A99" s="122" t="s">
        <v>114</v>
      </c>
      <c r="B99" s="122" t="s">
        <v>115</v>
      </c>
      <c r="C99" s="123" t="s">
        <v>12257</v>
      </c>
      <c r="D99" s="124">
        <v>0.05</v>
      </c>
      <c r="E99" s="150" t="str">
        <f>VLOOKUP(A99,QUIK!D:AL,3,FALSE)</f>
        <v>ао</v>
      </c>
      <c r="F99" s="150" t="str">
        <f>IF(ISERROR(VLOOKUP(E99,Лист12!$A$23:$A$27,1,FALSE))=FALSE,"Обл",IF(OR(E99="ао",E99="ап",E99="др"),"Акции","Прочее"))</f>
        <v>Акции</v>
      </c>
      <c r="G99" s="149">
        <f>IFERROR(VLOOKUP(A99,QUIK_купитьпродать!B:G,6,FALSE),)</f>
        <v>9</v>
      </c>
      <c r="H99" s="149">
        <f>IF(F99="Обл",VLOOKUP(A99,QUIK!C:J,8,FALSE),1)</f>
        <v>1</v>
      </c>
      <c r="I99">
        <f>VLOOKUP(A99,QUIK!$D:$AL,5,FALSE)</f>
        <v>1</v>
      </c>
      <c r="J99">
        <f>VLOOKUP(A99,QUIK!$D:$AL,9,FALSE)</f>
        <v>2348</v>
      </c>
      <c r="K99" t="str">
        <f>VLOOKUP(A99,QUIK!$D:$AL,28,FALSE)</f>
        <v>SUR</v>
      </c>
      <c r="L99">
        <f>VLOOKUP(A99,QUIK!$D:$AL,31,FALSE)</f>
        <v>-100</v>
      </c>
      <c r="M99" t="str">
        <f>VLOOKUP(A99,QUIK!$D:$AL,30,FALSE)</f>
        <v/>
      </c>
      <c r="N99">
        <f>VLOOKUP(A99,QUIK!$D:$AL,4,FALSE)</f>
        <v>1</v>
      </c>
      <c r="O99" s="113">
        <f t="shared" si="1"/>
        <v>2.1933644208038356E-2</v>
      </c>
      <c r="P99" s="90">
        <f t="shared" si="4"/>
        <v>2.8066355791961647E-2</v>
      </c>
      <c r="Q99" s="113">
        <f t="shared" si="5"/>
        <v>2.4370715786709283E-3</v>
      </c>
      <c r="R99" s="145">
        <f t="shared" si="6"/>
        <v>27040.569499999998</v>
      </c>
      <c r="S99" s="148">
        <f t="shared" si="2"/>
        <v>11</v>
      </c>
      <c r="T99" s="148">
        <f t="shared" si="3"/>
        <v>25828</v>
      </c>
      <c r="U99" s="148">
        <f t="shared" si="7"/>
        <v>20</v>
      </c>
      <c r="V99" s="148">
        <f t="shared" si="8"/>
        <v>46960</v>
      </c>
      <c r="W99" s="113">
        <f t="shared" si="9"/>
        <v>4.8741431573418564E-2</v>
      </c>
    </row>
    <row r="100" spans="1:23">
      <c r="A100" s="122" t="s">
        <v>116</v>
      </c>
      <c r="B100" s="122" t="s">
        <v>117</v>
      </c>
      <c r="C100" s="123" t="s">
        <v>12257</v>
      </c>
      <c r="D100" s="128">
        <v>0.03</v>
      </c>
      <c r="E100" s="150" t="str">
        <f>VLOOKUP(A100,QUIK!D:AL,3,FALSE)</f>
        <v>ап</v>
      </c>
      <c r="F100" s="150" t="str">
        <f>IF(ISERROR(VLOOKUP(E100,Лист12!$A$23:$A$27,1,FALSE))=FALSE,"Обл",IF(OR(E100="ао",E100="ап",E100="др"),"Акции","Прочее"))</f>
        <v>Акции</v>
      </c>
      <c r="G100" s="149">
        <f>IFERROR(VLOOKUP(A100,QUIK_купитьпродать!B:G,6,FALSE),)</f>
        <v>11</v>
      </c>
      <c r="H100" s="149">
        <f>IF(F100="Обл",VLOOKUP(A100,QUIK!C:J,8,FALSE),1)</f>
        <v>1</v>
      </c>
      <c r="I100">
        <f>VLOOKUP(A100,QUIK!$D:$AL,5,FALSE)</f>
        <v>1</v>
      </c>
      <c r="J100">
        <f>VLOOKUP(A100,QUIK!$D:$AL,9,FALSE)</f>
        <v>944.5</v>
      </c>
      <c r="K100" t="str">
        <f>VLOOKUP(A100,QUIK!$D:$AL,28,FALSE)</f>
        <v>SUR</v>
      </c>
      <c r="L100">
        <f>VLOOKUP(A100,QUIK!$D:$AL,31,FALSE)</f>
        <v>-100</v>
      </c>
      <c r="M100" t="str">
        <f>VLOOKUP(A100,QUIK!$D:$AL,30,FALSE)</f>
        <v/>
      </c>
      <c r="N100">
        <f>VLOOKUP(A100,QUIK!$D:$AL,4,FALSE)</f>
        <v>1</v>
      </c>
      <c r="O100" s="113">
        <f t="shared" si="1"/>
        <v>1.0783626561585012E-2</v>
      </c>
      <c r="P100" s="90">
        <f t="shared" si="4"/>
        <v>1.9216373438414987E-2</v>
      </c>
      <c r="Q100" s="113">
        <f t="shared" si="5"/>
        <v>9.8032968741681927E-4</v>
      </c>
      <c r="R100" s="145">
        <f t="shared" si="6"/>
        <v>18514.041699999998</v>
      </c>
      <c r="S100" s="148">
        <f t="shared" si="2"/>
        <v>19</v>
      </c>
      <c r="T100" s="148">
        <f t="shared" si="3"/>
        <v>17945.5</v>
      </c>
      <c r="U100" s="148">
        <f t="shared" si="7"/>
        <v>30</v>
      </c>
      <c r="V100" s="148">
        <f t="shared" si="8"/>
        <v>28335</v>
      </c>
      <c r="W100" s="113">
        <f t="shared" si="9"/>
        <v>2.940989062250458E-2</v>
      </c>
    </row>
    <row r="101" spans="1:23">
      <c r="A101" s="122" t="s">
        <v>118</v>
      </c>
      <c r="B101" s="122" t="s">
        <v>119</v>
      </c>
      <c r="C101" s="123" t="s">
        <v>12257</v>
      </c>
      <c r="D101" s="129">
        <v>0.09</v>
      </c>
      <c r="E101" s="150" t="str">
        <f>VLOOKUP(A101,QUIK!D:AL,3,FALSE)</f>
        <v>ао</v>
      </c>
      <c r="F101" s="150" t="str">
        <f>IF(ISERROR(VLOOKUP(E101,Лист12!$A$23:$A$27,1,FALSE))=FALSE,"Обл",IF(OR(E101="ао",E101="ап",E101="др"),"Акции","Прочее"))</f>
        <v>Акции</v>
      </c>
      <c r="G101" s="149">
        <f>IFERROR(VLOOKUP(A101,QUIK_купитьпродать!B:G,6,FALSE),)</f>
        <v>30</v>
      </c>
      <c r="H101" s="149">
        <f>IF(F101="Обл",VLOOKUP(A101,QUIK!C:J,8,FALSE),1)</f>
        <v>1</v>
      </c>
      <c r="I101">
        <f>VLOOKUP(A101,QUIK!$D:$AL,5,FALSE)</f>
        <v>1</v>
      </c>
      <c r="J101">
        <f>VLOOKUP(A101,QUIK!$D:$AL,9,FALSE)</f>
        <v>3330.5</v>
      </c>
      <c r="K101" t="str">
        <f>VLOOKUP(A101,QUIK!$D:$AL,28,FALSE)</f>
        <v>SUR</v>
      </c>
      <c r="L101">
        <f>VLOOKUP(A101,QUIK!$D:$AL,31,FALSE)</f>
        <v>-100</v>
      </c>
      <c r="M101" t="str">
        <f>VLOOKUP(A101,QUIK!$D:$AL,30,FALSE)</f>
        <v/>
      </c>
      <c r="N101">
        <f>VLOOKUP(A101,QUIK!$D:$AL,4,FALSE)</f>
        <v>1</v>
      </c>
      <c r="O101" s="113">
        <f t="shared" si="1"/>
        <v>0.10370528397909105</v>
      </c>
      <c r="P101" s="90">
        <f t="shared" si="4"/>
        <v>-1.3705283979091057E-2</v>
      </c>
      <c r="Q101" s="113">
        <f t="shared" si="5"/>
        <v>3.4568427993030351E-3</v>
      </c>
      <c r="R101" s="145">
        <f>P101*$E$3</f>
        <v>-13204.374900000008</v>
      </c>
      <c r="S101" s="148">
        <f t="shared" si="2"/>
        <v>-3</v>
      </c>
      <c r="T101" s="148">
        <f t="shared" si="3"/>
        <v>-9991.5</v>
      </c>
      <c r="U101" s="148">
        <f t="shared" si="7"/>
        <v>27</v>
      </c>
      <c r="V101" s="148">
        <f t="shared" si="8"/>
        <v>89923.5</v>
      </c>
      <c r="W101" s="113">
        <f t="shared" si="9"/>
        <v>9.3334755581181955E-2</v>
      </c>
    </row>
    <row r="102" spans="1:23">
      <c r="A102" s="122" t="s">
        <v>120</v>
      </c>
      <c r="B102" s="122" t="s">
        <v>121</v>
      </c>
      <c r="C102" s="123" t="s">
        <v>12257</v>
      </c>
      <c r="D102" s="124">
        <v>0.05</v>
      </c>
      <c r="E102" s="150" t="str">
        <f>VLOOKUP(A102,QUIK!D:AL,3,FALSE)</f>
        <v>ао</v>
      </c>
      <c r="F102" s="150" t="str">
        <f>IF(ISERROR(VLOOKUP(E102,Лист12!$A$23:$A$27,1,FALSE))=FALSE,"Обл",IF(OR(E102="ао",E102="ап",E102="др"),"Акции","Прочее"))</f>
        <v>Акции</v>
      </c>
      <c r="G102" s="149">
        <f>IFERROR(VLOOKUP(A102,QUIK_купитьпродать!B:G,6,FALSE),)</f>
        <v>140</v>
      </c>
      <c r="H102" s="149">
        <f>IF(F102="Обл",VLOOKUP(A102,QUIK!C:J,8,FALSE),1)</f>
        <v>1</v>
      </c>
      <c r="I102">
        <f>VLOOKUP(A102,QUIK!$D:$AL,5,FALSE)</f>
        <v>10</v>
      </c>
      <c r="J102">
        <f>VLOOKUP(A102,QUIK!$D:$AL,9,FALSE)</f>
        <v>183.56</v>
      </c>
      <c r="K102" t="str">
        <f>VLOOKUP(A102,QUIK!$D:$AL,28,FALSE)</f>
        <v>SUR</v>
      </c>
      <c r="L102">
        <f>VLOOKUP(A102,QUIK!$D:$AL,31,FALSE)</f>
        <v>-100</v>
      </c>
      <c r="M102" t="str">
        <f>VLOOKUP(A102,QUIK!$D:$AL,30,FALSE)</f>
        <v/>
      </c>
      <c r="N102">
        <f>VLOOKUP(A102,QUIK!$D:$AL,4,FALSE)</f>
        <v>1</v>
      </c>
      <c r="O102" s="113">
        <f t="shared" si="1"/>
        <v>2.667327097841439E-2</v>
      </c>
      <c r="P102" s="90">
        <f t="shared" si="4"/>
        <v>2.3326729021585613E-2</v>
      </c>
      <c r="Q102" s="113">
        <f t="shared" si="5"/>
        <v>1.9052336413153135E-3</v>
      </c>
      <c r="R102" s="145">
        <f t="shared" si="6"/>
        <v>22474.169499999996</v>
      </c>
      <c r="S102" s="148">
        <f t="shared" si="2"/>
        <v>12</v>
      </c>
      <c r="T102" s="148">
        <f t="shared" si="3"/>
        <v>22027.200000000001</v>
      </c>
      <c r="U102" s="148">
        <f t="shared" si="7"/>
        <v>260</v>
      </c>
      <c r="V102" s="148">
        <f t="shared" si="8"/>
        <v>47725.599999999999</v>
      </c>
      <c r="W102" s="113">
        <f t="shared" si="9"/>
        <v>4.9536074674198148E-2</v>
      </c>
    </row>
    <row r="103" spans="1:23">
      <c r="A103" s="122" t="s">
        <v>122</v>
      </c>
      <c r="B103" s="122" t="s">
        <v>123</v>
      </c>
      <c r="C103" s="123" t="s">
        <v>12257</v>
      </c>
      <c r="D103" s="124">
        <v>0.05</v>
      </c>
      <c r="E103" s="150" t="str">
        <f>VLOOKUP(A103,QUIK!D:AL,3,FALSE)</f>
        <v>ао</v>
      </c>
      <c r="F103" s="150" t="str">
        <f>IF(ISERROR(VLOOKUP(E103,Лист12!$A$23:$A$27,1,FALSE))=FALSE,"Обл",IF(OR(E103="ао",E103="ап",E103="др"),"Акции","Прочее"))</f>
        <v>Акции</v>
      </c>
      <c r="G103" s="149">
        <f>IFERROR(VLOOKUP(A103,QUIK_купитьпродать!B:G,6,FALSE),)</f>
        <v>1000</v>
      </c>
      <c r="H103" s="149">
        <f>IF(F103="Обл",VLOOKUP(A103,QUIK!C:J,8,FALSE),1)</f>
        <v>1</v>
      </c>
      <c r="I103">
        <f>VLOOKUP(A103,QUIK!$D:$AL,5,FALSE)</f>
        <v>100</v>
      </c>
      <c r="J103">
        <f>VLOOKUP(A103,QUIK!$D:$AL,9,FALSE)</f>
        <v>12.58</v>
      </c>
      <c r="K103" t="str">
        <f>VLOOKUP(A103,QUIK!$D:$AL,28,FALSE)</f>
        <v>SUR</v>
      </c>
      <c r="L103">
        <f>VLOOKUP(A103,QUIK!$D:$AL,31,FALSE)</f>
        <v>-100</v>
      </c>
      <c r="M103" t="str">
        <f>VLOOKUP(A103,QUIK!$D:$AL,30,FALSE)</f>
        <v/>
      </c>
      <c r="N103">
        <f>VLOOKUP(A103,QUIK!$D:$AL,4,FALSE)</f>
        <v>1</v>
      </c>
      <c r="O103" s="113">
        <f t="shared" si="1"/>
        <v>1.305722336442942E-2</v>
      </c>
      <c r="P103" s="90">
        <f t="shared" si="4"/>
        <v>3.6942776635570579E-2</v>
      </c>
      <c r="Q103" s="113">
        <f t="shared" si="5"/>
        <v>1.3057223364429419E-3</v>
      </c>
      <c r="R103" s="145">
        <f t="shared" si="6"/>
        <v>35592.569499999991</v>
      </c>
      <c r="S103" s="148">
        <f t="shared" si="2"/>
        <v>28</v>
      </c>
      <c r="T103" s="148">
        <f t="shared" si="3"/>
        <v>35224</v>
      </c>
      <c r="U103" s="148">
        <f t="shared" si="7"/>
        <v>3800</v>
      </c>
      <c r="V103" s="148">
        <f t="shared" si="8"/>
        <v>47804</v>
      </c>
      <c r="W103" s="113">
        <f t="shared" si="9"/>
        <v>4.9617448784831798E-2</v>
      </c>
    </row>
    <row r="104" spans="1:23">
      <c r="A104" s="122" t="s">
        <v>124</v>
      </c>
      <c r="B104" s="122" t="s">
        <v>125</v>
      </c>
      <c r="C104" s="123" t="s">
        <v>12257</v>
      </c>
      <c r="D104" s="124">
        <v>0.05</v>
      </c>
      <c r="E104" s="150" t="str">
        <f>VLOOKUP(A104,QUIK!D:AL,3,FALSE)</f>
        <v>ао</v>
      </c>
      <c r="F104" s="150" t="str">
        <f>IF(ISERROR(VLOOKUP(E104,Лист12!$A$23:$A$27,1,FALSE))=FALSE,"Обл",IF(OR(E104="ао",E104="ап",E104="др"),"Акции","Прочее"))</f>
        <v>Акции</v>
      </c>
      <c r="G104" s="149">
        <f>IFERROR(VLOOKUP(A104,QUIK_купитьпродать!B:G,6,FALSE),)</f>
        <v>7</v>
      </c>
      <c r="H104" s="149">
        <f>IF(F104="Обл",VLOOKUP(A104,QUIK!C:J,8,FALSE),1)</f>
        <v>1</v>
      </c>
      <c r="I104">
        <f>VLOOKUP(A104,QUIK!$D:$AL,5,FALSE)</f>
        <v>1</v>
      </c>
      <c r="J104">
        <f>VLOOKUP(A104,QUIK!$D:$AL,9,FALSE)</f>
        <v>4200</v>
      </c>
      <c r="K104" t="str">
        <f>VLOOKUP(A104,QUIK!$D:$AL,28,FALSE)</f>
        <v>SUR</v>
      </c>
      <c r="L104">
        <f>VLOOKUP(A104,QUIK!$D:$AL,31,FALSE)</f>
        <v>-100</v>
      </c>
      <c r="M104" t="str">
        <f>VLOOKUP(A104,QUIK!$D:$AL,30,FALSE)</f>
        <v/>
      </c>
      <c r="N104">
        <f>VLOOKUP(A104,QUIK!$D:$AL,4,FALSE)</f>
        <v>1</v>
      </c>
      <c r="O104" s="113">
        <f t="shared" si="1"/>
        <v>3.0515291487617245E-2</v>
      </c>
      <c r="P104" s="90">
        <f t="shared" si="4"/>
        <v>1.9484708512382758E-2</v>
      </c>
      <c r="Q104" s="113">
        <f t="shared" si="5"/>
        <v>4.3593273553738923E-3</v>
      </c>
      <c r="R104" s="145">
        <f t="shared" si="6"/>
        <v>18772.569499999998</v>
      </c>
      <c r="S104" s="148">
        <f t="shared" si="2"/>
        <v>4</v>
      </c>
      <c r="T104" s="148">
        <f t="shared" si="3"/>
        <v>16800</v>
      </c>
      <c r="U104" s="148">
        <f t="shared" si="7"/>
        <v>11</v>
      </c>
      <c r="V104" s="148">
        <f t="shared" si="8"/>
        <v>46200</v>
      </c>
      <c r="W104" s="113">
        <f t="shared" si="9"/>
        <v>4.7952600909112818E-2</v>
      </c>
    </row>
    <row r="105" spans="1:23">
      <c r="A105" s="122" t="s">
        <v>126</v>
      </c>
      <c r="B105" s="122" t="s">
        <v>127</v>
      </c>
      <c r="C105" s="123" t="s">
        <v>12257</v>
      </c>
      <c r="D105" s="124">
        <v>0.05</v>
      </c>
      <c r="E105" s="150" t="str">
        <f>VLOOKUP(A105,QUIK!D:AL,3,FALSE)</f>
        <v>ап</v>
      </c>
      <c r="F105" s="150" t="str">
        <f>IF(ISERROR(VLOOKUP(E105,Лист12!$A$23:$A$27,1,FALSE))=FALSE,"Обл",IF(OR(E105="ао",E105="ап",E105="др"),"Акции","Прочее"))</f>
        <v>Акции</v>
      </c>
      <c r="G105" s="149">
        <f>IFERROR(VLOOKUP(A105,QUIK_купитьпродать!B:G,6,FALSE),)</f>
        <v>0</v>
      </c>
      <c r="H105" s="149">
        <f>IF(F105="Обл",VLOOKUP(A105,QUIK!C:J,8,FALSE),1)</f>
        <v>1</v>
      </c>
      <c r="I105">
        <f>VLOOKUP(A105,QUIK!$D:$AL,5,FALSE)</f>
        <v>1</v>
      </c>
      <c r="J105">
        <f>VLOOKUP(A105,QUIK!$D:$AL,9,FALSE)</f>
        <v>531.29999999999995</v>
      </c>
      <c r="K105" t="str">
        <f>VLOOKUP(A105,QUIK!$D:$AL,28,FALSE)</f>
        <v>SUR</v>
      </c>
      <c r="L105">
        <f>VLOOKUP(A105,QUIK!$D:$AL,31,FALSE)</f>
        <v>-100</v>
      </c>
      <c r="M105" t="str">
        <f>VLOOKUP(A105,QUIK!$D:$AL,30,FALSE)</f>
        <v/>
      </c>
      <c r="N105">
        <f>VLOOKUP(A105,QUIK!$D:$AL,4,FALSE)</f>
        <v>1</v>
      </c>
      <c r="O105" s="113" t="str">
        <f t="shared" si="1"/>
        <v/>
      </c>
      <c r="P105" s="90">
        <f t="shared" si="4"/>
        <v>0.05</v>
      </c>
      <c r="Q105" s="113">
        <f t="shared" si="5"/>
        <v>5.5145491045479732E-4</v>
      </c>
      <c r="R105" s="145">
        <f t="shared" si="6"/>
        <v>48172.569499999998</v>
      </c>
      <c r="S105" s="148">
        <f t="shared" si="2"/>
        <v>90</v>
      </c>
      <c r="T105" s="148">
        <f t="shared" si="3"/>
        <v>47816.999999999993</v>
      </c>
      <c r="U105" s="148">
        <f t="shared" si="7"/>
        <v>90</v>
      </c>
      <c r="V105" s="148">
        <f t="shared" si="8"/>
        <v>47816.999999999993</v>
      </c>
      <c r="W105" s="113">
        <f t="shared" si="9"/>
        <v>4.9630941940931754E-2</v>
      </c>
    </row>
    <row r="106" spans="1:23">
      <c r="A106" s="122" t="s">
        <v>128</v>
      </c>
      <c r="B106" s="122" t="s">
        <v>129</v>
      </c>
      <c r="C106" s="123" t="s">
        <v>12257</v>
      </c>
      <c r="D106" s="129">
        <v>0.09</v>
      </c>
      <c r="E106" s="150" t="str">
        <f>VLOOKUP(A106,QUIK!D:AL,3,FALSE)</f>
        <v>ао</v>
      </c>
      <c r="F106" s="150" t="str">
        <f>IF(ISERROR(VLOOKUP(E106,Лист12!$A$23:$A$27,1,FALSE))=FALSE,"Обл",IF(OR(E106="ао",E106="ап",E106="др"),"Акции","Прочее"))</f>
        <v>Акции</v>
      </c>
      <c r="G106" s="149">
        <f>IFERROR(VLOOKUP(A106,QUIK_купитьпродать!B:G,6,FALSE),)</f>
        <v>50</v>
      </c>
      <c r="H106" s="149">
        <f>IF(F106="Обл",VLOOKUP(A106,QUIK!C:J,8,FALSE),1)</f>
        <v>1</v>
      </c>
      <c r="I106">
        <f>VLOOKUP(A106,QUIK!$D:$AL,5,FALSE)</f>
        <v>1</v>
      </c>
      <c r="J106">
        <f>VLOOKUP(A106,QUIK!$D:$AL,9,FALSE)</f>
        <v>434.65</v>
      </c>
      <c r="K106" t="str">
        <f>VLOOKUP(A106,QUIK!$D:$AL,28,FALSE)</f>
        <v>SUR</v>
      </c>
      <c r="L106">
        <f>VLOOKUP(A106,QUIK!$D:$AL,31,FALSE)</f>
        <v>-100</v>
      </c>
      <c r="M106" t="str">
        <f>VLOOKUP(A106,QUIK!$D:$AL,30,FALSE)</f>
        <v/>
      </c>
      <c r="N106">
        <f>VLOOKUP(A106,QUIK!$D:$AL,4,FALSE)</f>
        <v>1</v>
      </c>
      <c r="O106" s="113">
        <f t="shared" si="1"/>
        <v>2.2556924226348359E-2</v>
      </c>
      <c r="P106" s="90">
        <f t="shared" si="4"/>
        <v>6.7443075773651634E-2</v>
      </c>
      <c r="Q106" s="113">
        <f t="shared" si="5"/>
        <v>4.5113848452696718E-4</v>
      </c>
      <c r="R106" s="145">
        <f t="shared" si="6"/>
        <v>64978.125099999983</v>
      </c>
      <c r="S106" s="148">
        <f t="shared" si="2"/>
        <v>149</v>
      </c>
      <c r="T106" s="148">
        <f t="shared" si="3"/>
        <v>64762.85</v>
      </c>
      <c r="U106" s="148">
        <f t="shared" si="7"/>
        <v>199</v>
      </c>
      <c r="V106" s="148">
        <f t="shared" si="8"/>
        <v>86495.349999999991</v>
      </c>
      <c r="W106" s="113">
        <f t="shared" si="9"/>
        <v>8.9776558420866459E-2</v>
      </c>
    </row>
    <row r="107" spans="1:23">
      <c r="A107" s="122" t="s">
        <v>130</v>
      </c>
      <c r="B107" s="122" t="s">
        <v>131</v>
      </c>
      <c r="C107" s="123" t="s">
        <v>12257</v>
      </c>
      <c r="D107" s="124">
        <v>0.05</v>
      </c>
      <c r="E107" s="150" t="str">
        <f>VLOOKUP(A107,QUIK!D:AL,3,FALSE)</f>
        <v>ао</v>
      </c>
      <c r="F107" s="150" t="str">
        <f>IF(ISERROR(VLOOKUP(E107,Лист12!$A$23:$A$27,1,FALSE))=FALSE,"Обл",IF(OR(E107="ао",E107="ап",E107="др"),"Акции","Прочее"))</f>
        <v>Акции</v>
      </c>
      <c r="G107" s="149">
        <f>IFERROR(VLOOKUP(A107,QUIK_купитьпродать!B:G,6,FALSE),)</f>
        <v>40</v>
      </c>
      <c r="H107" s="149">
        <f>IF(F107="Обл",VLOOKUP(A107,QUIK!C:J,8,FALSE),1)</f>
        <v>1</v>
      </c>
      <c r="I107">
        <f>VLOOKUP(A107,QUIK!$D:$AL,5,FALSE)</f>
        <v>1</v>
      </c>
      <c r="J107">
        <f>VLOOKUP(A107,QUIK!$D:$AL,9,FALSE)</f>
        <v>542.9</v>
      </c>
      <c r="K107" t="str">
        <f>VLOOKUP(A107,QUIK!$D:$AL,28,FALSE)</f>
        <v>SUR</v>
      </c>
      <c r="L107">
        <f>VLOOKUP(A107,QUIK!$D:$AL,31,FALSE)</f>
        <v>9</v>
      </c>
      <c r="M107" t="str">
        <f>VLOOKUP(A107,QUIK!$D:$AL,30,FALSE)</f>
        <v/>
      </c>
      <c r="N107">
        <f>VLOOKUP(A107,QUIK!$D:$AL,4,FALSE)</f>
        <v>3</v>
      </c>
      <c r="O107" s="113">
        <f t="shared" si="1"/>
        <v>2.253979829745225E-2</v>
      </c>
      <c r="P107" s="90">
        <f t="shared" si="4"/>
        <v>2.7460201702547753E-2</v>
      </c>
      <c r="Q107" s="113">
        <f t="shared" si="5"/>
        <v>5.6349495743630623E-4</v>
      </c>
      <c r="R107" s="145">
        <f t="shared" si="6"/>
        <v>26456.569499999998</v>
      </c>
      <c r="S107" s="148">
        <f t="shared" si="2"/>
        <v>48</v>
      </c>
      <c r="T107" s="148">
        <f t="shared" si="3"/>
        <v>26059.199999999997</v>
      </c>
      <c r="U107" s="148">
        <f t="shared" si="7"/>
        <v>88</v>
      </c>
      <c r="V107" s="148">
        <f t="shared" si="8"/>
        <v>47775.199999999997</v>
      </c>
      <c r="W107" s="113">
        <f t="shared" si="9"/>
        <v>4.9587556254394941E-2</v>
      </c>
    </row>
    <row r="108" spans="1:23">
      <c r="A108" s="122" t="s">
        <v>132</v>
      </c>
      <c r="B108" s="122" t="s">
        <v>133</v>
      </c>
      <c r="C108" s="123" t="s">
        <v>12257</v>
      </c>
      <c r="D108" s="128">
        <v>0.03</v>
      </c>
      <c r="E108" s="150" t="str">
        <f>VLOOKUP(A108,QUIK!D:AL,3,FALSE)</f>
        <v>ао</v>
      </c>
      <c r="F108" s="150" t="str">
        <f>IF(ISERROR(VLOOKUP(E108,Лист12!$A$23:$A$27,1,FALSE))=FALSE,"Обл",IF(OR(E108="ао",E108="ап",E108="др"),"Акции","Прочее"))</f>
        <v>Акции</v>
      </c>
      <c r="G108" s="149">
        <f>IFERROR(VLOOKUP(A108,QUIK_купитьпродать!B:G,6,FALSE),)</f>
        <v>25</v>
      </c>
      <c r="H108" s="149">
        <f>IF(F108="Обл",VLOOKUP(A108,QUIK!C:J,8,FALSE),1)</f>
        <v>1</v>
      </c>
      <c r="I108">
        <f>VLOOKUP(A108,QUIK!$D:$AL,5,FALSE)</f>
        <v>1</v>
      </c>
      <c r="J108">
        <f>VLOOKUP(A108,QUIK!$D:$AL,9,FALSE)</f>
        <v>845.2</v>
      </c>
      <c r="K108" t="str">
        <f>VLOOKUP(A108,QUIK!$D:$AL,28,FALSE)</f>
        <v>SUR</v>
      </c>
      <c r="L108">
        <f>VLOOKUP(A108,QUIK!$D:$AL,31,FALSE)</f>
        <v>-100</v>
      </c>
      <c r="M108" t="str">
        <f>VLOOKUP(A108,QUIK!$D:$AL,30,FALSE)</f>
        <v/>
      </c>
      <c r="N108">
        <f>VLOOKUP(A108,QUIK!$D:$AL,4,FALSE)</f>
        <v>1</v>
      </c>
      <c r="O108" s="113">
        <f t="shared" si="1"/>
        <v>2.193156833786913E-2</v>
      </c>
      <c r="P108" s="90">
        <f t="shared" si="4"/>
        <v>8.0684316621308684E-3</v>
      </c>
      <c r="Q108" s="113">
        <f t="shared" si="5"/>
        <v>8.7726273351476517E-4</v>
      </c>
      <c r="R108" s="145">
        <f t="shared" si="6"/>
        <v>7773.5416999999943</v>
      </c>
      <c r="S108" s="148">
        <f t="shared" si="2"/>
        <v>9</v>
      </c>
      <c r="T108" s="148">
        <f t="shared" si="3"/>
        <v>7606.8</v>
      </c>
      <c r="U108" s="148">
        <f t="shared" si="7"/>
        <v>34</v>
      </c>
      <c r="V108" s="148">
        <f t="shared" si="8"/>
        <v>28736.800000000003</v>
      </c>
      <c r="W108" s="113">
        <f t="shared" si="9"/>
        <v>2.9826932939502018E-2</v>
      </c>
    </row>
    <row r="109" spans="1:23">
      <c r="A109" s="122" t="s">
        <v>134</v>
      </c>
      <c r="B109" s="122" t="s">
        <v>135</v>
      </c>
      <c r="C109" s="123" t="s">
        <v>12257</v>
      </c>
      <c r="D109" s="130">
        <v>0.1</v>
      </c>
      <c r="E109" s="150" t="str">
        <f>VLOOKUP(A109,QUIK!D:AL,3,FALSE)</f>
        <v>ао</v>
      </c>
      <c r="F109" s="150" t="str">
        <f>IF(ISERROR(VLOOKUP(E109,Лист12!$A$23:$A$27,1,FALSE))=FALSE,"Обл",IF(OR(E109="ао",E109="ап",E109="др"),"Акции","Прочее"))</f>
        <v>Акции</v>
      </c>
      <c r="G109" s="149">
        <f>IFERROR(VLOOKUP(A109,QUIK_купитьпродать!B:G,6,FALSE),)</f>
        <v>240</v>
      </c>
      <c r="H109" s="149">
        <f>IF(F109="Обл",VLOOKUP(A109,QUIK!C:J,8,FALSE),1)</f>
        <v>1</v>
      </c>
      <c r="I109">
        <f>VLOOKUP(A109,QUIK!$D:$AL,5,FALSE)</f>
        <v>10</v>
      </c>
      <c r="J109">
        <f>VLOOKUP(A109,QUIK!$D:$AL,9,FALSE)</f>
        <v>306.87</v>
      </c>
      <c r="K109" t="str">
        <f>VLOOKUP(A109,QUIK!$D:$AL,28,FALSE)</f>
        <v>SUR</v>
      </c>
      <c r="L109">
        <f>VLOOKUP(A109,QUIK!$D:$AL,31,FALSE)</f>
        <v>-100</v>
      </c>
      <c r="M109" t="str">
        <f>VLOOKUP(A109,QUIK!$D:$AL,30,FALSE)</f>
        <v/>
      </c>
      <c r="N109">
        <f>VLOOKUP(A109,QUIK!$D:$AL,4,FALSE)</f>
        <v>1</v>
      </c>
      <c r="O109" s="113">
        <f t="shared" si="1"/>
        <v>7.6442673459633501E-2</v>
      </c>
      <c r="P109" s="90">
        <f t="shared" si="4"/>
        <v>2.3557326540366505E-2</v>
      </c>
      <c r="Q109" s="113">
        <f t="shared" si="5"/>
        <v>3.185111394151396E-3</v>
      </c>
      <c r="R109" s="145">
        <f t="shared" si="6"/>
        <v>22696.338999999996</v>
      </c>
      <c r="S109" s="148">
        <f t="shared" si="2"/>
        <v>7</v>
      </c>
      <c r="T109" s="148">
        <f t="shared" si="3"/>
        <v>21480.9</v>
      </c>
      <c r="U109" s="148">
        <f t="shared" si="7"/>
        <v>310</v>
      </c>
      <c r="V109" s="148">
        <f t="shared" si="8"/>
        <v>95129.7</v>
      </c>
      <c r="W109" s="113">
        <f t="shared" si="9"/>
        <v>9.8738453218693276E-2</v>
      </c>
    </row>
    <row r="110" spans="1:23">
      <c r="A110" s="122" t="s">
        <v>136</v>
      </c>
      <c r="B110" s="122" t="s">
        <v>137</v>
      </c>
      <c r="C110" s="123" t="s">
        <v>12257</v>
      </c>
      <c r="D110" s="124">
        <v>0.05</v>
      </c>
      <c r="E110" s="150" t="str">
        <f>VLOOKUP(A110,QUIK!D:AL,3,FALSE)</f>
        <v>ао</v>
      </c>
      <c r="F110" s="150" t="str">
        <f>IF(ISERROR(VLOOKUP(E110,Лист12!$A$23:$A$27,1,FALSE))=FALSE,"Обл",IF(OR(E110="ао",E110="ап",E110="др"),"Акции","Прочее"))</f>
        <v>Акции</v>
      </c>
      <c r="G110" s="149">
        <f>IFERROR(VLOOKUP(A110,QUIK_купитьпродать!B:G,6,FALSE),)</f>
        <v>5000</v>
      </c>
      <c r="H110" s="149">
        <f>IF(F110="Обл",VLOOKUP(A110,QUIK!C:J,8,FALSE),1)</f>
        <v>1</v>
      </c>
      <c r="I110">
        <f>VLOOKUP(A110,QUIK!$D:$AL,5,FALSE)</f>
        <v>100</v>
      </c>
      <c r="J110">
        <f>VLOOKUP(A110,QUIK!$D:$AL,9,FALSE)</f>
        <v>3.6920000000000002</v>
      </c>
      <c r="K110" t="str">
        <f>VLOOKUP(A110,QUIK!$D:$AL,28,FALSE)</f>
        <v>SUR</v>
      </c>
      <c r="L110">
        <f>VLOOKUP(A110,QUIK!$D:$AL,31,FALSE)</f>
        <v>-100</v>
      </c>
      <c r="M110" t="str">
        <f>VLOOKUP(A110,QUIK!$D:$AL,30,FALSE)</f>
        <v/>
      </c>
      <c r="N110">
        <f>VLOOKUP(A110,QUIK!$D:$AL,4,FALSE)</f>
        <v>1</v>
      </c>
      <c r="O110" s="113">
        <f t="shared" si="1"/>
        <v>1.9160281661952869E-2</v>
      </c>
      <c r="P110" s="90">
        <f t="shared" si="4"/>
        <v>3.0839718338047134E-2</v>
      </c>
      <c r="Q110" s="113">
        <f t="shared" si="5"/>
        <v>3.8320563323905745E-4</v>
      </c>
      <c r="R110" s="145">
        <f t="shared" si="6"/>
        <v>29712.569499999998</v>
      </c>
      <c r="S110" s="148">
        <f t="shared" si="2"/>
        <v>80</v>
      </c>
      <c r="T110" s="148">
        <f t="shared" si="3"/>
        <v>29536</v>
      </c>
      <c r="U110" s="148">
        <f t="shared" si="7"/>
        <v>13000</v>
      </c>
      <c r="V110" s="148">
        <f t="shared" si="8"/>
        <v>47996</v>
      </c>
      <c r="W110" s="113">
        <f t="shared" si="9"/>
        <v>4.9816732321077459E-2</v>
      </c>
    </row>
    <row r="111" spans="1:23">
      <c r="A111" s="122" t="s">
        <v>138</v>
      </c>
      <c r="B111" s="122" t="s">
        <v>139</v>
      </c>
      <c r="C111" s="123" t="s">
        <v>12257</v>
      </c>
      <c r="D111" s="128">
        <v>0.03</v>
      </c>
      <c r="E111" s="150" t="str">
        <f>VLOOKUP(A111,QUIK!D:AL,3,FALSE)</f>
        <v>ао</v>
      </c>
      <c r="F111" s="150" t="str">
        <f>IF(ISERROR(VLOOKUP(E111,Лист12!$A$23:$A$27,1,FALSE))=FALSE,"Обл",IF(OR(E111="ао",E111="ап",E111="др"),"Акции","Прочее"))</f>
        <v>Акции</v>
      </c>
      <c r="G111" s="149">
        <f>IFERROR(VLOOKUP(A111,QUIK_купитьпродать!B:G,6,FALSE),)</f>
        <v>0</v>
      </c>
      <c r="H111" s="149">
        <f>IF(F111="Обл",VLOOKUP(A111,QUIK!C:J,8,FALSE),1)</f>
        <v>1</v>
      </c>
      <c r="I111">
        <f>VLOOKUP(A111,QUIK!$D:$AL,5,FALSE)</f>
        <v>1</v>
      </c>
      <c r="J111">
        <f>VLOOKUP(A111,QUIK!$D:$AL,9,FALSE)</f>
        <v>1027</v>
      </c>
      <c r="K111" t="str">
        <f>VLOOKUP(A111,QUIK!$D:$AL,28,FALSE)</f>
        <v>SUR</v>
      </c>
      <c r="L111">
        <f>VLOOKUP(A111,QUIK!$D:$AL,31,FALSE)</f>
        <v>-100</v>
      </c>
      <c r="M111" t="str">
        <f>VLOOKUP(A111,QUIK!$D:$AL,30,FALSE)</f>
        <v/>
      </c>
      <c r="N111">
        <f>VLOOKUP(A111,QUIK!$D:$AL,4,FALSE)</f>
        <v>1</v>
      </c>
      <c r="O111" s="113"/>
      <c r="P111" s="90">
        <f t="shared" si="4"/>
        <v>0.03</v>
      </c>
      <c r="Q111" s="113">
        <f t="shared" si="5"/>
        <v>1.0659593318973779E-3</v>
      </c>
      <c r="R111" s="145">
        <f t="shared" si="6"/>
        <v>28903.541699999994</v>
      </c>
      <c r="S111" s="148">
        <f>IF(ABS(P111)&lt;Q111,0,ROUNDDOWN(R111/(IF(F111="Обл",(J111%*I111*H111),(J111*I111))),0))</f>
        <v>28</v>
      </c>
      <c r="T111" s="148">
        <f t="shared" si="3"/>
        <v>28756</v>
      </c>
      <c r="U111" s="148">
        <f t="shared" si="7"/>
        <v>28</v>
      </c>
      <c r="V111" s="148">
        <f t="shared" si="8"/>
        <v>28756</v>
      </c>
      <c r="W111" s="113">
        <f t="shared" si="9"/>
        <v>2.9846861293126581E-2</v>
      </c>
    </row>
    <row r="112" spans="1:23">
      <c r="D112" s="181"/>
      <c r="E112" s="150"/>
      <c r="F112" s="150"/>
      <c r="G112" s="149"/>
      <c r="H112" s="149"/>
      <c r="O112" s="113"/>
      <c r="P112" s="90"/>
      <c r="Q112" s="113"/>
      <c r="R112" s="145"/>
      <c r="S112" s="148"/>
      <c r="T112" s="148"/>
      <c r="U112" s="148"/>
      <c r="V112" s="148"/>
      <c r="W112" s="113"/>
    </row>
    <row r="113" spans="1:23">
      <c r="O113" s="113"/>
    </row>
    <row r="114" spans="1:23" ht="15.75">
      <c r="A114" s="164" t="s">
        <v>12255</v>
      </c>
      <c r="O114" s="113"/>
    </row>
    <row r="115" spans="1:23">
      <c r="A115" s="151" t="s">
        <v>12237</v>
      </c>
      <c r="E115" s="150"/>
      <c r="F115" s="150"/>
      <c r="H115" s="149"/>
      <c r="O115" s="113"/>
    </row>
    <row r="116" spans="1:23" ht="54.75" thickBot="1">
      <c r="A116" s="168" t="s">
        <v>229</v>
      </c>
      <c r="B116" s="168" t="s">
        <v>1964</v>
      </c>
      <c r="C116" s="168" t="s">
        <v>12256</v>
      </c>
      <c r="D116" s="169" t="s">
        <v>140</v>
      </c>
      <c r="E116" s="176" t="s">
        <v>12243</v>
      </c>
      <c r="F116" s="176" t="s">
        <v>12244</v>
      </c>
      <c r="G116" s="176" t="s">
        <v>12236</v>
      </c>
      <c r="H116" s="177" t="s">
        <v>12242</v>
      </c>
      <c r="I116" s="176" t="s">
        <v>2075</v>
      </c>
      <c r="J116" s="176" t="s">
        <v>2076</v>
      </c>
      <c r="K116" s="176" t="s">
        <v>2090</v>
      </c>
      <c r="L116" s="176" t="s">
        <v>2091</v>
      </c>
      <c r="M116" s="176" t="s">
        <v>2092</v>
      </c>
      <c r="N116" s="177" t="s">
        <v>2094</v>
      </c>
      <c r="O116" s="173" t="s">
        <v>12231</v>
      </c>
      <c r="P116" s="174" t="s">
        <v>2115</v>
      </c>
      <c r="Q116" s="173" t="s">
        <v>12230</v>
      </c>
      <c r="R116" s="175" t="s">
        <v>12239</v>
      </c>
      <c r="S116" s="175" t="s">
        <v>12235</v>
      </c>
      <c r="T116" s="175" t="s">
        <v>12240</v>
      </c>
      <c r="U116" s="175" t="s">
        <v>12246</v>
      </c>
      <c r="V116" s="175" t="s">
        <v>12247</v>
      </c>
      <c r="W116" s="175" t="s">
        <v>12249</v>
      </c>
    </row>
    <row r="117" spans="1:23" ht="15.75" thickBot="1">
      <c r="A117" t="s">
        <v>453</v>
      </c>
      <c r="B117" t="s">
        <v>454</v>
      </c>
      <c r="C117" s="94" t="s">
        <v>111</v>
      </c>
      <c r="E117" s="150" t="str">
        <f>VLOOKUP(A117,QUIK!D:AL,3,FALSE)</f>
        <v>ап</v>
      </c>
      <c r="F117" s="150" t="str">
        <f>IF(ISERROR(VLOOKUP(E117,Лист12!$A$23:$A$27,1,FALSE))=FALSE,"Обл",IF(OR(E117="ао",E117="ап",E117="др"),"Акции","Прочее"))</f>
        <v>Акции</v>
      </c>
      <c r="G117" s="149">
        <f>IFERROR(VLOOKUP(A117,QUIK_купитьпродать!B:G,6,FALSE),)</f>
        <v>50</v>
      </c>
      <c r="H117" s="149">
        <f>IF(F117="Обл",VLOOKUP(A117,QUIK!C:J,8,FALSE),1)</f>
        <v>1</v>
      </c>
      <c r="I117">
        <f>VLOOKUP(A117,QUIK!$D:$AL,5,FALSE)</f>
        <v>1</v>
      </c>
      <c r="J117">
        <f>VLOOKUP(A117,QUIK!$D:$AL,9,FALSE)</f>
        <v>1084</v>
      </c>
      <c r="K117" t="str">
        <f>VLOOKUP(A117,QUIK!$D:$AL,28,FALSE)</f>
        <v>SUR</v>
      </c>
      <c r="L117">
        <f>VLOOKUP(A117,QUIK!$D:$AL,31,FALSE)</f>
        <v>9</v>
      </c>
      <c r="M117" t="str">
        <f>VLOOKUP(A117,QUIK!$D:$AL,30,FALSE)</f>
        <v/>
      </c>
      <c r="N117">
        <f>VLOOKUP(A117,QUIK!$D:$AL,4,FALSE)</f>
        <v>3</v>
      </c>
      <c r="O117" s="113">
        <f t="shared" ref="O117:O128" si="10">IFERROR(VLOOKUP(A117,$A$7:$F$34,5,FALSE)/$E$3,"")</f>
        <v>5.6256081586015465E-2</v>
      </c>
      <c r="P117" s="90">
        <f t="shared" ref="P117:P128" si="11">D117-O117</f>
        <v>-5.6256081586015465E-2</v>
      </c>
      <c r="Q117" s="113">
        <f t="shared" ref="Q117:Q125" si="12">IF(F117="Обл",(I117*J117%*H117)/$E$3,(I117*J117)/$E$3)</f>
        <v>1.1251216317203093E-3</v>
      </c>
      <c r="S117" s="148">
        <f>(G117/I117)*-1</f>
        <v>-50</v>
      </c>
      <c r="T117" s="148">
        <f t="shared" ref="T117:T128" si="13">IF(F117="Обл",S117*I117*J117%*H117,S117*I117*J117)</f>
        <v>-54200</v>
      </c>
      <c r="U117" s="148">
        <f t="shared" ref="U117:U128" si="14">(IF(G117&lt;&gt;0,G117,0)+S117*I117)</f>
        <v>0</v>
      </c>
      <c r="V117" s="148">
        <f t="shared" ref="V117:V128" si="15">U117*J117</f>
        <v>0</v>
      </c>
      <c r="W117" s="144">
        <f>V117/$E$3</f>
        <v>0</v>
      </c>
    </row>
    <row r="118" spans="1:23" ht="15.75" thickBot="1">
      <c r="A118" t="s">
        <v>770</v>
      </c>
      <c r="B118" t="s">
        <v>771</v>
      </c>
      <c r="C118" s="94" t="s">
        <v>111</v>
      </c>
      <c r="E118" s="150" t="str">
        <f>VLOOKUP(A118,QUIK!D:AL,3,FALSE)</f>
        <v>ао</v>
      </c>
      <c r="F118" s="150" t="str">
        <f>IF(ISERROR(VLOOKUP(E118,Лист12!$A$23:$A$27,1,FALSE))=FALSE,"Обл",IF(OR(E118="ао",E118="ап",E118="др"),"Акции","Прочее"))</f>
        <v>Акции</v>
      </c>
      <c r="G118" s="149">
        <f>IFERROR(VLOOKUP(A118,QUIK_купитьпродать!B:G,6,FALSE),)</f>
        <v>50</v>
      </c>
      <c r="H118" s="149">
        <f>IF(F118="Обл",VLOOKUP(A118,QUIK!C:J,8,FALSE),1)</f>
        <v>1</v>
      </c>
      <c r="I118">
        <f>VLOOKUP(A118,QUIK!$D:$AL,5,FALSE)</f>
        <v>1</v>
      </c>
      <c r="J118">
        <f>VLOOKUP(A118,QUIK!$D:$AL,9,FALSE)</f>
        <v>255</v>
      </c>
      <c r="K118" t="str">
        <f>VLOOKUP(A118,QUIK!$D:$AL,28,FALSE)</f>
        <v>SUR</v>
      </c>
      <c r="L118">
        <f>VLOOKUP(A118,QUIK!$D:$AL,31,FALSE)</f>
        <v>-100</v>
      </c>
      <c r="M118" t="str">
        <f>VLOOKUP(A118,QUIK!$D:$AL,30,FALSE)</f>
        <v/>
      </c>
      <c r="N118">
        <f>VLOOKUP(A118,QUIK!$D:$AL,4,FALSE)</f>
        <v>1</v>
      </c>
      <c r="O118" s="113">
        <f t="shared" si="10"/>
        <v>1.3233672328813601E-2</v>
      </c>
      <c r="P118" s="90">
        <f t="shared" si="11"/>
        <v>-1.3233672328813601E-2</v>
      </c>
      <c r="Q118" s="113">
        <f t="shared" si="12"/>
        <v>2.6467344657627205E-4</v>
      </c>
      <c r="S118" s="148">
        <f t="shared" ref="S118:S127" si="16">(G118/I118)*-1</f>
        <v>-50</v>
      </c>
      <c r="T118" s="148">
        <f t="shared" si="13"/>
        <v>-12750</v>
      </c>
      <c r="U118" s="148">
        <f t="shared" si="14"/>
        <v>0</v>
      </c>
      <c r="V118" s="148">
        <f t="shared" si="15"/>
        <v>0</v>
      </c>
      <c r="W118" s="144">
        <f t="shared" ref="W118:W128" si="17">V118/$E$3</f>
        <v>0</v>
      </c>
    </row>
    <row r="119" spans="1:23" ht="15.75" thickBot="1">
      <c r="A119" t="s">
        <v>878</v>
      </c>
      <c r="B119" t="s">
        <v>879</v>
      </c>
      <c r="C119" s="94" t="s">
        <v>111</v>
      </c>
      <c r="E119" s="150" t="str">
        <f>VLOOKUP(A119,QUIK!D:AL,3,FALSE)</f>
        <v>ао</v>
      </c>
      <c r="F119" s="150" t="str">
        <f>IF(ISERROR(VLOOKUP(E119,Лист12!$A$23:$A$27,1,FALSE))=FALSE,"Обл",IF(OR(E119="ао",E119="ап",E119="др"),"Акции","Прочее"))</f>
        <v>Акции</v>
      </c>
      <c r="G119" s="149">
        <f>IFERROR(VLOOKUP(A119,QUIK_купитьпродать!B:G,6,FALSE),)</f>
        <v>12</v>
      </c>
      <c r="H119" s="149">
        <f>IF(F119="Обл",VLOOKUP(A119,QUIK!C:J,8,FALSE),1)</f>
        <v>1</v>
      </c>
      <c r="I119">
        <f>VLOOKUP(A119,QUIK!$D:$AL,5,FALSE)</f>
        <v>1</v>
      </c>
      <c r="J119">
        <f>VLOOKUP(A119,QUIK!$D:$AL,9,FALSE)</f>
        <v>580</v>
      </c>
      <c r="K119" t="str">
        <f>VLOOKUP(A119,QUIK!$D:$AL,28,FALSE)</f>
        <v>SUR</v>
      </c>
      <c r="L119">
        <f>VLOOKUP(A119,QUIK!$D:$AL,31,FALSE)</f>
        <v>-100</v>
      </c>
      <c r="M119" t="str">
        <f>VLOOKUP(A119,QUIK!$D:$AL,30,FALSE)</f>
        <v/>
      </c>
      <c r="N119">
        <f>VLOOKUP(A119,QUIK!$D:$AL,4,FALSE)</f>
        <v>1</v>
      </c>
      <c r="O119" s="113">
        <f t="shared" si="10"/>
        <v>7.2240281889053067E-3</v>
      </c>
      <c r="P119" s="90">
        <f t="shared" si="11"/>
        <v>-7.2240281889053067E-3</v>
      </c>
      <c r="Q119" s="113">
        <f t="shared" si="12"/>
        <v>6.020023490754423E-4</v>
      </c>
      <c r="S119" s="148">
        <f t="shared" si="16"/>
        <v>-12</v>
      </c>
      <c r="T119" s="148">
        <f t="shared" si="13"/>
        <v>-6960</v>
      </c>
      <c r="U119" s="148">
        <f t="shared" si="14"/>
        <v>0</v>
      </c>
      <c r="V119" s="148">
        <f t="shared" si="15"/>
        <v>0</v>
      </c>
      <c r="W119" s="144">
        <f t="shared" si="17"/>
        <v>0</v>
      </c>
    </row>
    <row r="120" spans="1:23" ht="15.75" thickBot="1">
      <c r="A120" t="s">
        <v>109</v>
      </c>
      <c r="B120" t="s">
        <v>110</v>
      </c>
      <c r="C120" s="94" t="s">
        <v>111</v>
      </c>
      <c r="E120" s="150" t="str">
        <f>VLOOKUP(A120,QUIK!D:AL,3,FALSE)</f>
        <v>ао</v>
      </c>
      <c r="F120" s="150" t="str">
        <f>IF(ISERROR(VLOOKUP(E120,Лист12!$A$23:$A$27,1,FALSE))=FALSE,"Обл",IF(OR(E120="ао",E120="ап",E120="др"),"Акции","Прочее"))</f>
        <v>Акции</v>
      </c>
      <c r="G120" s="149">
        <f>IFERROR(VLOOKUP(A120,QUIK_купитьпродать!B:G,6,FALSE),)</f>
        <v>100</v>
      </c>
      <c r="H120" s="149">
        <f>IF(F120="Обл",VLOOKUP(A120,QUIK!C:J,8,FALSE),1)</f>
        <v>1</v>
      </c>
      <c r="I120">
        <f>VLOOKUP(A120,QUIK!$D:$AL,5,FALSE)</f>
        <v>10</v>
      </c>
      <c r="J120">
        <f>VLOOKUP(A120,QUIK!$D:$AL,9,FALSE)</f>
        <v>52.67</v>
      </c>
      <c r="K120" t="str">
        <f>VLOOKUP(A120,QUIK!$D:$AL,28,FALSE)</f>
        <v>SUR</v>
      </c>
      <c r="L120">
        <f>VLOOKUP(A120,QUIK!$D:$AL,31,FALSE)</f>
        <v>-100</v>
      </c>
      <c r="M120" t="str">
        <f>VLOOKUP(A120,QUIK!$D:$AL,30,FALSE)</f>
        <v/>
      </c>
      <c r="N120">
        <f>VLOOKUP(A120,QUIK!$D:$AL,4,FALSE)</f>
        <v>1</v>
      </c>
      <c r="O120" s="113">
        <f t="shared" si="10"/>
        <v>5.4668040906557837E-3</v>
      </c>
      <c r="P120" s="90">
        <f t="shared" si="11"/>
        <v>-5.4668040906557837E-3</v>
      </c>
      <c r="Q120" s="113">
        <f t="shared" si="12"/>
        <v>5.4668040906557841E-4</v>
      </c>
      <c r="S120" s="148">
        <f t="shared" si="16"/>
        <v>-10</v>
      </c>
      <c r="T120" s="148">
        <f t="shared" si="13"/>
        <v>-5267</v>
      </c>
      <c r="U120" s="148">
        <f t="shared" si="14"/>
        <v>0</v>
      </c>
      <c r="V120" s="148">
        <f t="shared" si="15"/>
        <v>0</v>
      </c>
      <c r="W120" s="144">
        <f t="shared" si="17"/>
        <v>0</v>
      </c>
    </row>
    <row r="121" spans="1:23" ht="15.75" thickBot="1">
      <c r="A121" t="s">
        <v>988</v>
      </c>
      <c r="B121" t="s">
        <v>989</v>
      </c>
      <c r="C121" s="94" t="s">
        <v>111</v>
      </c>
      <c r="E121" s="150" t="str">
        <f>VLOOKUP(A121,QUIK!D:AL,3,FALSE)</f>
        <v>ао</v>
      </c>
      <c r="F121" s="150" t="str">
        <f>IF(ISERROR(VLOOKUP(E121,Лист12!$A$23:$A$27,1,FALSE))=FALSE,"Обл",IF(OR(E121="ао",E121="ап",E121="др"),"Акции","Прочее"))</f>
        <v>Акции</v>
      </c>
      <c r="G121" s="149">
        <f>IFERROR(VLOOKUP(A121,QUIK_купитьпродать!B:G,6,FALSE),)</f>
        <v>10000</v>
      </c>
      <c r="H121" s="149">
        <f>IF(F121="Обл",VLOOKUP(A121,QUIK!C:J,8,FALSE),1)</f>
        <v>1</v>
      </c>
      <c r="I121">
        <f>VLOOKUP(A121,QUIK!$D:$AL,5,FALSE)</f>
        <v>1000</v>
      </c>
      <c r="J121">
        <f>VLOOKUP(A121,QUIK!$D:$AL,9,FALSE)</f>
        <v>1.0745</v>
      </c>
      <c r="K121" t="str">
        <f>VLOOKUP(A121,QUIK!$D:$AL,28,FALSE)</f>
        <v>SUR</v>
      </c>
      <c r="L121">
        <f>VLOOKUP(A121,QUIK!$D:$AL,31,FALSE)</f>
        <v>-100</v>
      </c>
      <c r="M121" t="str">
        <f>VLOOKUP(A121,QUIK!$D:$AL,30,FALSE)</f>
        <v/>
      </c>
      <c r="N121">
        <f>VLOOKUP(A121,QUIK!$D:$AL,4,FALSE)</f>
        <v>2</v>
      </c>
      <c r="O121" s="113">
        <f t="shared" si="10"/>
        <v>1.1152612484164874E-2</v>
      </c>
      <c r="P121" s="90">
        <f t="shared" si="11"/>
        <v>-1.1152612484164874E-2</v>
      </c>
      <c r="Q121" s="113">
        <f t="shared" si="12"/>
        <v>1.1152612484164875E-3</v>
      </c>
      <c r="S121" s="148">
        <f t="shared" si="16"/>
        <v>-10</v>
      </c>
      <c r="T121" s="148">
        <f t="shared" si="13"/>
        <v>-10745</v>
      </c>
      <c r="U121" s="148">
        <f t="shared" si="14"/>
        <v>0</v>
      </c>
      <c r="V121" s="148">
        <f t="shared" si="15"/>
        <v>0</v>
      </c>
      <c r="W121" s="144">
        <f t="shared" si="17"/>
        <v>0</v>
      </c>
    </row>
    <row r="122" spans="1:23" ht="15.75" thickBot="1">
      <c r="A122" t="s">
        <v>998</v>
      </c>
      <c r="B122" t="s">
        <v>999</v>
      </c>
      <c r="C122" s="94" t="s">
        <v>111</v>
      </c>
      <c r="E122" s="150" t="str">
        <f>VLOOKUP(A122,QUIK!D:AL,3,FALSE)</f>
        <v>ао</v>
      </c>
      <c r="F122" s="150" t="str">
        <f>IF(ISERROR(VLOOKUP(E122,Лист12!$A$23:$A$27,1,FALSE))=FALSE,"Обл",IF(OR(E122="ао",E122="ап",E122="др"),"Акции","Прочее"))</f>
        <v>Акции</v>
      </c>
      <c r="G122" s="149">
        <f>IFERROR(VLOOKUP(A122,QUIK_купитьпродать!B:G,6,FALSE),)</f>
        <v>230000</v>
      </c>
      <c r="H122" s="149">
        <f>IF(F122="Обл",VLOOKUP(A122,QUIK!C:J,8,FALSE),1)</f>
        <v>1</v>
      </c>
      <c r="I122">
        <f>VLOOKUP(A122,QUIK!$D:$AL,5,FALSE)</f>
        <v>10000</v>
      </c>
      <c r="J122">
        <f>VLOOKUP(A122,QUIK!$D:$AL,9,FALSE)</f>
        <v>0.32429999999999998</v>
      </c>
      <c r="K122" t="str">
        <f>VLOOKUP(A122,QUIK!$D:$AL,28,FALSE)</f>
        <v>SUR</v>
      </c>
      <c r="L122">
        <f>VLOOKUP(A122,QUIK!$D:$AL,31,FALSE)</f>
        <v>-100</v>
      </c>
      <c r="M122" t="str">
        <f>VLOOKUP(A122,QUIK!$D:$AL,30,FALSE)</f>
        <v/>
      </c>
      <c r="N122">
        <f>VLOOKUP(A122,QUIK!$D:$AL,4,FALSE)</f>
        <v>2</v>
      </c>
      <c r="O122" s="113">
        <f t="shared" si="10"/>
        <v>7.7418540026186491E-2</v>
      </c>
      <c r="P122" s="90">
        <f t="shared" si="11"/>
        <v>-7.7418540026186491E-2</v>
      </c>
      <c r="Q122" s="113">
        <f t="shared" si="12"/>
        <v>3.3660234793994122E-3</v>
      </c>
      <c r="S122" s="148">
        <f t="shared" si="16"/>
        <v>-23</v>
      </c>
      <c r="T122" s="148">
        <f t="shared" si="13"/>
        <v>-74589</v>
      </c>
      <c r="U122" s="148">
        <f t="shared" si="14"/>
        <v>0</v>
      </c>
      <c r="V122" s="148">
        <f t="shared" si="15"/>
        <v>0</v>
      </c>
      <c r="W122" s="144">
        <f t="shared" si="17"/>
        <v>0</v>
      </c>
    </row>
    <row r="123" spans="1:23" ht="15.75" thickBot="1">
      <c r="A123" t="s">
        <v>1152</v>
      </c>
      <c r="B123" t="s">
        <v>1153</v>
      </c>
      <c r="C123" s="94" t="s">
        <v>111</v>
      </c>
      <c r="E123" s="150" t="str">
        <f>VLOOKUP(A123,QUIK!D:AL,3,FALSE)</f>
        <v>ао</v>
      </c>
      <c r="F123" s="150" t="str">
        <f>IF(ISERROR(VLOOKUP(E123,Лист12!$A$23:$A$27,1,FALSE))=FALSE,"Обл",IF(OR(E123="ао",E123="ап",E123="др"),"Акции","Прочее"))</f>
        <v>Акции</v>
      </c>
      <c r="G123" s="149">
        <f>IFERROR(VLOOKUP(A123,QUIK_купитьпродать!B:G,6,FALSE),)</f>
        <v>400</v>
      </c>
      <c r="H123" s="149">
        <f>IF(F123="Обл",VLOOKUP(A123,QUIK!C:J,8,FALSE),1)</f>
        <v>1</v>
      </c>
      <c r="I123">
        <f>VLOOKUP(A123,QUIK!$D:$AL,5,FALSE)</f>
        <v>10</v>
      </c>
      <c r="J123">
        <f>VLOOKUP(A123,QUIK!$D:$AL,9,FALSE)</f>
        <v>228.11</v>
      </c>
      <c r="K123" t="str">
        <f>VLOOKUP(A123,QUIK!$D:$AL,28,FALSE)</f>
        <v>SUR</v>
      </c>
      <c r="L123">
        <f>VLOOKUP(A123,QUIK!$D:$AL,31,FALSE)</f>
        <v>-100</v>
      </c>
      <c r="M123" t="str">
        <f>VLOOKUP(A123,QUIK!$D:$AL,30,FALSE)</f>
        <v/>
      </c>
      <c r="N123">
        <f>VLOOKUP(A123,QUIK!$D:$AL,4,FALSE)</f>
        <v>1</v>
      </c>
      <c r="O123" s="113">
        <f t="shared" si="10"/>
        <v>9.4705348860413194E-2</v>
      </c>
      <c r="P123" s="90">
        <f t="shared" si="11"/>
        <v>-9.4705348860413194E-2</v>
      </c>
      <c r="Q123" s="113">
        <f t="shared" si="12"/>
        <v>2.3676337215103303E-3</v>
      </c>
      <c r="S123" s="148">
        <f t="shared" si="16"/>
        <v>-40</v>
      </c>
      <c r="T123" s="148">
        <f t="shared" si="13"/>
        <v>-91244</v>
      </c>
      <c r="U123" s="148">
        <f t="shared" si="14"/>
        <v>0</v>
      </c>
      <c r="V123" s="148">
        <f t="shared" si="15"/>
        <v>0</v>
      </c>
      <c r="W123" s="144">
        <f t="shared" si="17"/>
        <v>0</v>
      </c>
    </row>
    <row r="124" spans="1:23" ht="15.75" thickBot="1">
      <c r="A124" t="s">
        <v>1157</v>
      </c>
      <c r="B124" t="s">
        <v>1158</v>
      </c>
      <c r="C124" s="94" t="s">
        <v>111</v>
      </c>
      <c r="E124" s="150" t="str">
        <f>VLOOKUP(A124,QUIK!D:AL,3,FALSE)</f>
        <v>ап</v>
      </c>
      <c r="F124" s="150" t="str">
        <f>IF(ISERROR(VLOOKUP(E124,Лист12!$A$23:$A$27,1,FALSE))=FALSE,"Обл",IF(OR(E124="ао",E124="ап",E124="др"),"Акции","Прочее"))</f>
        <v>Акции</v>
      </c>
      <c r="G124" s="149">
        <f>IFERROR(VLOOKUP(A124,QUIK_купитьпродать!B:G,6,FALSE),)</f>
        <v>300</v>
      </c>
      <c r="H124" s="149">
        <f>IF(F124="Обл",VLOOKUP(A124,QUIK!C:J,8,FALSE),1)</f>
        <v>1</v>
      </c>
      <c r="I124">
        <f>VLOOKUP(A124,QUIK!$D:$AL,5,FALSE)</f>
        <v>10</v>
      </c>
      <c r="J124">
        <f>VLOOKUP(A124,QUIK!$D:$AL,9,FALSE)</f>
        <v>228.35</v>
      </c>
      <c r="K124" t="str">
        <f>VLOOKUP(A124,QUIK!$D:$AL,28,FALSE)</f>
        <v>SUR</v>
      </c>
      <c r="L124">
        <f>VLOOKUP(A124,QUIK!$D:$AL,31,FALSE)</f>
        <v>-100</v>
      </c>
      <c r="M124" t="str">
        <f>VLOOKUP(A124,QUIK!$D:$AL,30,FALSE)</f>
        <v/>
      </c>
      <c r="N124">
        <f>VLOOKUP(A124,QUIK!$D:$AL,4,FALSE)</f>
        <v>1</v>
      </c>
      <c r="O124" s="113">
        <f t="shared" si="10"/>
        <v>7.1103742971402026E-2</v>
      </c>
      <c r="P124" s="90">
        <f t="shared" si="11"/>
        <v>-7.1103742971402026E-2</v>
      </c>
      <c r="Q124" s="113">
        <f t="shared" si="12"/>
        <v>2.3701247657134006E-3</v>
      </c>
      <c r="S124" s="148">
        <f t="shared" si="16"/>
        <v>-30</v>
      </c>
      <c r="T124" s="148">
        <f t="shared" si="13"/>
        <v>-68505</v>
      </c>
      <c r="U124" s="148">
        <f t="shared" si="14"/>
        <v>0</v>
      </c>
      <c r="V124" s="148">
        <f t="shared" si="15"/>
        <v>0</v>
      </c>
      <c r="W124" s="144">
        <f t="shared" si="17"/>
        <v>0</v>
      </c>
    </row>
    <row r="125" spans="1:23" ht="15.75" thickBot="1">
      <c r="A125" t="s">
        <v>1336</v>
      </c>
      <c r="B125" t="s">
        <v>1337</v>
      </c>
      <c r="C125" s="94" t="s">
        <v>111</v>
      </c>
      <c r="E125" s="150" t="str">
        <f>VLOOKUP(A125,QUIK!D:AL,3,FALSE)</f>
        <v>ао</v>
      </c>
      <c r="F125" s="150" t="str">
        <f>IF(ISERROR(VLOOKUP(E125,Лист12!$A$23:$A$27,1,FALSE))=FALSE,"Обл",IF(OR(E125="ао",E125="ап",E125="др"),"Акции","Прочее"))</f>
        <v>Акции</v>
      </c>
      <c r="G125" s="149">
        <f>IFERROR(VLOOKUP(A125,QUIK_купитьпродать!B:G,6,FALSE),)</f>
        <v>50</v>
      </c>
      <c r="H125" s="149">
        <f>IF(F125="Обл",VLOOKUP(A125,QUIK!C:J,8,FALSE),1)</f>
        <v>1</v>
      </c>
      <c r="I125">
        <f>VLOOKUP(A125,QUIK!$D:$AL,5,FALSE)</f>
        <v>1</v>
      </c>
      <c r="J125">
        <f>VLOOKUP(A125,QUIK!$D:$AL,9,FALSE)</f>
        <v>532.9</v>
      </c>
      <c r="K125" t="str">
        <f>VLOOKUP(A125,QUIK!$D:$AL,28,FALSE)</f>
        <v>SUR</v>
      </c>
      <c r="L125">
        <f>VLOOKUP(A125,QUIK!$D:$AL,31,FALSE)</f>
        <v>-100</v>
      </c>
      <c r="M125" t="str">
        <f>VLOOKUP(A125,QUIK!$D:$AL,30,FALSE)</f>
        <v/>
      </c>
      <c r="N125">
        <f>VLOOKUP(A125,QUIK!$D:$AL,4,FALSE)</f>
        <v>1</v>
      </c>
      <c r="O125" s="113">
        <f t="shared" si="10"/>
        <v>2.7655780329508894E-2</v>
      </c>
      <c r="P125" s="90">
        <f t="shared" si="11"/>
        <v>-2.7655780329508894E-2</v>
      </c>
      <c r="Q125" s="113">
        <f t="shared" si="12"/>
        <v>5.531156065901779E-4</v>
      </c>
      <c r="S125" s="148">
        <f t="shared" si="16"/>
        <v>-50</v>
      </c>
      <c r="T125" s="148">
        <f t="shared" si="13"/>
        <v>-26645</v>
      </c>
      <c r="U125" s="148">
        <f t="shared" si="14"/>
        <v>0</v>
      </c>
      <c r="V125" s="148">
        <f t="shared" si="15"/>
        <v>0</v>
      </c>
      <c r="W125" s="144">
        <f t="shared" si="17"/>
        <v>0</v>
      </c>
    </row>
    <row r="126" spans="1:23" ht="15.75" thickBot="1">
      <c r="A126" t="s">
        <v>1977</v>
      </c>
      <c r="B126" t="s">
        <v>1975</v>
      </c>
      <c r="C126" s="94" t="s">
        <v>111</v>
      </c>
      <c r="E126" s="150" t="str">
        <f>VLOOKUP(A126,QUIK!D:AL,3,FALSE)</f>
        <v>бирж.обл.</v>
      </c>
      <c r="F126" s="150" t="str">
        <f>IF(ISERROR(VLOOKUP(E126,Лист12!$A$23:$A$27,1,FALSE))=FALSE,"Обл",IF(OR(E126="ао",E126="ап",E126="др"),"Акции","Прочее"))</f>
        <v>Обл</v>
      </c>
      <c r="G126" s="149">
        <f>IFERROR(VLOOKUP(A126,QUIK_купитьпродать!B:G,6,FALSE),)</f>
        <v>50</v>
      </c>
      <c r="H126" s="149">
        <f>IF(F126="Обл",VLOOKUP(A126,QUIK!C:J,8,FALSE),1)</f>
        <v>1000</v>
      </c>
      <c r="I126">
        <f>VLOOKUP(A126,QUIK!$D:$AL,5,FALSE)</f>
        <v>1</v>
      </c>
      <c r="J126">
        <f>VLOOKUP(A126,QUIK!$D:$AL,9,FALSE)</f>
        <v>94.58</v>
      </c>
      <c r="K126" t="str">
        <f>VLOOKUP(A126,QUIK!$D:$AL,28,FALSE)</f>
        <v>SUR</v>
      </c>
      <c r="L126">
        <f>VLOOKUP(A126,QUIK!$D:$AL,31,FALSE)</f>
        <v>6</v>
      </c>
      <c r="M126" t="str">
        <f>VLOOKUP(A126,QUIK!$D:$AL,30,FALSE)</f>
        <v/>
      </c>
      <c r="N126">
        <f>VLOOKUP(A126,QUIK!$D:$AL,4,FALSE)</f>
        <v>1</v>
      </c>
      <c r="O126" s="113">
        <f t="shared" si="10"/>
        <v>4.9083950151340802E-2</v>
      </c>
      <c r="P126" s="90">
        <f t="shared" si="11"/>
        <v>-4.9083950151340802E-2</v>
      </c>
      <c r="Q126" s="113">
        <f>IF(F126="Обл",(I126*J126%*H126)/$E$3,(I126*J126)/$E$3)</f>
        <v>9.8167900302681605E-4</v>
      </c>
      <c r="S126" s="148">
        <f t="shared" si="16"/>
        <v>-50</v>
      </c>
      <c r="T126" s="148">
        <f t="shared" si="13"/>
        <v>-47290</v>
      </c>
      <c r="U126" s="148">
        <f t="shared" si="14"/>
        <v>0</v>
      </c>
      <c r="V126" s="148">
        <f t="shared" si="15"/>
        <v>0</v>
      </c>
      <c r="W126" s="144">
        <f t="shared" si="17"/>
        <v>0</v>
      </c>
    </row>
    <row r="127" spans="1:23" ht="15.75" thickBot="1">
      <c r="A127" t="s">
        <v>1979</v>
      </c>
      <c r="B127" t="s">
        <v>1978</v>
      </c>
      <c r="C127" s="94" t="s">
        <v>111</v>
      </c>
      <c r="E127" s="150" t="str">
        <f>VLOOKUP(A127,QUIK!D:AL,3,FALSE)</f>
        <v>бирж.обл.</v>
      </c>
      <c r="F127" s="150" t="str">
        <f>IF(ISERROR(VLOOKUP(E127,Лист12!$A$23:$A$27,1,FALSE))=FALSE,"Обл","")</f>
        <v>Обл</v>
      </c>
      <c r="G127" s="149">
        <f>IFERROR(VLOOKUP(A127,QUIK_купитьпродать!B:G,6,FALSE),)</f>
        <v>32</v>
      </c>
      <c r="H127" s="149">
        <f>IF(F127="Обл",VLOOKUP(A127,QUIK!C:J,8,FALSE),1)</f>
        <v>1000</v>
      </c>
      <c r="I127">
        <f>VLOOKUP(A127,QUIK!$D:$AL,5,FALSE)</f>
        <v>1</v>
      </c>
      <c r="J127">
        <f>VLOOKUP(A127,QUIK!$D:$AL,9,FALSE)</f>
        <v>91.11</v>
      </c>
      <c r="K127" t="str">
        <f>VLOOKUP(A127,QUIK!$D:$AL,28,FALSE)</f>
        <v>SUR</v>
      </c>
      <c r="L127">
        <f>VLOOKUP(A127,QUIK!$D:$AL,31,FALSE)</f>
        <v>6</v>
      </c>
      <c r="M127" t="str">
        <f>VLOOKUP(A127,QUIK!$D:$AL,30,FALSE)</f>
        <v/>
      </c>
      <c r="N127">
        <f>VLOOKUP(A127,QUIK!$D:$AL,4,FALSE)</f>
        <v>1</v>
      </c>
      <c r="O127" s="113">
        <f t="shared" si="10"/>
        <v>3.0261204978904024E-2</v>
      </c>
      <c r="P127" s="90">
        <f t="shared" si="11"/>
        <v>-3.0261204978904024E-2</v>
      </c>
      <c r="Q127" s="113">
        <f>IF(F127="Обл",(I127*J127%*H127)/$E$3,(I127*J127)/$E$3)</f>
        <v>9.4566265559075074E-4</v>
      </c>
      <c r="S127" s="148">
        <f t="shared" si="16"/>
        <v>-32</v>
      </c>
      <c r="T127" s="148">
        <f t="shared" si="13"/>
        <v>-29155.200000000001</v>
      </c>
      <c r="U127" s="148">
        <f t="shared" si="14"/>
        <v>0</v>
      </c>
      <c r="V127" s="148">
        <f t="shared" si="15"/>
        <v>0</v>
      </c>
      <c r="W127" s="144">
        <f t="shared" si="17"/>
        <v>0</v>
      </c>
    </row>
    <row r="128" spans="1:23" ht="15.75" thickBot="1">
      <c r="A128" t="s">
        <v>1981</v>
      </c>
      <c r="B128" t="s">
        <v>1980</v>
      </c>
      <c r="C128" s="94" t="s">
        <v>111</v>
      </c>
      <c r="E128" s="150" t="str">
        <f>VLOOKUP(A128,QUIK!D:AL,3,FALSE)</f>
        <v>бирж.обл.</v>
      </c>
      <c r="F128" s="150" t="str">
        <f>IF(ISERROR(VLOOKUP(E128,Лист12!$A$23:$A$27,1,FALSE))=FALSE,"Обл","")</f>
        <v>Обл</v>
      </c>
      <c r="G128" s="149">
        <f>IFERROR(VLOOKUP(A128,QUIK_купитьпродать!B:G,6,FALSE),)</f>
        <v>30</v>
      </c>
      <c r="H128" s="149">
        <f>IF(F128="Обл",VLOOKUP(A128,QUIK!C:J,8,FALSE),1)</f>
        <v>1000</v>
      </c>
      <c r="I128">
        <f>VLOOKUP(A128,QUIK!$D:$AL,5,FALSE)</f>
        <v>1</v>
      </c>
      <c r="J128">
        <f>VLOOKUP(A128,QUIK!$D:$AL,9,FALSE)</f>
        <v>90.16</v>
      </c>
      <c r="K128" t="str">
        <f>VLOOKUP(A128,QUIK!$D:$AL,28,FALSE)</f>
        <v>SUR</v>
      </c>
      <c r="L128">
        <f>VLOOKUP(A128,QUIK!$D:$AL,31,FALSE)</f>
        <v>6</v>
      </c>
      <c r="M128" t="str">
        <f>VLOOKUP(A128,QUIK!$D:$AL,30,FALSE)</f>
        <v/>
      </c>
      <c r="N128">
        <f>VLOOKUP(A128,QUIK!$D:$AL,4,FALSE)</f>
        <v>1</v>
      </c>
      <c r="O128" s="113">
        <f t="shared" si="10"/>
        <v>2.8074068168607861E-2</v>
      </c>
      <c r="P128" s="90">
        <f t="shared" si="11"/>
        <v>-2.8074068168607861E-2</v>
      </c>
      <c r="Q128" s="113">
        <f>IF(F128="Обл",(I128*J128%*H128)/$E$3,(I128*J128)/$E$3)</f>
        <v>9.358022722869288E-4</v>
      </c>
      <c r="S128" s="148">
        <f>(G128/I128)*-1</f>
        <v>-30</v>
      </c>
      <c r="T128" s="148">
        <f t="shared" si="13"/>
        <v>-27048</v>
      </c>
      <c r="U128" s="148">
        <f t="shared" si="14"/>
        <v>0</v>
      </c>
      <c r="V128" s="148">
        <f t="shared" si="15"/>
        <v>0</v>
      </c>
      <c r="W128" s="144">
        <f t="shared" si="17"/>
        <v>0</v>
      </c>
    </row>
    <row r="129" spans="1:16">
      <c r="O129" s="113"/>
    </row>
    <row r="130" spans="1:16">
      <c r="O130" s="113"/>
    </row>
    <row r="131" spans="1:16" ht="15.75">
      <c r="A131" s="164" t="s">
        <v>12258</v>
      </c>
      <c r="O131" s="113"/>
    </row>
    <row r="132" spans="1:16">
      <c r="A132" t="s">
        <v>12259</v>
      </c>
      <c r="O132" s="113"/>
    </row>
    <row r="133" spans="1:16">
      <c r="A133" t="s">
        <v>12248</v>
      </c>
      <c r="O133" s="113"/>
    </row>
    <row r="134" spans="1:16" ht="45">
      <c r="A134" s="168" t="s">
        <v>229</v>
      </c>
      <c r="B134" s="168" t="s">
        <v>1964</v>
      </c>
      <c r="C134" s="168" t="s">
        <v>12256</v>
      </c>
      <c r="D134" s="169" t="s">
        <v>140</v>
      </c>
      <c r="E134" s="176" t="s">
        <v>12243</v>
      </c>
      <c r="F134" s="176" t="s">
        <v>12244</v>
      </c>
      <c r="G134" s="176" t="s">
        <v>12236</v>
      </c>
      <c r="H134" s="177" t="s">
        <v>12242</v>
      </c>
      <c r="I134" s="176" t="s">
        <v>2075</v>
      </c>
      <c r="J134" s="176" t="s">
        <v>2076</v>
      </c>
      <c r="K134" s="176" t="s">
        <v>2090</v>
      </c>
      <c r="L134" s="176" t="s">
        <v>2091</v>
      </c>
      <c r="M134" s="176" t="s">
        <v>2092</v>
      </c>
      <c r="N134" s="177" t="s">
        <v>2094</v>
      </c>
      <c r="O134" s="173" t="s">
        <v>12231</v>
      </c>
      <c r="P134" s="174" t="s">
        <v>12759</v>
      </c>
    </row>
    <row r="135" spans="1:16">
      <c r="A135" s="167" t="s">
        <v>99</v>
      </c>
      <c r="B135" s="167" t="s">
        <v>188</v>
      </c>
      <c r="C135" s="118"/>
      <c r="D135" s="121">
        <v>0</v>
      </c>
      <c r="E135" s="150" t="s">
        <v>100</v>
      </c>
      <c r="F135" s="153" t="s">
        <v>12751</v>
      </c>
      <c r="G135" s="149">
        <f>IFERROR(VLOOKUP(A135,QUIK_купитьпродать!B:G,6,FALSE),)</f>
        <v>37000</v>
      </c>
      <c r="H135" s="149" t="str">
        <f>IF(ISERROR(VLOOKUP(E135,Лист12!$A$23:$A$27,1,FALSE))=FALSE,VLOOKUP(A135,QUIK!C:J,8,FALSE),"")</f>
        <v/>
      </c>
      <c r="I135">
        <f>VLOOKUP(A135,QUIK!$D:$AL,5,FALSE)</f>
        <v>1</v>
      </c>
      <c r="J135">
        <f>VLOOKUP(A135,QUIK!$D:$AL,9,FALSE)</f>
        <v>1.5396000000000001</v>
      </c>
      <c r="K135" t="str">
        <f>VLOOKUP(A135,QUIK!$D:$AL,28,FALSE)</f>
        <v>SUR</v>
      </c>
      <c r="L135">
        <f>VLOOKUP(A135,QUIK!$D:$AL,31,FALSE)</f>
        <v>-100</v>
      </c>
      <c r="M135" t="str">
        <f>VLOOKUP(A135,QUIK!$D:$AL,30,FALSE)</f>
        <v/>
      </c>
      <c r="N135">
        <f>VLOOKUP(A135,QUIK!$D:$AL,4,FALSE)</f>
        <v>1</v>
      </c>
      <c r="O135" s="113">
        <f>IFERROR(VLOOKUP(A135,$A$7:$F$34,5,FALSE)/$E$3,"")</f>
        <v>5.9126179681986871E-2</v>
      </c>
      <c r="P135" s="183">
        <f>G135*J135</f>
        <v>56965.200000000004</v>
      </c>
    </row>
    <row r="136" spans="1:16">
      <c r="A136" s="117" t="s">
        <v>94</v>
      </c>
      <c r="B136" s="117" t="s">
        <v>95</v>
      </c>
      <c r="C136" s="118"/>
      <c r="D136" s="119">
        <v>0</v>
      </c>
      <c r="E136" s="150" t="s">
        <v>12749</v>
      </c>
      <c r="F136" s="149" t="s">
        <v>12750</v>
      </c>
      <c r="G136" s="149">
        <f>IFERROR(VLOOKUP(A136,QUIK_купитьпродать!B:G,6,FALSE),)</f>
        <v>0</v>
      </c>
      <c r="H136" s="149" t="str">
        <f>IF(ISERROR(VLOOKUP(E136,Лист12!$A$23:$A$27,1,FALSE))=FALSE,VLOOKUP(A136,QUIK!C:J,8,FALSE),"")</f>
        <v/>
      </c>
      <c r="O136" s="113">
        <f>IFERROR(VLOOKUP(A136,$A$7:$F$34,5,FALSE)/$E$3,"")</f>
        <v>3.6521718028763241E-3</v>
      </c>
      <c r="P136" s="147">
        <f>VLOOKUP(A136,A7:E34,5,FALSE)</f>
        <v>3518.69</v>
      </c>
    </row>
    <row r="139" spans="1:16" ht="21">
      <c r="A139" s="166" t="s">
        <v>12756</v>
      </c>
    </row>
    <row r="141" spans="1:16" ht="27">
      <c r="A141" t="s">
        <v>12761</v>
      </c>
      <c r="B141" s="182" t="s">
        <v>12757</v>
      </c>
      <c r="C141" s="147">
        <f>SUM(T95:T111)</f>
        <v>464753.7</v>
      </c>
    </row>
    <row r="142" spans="1:16" ht="51" customHeight="1">
      <c r="B142" s="182" t="s">
        <v>12232</v>
      </c>
      <c r="C142" s="147">
        <f>SUM(T117:T128)</f>
        <v>-454398.2</v>
      </c>
    </row>
    <row r="143" spans="1:16">
      <c r="B143" t="s">
        <v>12234</v>
      </c>
      <c r="C143" s="145">
        <f>(C141+C142)*-1</f>
        <v>-10355.5</v>
      </c>
    </row>
    <row r="144" spans="1:16">
      <c r="B144" t="s">
        <v>2111</v>
      </c>
      <c r="C144" s="184" t="str">
        <f>IF(C143&lt;0,"Не хватает!","Средств достаточно")</f>
        <v>Не хватает!</v>
      </c>
    </row>
    <row r="146" spans="1:3">
      <c r="A146" t="s">
        <v>12762</v>
      </c>
      <c r="B146" t="s">
        <v>12760</v>
      </c>
      <c r="C146" s="145">
        <f>P136</f>
        <v>3518.69</v>
      </c>
    </row>
    <row r="147" spans="1:3">
      <c r="B147" t="s">
        <v>12234</v>
      </c>
      <c r="C147" s="145">
        <f>C146+C143</f>
        <v>-6836.8099999999995</v>
      </c>
    </row>
    <row r="148" spans="1:3">
      <c r="B148" t="s">
        <v>2111</v>
      </c>
      <c r="C148" s="144" t="str">
        <f>IF(C147&lt;0,"Не хватает!","Средств достаточно")</f>
        <v>Не хватает!</v>
      </c>
    </row>
    <row r="150" spans="1:3">
      <c r="A150" t="s">
        <v>12763</v>
      </c>
      <c r="B150" t="s">
        <v>12758</v>
      </c>
      <c r="C150" s="145">
        <f>SUMIF(E135:E136,"Ликвидность",P135:P136)</f>
        <v>56965.200000000004</v>
      </c>
    </row>
    <row r="151" spans="1:3">
      <c r="B151" t="s">
        <v>12234</v>
      </c>
      <c r="C151" s="145">
        <f>C150+C147</f>
        <v>50128.390000000007</v>
      </c>
    </row>
    <row r="152" spans="1:3">
      <c r="B152" t="s">
        <v>2111</v>
      </c>
      <c r="C152" s="184" t="str">
        <f>IF(C151&lt;0,"Не хватает!","Средств достаточно")</f>
        <v>Средств достаточно</v>
      </c>
    </row>
    <row r="154" spans="1:3">
      <c r="B154" t="s">
        <v>12764</v>
      </c>
    </row>
    <row r="156" spans="1:3" ht="21">
      <c r="A156" s="166" t="s">
        <v>12766</v>
      </c>
    </row>
    <row r="157" spans="1:3">
      <c r="A157" t="s">
        <v>12765</v>
      </c>
    </row>
    <row r="158" spans="1:3">
      <c r="A158" t="s">
        <v>12768</v>
      </c>
    </row>
    <row r="159" spans="1:3">
      <c r="A159" t="s">
        <v>12767</v>
      </c>
    </row>
    <row r="160" spans="1:3">
      <c r="A160" t="s">
        <v>12769</v>
      </c>
    </row>
    <row r="161" spans="1:4">
      <c r="A161" t="s">
        <v>12774</v>
      </c>
    </row>
    <row r="163" spans="1:4" ht="21">
      <c r="A163" s="166" t="s">
        <v>12775</v>
      </c>
    </row>
    <row r="164" spans="1:4" ht="15.75">
      <c r="A164" s="164" t="s">
        <v>12770</v>
      </c>
    </row>
    <row r="165" spans="1:4" ht="15.75">
      <c r="A165" s="164" t="s">
        <v>12255</v>
      </c>
    </row>
    <row r="166" spans="1:4">
      <c r="A166" s="151" t="s">
        <v>12237</v>
      </c>
    </row>
    <row r="167" spans="1:4" ht="41.25" thickBot="1">
      <c r="A167" s="168" t="s">
        <v>229</v>
      </c>
      <c r="B167" s="168" t="s">
        <v>1964</v>
      </c>
      <c r="C167" s="168" t="s">
        <v>12256</v>
      </c>
      <c r="D167" s="190" t="s">
        <v>12235</v>
      </c>
    </row>
    <row r="168" spans="1:4" ht="15.75" thickBot="1">
      <c r="A168" t="s">
        <v>453</v>
      </c>
      <c r="B168" t="s">
        <v>454</v>
      </c>
      <c r="C168" s="94" t="s">
        <v>111</v>
      </c>
      <c r="D168" s="185">
        <f>S117</f>
        <v>-50</v>
      </c>
    </row>
    <row r="169" spans="1:4" ht="15.75" thickBot="1">
      <c r="A169" t="s">
        <v>770</v>
      </c>
      <c r="B169" t="s">
        <v>771</v>
      </c>
      <c r="C169" s="94" t="s">
        <v>111</v>
      </c>
      <c r="D169" s="185">
        <f t="shared" ref="D169:D179" si="18">S118</f>
        <v>-50</v>
      </c>
    </row>
    <row r="170" spans="1:4" ht="15.75" thickBot="1">
      <c r="A170" t="s">
        <v>878</v>
      </c>
      <c r="B170" t="s">
        <v>879</v>
      </c>
      <c r="C170" s="94" t="s">
        <v>111</v>
      </c>
      <c r="D170" s="185">
        <f t="shared" si="18"/>
        <v>-12</v>
      </c>
    </row>
    <row r="171" spans="1:4" ht="15.75" thickBot="1">
      <c r="A171" t="s">
        <v>109</v>
      </c>
      <c r="B171" t="s">
        <v>110</v>
      </c>
      <c r="C171" s="94" t="s">
        <v>111</v>
      </c>
      <c r="D171" s="185">
        <f t="shared" si="18"/>
        <v>-10</v>
      </c>
    </row>
    <row r="172" spans="1:4" ht="15.75" thickBot="1">
      <c r="A172" t="s">
        <v>988</v>
      </c>
      <c r="B172" t="s">
        <v>989</v>
      </c>
      <c r="C172" s="94" t="s">
        <v>111</v>
      </c>
      <c r="D172" s="185">
        <f t="shared" si="18"/>
        <v>-10</v>
      </c>
    </row>
    <row r="173" spans="1:4" ht="15.75" thickBot="1">
      <c r="A173" t="s">
        <v>998</v>
      </c>
      <c r="B173" t="s">
        <v>999</v>
      </c>
      <c r="C173" s="94" t="s">
        <v>111</v>
      </c>
      <c r="D173" s="185">
        <f t="shared" si="18"/>
        <v>-23</v>
      </c>
    </row>
    <row r="174" spans="1:4" ht="15.75" thickBot="1">
      <c r="A174" t="s">
        <v>1152</v>
      </c>
      <c r="B174" t="s">
        <v>1153</v>
      </c>
      <c r="C174" s="94" t="s">
        <v>111</v>
      </c>
      <c r="D174" s="185">
        <f t="shared" si="18"/>
        <v>-40</v>
      </c>
    </row>
    <row r="175" spans="1:4" ht="15.75" thickBot="1">
      <c r="A175" t="s">
        <v>1157</v>
      </c>
      <c r="B175" t="s">
        <v>1158</v>
      </c>
      <c r="C175" s="94" t="s">
        <v>111</v>
      </c>
      <c r="D175" s="185">
        <f t="shared" si="18"/>
        <v>-30</v>
      </c>
    </row>
    <row r="176" spans="1:4" ht="15.75" thickBot="1">
      <c r="A176" t="s">
        <v>1336</v>
      </c>
      <c r="B176" t="s">
        <v>1337</v>
      </c>
      <c r="C176" s="94" t="s">
        <v>111</v>
      </c>
      <c r="D176" s="185">
        <f t="shared" si="18"/>
        <v>-50</v>
      </c>
    </row>
    <row r="177" spans="1:19" ht="15.75" thickBot="1">
      <c r="A177" t="s">
        <v>1977</v>
      </c>
      <c r="B177" t="s">
        <v>1975</v>
      </c>
      <c r="C177" s="94" t="s">
        <v>111</v>
      </c>
      <c r="D177" s="185">
        <f t="shared" si="18"/>
        <v>-50</v>
      </c>
    </row>
    <row r="178" spans="1:19" ht="15.75" thickBot="1">
      <c r="A178" t="s">
        <v>1979</v>
      </c>
      <c r="B178" t="s">
        <v>1978</v>
      </c>
      <c r="C178" s="94" t="s">
        <v>111</v>
      </c>
      <c r="D178" s="185">
        <f t="shared" si="18"/>
        <v>-32</v>
      </c>
    </row>
    <row r="179" spans="1:19" ht="15.75" thickBot="1">
      <c r="A179" t="s">
        <v>1981</v>
      </c>
      <c r="B179" t="s">
        <v>1980</v>
      </c>
      <c r="C179" s="94" t="s">
        <v>111</v>
      </c>
      <c r="D179" s="185">
        <f t="shared" si="18"/>
        <v>-30</v>
      </c>
    </row>
    <row r="181" spans="1:19">
      <c r="A181" t="s">
        <v>12788</v>
      </c>
    </row>
    <row r="183" spans="1:19" ht="21">
      <c r="A183" s="166" t="s">
        <v>12776</v>
      </c>
    </row>
    <row r="184" spans="1:19">
      <c r="A184" t="s">
        <v>12771</v>
      </c>
    </row>
    <row r="185" spans="1:19">
      <c r="A185" t="s">
        <v>12772</v>
      </c>
    </row>
    <row r="187" spans="1:19">
      <c r="A187" t="s">
        <v>12248</v>
      </c>
      <c r="O187" s="113"/>
    </row>
    <row r="188" spans="1:19" ht="47.25">
      <c r="A188" s="168" t="s">
        <v>229</v>
      </c>
      <c r="B188" s="168" t="s">
        <v>1964</v>
      </c>
      <c r="C188" s="168" t="s">
        <v>12256</v>
      </c>
      <c r="D188" s="169" t="s">
        <v>140</v>
      </c>
      <c r="E188" s="176" t="s">
        <v>12243</v>
      </c>
      <c r="F188" s="176" t="s">
        <v>12244</v>
      </c>
      <c r="G188" s="176" t="s">
        <v>12236</v>
      </c>
      <c r="H188" s="177" t="s">
        <v>12242</v>
      </c>
      <c r="I188" s="176" t="s">
        <v>2075</v>
      </c>
      <c r="J188" s="176" t="s">
        <v>2076</v>
      </c>
      <c r="K188" s="176" t="s">
        <v>2090</v>
      </c>
      <c r="L188" s="176" t="s">
        <v>2091</v>
      </c>
      <c r="M188" s="176" t="s">
        <v>2092</v>
      </c>
      <c r="N188" s="177" t="s">
        <v>2094</v>
      </c>
      <c r="O188" s="173" t="s">
        <v>12231</v>
      </c>
      <c r="P188" s="187" t="s">
        <v>12759</v>
      </c>
      <c r="Q188" s="188" t="s">
        <v>12773</v>
      </c>
      <c r="R188" s="189" t="s">
        <v>12235</v>
      </c>
    </row>
    <row r="189" spans="1:19" ht="15.75">
      <c r="A189" s="167" t="s">
        <v>99</v>
      </c>
      <c r="B189" s="167" t="s">
        <v>188</v>
      </c>
      <c r="C189" s="118"/>
      <c r="D189" s="121">
        <v>0</v>
      </c>
      <c r="E189" s="150" t="s">
        <v>100</v>
      </c>
      <c r="F189" s="153" t="s">
        <v>12751</v>
      </c>
      <c r="G189" s="149">
        <f>IFERROR(VLOOKUP(A189,QUIK_купитьпродать!B:G,6,FALSE),)</f>
        <v>37000</v>
      </c>
      <c r="H189" s="149" t="str">
        <f>IF(ISERROR(VLOOKUP(E189,Лист12!$A$23:$A$27,1,FALSE))=FALSE,VLOOKUP(A189,QUIK!C:J,8,FALSE),"")</f>
        <v/>
      </c>
      <c r="I189">
        <f>VLOOKUP(A189,QUIK!$D:$AL,5,FALSE)</f>
        <v>1</v>
      </c>
      <c r="J189">
        <f>VLOOKUP(A189,QUIK!$D:$AL,9,FALSE)</f>
        <v>1.5396000000000001</v>
      </c>
      <c r="K189" t="str">
        <f>VLOOKUP(A189,QUIK!$D:$AL,28,FALSE)</f>
        <v>SUR</v>
      </c>
      <c r="L189">
        <f>VLOOKUP(A189,QUIK!$D:$AL,31,FALSE)</f>
        <v>-100</v>
      </c>
      <c r="M189" t="str">
        <f>VLOOKUP(A189,QUIK!$D:$AL,30,FALSE)</f>
        <v/>
      </c>
      <c r="N189">
        <f>VLOOKUP(A189,QUIK!$D:$AL,4,FALSE)</f>
        <v>1</v>
      </c>
      <c r="O189" s="113">
        <f>IFERROR(VLOOKUP(A189,$A$7:$F$34,5,FALSE)/$E$3,"")</f>
        <v>5.9126179681986871E-2</v>
      </c>
      <c r="P189" s="183">
        <f>G189*J189</f>
        <v>56965.200000000004</v>
      </c>
      <c r="Q189" s="191">
        <f>ROUNDUP(C147/1000,0)*1000</f>
        <v>-7000</v>
      </c>
      <c r="R189" s="186">
        <f>ROUNDUP(Q189/(J189*I189),0)</f>
        <v>-4547</v>
      </c>
      <c r="S189" s="148"/>
    </row>
    <row r="190" spans="1:19">
      <c r="A190" s="117" t="s">
        <v>94</v>
      </c>
      <c r="B190" s="117" t="s">
        <v>95</v>
      </c>
      <c r="C190" s="118"/>
      <c r="D190" s="119">
        <v>0</v>
      </c>
      <c r="E190" s="150" t="s">
        <v>12749</v>
      </c>
      <c r="F190" s="149" t="s">
        <v>12750</v>
      </c>
      <c r="G190" s="149">
        <f>IFERROR(VLOOKUP(A190,QUIK_купитьпродать!B:G,6,FALSE),)</f>
        <v>0</v>
      </c>
      <c r="H190" s="149" t="str">
        <f>IF(ISERROR(VLOOKUP(E190,Лист12!$A$23:$A$27,1,FALSE))=FALSE,VLOOKUP(A190,QUIK!C:J,8,FALSE),"")</f>
        <v/>
      </c>
      <c r="I190">
        <v>10</v>
      </c>
      <c r="J190">
        <v>1.5396000000000001</v>
      </c>
      <c r="O190" s="113">
        <f>IFERROR(VLOOKUP(A190,$A$7:$F$34,5,FALSE)/$E$3,"")</f>
        <v>3.6521718028763241E-3</v>
      </c>
      <c r="P190" s="147">
        <f>VLOOKUP(A190,A7:E34,5,FALSE)</f>
        <v>3518.69</v>
      </c>
      <c r="Q190" s="147">
        <f>P190*-1</f>
        <v>-3518.69</v>
      </c>
      <c r="R190" s="148"/>
    </row>
    <row r="192" spans="1:19">
      <c r="A192" t="s">
        <v>12777</v>
      </c>
    </row>
    <row r="193" spans="1:19">
      <c r="A193" t="s">
        <v>12788</v>
      </c>
    </row>
    <row r="194" spans="1:19">
      <c r="S194" s="145">
        <f>SUM(T117:T128)</f>
        <v>-454398.2</v>
      </c>
    </row>
    <row r="195" spans="1:19" ht="21">
      <c r="A195" s="166" t="s">
        <v>12778</v>
      </c>
      <c r="S195" s="145">
        <f>S194+Q189+Q190</f>
        <v>-464916.89</v>
      </c>
    </row>
    <row r="196" spans="1:19">
      <c r="A196" t="s">
        <v>12779</v>
      </c>
    </row>
    <row r="198" spans="1:19" ht="27">
      <c r="A198" t="s">
        <v>12780</v>
      </c>
      <c r="B198" s="182" t="s">
        <v>12757</v>
      </c>
      <c r="C198" s="147">
        <f>SUM(T95:T111)</f>
        <v>464753.7</v>
      </c>
    </row>
    <row r="199" spans="1:19" ht="54">
      <c r="B199" s="182" t="s">
        <v>12232</v>
      </c>
      <c r="C199" s="147">
        <v>-464916.89</v>
      </c>
    </row>
    <row r="200" spans="1:19">
      <c r="B200" t="s">
        <v>12234</v>
      </c>
      <c r="C200" s="145">
        <f>(C198+C199)*-1</f>
        <v>163.19000000000233</v>
      </c>
    </row>
    <row r="201" spans="1:19">
      <c r="B201" t="s">
        <v>2111</v>
      </c>
      <c r="C201" s="184" t="str">
        <f>IF(C200&lt;0,"Не хватает!","Средств достаточно")</f>
        <v>Средств достаточно</v>
      </c>
    </row>
    <row r="204" spans="1:19">
      <c r="A204" t="s">
        <v>12781</v>
      </c>
    </row>
    <row r="207" spans="1:19" ht="21">
      <c r="A207" s="166" t="s">
        <v>12782</v>
      </c>
    </row>
    <row r="208" spans="1:19">
      <c r="A208" t="s">
        <v>12783</v>
      </c>
    </row>
    <row r="210" spans="1:23">
      <c r="A210" s="152" t="s">
        <v>12238</v>
      </c>
      <c r="E210" t="s">
        <v>12262</v>
      </c>
    </row>
    <row r="211" spans="1:23">
      <c r="A211" s="152"/>
      <c r="E211" s="170" t="s">
        <v>12261</v>
      </c>
      <c r="F211" s="170" t="s">
        <v>12263</v>
      </c>
      <c r="G211" s="170" t="s">
        <v>12261</v>
      </c>
      <c r="H211" s="170" t="s">
        <v>12264</v>
      </c>
      <c r="I211" s="170" t="s">
        <v>12261</v>
      </c>
      <c r="J211" s="170" t="s">
        <v>12261</v>
      </c>
      <c r="K211" s="170" t="s">
        <v>12261</v>
      </c>
      <c r="L211" s="170" t="s">
        <v>12261</v>
      </c>
      <c r="M211" s="170" t="s">
        <v>12261</v>
      </c>
      <c r="N211" s="170" t="s">
        <v>12261</v>
      </c>
    </row>
    <row r="212" spans="1:23" ht="54">
      <c r="A212" s="168" t="s">
        <v>229</v>
      </c>
      <c r="B212" s="168" t="s">
        <v>1964</v>
      </c>
      <c r="C212" s="168" t="s">
        <v>12256</v>
      </c>
      <c r="D212" s="169" t="s">
        <v>140</v>
      </c>
      <c r="E212" s="176" t="s">
        <v>12243</v>
      </c>
      <c r="F212" s="176" t="s">
        <v>12244</v>
      </c>
      <c r="G212" s="176" t="s">
        <v>12236</v>
      </c>
      <c r="H212" s="177" t="s">
        <v>12242</v>
      </c>
      <c r="I212" s="176" t="s">
        <v>2075</v>
      </c>
      <c r="J212" s="176" t="s">
        <v>2076</v>
      </c>
      <c r="K212" s="176" t="s">
        <v>2090</v>
      </c>
      <c r="L212" s="176" t="s">
        <v>2091</v>
      </c>
      <c r="M212" s="176" t="s">
        <v>2092</v>
      </c>
      <c r="N212" s="177" t="s">
        <v>2094</v>
      </c>
      <c r="O212" s="173" t="s">
        <v>12231</v>
      </c>
      <c r="P212" s="174" t="s">
        <v>2115</v>
      </c>
      <c r="Q212" s="173" t="s">
        <v>12230</v>
      </c>
      <c r="R212" s="175" t="s">
        <v>12239</v>
      </c>
      <c r="S212" s="175" t="s">
        <v>12235</v>
      </c>
      <c r="T212" s="175" t="s">
        <v>12240</v>
      </c>
      <c r="U212" s="175" t="s">
        <v>12246</v>
      </c>
      <c r="V212" s="175" t="s">
        <v>12247</v>
      </c>
      <c r="W212" s="175" t="s">
        <v>12249</v>
      </c>
    </row>
    <row r="213" spans="1:23">
      <c r="A213" s="122" t="s">
        <v>118</v>
      </c>
      <c r="B213" s="122" t="s">
        <v>119</v>
      </c>
      <c r="C213" s="123" t="s">
        <v>12257</v>
      </c>
      <c r="D213" s="129">
        <v>0.09</v>
      </c>
      <c r="E213" s="150" t="str">
        <f>VLOOKUP(A213,QUIK!D:AL,3,FALSE)</f>
        <v>ао</v>
      </c>
      <c r="F213" s="150" t="str">
        <f>IF(ISERROR(VLOOKUP(E213,Лист12!$A$23:$A$27,1,FALSE))=FALSE,"Обл",IF(OR(E213="ао",E213="ап",E213="др"),"Акции","Прочее"))</f>
        <v>Акции</v>
      </c>
      <c r="G213" s="149">
        <f>IFERROR(VLOOKUP(A213,QUIK_купитьпродать!B:G,6,FALSE),)</f>
        <v>30</v>
      </c>
      <c r="H213" s="149">
        <f>IF(F213="Обл",VLOOKUP(A213,QUIK!C:J,8,FALSE),1)</f>
        <v>1</v>
      </c>
      <c r="I213">
        <f>VLOOKUP(A213,QUIK!$D:$AL,5,FALSE)</f>
        <v>1</v>
      </c>
      <c r="J213">
        <f>VLOOKUP(A213,QUIK!$D:$AL,9,FALSE)</f>
        <v>3330.5</v>
      </c>
      <c r="K213" t="str">
        <f>VLOOKUP(A213,QUIK!$D:$AL,28,FALSE)</f>
        <v>SUR</v>
      </c>
      <c r="L213">
        <f>VLOOKUP(A213,QUIK!$D:$AL,31,FALSE)</f>
        <v>-100</v>
      </c>
      <c r="M213" t="str">
        <f>VLOOKUP(A213,QUIK!$D:$AL,30,FALSE)</f>
        <v/>
      </c>
      <c r="N213">
        <f>VLOOKUP(A213,QUIK!$D:$AL,4,FALSE)</f>
        <v>1</v>
      </c>
      <c r="O213" s="113">
        <f t="shared" ref="O213:O220" si="19">IFERROR(VLOOKUP(A213,$A$7:$F$34,5,FALSE)/$E$3,"")</f>
        <v>0.10370528397909105</v>
      </c>
      <c r="P213" s="90">
        <f t="shared" ref="P213:P229" si="20">IFERROR(D213-O213,D213)</f>
        <v>-1.3705283979091057E-2</v>
      </c>
      <c r="Q213" s="113">
        <f t="shared" ref="Q213:Q229" si="21">IF(F213="Обл",(I213*J213%*H213)/$E$3,(I213*J213)/$E$3)</f>
        <v>3.4568427993030351E-3</v>
      </c>
      <c r="R213" s="145">
        <f t="shared" ref="R213:R229" si="22">P213*$E$3</f>
        <v>-13204.374900000008</v>
      </c>
      <c r="S213" s="148">
        <f t="shared" ref="S213:S229" si="23">IF(ABS(P213)&lt;Q213,0,ROUNDDOWN(R213/(IF(F213="Обл",(J213%*I213*H213),(J213*I213))),0))</f>
        <v>-3</v>
      </c>
      <c r="T213" s="148">
        <f t="shared" ref="T213:T229" si="24">IF(F213="Обл",S213*I213*J213%*H213,S213*I213*J213)</f>
        <v>-9991.5</v>
      </c>
      <c r="U213" s="148">
        <f t="shared" ref="U213:U229" si="25">(IF(G213&lt;&gt;0,G213,0)+S213*I213)</f>
        <v>27</v>
      </c>
      <c r="V213" s="148">
        <f t="shared" ref="V213:V229" si="26">U213*J213</f>
        <v>89923.5</v>
      </c>
      <c r="W213" s="113">
        <f t="shared" ref="W213:W229" si="27">V213/$E$3</f>
        <v>9.3334755581181955E-2</v>
      </c>
    </row>
    <row r="214" spans="1:23">
      <c r="A214" s="122" t="s">
        <v>128</v>
      </c>
      <c r="B214" s="122" t="s">
        <v>129</v>
      </c>
      <c r="C214" s="123" t="s">
        <v>12257</v>
      </c>
      <c r="D214" s="129">
        <v>0.09</v>
      </c>
      <c r="E214" s="150" t="str">
        <f>VLOOKUP(A214,QUIK!D:AL,3,FALSE)</f>
        <v>ао</v>
      </c>
      <c r="F214" s="150" t="str">
        <f>IF(ISERROR(VLOOKUP(E214,Лист12!$A$23:$A$27,1,FALSE))=FALSE,"Обл",IF(OR(E214="ао",E214="ап",E214="др"),"Акции","Прочее"))</f>
        <v>Акции</v>
      </c>
      <c r="G214" s="149">
        <f>IFERROR(VLOOKUP(A214,QUIK_купитьпродать!B:G,6,FALSE),)</f>
        <v>50</v>
      </c>
      <c r="H214" s="149">
        <f>IF(F214="Обл",VLOOKUP(A214,QUIK!C:J,8,FALSE),1)</f>
        <v>1</v>
      </c>
      <c r="I214">
        <f>VLOOKUP(A214,QUIK!$D:$AL,5,FALSE)</f>
        <v>1</v>
      </c>
      <c r="J214">
        <f>VLOOKUP(A214,QUIK!$D:$AL,9,FALSE)</f>
        <v>434.65</v>
      </c>
      <c r="K214" t="str">
        <f>VLOOKUP(A214,QUIK!$D:$AL,28,FALSE)</f>
        <v>SUR</v>
      </c>
      <c r="L214">
        <f>VLOOKUP(A214,QUIK!$D:$AL,31,FALSE)</f>
        <v>-100</v>
      </c>
      <c r="M214" t="str">
        <f>VLOOKUP(A214,QUIK!$D:$AL,30,FALSE)</f>
        <v/>
      </c>
      <c r="N214">
        <f>VLOOKUP(A214,QUIK!$D:$AL,4,FALSE)</f>
        <v>1</v>
      </c>
      <c r="O214" s="113">
        <f t="shared" si="19"/>
        <v>2.2556924226348359E-2</v>
      </c>
      <c r="P214" s="90">
        <f t="shared" si="20"/>
        <v>6.7443075773651634E-2</v>
      </c>
      <c r="Q214" s="113">
        <f t="shared" si="21"/>
        <v>4.5113848452696718E-4</v>
      </c>
      <c r="R214" s="145">
        <f t="shared" si="22"/>
        <v>64978.125099999983</v>
      </c>
      <c r="S214" s="148">
        <f t="shared" si="23"/>
        <v>149</v>
      </c>
      <c r="T214" s="148">
        <f t="shared" si="24"/>
        <v>64762.85</v>
      </c>
      <c r="U214" s="148">
        <f t="shared" si="25"/>
        <v>199</v>
      </c>
      <c r="V214" s="148">
        <f t="shared" si="26"/>
        <v>86495.349999999991</v>
      </c>
      <c r="W214" s="113">
        <f t="shared" si="27"/>
        <v>8.9776558420866459E-2</v>
      </c>
    </row>
    <row r="215" spans="1:23">
      <c r="A215" s="122" t="s">
        <v>112</v>
      </c>
      <c r="B215" s="122" t="s">
        <v>113</v>
      </c>
      <c r="C215" s="123" t="s">
        <v>12257</v>
      </c>
      <c r="D215" s="127">
        <v>0.08</v>
      </c>
      <c r="E215" s="150" t="str">
        <f>VLOOKUP(A215,QUIK!D:AL,3,FALSE)</f>
        <v>ап</v>
      </c>
      <c r="F215" s="150" t="str">
        <f>IF(ISERROR(VLOOKUP(E215,Лист12!$A$23:$A$27,1,FALSE))=FALSE,"Обл",IF(OR(E215="ао",E215="ап",E215="др"),"Акции","Прочее"))</f>
        <v>Акции</v>
      </c>
      <c r="G215" s="149">
        <f>IFERROR(VLOOKUP(A215,QUIK_купитьпродать!B:G,6,FALSE),)</f>
        <v>500</v>
      </c>
      <c r="H215" s="149">
        <f>IF(F215="Обл",VLOOKUP(A215,QUIK!C:J,8,FALSE),1)</f>
        <v>1</v>
      </c>
      <c r="I215">
        <f>VLOOKUP(A215,QUIK!$D:$AL,5,FALSE)</f>
        <v>10</v>
      </c>
      <c r="J215">
        <f>VLOOKUP(A215,QUIK!$D:$AL,9,FALSE)</f>
        <v>55.975000000000001</v>
      </c>
      <c r="K215" t="str">
        <f>VLOOKUP(A215,QUIK!$D:$AL,28,FALSE)</f>
        <v>SUR</v>
      </c>
      <c r="L215">
        <f>VLOOKUP(A215,QUIK!$D:$AL,31,FALSE)</f>
        <v>-100</v>
      </c>
      <c r="M215" t="str">
        <f>VLOOKUP(A215,QUIK!$D:$AL,30,FALSE)</f>
        <v/>
      </c>
      <c r="N215">
        <f>VLOOKUP(A215,QUIK!$D:$AL,4,FALSE)</f>
        <v>2</v>
      </c>
      <c r="O215" s="113">
        <f t="shared" si="19"/>
        <v>2.904920818060162E-2</v>
      </c>
      <c r="P215" s="90">
        <f t="shared" si="20"/>
        <v>5.0950791819398378E-2</v>
      </c>
      <c r="Q215" s="113">
        <f t="shared" si="21"/>
        <v>5.8098416361203244E-4</v>
      </c>
      <c r="R215" s="145">
        <f t="shared" si="22"/>
        <v>49088.611199999992</v>
      </c>
      <c r="S215" s="148">
        <f t="shared" si="23"/>
        <v>87</v>
      </c>
      <c r="T215" s="148">
        <f t="shared" si="24"/>
        <v>48698.25</v>
      </c>
      <c r="U215" s="148">
        <f t="shared" si="25"/>
        <v>1370</v>
      </c>
      <c r="V215" s="148">
        <f t="shared" si="26"/>
        <v>76685.75</v>
      </c>
      <c r="W215" s="113">
        <f t="shared" si="27"/>
        <v>7.9594830414848439E-2</v>
      </c>
    </row>
    <row r="216" spans="1:23">
      <c r="A216" s="122" t="s">
        <v>126</v>
      </c>
      <c r="B216" s="122" t="s">
        <v>127</v>
      </c>
      <c r="C216" s="123" t="s">
        <v>12257</v>
      </c>
      <c r="D216" s="124">
        <v>0.05</v>
      </c>
      <c r="E216" s="150" t="str">
        <f>VLOOKUP(A216,QUIK!D:AL,3,FALSE)</f>
        <v>ап</v>
      </c>
      <c r="F216" s="150" t="str">
        <f>IF(ISERROR(VLOOKUP(E216,Лист12!$A$23:$A$27,1,FALSE))=FALSE,"Обл",IF(OR(E216="ао",E216="ап",E216="др"),"Акции","Прочее"))</f>
        <v>Акции</v>
      </c>
      <c r="G216" s="149">
        <f>IFERROR(VLOOKUP(A216,QUIK_купитьпродать!B:G,6,FALSE),)</f>
        <v>0</v>
      </c>
      <c r="H216" s="149">
        <f>IF(F216="Обл",VLOOKUP(A216,QUIK!C:J,8,FALSE),1)</f>
        <v>1</v>
      </c>
      <c r="I216">
        <f>VLOOKUP(A216,QUIK!$D:$AL,5,FALSE)</f>
        <v>1</v>
      </c>
      <c r="J216">
        <f>VLOOKUP(A216,QUIK!$D:$AL,9,FALSE)</f>
        <v>531.29999999999995</v>
      </c>
      <c r="K216" t="str">
        <f>VLOOKUP(A216,QUIK!$D:$AL,28,FALSE)</f>
        <v>SUR</v>
      </c>
      <c r="L216">
        <f>VLOOKUP(A216,QUIK!$D:$AL,31,FALSE)</f>
        <v>-100</v>
      </c>
      <c r="M216" t="str">
        <f>VLOOKUP(A216,QUIK!$D:$AL,30,FALSE)</f>
        <v/>
      </c>
      <c r="N216">
        <f>VLOOKUP(A216,QUIK!$D:$AL,4,FALSE)</f>
        <v>1</v>
      </c>
      <c r="O216" s="113" t="str">
        <f t="shared" si="19"/>
        <v/>
      </c>
      <c r="P216" s="90">
        <f t="shared" si="20"/>
        <v>0.05</v>
      </c>
      <c r="Q216" s="113">
        <f t="shared" si="21"/>
        <v>5.5145491045479732E-4</v>
      </c>
      <c r="R216" s="145">
        <f t="shared" si="22"/>
        <v>48172.569499999998</v>
      </c>
      <c r="S216" s="148">
        <f t="shared" si="23"/>
        <v>90</v>
      </c>
      <c r="T216" s="148">
        <f t="shared" si="24"/>
        <v>47816.999999999993</v>
      </c>
      <c r="U216" s="148">
        <f t="shared" si="25"/>
        <v>90</v>
      </c>
      <c r="V216" s="148">
        <f t="shared" si="26"/>
        <v>47816.999999999993</v>
      </c>
      <c r="W216" s="113">
        <f t="shared" si="27"/>
        <v>4.9630941940931754E-2</v>
      </c>
    </row>
    <row r="217" spans="1:23">
      <c r="A217" s="122" t="s">
        <v>104</v>
      </c>
      <c r="B217" s="122" t="s">
        <v>105</v>
      </c>
      <c r="C217" s="123" t="s">
        <v>12257</v>
      </c>
      <c r="D217" s="124">
        <v>0.05</v>
      </c>
      <c r="E217" s="150" t="str">
        <f>VLOOKUP(A217,QUIK!D:AL,3,FALSE)</f>
        <v>др</v>
      </c>
      <c r="F217" s="150" t="str">
        <f>IF(ISERROR(VLOOKUP(E217,Лист12!$A$23:$A$27,1,FALSE))=FALSE,"Обл",IF(OR(E217="ао",E217="ап",E217="др"),"Акции","Прочее"))</f>
        <v>Акции</v>
      </c>
      <c r="G217" s="149">
        <f>IFERROR(VLOOKUP(A217,QUIK_купитьпродать!B:G,6,FALSE),)</f>
        <v>0</v>
      </c>
      <c r="H217" s="149">
        <f>IF(F217="Обл",VLOOKUP(A217,QUIK!C:J,8,FALSE),1)</f>
        <v>1</v>
      </c>
      <c r="I217">
        <f>VLOOKUP(A217,QUIK!$D:$AL,5,FALSE)</f>
        <v>1</v>
      </c>
      <c r="J217">
        <f>VLOOKUP(A217,QUIK!$D:$AL,9,FALSE)</f>
        <v>2719.5</v>
      </c>
      <c r="K217" t="str">
        <f>VLOOKUP(A217,QUIK!$D:$AL,28,FALSE)</f>
        <v>SUR</v>
      </c>
      <c r="L217">
        <f>VLOOKUP(A217,QUIK!$D:$AL,31,FALSE)</f>
        <v>-100</v>
      </c>
      <c r="M217" t="str">
        <f>VLOOKUP(A217,QUIK!$D:$AL,30,FALSE)</f>
        <v/>
      </c>
      <c r="N217">
        <f>VLOOKUP(A217,QUIK!$D:$AL,4,FALSE)</f>
        <v>1</v>
      </c>
      <c r="O217" s="113" t="str">
        <f t="shared" si="19"/>
        <v/>
      </c>
      <c r="P217" s="90">
        <f t="shared" si="20"/>
        <v>0.05</v>
      </c>
      <c r="Q217" s="113">
        <f t="shared" si="21"/>
        <v>2.8226644626045952E-3</v>
      </c>
      <c r="R217" s="145">
        <f t="shared" si="22"/>
        <v>48172.569499999998</v>
      </c>
      <c r="S217" s="148">
        <f t="shared" si="23"/>
        <v>17</v>
      </c>
      <c r="T217" s="148">
        <f t="shared" si="24"/>
        <v>46231.5</v>
      </c>
      <c r="U217" s="148">
        <f t="shared" si="25"/>
        <v>17</v>
      </c>
      <c r="V217" s="148">
        <f t="shared" si="26"/>
        <v>46231.5</v>
      </c>
      <c r="W217" s="113">
        <f t="shared" si="27"/>
        <v>4.7985295864278119E-2</v>
      </c>
    </row>
    <row r="218" spans="1:23">
      <c r="A218" s="122" t="s">
        <v>107</v>
      </c>
      <c r="B218" s="122" t="s">
        <v>108</v>
      </c>
      <c r="C218" s="123" t="s">
        <v>12257</v>
      </c>
      <c r="D218" s="124">
        <v>0.05</v>
      </c>
      <c r="E218" s="150" t="str">
        <f>VLOOKUP(A218,QUIK!D:AL,3,FALSE)</f>
        <v>ао</v>
      </c>
      <c r="F218" s="150" t="str">
        <f>IF(ISERROR(VLOOKUP(E218,Лист12!$A$23:$A$27,1,FALSE))=FALSE,"Обл",IF(OR(E218="ао",E218="ап",E218="др"),"Акции","Прочее"))</f>
        <v>Акции</v>
      </c>
      <c r="G218" s="149">
        <f>IFERROR(VLOOKUP(A218,QUIK_купитьпродать!B:G,6,FALSE),)</f>
        <v>6</v>
      </c>
      <c r="H218" s="149">
        <f>IF(F218="Обл",VLOOKUP(A218,QUIK!C:J,8,FALSE),1)</f>
        <v>1</v>
      </c>
      <c r="I218">
        <f>VLOOKUP(A218,QUIK!$D:$AL,5,FALSE)</f>
        <v>1</v>
      </c>
      <c r="J218">
        <f>VLOOKUP(A218,QUIK!$D:$AL,9,FALSE)</f>
        <v>1798.6</v>
      </c>
      <c r="K218" t="str">
        <f>VLOOKUP(A218,QUIK!$D:$AL,28,FALSE)</f>
        <v>SUR</v>
      </c>
      <c r="L218">
        <f>VLOOKUP(A218,QUIK!$D:$AL,31,FALSE)</f>
        <v>-100</v>
      </c>
      <c r="M218" t="str">
        <f>VLOOKUP(A218,QUIK!$D:$AL,30,FALSE)</f>
        <v/>
      </c>
      <c r="N218">
        <f>VLOOKUP(A218,QUIK!$D:$AL,4,FALSE)</f>
        <v>1</v>
      </c>
      <c r="O218" s="113">
        <f t="shared" si="19"/>
        <v>1.120098025910783E-2</v>
      </c>
      <c r="P218" s="90">
        <f t="shared" si="20"/>
        <v>3.8799019740892171E-2</v>
      </c>
      <c r="Q218" s="113">
        <f t="shared" si="21"/>
        <v>1.8668300431846387E-3</v>
      </c>
      <c r="R218" s="145">
        <f t="shared" si="22"/>
        <v>37380.969499999999</v>
      </c>
      <c r="S218" s="148">
        <f t="shared" si="23"/>
        <v>20</v>
      </c>
      <c r="T218" s="148">
        <f t="shared" si="24"/>
        <v>35972</v>
      </c>
      <c r="U218" s="148">
        <f t="shared" si="25"/>
        <v>26</v>
      </c>
      <c r="V218" s="148">
        <f t="shared" si="26"/>
        <v>46763.6</v>
      </c>
      <c r="W218" s="113">
        <f t="shared" si="27"/>
        <v>4.8537581122800606E-2</v>
      </c>
    </row>
    <row r="219" spans="1:23">
      <c r="A219" s="122" t="s">
        <v>122</v>
      </c>
      <c r="B219" s="122" t="s">
        <v>123</v>
      </c>
      <c r="C219" s="123" t="s">
        <v>12257</v>
      </c>
      <c r="D219" s="124">
        <v>0.05</v>
      </c>
      <c r="E219" s="150" t="str">
        <f>VLOOKUP(A219,QUIK!D:AL,3,FALSE)</f>
        <v>ао</v>
      </c>
      <c r="F219" s="150" t="str">
        <f>IF(ISERROR(VLOOKUP(E219,Лист12!$A$23:$A$27,1,FALSE))=FALSE,"Обл",IF(OR(E219="ао",E219="ап",E219="др"),"Акции","Прочее"))</f>
        <v>Акции</v>
      </c>
      <c r="G219" s="149">
        <f>IFERROR(VLOOKUP(A219,QUIK_купитьпродать!B:G,6,FALSE),)</f>
        <v>1000</v>
      </c>
      <c r="H219" s="149">
        <f>IF(F219="Обл",VLOOKUP(A219,QUIK!C:J,8,FALSE),1)</f>
        <v>1</v>
      </c>
      <c r="I219">
        <f>VLOOKUP(A219,QUIK!$D:$AL,5,FALSE)</f>
        <v>100</v>
      </c>
      <c r="J219">
        <f>VLOOKUP(A219,QUIK!$D:$AL,9,FALSE)</f>
        <v>12.58</v>
      </c>
      <c r="K219" t="str">
        <f>VLOOKUP(A219,QUIK!$D:$AL,28,FALSE)</f>
        <v>SUR</v>
      </c>
      <c r="L219">
        <f>VLOOKUP(A219,QUIK!$D:$AL,31,FALSE)</f>
        <v>-100</v>
      </c>
      <c r="M219" t="str">
        <f>VLOOKUP(A219,QUIK!$D:$AL,30,FALSE)</f>
        <v/>
      </c>
      <c r="N219">
        <f>VLOOKUP(A219,QUIK!$D:$AL,4,FALSE)</f>
        <v>1</v>
      </c>
      <c r="O219" s="113">
        <f t="shared" si="19"/>
        <v>1.305722336442942E-2</v>
      </c>
      <c r="P219" s="90">
        <f t="shared" si="20"/>
        <v>3.6942776635570579E-2</v>
      </c>
      <c r="Q219" s="113">
        <f t="shared" si="21"/>
        <v>1.3057223364429419E-3</v>
      </c>
      <c r="R219" s="145">
        <f t="shared" si="22"/>
        <v>35592.569499999991</v>
      </c>
      <c r="S219" s="148">
        <f t="shared" si="23"/>
        <v>28</v>
      </c>
      <c r="T219" s="148">
        <f t="shared" si="24"/>
        <v>35224</v>
      </c>
      <c r="U219" s="148">
        <f t="shared" si="25"/>
        <v>3800</v>
      </c>
      <c r="V219" s="148">
        <f t="shared" si="26"/>
        <v>47804</v>
      </c>
      <c r="W219" s="113">
        <f t="shared" si="27"/>
        <v>4.9617448784831798E-2</v>
      </c>
    </row>
    <row r="220" spans="1:23">
      <c r="A220" s="192" t="s">
        <v>136</v>
      </c>
      <c r="B220" s="192" t="s">
        <v>137</v>
      </c>
      <c r="C220" s="193" t="s">
        <v>12257</v>
      </c>
      <c r="D220" s="194">
        <v>0.05</v>
      </c>
      <c r="E220" s="150" t="str">
        <f>VLOOKUP(A220,QUIK!D:AL,3,FALSE)</f>
        <v>ао</v>
      </c>
      <c r="F220" s="150" t="str">
        <f>IF(ISERROR(VLOOKUP(E220,Лист12!$A$23:$A$27,1,FALSE))=FALSE,"Обл",IF(OR(E220="ао",E220="ап",E220="др"),"Акции","Прочее"))</f>
        <v>Акции</v>
      </c>
      <c r="G220" s="149">
        <f>IFERROR(VLOOKUP(A220,QUIK_купитьпродать!B:G,6,FALSE),)</f>
        <v>5000</v>
      </c>
      <c r="H220" s="149">
        <f>IF(F220="Обл",VLOOKUP(A220,QUIK!C:J,8,FALSE),1)</f>
        <v>1</v>
      </c>
      <c r="I220">
        <f>VLOOKUP(A220,QUIK!$D:$AL,5,FALSE)</f>
        <v>100</v>
      </c>
      <c r="J220">
        <f>VLOOKUP(A220,QUIK!$D:$AL,9,FALSE)</f>
        <v>3.6920000000000002</v>
      </c>
      <c r="K220" t="str">
        <f>VLOOKUP(A220,QUIK!$D:$AL,28,FALSE)</f>
        <v>SUR</v>
      </c>
      <c r="L220">
        <f>VLOOKUP(A220,QUIK!$D:$AL,31,FALSE)</f>
        <v>-100</v>
      </c>
      <c r="M220" t="str">
        <f>VLOOKUP(A220,QUIK!$D:$AL,30,FALSE)</f>
        <v/>
      </c>
      <c r="N220">
        <f>VLOOKUP(A220,QUIK!$D:$AL,4,FALSE)</f>
        <v>1</v>
      </c>
      <c r="O220" s="113">
        <f t="shared" si="19"/>
        <v>1.9160281661952869E-2</v>
      </c>
      <c r="P220" s="90">
        <f t="shared" si="20"/>
        <v>3.0839718338047134E-2</v>
      </c>
      <c r="Q220" s="113">
        <f t="shared" si="21"/>
        <v>3.8320563323905745E-4</v>
      </c>
      <c r="R220" s="145">
        <f t="shared" si="22"/>
        <v>29712.569499999998</v>
      </c>
      <c r="S220" s="148">
        <f t="shared" si="23"/>
        <v>80</v>
      </c>
      <c r="T220" s="148">
        <f t="shared" si="24"/>
        <v>29536</v>
      </c>
      <c r="U220" s="148">
        <f t="shared" si="25"/>
        <v>13000</v>
      </c>
      <c r="V220" s="148">
        <f t="shared" si="26"/>
        <v>47996</v>
      </c>
      <c r="W220" s="113">
        <f t="shared" si="27"/>
        <v>4.9816732321077459E-2</v>
      </c>
    </row>
    <row r="221" spans="1:23">
      <c r="A221" s="122" t="s">
        <v>138</v>
      </c>
      <c r="B221" s="122" t="s">
        <v>139</v>
      </c>
      <c r="C221" s="123" t="s">
        <v>12257</v>
      </c>
      <c r="D221" s="128">
        <v>0.03</v>
      </c>
      <c r="E221" s="150" t="str">
        <f>VLOOKUP(A221,QUIK!D:AL,3,FALSE)</f>
        <v>ао</v>
      </c>
      <c r="F221" s="150" t="str">
        <f>IF(ISERROR(VLOOKUP(E221,Лист12!$A$23:$A$27,1,FALSE))=FALSE,"Обл",IF(OR(E221="ао",E221="ап",E221="др"),"Акции","Прочее"))</f>
        <v>Акции</v>
      </c>
      <c r="G221" s="149">
        <f>IFERROR(VLOOKUP(A221,QUIK_купитьпродать!B:G,6,FALSE),)</f>
        <v>0</v>
      </c>
      <c r="H221" s="149">
        <f>IF(F221="Обл",VLOOKUP(A221,QUIK!C:J,8,FALSE),1)</f>
        <v>1</v>
      </c>
      <c r="I221">
        <f>VLOOKUP(A221,QUIK!$D:$AL,5,FALSE)</f>
        <v>1</v>
      </c>
      <c r="J221">
        <f>VLOOKUP(A221,QUIK!$D:$AL,9,FALSE)</f>
        <v>1027</v>
      </c>
      <c r="K221" t="str">
        <f>VLOOKUP(A221,QUIK!$D:$AL,28,FALSE)</f>
        <v>SUR</v>
      </c>
      <c r="L221">
        <f>VLOOKUP(A221,QUIK!$D:$AL,31,FALSE)</f>
        <v>-100</v>
      </c>
      <c r="M221" t="str">
        <f>VLOOKUP(A221,QUIK!$D:$AL,30,FALSE)</f>
        <v/>
      </c>
      <c r="N221">
        <f>VLOOKUP(A221,QUIK!$D:$AL,4,FALSE)</f>
        <v>1</v>
      </c>
      <c r="O221" s="113"/>
      <c r="P221" s="90">
        <f t="shared" si="20"/>
        <v>0.03</v>
      </c>
      <c r="Q221" s="113">
        <f t="shared" si="21"/>
        <v>1.0659593318973779E-3</v>
      </c>
      <c r="R221" s="145">
        <f t="shared" si="22"/>
        <v>28903.541699999994</v>
      </c>
      <c r="S221" s="148">
        <f t="shared" si="23"/>
        <v>28</v>
      </c>
      <c r="T221" s="148">
        <f t="shared" si="24"/>
        <v>28756</v>
      </c>
      <c r="U221" s="148">
        <f t="shared" si="25"/>
        <v>28</v>
      </c>
      <c r="V221" s="148">
        <f t="shared" si="26"/>
        <v>28756</v>
      </c>
      <c r="W221" s="113">
        <f t="shared" si="27"/>
        <v>2.9846861293126581E-2</v>
      </c>
    </row>
    <row r="222" spans="1:23">
      <c r="A222" s="122" t="s">
        <v>130</v>
      </c>
      <c r="B222" s="122" t="s">
        <v>131</v>
      </c>
      <c r="C222" s="123" t="s">
        <v>12257</v>
      </c>
      <c r="D222" s="124">
        <v>0.05</v>
      </c>
      <c r="E222" s="150" t="str">
        <f>VLOOKUP(A222,QUIK!D:AL,3,FALSE)</f>
        <v>ао</v>
      </c>
      <c r="F222" s="150" t="str">
        <f>IF(ISERROR(VLOOKUP(E222,Лист12!$A$23:$A$27,1,FALSE))=FALSE,"Обл",IF(OR(E222="ао",E222="ап",E222="др"),"Акции","Прочее"))</f>
        <v>Акции</v>
      </c>
      <c r="G222" s="149">
        <f>IFERROR(VLOOKUP(A222,QUIK_купитьпродать!B:G,6,FALSE),)</f>
        <v>40</v>
      </c>
      <c r="H222" s="149">
        <f>IF(F222="Обл",VLOOKUP(A222,QUIK!C:J,8,FALSE),1)</f>
        <v>1</v>
      </c>
      <c r="I222">
        <f>VLOOKUP(A222,QUIK!$D:$AL,5,FALSE)</f>
        <v>1</v>
      </c>
      <c r="J222">
        <f>VLOOKUP(A222,QUIK!$D:$AL,9,FALSE)</f>
        <v>542.9</v>
      </c>
      <c r="K222" t="str">
        <f>VLOOKUP(A222,QUIK!$D:$AL,28,FALSE)</f>
        <v>SUR</v>
      </c>
      <c r="L222">
        <f>VLOOKUP(A222,QUIK!$D:$AL,31,FALSE)</f>
        <v>9</v>
      </c>
      <c r="M222" t="str">
        <f>VLOOKUP(A222,QUIK!$D:$AL,30,FALSE)</f>
        <v/>
      </c>
      <c r="N222">
        <f>VLOOKUP(A222,QUIK!$D:$AL,4,FALSE)</f>
        <v>3</v>
      </c>
      <c r="O222" s="113">
        <f t="shared" ref="O222:O229" si="28">IFERROR(VLOOKUP(A222,$A$7:$F$34,5,FALSE)/$E$3,"")</f>
        <v>2.253979829745225E-2</v>
      </c>
      <c r="P222" s="90">
        <f t="shared" si="20"/>
        <v>2.7460201702547753E-2</v>
      </c>
      <c r="Q222" s="113">
        <f t="shared" si="21"/>
        <v>5.6349495743630623E-4</v>
      </c>
      <c r="R222" s="145">
        <f t="shared" si="22"/>
        <v>26456.569499999998</v>
      </c>
      <c r="S222" s="148">
        <f t="shared" si="23"/>
        <v>48</v>
      </c>
      <c r="T222" s="148">
        <f t="shared" si="24"/>
        <v>26059.199999999997</v>
      </c>
      <c r="U222" s="148">
        <f t="shared" si="25"/>
        <v>88</v>
      </c>
      <c r="V222" s="148">
        <f t="shared" si="26"/>
        <v>47775.199999999997</v>
      </c>
      <c r="W222" s="113">
        <f t="shared" si="27"/>
        <v>4.9587556254394941E-2</v>
      </c>
    </row>
    <row r="223" spans="1:23">
      <c r="A223" s="122" t="s">
        <v>114</v>
      </c>
      <c r="B223" s="122" t="s">
        <v>115</v>
      </c>
      <c r="C223" s="123" t="s">
        <v>12257</v>
      </c>
      <c r="D223" s="124">
        <v>0.05</v>
      </c>
      <c r="E223" s="150" t="str">
        <f>VLOOKUP(A223,QUIK!D:AL,3,FALSE)</f>
        <v>ао</v>
      </c>
      <c r="F223" s="150" t="str">
        <f>IF(ISERROR(VLOOKUP(E223,Лист12!$A$23:$A$27,1,FALSE))=FALSE,"Обл",IF(OR(E223="ао",E223="ап",E223="др"),"Акции","Прочее"))</f>
        <v>Акции</v>
      </c>
      <c r="G223" s="149">
        <f>IFERROR(VLOOKUP(A223,QUIK_купитьпродать!B:G,6,FALSE),)</f>
        <v>9</v>
      </c>
      <c r="H223" s="149">
        <f>IF(F223="Обл",VLOOKUP(A223,QUIK!C:J,8,FALSE),1)</f>
        <v>1</v>
      </c>
      <c r="I223">
        <f>VLOOKUP(A223,QUIK!$D:$AL,5,FALSE)</f>
        <v>1</v>
      </c>
      <c r="J223">
        <f>VLOOKUP(A223,QUIK!$D:$AL,9,FALSE)</f>
        <v>2348</v>
      </c>
      <c r="K223" t="str">
        <f>VLOOKUP(A223,QUIK!$D:$AL,28,FALSE)</f>
        <v>SUR</v>
      </c>
      <c r="L223">
        <f>VLOOKUP(A223,QUIK!$D:$AL,31,FALSE)</f>
        <v>-100</v>
      </c>
      <c r="M223" t="str">
        <f>VLOOKUP(A223,QUIK!$D:$AL,30,FALSE)</f>
        <v/>
      </c>
      <c r="N223">
        <f>VLOOKUP(A223,QUIK!$D:$AL,4,FALSE)</f>
        <v>1</v>
      </c>
      <c r="O223" s="113">
        <f t="shared" si="28"/>
        <v>2.1933644208038356E-2</v>
      </c>
      <c r="P223" s="90">
        <f t="shared" si="20"/>
        <v>2.8066355791961647E-2</v>
      </c>
      <c r="Q223" s="113">
        <f t="shared" si="21"/>
        <v>2.4370715786709283E-3</v>
      </c>
      <c r="R223" s="145">
        <f t="shared" si="22"/>
        <v>27040.569499999998</v>
      </c>
      <c r="S223" s="148">
        <f t="shared" si="23"/>
        <v>11</v>
      </c>
      <c r="T223" s="148">
        <f t="shared" si="24"/>
        <v>25828</v>
      </c>
      <c r="U223" s="148">
        <f t="shared" si="25"/>
        <v>20</v>
      </c>
      <c r="V223" s="148">
        <f t="shared" si="26"/>
        <v>46960</v>
      </c>
      <c r="W223" s="113">
        <f t="shared" si="27"/>
        <v>4.8741431573418564E-2</v>
      </c>
    </row>
    <row r="224" spans="1:23">
      <c r="A224" s="122" t="s">
        <v>120</v>
      </c>
      <c r="B224" s="122" t="s">
        <v>121</v>
      </c>
      <c r="C224" s="123" t="s">
        <v>12257</v>
      </c>
      <c r="D224" s="124">
        <v>0.05</v>
      </c>
      <c r="E224" s="150" t="str">
        <f>VLOOKUP(A224,QUIK!D:AL,3,FALSE)</f>
        <v>ао</v>
      </c>
      <c r="F224" s="150" t="str">
        <f>IF(ISERROR(VLOOKUP(E224,Лист12!$A$23:$A$27,1,FALSE))=FALSE,"Обл",IF(OR(E224="ао",E224="ап",E224="др"),"Акции","Прочее"))</f>
        <v>Акции</v>
      </c>
      <c r="G224" s="149">
        <f>IFERROR(VLOOKUP(A224,QUIK_купитьпродать!B:G,6,FALSE),)</f>
        <v>140</v>
      </c>
      <c r="H224" s="149">
        <f>IF(F224="Обл",VLOOKUP(A224,QUIK!C:J,8,FALSE),1)</f>
        <v>1</v>
      </c>
      <c r="I224">
        <f>VLOOKUP(A224,QUIK!$D:$AL,5,FALSE)</f>
        <v>10</v>
      </c>
      <c r="J224">
        <f>VLOOKUP(A224,QUIK!$D:$AL,9,FALSE)</f>
        <v>183.56</v>
      </c>
      <c r="K224" t="str">
        <f>VLOOKUP(A224,QUIK!$D:$AL,28,FALSE)</f>
        <v>SUR</v>
      </c>
      <c r="L224">
        <f>VLOOKUP(A224,QUIK!$D:$AL,31,FALSE)</f>
        <v>-100</v>
      </c>
      <c r="M224" t="str">
        <f>VLOOKUP(A224,QUIK!$D:$AL,30,FALSE)</f>
        <v/>
      </c>
      <c r="N224">
        <f>VLOOKUP(A224,QUIK!$D:$AL,4,FALSE)</f>
        <v>1</v>
      </c>
      <c r="O224" s="113">
        <f t="shared" si="28"/>
        <v>2.667327097841439E-2</v>
      </c>
      <c r="P224" s="90">
        <f t="shared" si="20"/>
        <v>2.3326729021585613E-2</v>
      </c>
      <c r="Q224" s="113">
        <f t="shared" si="21"/>
        <v>1.9052336413153135E-3</v>
      </c>
      <c r="R224" s="145">
        <f t="shared" si="22"/>
        <v>22474.169499999996</v>
      </c>
      <c r="S224" s="148">
        <f t="shared" si="23"/>
        <v>12</v>
      </c>
      <c r="T224" s="148">
        <f t="shared" si="24"/>
        <v>22027.200000000001</v>
      </c>
      <c r="U224" s="148">
        <f t="shared" si="25"/>
        <v>260</v>
      </c>
      <c r="V224" s="148">
        <f t="shared" si="26"/>
        <v>47725.599999999999</v>
      </c>
      <c r="W224" s="113">
        <f t="shared" si="27"/>
        <v>4.9536074674198148E-2</v>
      </c>
    </row>
    <row r="225" spans="1:23">
      <c r="A225" s="122" t="s">
        <v>134</v>
      </c>
      <c r="B225" s="122" t="s">
        <v>135</v>
      </c>
      <c r="C225" s="123" t="s">
        <v>12257</v>
      </c>
      <c r="D225" s="130">
        <v>0.1</v>
      </c>
      <c r="E225" s="150" t="str">
        <f>VLOOKUP(A225,QUIK!D:AL,3,FALSE)</f>
        <v>ао</v>
      </c>
      <c r="F225" s="150" t="str">
        <f>IF(ISERROR(VLOOKUP(E225,Лист12!$A$23:$A$27,1,FALSE))=FALSE,"Обл",IF(OR(E225="ао",E225="ап",E225="др"),"Акции","Прочее"))</f>
        <v>Акции</v>
      </c>
      <c r="G225" s="149">
        <f>IFERROR(VLOOKUP(A225,QUIK_купитьпродать!B:G,6,FALSE),)</f>
        <v>240</v>
      </c>
      <c r="H225" s="149">
        <f>IF(F225="Обл",VLOOKUP(A225,QUIK!C:J,8,FALSE),1)</f>
        <v>1</v>
      </c>
      <c r="I225">
        <f>VLOOKUP(A225,QUIK!$D:$AL,5,FALSE)</f>
        <v>10</v>
      </c>
      <c r="J225">
        <f>VLOOKUP(A225,QUIK!$D:$AL,9,FALSE)</f>
        <v>306.87</v>
      </c>
      <c r="K225" t="str">
        <f>VLOOKUP(A225,QUIK!$D:$AL,28,FALSE)</f>
        <v>SUR</v>
      </c>
      <c r="L225">
        <f>VLOOKUP(A225,QUIK!$D:$AL,31,FALSE)</f>
        <v>-100</v>
      </c>
      <c r="M225" t="str">
        <f>VLOOKUP(A225,QUIK!$D:$AL,30,FALSE)</f>
        <v/>
      </c>
      <c r="N225">
        <f>VLOOKUP(A225,QUIK!$D:$AL,4,FALSE)</f>
        <v>1</v>
      </c>
      <c r="O225" s="113">
        <f t="shared" si="28"/>
        <v>7.6442673459633501E-2</v>
      </c>
      <c r="P225" s="90">
        <f t="shared" si="20"/>
        <v>2.3557326540366505E-2</v>
      </c>
      <c r="Q225" s="113">
        <f t="shared" si="21"/>
        <v>3.185111394151396E-3</v>
      </c>
      <c r="R225" s="145">
        <f t="shared" si="22"/>
        <v>22696.338999999996</v>
      </c>
      <c r="S225" s="148">
        <f t="shared" si="23"/>
        <v>7</v>
      </c>
      <c r="T225" s="148">
        <f t="shared" si="24"/>
        <v>21480.9</v>
      </c>
      <c r="U225" s="148">
        <f t="shared" si="25"/>
        <v>310</v>
      </c>
      <c r="V225" s="148">
        <f t="shared" si="26"/>
        <v>95129.7</v>
      </c>
      <c r="W225" s="113">
        <f t="shared" si="27"/>
        <v>9.8738453218693276E-2</v>
      </c>
    </row>
    <row r="226" spans="1:23">
      <c r="A226" s="122" t="s">
        <v>116</v>
      </c>
      <c r="B226" s="122" t="s">
        <v>117</v>
      </c>
      <c r="C226" s="123" t="s">
        <v>12257</v>
      </c>
      <c r="D226" s="128">
        <v>0.03</v>
      </c>
      <c r="E226" s="150" t="str">
        <f>VLOOKUP(A226,QUIK!D:AL,3,FALSE)</f>
        <v>ап</v>
      </c>
      <c r="F226" s="150" t="str">
        <f>IF(ISERROR(VLOOKUP(E226,Лист12!$A$23:$A$27,1,FALSE))=FALSE,"Обл",IF(OR(E226="ао",E226="ап",E226="др"),"Акции","Прочее"))</f>
        <v>Акции</v>
      </c>
      <c r="G226" s="149">
        <f>IFERROR(VLOOKUP(A226,QUIK_купитьпродать!B:G,6,FALSE),)</f>
        <v>11</v>
      </c>
      <c r="H226" s="149">
        <f>IF(F226="Обл",VLOOKUP(A226,QUIK!C:J,8,FALSE),1)</f>
        <v>1</v>
      </c>
      <c r="I226">
        <f>VLOOKUP(A226,QUIK!$D:$AL,5,FALSE)</f>
        <v>1</v>
      </c>
      <c r="J226">
        <f>VLOOKUP(A226,QUIK!$D:$AL,9,FALSE)</f>
        <v>944.5</v>
      </c>
      <c r="K226" t="str">
        <f>VLOOKUP(A226,QUIK!$D:$AL,28,FALSE)</f>
        <v>SUR</v>
      </c>
      <c r="L226">
        <f>VLOOKUP(A226,QUIK!$D:$AL,31,FALSE)</f>
        <v>-100</v>
      </c>
      <c r="M226" t="str">
        <f>VLOOKUP(A226,QUIK!$D:$AL,30,FALSE)</f>
        <v/>
      </c>
      <c r="N226">
        <f>VLOOKUP(A226,QUIK!$D:$AL,4,FALSE)</f>
        <v>1</v>
      </c>
      <c r="O226" s="113">
        <f t="shared" si="28"/>
        <v>1.0783626561585012E-2</v>
      </c>
      <c r="P226" s="90">
        <f t="shared" si="20"/>
        <v>1.9216373438414987E-2</v>
      </c>
      <c r="Q226" s="113">
        <f t="shared" si="21"/>
        <v>9.8032968741681927E-4</v>
      </c>
      <c r="R226" s="145">
        <f t="shared" si="22"/>
        <v>18514.041699999998</v>
      </c>
      <c r="S226" s="148">
        <f t="shared" si="23"/>
        <v>19</v>
      </c>
      <c r="T226" s="148">
        <f t="shared" si="24"/>
        <v>17945.5</v>
      </c>
      <c r="U226" s="148">
        <f t="shared" si="25"/>
        <v>30</v>
      </c>
      <c r="V226" s="148">
        <f t="shared" si="26"/>
        <v>28335</v>
      </c>
      <c r="W226" s="113">
        <f t="shared" si="27"/>
        <v>2.940989062250458E-2</v>
      </c>
    </row>
    <row r="227" spans="1:23">
      <c r="A227" s="122" t="s">
        <v>124</v>
      </c>
      <c r="B227" s="122" t="s">
        <v>125</v>
      </c>
      <c r="C227" s="123" t="s">
        <v>12257</v>
      </c>
      <c r="D227" s="124">
        <v>0.05</v>
      </c>
      <c r="E227" s="150" t="str">
        <f>VLOOKUP(A227,QUIK!D:AL,3,FALSE)</f>
        <v>ао</v>
      </c>
      <c r="F227" s="150" t="str">
        <f>IF(ISERROR(VLOOKUP(E227,Лист12!$A$23:$A$27,1,FALSE))=FALSE,"Обл",IF(OR(E227="ао",E227="ап",E227="др"),"Акции","Прочее"))</f>
        <v>Акции</v>
      </c>
      <c r="G227" s="149">
        <f>IFERROR(VLOOKUP(A227,QUIK_купитьпродать!B:G,6,FALSE),)</f>
        <v>7</v>
      </c>
      <c r="H227" s="149">
        <f>IF(F227="Обл",VLOOKUP(A227,QUIK!C:J,8,FALSE),1)</f>
        <v>1</v>
      </c>
      <c r="I227">
        <f>VLOOKUP(A227,QUIK!$D:$AL,5,FALSE)</f>
        <v>1</v>
      </c>
      <c r="J227">
        <f>VLOOKUP(A227,QUIK!$D:$AL,9,FALSE)</f>
        <v>4200</v>
      </c>
      <c r="K227" t="str">
        <f>VLOOKUP(A227,QUIK!$D:$AL,28,FALSE)</f>
        <v>SUR</v>
      </c>
      <c r="L227">
        <f>VLOOKUP(A227,QUIK!$D:$AL,31,FALSE)</f>
        <v>-100</v>
      </c>
      <c r="M227" t="str">
        <f>VLOOKUP(A227,QUIK!$D:$AL,30,FALSE)</f>
        <v/>
      </c>
      <c r="N227">
        <f>VLOOKUP(A227,QUIK!$D:$AL,4,FALSE)</f>
        <v>1</v>
      </c>
      <c r="O227" s="113">
        <f t="shared" si="28"/>
        <v>3.0515291487617245E-2</v>
      </c>
      <c r="P227" s="90">
        <f t="shared" si="20"/>
        <v>1.9484708512382758E-2</v>
      </c>
      <c r="Q227" s="113">
        <f t="shared" si="21"/>
        <v>4.3593273553738923E-3</v>
      </c>
      <c r="R227" s="145">
        <f t="shared" si="22"/>
        <v>18772.569499999998</v>
      </c>
      <c r="S227" s="148">
        <f t="shared" si="23"/>
        <v>4</v>
      </c>
      <c r="T227" s="148">
        <f t="shared" si="24"/>
        <v>16800</v>
      </c>
      <c r="U227" s="148">
        <f t="shared" si="25"/>
        <v>11</v>
      </c>
      <c r="V227" s="148">
        <f t="shared" si="26"/>
        <v>46200</v>
      </c>
      <c r="W227" s="113">
        <f t="shared" si="27"/>
        <v>4.7952600909112818E-2</v>
      </c>
    </row>
    <row r="228" spans="1:23">
      <c r="A228" s="122" t="s">
        <v>132</v>
      </c>
      <c r="B228" s="122" t="s">
        <v>133</v>
      </c>
      <c r="C228" s="123" t="s">
        <v>12257</v>
      </c>
      <c r="D228" s="128">
        <v>0.03</v>
      </c>
      <c r="E228" s="150" t="str">
        <f>VLOOKUP(A228,QUIK!D:AL,3,FALSE)</f>
        <v>ао</v>
      </c>
      <c r="F228" s="150" t="str">
        <f>IF(ISERROR(VLOOKUP(E228,Лист12!$A$23:$A$27,1,FALSE))=FALSE,"Обл",IF(OR(E228="ао",E228="ап",E228="др"),"Акции","Прочее"))</f>
        <v>Акции</v>
      </c>
      <c r="G228" s="149">
        <f>IFERROR(VLOOKUP(A228,QUIK_купитьпродать!B:G,6,FALSE),)</f>
        <v>25</v>
      </c>
      <c r="H228" s="149">
        <f>IF(F228="Обл",VLOOKUP(A228,QUIK!C:J,8,FALSE),1)</f>
        <v>1</v>
      </c>
      <c r="I228">
        <f>VLOOKUP(A228,QUIK!$D:$AL,5,FALSE)</f>
        <v>1</v>
      </c>
      <c r="J228">
        <f>VLOOKUP(A228,QUIK!$D:$AL,9,FALSE)</f>
        <v>845.2</v>
      </c>
      <c r="K228" t="str">
        <f>VLOOKUP(A228,QUIK!$D:$AL,28,FALSE)</f>
        <v>SUR</v>
      </c>
      <c r="L228">
        <f>VLOOKUP(A228,QUIK!$D:$AL,31,FALSE)</f>
        <v>-100</v>
      </c>
      <c r="M228" t="str">
        <f>VLOOKUP(A228,QUIK!$D:$AL,30,FALSE)</f>
        <v/>
      </c>
      <c r="N228">
        <f>VLOOKUP(A228,QUIK!$D:$AL,4,FALSE)</f>
        <v>1</v>
      </c>
      <c r="O228" s="113">
        <f t="shared" si="28"/>
        <v>2.193156833786913E-2</v>
      </c>
      <c r="P228" s="90">
        <f t="shared" si="20"/>
        <v>8.0684316621308684E-3</v>
      </c>
      <c r="Q228" s="113">
        <f t="shared" si="21"/>
        <v>8.7726273351476517E-4</v>
      </c>
      <c r="R228" s="145">
        <f t="shared" si="22"/>
        <v>7773.5416999999943</v>
      </c>
      <c r="S228" s="148">
        <f t="shared" si="23"/>
        <v>9</v>
      </c>
      <c r="T228" s="148">
        <f t="shared" si="24"/>
        <v>7606.8</v>
      </c>
      <c r="U228" s="148">
        <f t="shared" si="25"/>
        <v>34</v>
      </c>
      <c r="V228" s="148">
        <f t="shared" si="26"/>
        <v>28736.800000000003</v>
      </c>
      <c r="W228" s="113">
        <f t="shared" si="27"/>
        <v>2.9826932939502018E-2</v>
      </c>
    </row>
    <row r="229" spans="1:23">
      <c r="A229" s="122" t="s">
        <v>101</v>
      </c>
      <c r="B229" s="122" t="s">
        <v>102</v>
      </c>
      <c r="C229" s="123" t="s">
        <v>12257</v>
      </c>
      <c r="D229" s="124">
        <v>0.05</v>
      </c>
      <c r="E229" s="150" t="str">
        <f>VLOOKUP(A229,QUIK!D:AL,3,FALSE)</f>
        <v>ао</v>
      </c>
      <c r="F229" s="150" t="str">
        <f>IF(ISERROR(VLOOKUP(E229,Лист12!$A$23:$A$27,1,FALSE))=FALSE,"Обл",IF(OR(E229="ао",E229="ап",E229="др"),"Акции","Прочее"))</f>
        <v>Акции</v>
      </c>
      <c r="G229" s="149">
        <f>IFERROR(VLOOKUP(A229,QUIK_купитьпродать!B:G,6,FALSE),)</f>
        <v>8</v>
      </c>
      <c r="H229" s="149">
        <f>IF(F229="Обл",VLOOKUP(A229,QUIK!C:J,8,FALSE),1)</f>
        <v>1</v>
      </c>
      <c r="I229">
        <f>VLOOKUP(A229,QUIK!$D:$AL,5,FALSE)</f>
        <v>1</v>
      </c>
      <c r="J229">
        <f>VLOOKUP(A229,QUIK!$D:$AL,9,FALSE)</f>
        <v>6748.5</v>
      </c>
      <c r="K229" t="str">
        <f>VLOOKUP(A229,QUIK!$D:$AL,28,FALSE)</f>
        <v>SUR</v>
      </c>
      <c r="L229">
        <f>VLOOKUP(A229,QUIK!$D:$AL,31,FALSE)</f>
        <v>-100</v>
      </c>
      <c r="M229" t="str">
        <f>VLOOKUP(A229,QUIK!$D:$AL,30,FALSE)</f>
        <v/>
      </c>
      <c r="N229">
        <f>VLOOKUP(A229,QUIK!$D:$AL,4,FALSE)</f>
        <v>1</v>
      </c>
      <c r="O229" s="113">
        <f t="shared" si="28"/>
        <v>5.6036039348077549E-2</v>
      </c>
      <c r="P229" s="90">
        <f t="shared" si="20"/>
        <v>-6.0360393480775459E-3</v>
      </c>
      <c r="Q229" s="113">
        <f t="shared" si="21"/>
        <v>7.0045049185096936E-3</v>
      </c>
      <c r="R229" s="145">
        <f t="shared" si="22"/>
        <v>-5815.4305000000049</v>
      </c>
      <c r="S229" s="148">
        <f t="shared" si="23"/>
        <v>0</v>
      </c>
      <c r="T229" s="148">
        <f t="shared" si="24"/>
        <v>0</v>
      </c>
      <c r="U229" s="148">
        <f t="shared" si="25"/>
        <v>8</v>
      </c>
      <c r="V229" s="148">
        <f t="shared" si="26"/>
        <v>53988</v>
      </c>
      <c r="W229" s="113">
        <f t="shared" si="27"/>
        <v>5.6036039348077549E-2</v>
      </c>
    </row>
    <row r="230" spans="1:23">
      <c r="A230" s="3"/>
      <c r="B230" s="3"/>
      <c r="C230" s="3"/>
      <c r="D230" s="3"/>
    </row>
    <row r="232" spans="1:23">
      <c r="A232" t="s">
        <v>12789</v>
      </c>
    </row>
    <row r="234" spans="1:23" ht="21">
      <c r="A234" s="166" t="s">
        <v>12784</v>
      </c>
    </row>
    <row r="235" spans="1:23">
      <c r="A235" t="s">
        <v>12785</v>
      </c>
    </row>
    <row r="236" spans="1:23">
      <c r="A236" t="s">
        <v>12786</v>
      </c>
    </row>
    <row r="237" spans="1:23">
      <c r="A237" t="s">
        <v>12787</v>
      </c>
    </row>
  </sheetData>
  <sortState xmlns:xlrd2="http://schemas.microsoft.com/office/spreadsheetml/2017/richdata2" ref="A214:W230">
    <sortCondition descending="1" ref="T214:T230"/>
  </sortState>
  <conditionalFormatting sqref="F7:F3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{1AA87584-E101-4C9F-9BA7-1FC631B81379}</x14:id>
        </ext>
      </extLst>
    </cfRule>
  </conditionalFormatting>
  <conditionalFormatting sqref="F3">
    <cfRule type="containsText" dxfId="9" priority="12" operator="containsText" text="не">
      <formula>NOT(ISERROR(SEARCH("не",F3)))</formula>
    </cfRule>
    <cfRule type="cellIs" dxfId="8" priority="13" operator="equal">
      <formula>"ОК"</formula>
    </cfRule>
  </conditionalFormatting>
  <conditionalFormatting sqref="C148">
    <cfRule type="containsText" dxfId="7" priority="10" operator="containsText" text="достаточно">
      <formula>NOT(ISERROR(SEARCH("достаточно",C148)))</formula>
    </cfRule>
    <cfRule type="containsText" dxfId="6" priority="11" operator="containsText" text="НЕ">
      <formula>NOT(ISERROR(SEARCH("НЕ",C148)))</formula>
    </cfRule>
  </conditionalFormatting>
  <conditionalFormatting sqref="C144">
    <cfRule type="containsText" dxfId="5" priority="8" operator="containsText" text="достаточно">
      <formula>NOT(ISERROR(SEARCH("достаточно",C144)))</formula>
    </cfRule>
    <cfRule type="containsText" dxfId="4" priority="9" operator="containsText" text="НЕ">
      <formula>NOT(ISERROR(SEARCH("НЕ",C144)))</formula>
    </cfRule>
  </conditionalFormatting>
  <conditionalFormatting sqref="C152">
    <cfRule type="containsText" dxfId="3" priority="6" operator="containsText" text="достаточно">
      <formula>NOT(ISERROR(SEARCH("достаточно",C152)))</formula>
    </cfRule>
    <cfRule type="containsText" dxfId="2" priority="7" operator="containsText" text="НЕ">
      <formula>NOT(ISERROR(SEARCH("НЕ",C152)))</formula>
    </cfRule>
  </conditionalFormatting>
  <conditionalFormatting sqref="C201">
    <cfRule type="containsText" dxfId="1" priority="2" operator="containsText" text="достаточно">
      <formula>NOT(ISERROR(SEARCH("достаточно",C201)))</formula>
    </cfRule>
    <cfRule type="containsText" dxfId="0" priority="3" operator="containsText" text="НЕ">
      <formula>NOT(ISERROR(SEARCH("НЕ",C201)))</formula>
    </cfRule>
  </conditionalFormatting>
  <conditionalFormatting sqref="T213:T22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{B911E6CC-D529-42F7-AFC6-36F63E7DCED0}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A87584-E101-4C9F-9BA7-1FC631B813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F7:F34</xm:sqref>
        </x14:conditionalFormatting>
        <x14:conditionalFormatting xmlns:xm="http://schemas.microsoft.com/office/excel/2006/main">
          <x14:cfRule type="dataBar" id="{B911E6CC-D529-42F7-AFC6-36F63E7DC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T213:T229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C2330-B4DD-49A1-A501-345C4F2C78D6}">
  <sheetPr codeName="Лист6">
    <tabColor theme="7" tint="0.59999389629810485"/>
  </sheetPr>
  <dimension ref="A1:AC195"/>
  <sheetViews>
    <sheetView zoomScale="85" zoomScaleNormal="85" workbookViewId="0">
      <selection activeCell="D20" sqref="D20"/>
    </sheetView>
  </sheetViews>
  <sheetFormatPr defaultRowHeight="15"/>
  <cols>
    <col min="1" max="1" width="32.140625" bestFit="1" customWidth="1"/>
    <col min="2" max="2" width="42.42578125" customWidth="1"/>
    <col min="3" max="3" width="13.42578125" customWidth="1"/>
    <col min="4" max="4" width="14.7109375" customWidth="1"/>
    <col min="5" max="5" width="39.5703125" customWidth="1"/>
    <col min="6" max="6" width="26.85546875" customWidth="1"/>
    <col min="7" max="7" width="20.28515625" customWidth="1"/>
    <col min="8" max="8" width="13.28515625" customWidth="1"/>
    <col min="9" max="9" width="10.42578125" customWidth="1"/>
    <col min="10" max="10" width="20.5703125" customWidth="1"/>
  </cols>
  <sheetData>
    <row r="1" spans="1:7">
      <c r="A1" t="s">
        <v>12885</v>
      </c>
    </row>
    <row r="2" spans="1:7">
      <c r="B2" s="211" t="s">
        <v>12911</v>
      </c>
    </row>
    <row r="3" spans="1:7">
      <c r="A3" s="224" t="s">
        <v>12886</v>
      </c>
      <c r="B3" s="224" t="s">
        <v>12900</v>
      </c>
      <c r="C3" s="224" t="s">
        <v>12894</v>
      </c>
      <c r="D3" s="224" t="s">
        <v>12896</v>
      </c>
      <c r="E3" s="224" t="s">
        <v>12913</v>
      </c>
      <c r="F3" s="224" t="s">
        <v>12897</v>
      </c>
    </row>
    <row r="4" spans="1:7">
      <c r="A4" s="3" t="s">
        <v>89</v>
      </c>
      <c r="B4" s="3" t="s">
        <v>12901</v>
      </c>
      <c r="C4" s="208" t="s">
        <v>12888</v>
      </c>
      <c r="D4" s="3" t="s">
        <v>12895</v>
      </c>
      <c r="E4" s="3" t="s">
        <v>12881</v>
      </c>
      <c r="F4" s="3"/>
    </row>
    <row r="5" spans="1:7">
      <c r="A5" s="3" t="s">
        <v>90</v>
      </c>
      <c r="B5" s="3" t="s">
        <v>12902</v>
      </c>
      <c r="C5" s="208" t="s">
        <v>12893</v>
      </c>
      <c r="D5" s="3" t="s">
        <v>12895</v>
      </c>
      <c r="E5" s="3" t="s">
        <v>12881</v>
      </c>
      <c r="F5" s="3"/>
    </row>
    <row r="6" spans="1:7">
      <c r="A6" s="3" t="s">
        <v>12790</v>
      </c>
      <c r="B6" s="3" t="s">
        <v>12903</v>
      </c>
      <c r="C6" s="208" t="s">
        <v>12889</v>
      </c>
      <c r="D6" s="3" t="s">
        <v>12895</v>
      </c>
      <c r="E6" s="3" t="s">
        <v>98</v>
      </c>
      <c r="F6" s="3"/>
    </row>
    <row r="7" spans="1:7">
      <c r="A7" s="3" t="s">
        <v>12815</v>
      </c>
      <c r="B7" s="3" t="s">
        <v>12904</v>
      </c>
      <c r="C7" s="208" t="s">
        <v>12890</v>
      </c>
      <c r="D7" s="3" t="s">
        <v>12895</v>
      </c>
      <c r="E7" s="3" t="s">
        <v>98</v>
      </c>
      <c r="F7" s="3"/>
    </row>
    <row r="8" spans="1:7">
      <c r="A8" s="3" t="s">
        <v>87</v>
      </c>
      <c r="B8" s="3" t="s">
        <v>12905</v>
      </c>
      <c r="C8" s="208" t="s">
        <v>12891</v>
      </c>
      <c r="D8" s="3" t="s">
        <v>12807</v>
      </c>
      <c r="E8" s="3" t="s">
        <v>12881</v>
      </c>
      <c r="F8" s="3"/>
    </row>
    <row r="9" spans="1:7">
      <c r="A9" s="3" t="s">
        <v>88</v>
      </c>
      <c r="B9" s="3" t="s">
        <v>12906</v>
      </c>
      <c r="C9" s="208" t="s">
        <v>12892</v>
      </c>
      <c r="D9" s="3" t="s">
        <v>12807</v>
      </c>
      <c r="E9" s="3" t="s">
        <v>12881</v>
      </c>
      <c r="F9" s="3"/>
    </row>
    <row r="10" spans="1:7">
      <c r="A10" s="3" t="s">
        <v>12938</v>
      </c>
      <c r="B10" s="3" t="s">
        <v>12937</v>
      </c>
      <c r="C10" s="208" t="s">
        <v>12940</v>
      </c>
      <c r="D10" s="3" t="s">
        <v>12807</v>
      </c>
      <c r="E10" s="3" t="s">
        <v>98</v>
      </c>
      <c r="F10" s="3"/>
    </row>
    <row r="11" spans="1:7">
      <c r="A11" s="3" t="s">
        <v>12939</v>
      </c>
      <c r="B11" s="3" t="s">
        <v>12936</v>
      </c>
      <c r="C11" s="208" t="s">
        <v>12941</v>
      </c>
      <c r="D11" s="3" t="s">
        <v>12807</v>
      </c>
      <c r="E11" s="3" t="s">
        <v>98</v>
      </c>
      <c r="F11" s="3"/>
    </row>
    <row r="12" spans="1:7" ht="15.75">
      <c r="A12" s="226" t="s">
        <v>12898</v>
      </c>
      <c r="B12" s="227" t="s">
        <v>12899</v>
      </c>
      <c r="D12" s="211" t="s">
        <v>12907</v>
      </c>
    </row>
    <row r="14" spans="1:7">
      <c r="B14" t="s">
        <v>12908</v>
      </c>
    </row>
    <row r="15" spans="1:7">
      <c r="B15" s="225" t="s">
        <v>12909</v>
      </c>
      <c r="C15" s="225" t="s">
        <v>12910</v>
      </c>
      <c r="D15" s="225" t="s">
        <v>12896</v>
      </c>
      <c r="E15" s="225" t="s">
        <v>12897</v>
      </c>
    </row>
    <row r="16" spans="1:7">
      <c r="B16" s="3"/>
      <c r="C16" s="3"/>
      <c r="D16" s="3"/>
      <c r="E16" s="3"/>
      <c r="G16" s="211" t="s">
        <v>12912</v>
      </c>
    </row>
    <row r="23" spans="1:29" hidden="1"/>
    <row r="24" spans="1:29" hidden="1"/>
    <row r="25" spans="1:29" hidden="1"/>
    <row r="26" spans="1:29" hidden="1"/>
    <row r="27" spans="1:29" hidden="1">
      <c r="C27" s="333" t="s">
        <v>2125</v>
      </c>
      <c r="D27" s="333"/>
      <c r="E27" s="333"/>
      <c r="F27" s="333"/>
      <c r="G27" s="333"/>
      <c r="H27" s="332" t="s">
        <v>12807</v>
      </c>
      <c r="I27" s="332"/>
      <c r="J27" s="332"/>
      <c r="AC27" t="s">
        <v>91</v>
      </c>
    </row>
    <row r="28" spans="1:29" hidden="1">
      <c r="C28" t="s">
        <v>12791</v>
      </c>
      <c r="D28" t="s">
        <v>12792</v>
      </c>
      <c r="E28" t="s">
        <v>12808</v>
      </c>
      <c r="F28" t="s">
        <v>12813</v>
      </c>
      <c r="G28" t="s">
        <v>12814</v>
      </c>
      <c r="H28" t="s">
        <v>12791</v>
      </c>
      <c r="I28" t="s">
        <v>12792</v>
      </c>
      <c r="J28" t="s">
        <v>12808</v>
      </c>
      <c r="AC28" t="s">
        <v>89</v>
      </c>
    </row>
    <row r="29" spans="1:29" hidden="1">
      <c r="A29" t="s">
        <v>12799</v>
      </c>
      <c r="B29" t="s">
        <v>12800</v>
      </c>
      <c r="C29" s="181">
        <v>1</v>
      </c>
      <c r="D29" s="181">
        <v>0</v>
      </c>
      <c r="E29" t="s">
        <v>12804</v>
      </c>
      <c r="F29" t="s">
        <v>90</v>
      </c>
      <c r="H29" s="181">
        <v>1</v>
      </c>
      <c r="I29" s="181">
        <v>0</v>
      </c>
      <c r="J29" t="s">
        <v>88</v>
      </c>
      <c r="AC29" t="s">
        <v>90</v>
      </c>
    </row>
    <row r="30" spans="1:29" hidden="1">
      <c r="A30" t="s">
        <v>12798</v>
      </c>
      <c r="B30" t="s">
        <v>12805</v>
      </c>
      <c r="C30" s="181">
        <v>1</v>
      </c>
      <c r="D30" s="181">
        <v>0</v>
      </c>
      <c r="E30" t="s">
        <v>12803</v>
      </c>
      <c r="F30" t="s">
        <v>89</v>
      </c>
      <c r="H30" s="181">
        <v>1</v>
      </c>
      <c r="I30" s="181">
        <v>0</v>
      </c>
      <c r="J30" t="s">
        <v>87</v>
      </c>
      <c r="AC30" t="s">
        <v>12790</v>
      </c>
    </row>
    <row r="31" spans="1:29" hidden="1">
      <c r="A31" t="s">
        <v>12797</v>
      </c>
      <c r="B31" t="s">
        <v>12806</v>
      </c>
      <c r="C31" s="181">
        <v>0.75</v>
      </c>
      <c r="D31" s="181">
        <v>0.25</v>
      </c>
      <c r="F31" t="s">
        <v>89</v>
      </c>
      <c r="G31" t="s">
        <v>12790</v>
      </c>
      <c r="H31" s="181">
        <v>0.75</v>
      </c>
      <c r="I31" s="181">
        <v>0.25</v>
      </c>
      <c r="AC31" t="s">
        <v>12815</v>
      </c>
    </row>
    <row r="32" spans="1:29" hidden="1">
      <c r="A32" t="s">
        <v>12795</v>
      </c>
      <c r="B32" t="s">
        <v>12796</v>
      </c>
      <c r="C32" s="181">
        <v>0.5</v>
      </c>
      <c r="D32" s="181">
        <v>0.5</v>
      </c>
      <c r="F32" t="s">
        <v>89</v>
      </c>
      <c r="G32" t="s">
        <v>12790</v>
      </c>
      <c r="H32" s="181">
        <v>0.5</v>
      </c>
      <c r="I32" s="181">
        <v>0.5</v>
      </c>
    </row>
    <row r="33" spans="1:29" hidden="1">
      <c r="A33" t="s">
        <v>12794</v>
      </c>
      <c r="B33" t="s">
        <v>12817</v>
      </c>
      <c r="C33" s="181">
        <v>0</v>
      </c>
      <c r="D33" s="181">
        <v>1</v>
      </c>
      <c r="E33" t="s">
        <v>12802</v>
      </c>
      <c r="G33" t="s">
        <v>12790</v>
      </c>
      <c r="H33" s="181">
        <v>0</v>
      </c>
      <c r="I33" s="181">
        <v>1</v>
      </c>
      <c r="J33" t="s">
        <v>12810</v>
      </c>
    </row>
    <row r="34" spans="1:29" hidden="1">
      <c r="A34" t="s">
        <v>12793</v>
      </c>
      <c r="B34" t="s">
        <v>12816</v>
      </c>
      <c r="C34" s="181">
        <v>0</v>
      </c>
      <c r="D34" s="181">
        <v>1</v>
      </c>
      <c r="E34" t="s">
        <v>12801</v>
      </c>
      <c r="G34" t="s">
        <v>12815</v>
      </c>
      <c r="H34" s="181">
        <v>0</v>
      </c>
      <c r="I34" s="181">
        <v>1</v>
      </c>
      <c r="J34" t="s">
        <v>12809</v>
      </c>
    </row>
    <row r="35" spans="1:29" hidden="1">
      <c r="AC35" t="s">
        <v>87</v>
      </c>
    </row>
    <row r="36" spans="1:29" hidden="1">
      <c r="AC36" t="s">
        <v>88</v>
      </c>
    </row>
    <row r="37" spans="1:29" hidden="1"/>
    <row r="38" spans="1:29" hidden="1"/>
    <row r="39" spans="1:29" hidden="1"/>
    <row r="40" spans="1:29" ht="60" hidden="1">
      <c r="E40" s="202" t="s">
        <v>12846</v>
      </c>
      <c r="F40" s="202" t="s">
        <v>12847</v>
      </c>
    </row>
    <row r="41" spans="1:29" hidden="1">
      <c r="C41" t="s">
        <v>12791</v>
      </c>
      <c r="D41" t="s">
        <v>12792</v>
      </c>
      <c r="E41" s="144" t="s">
        <v>12818</v>
      </c>
      <c r="F41" s="144" t="s">
        <v>12819</v>
      </c>
      <c r="M41" s="144" t="s">
        <v>12818</v>
      </c>
      <c r="N41" s="144" t="s">
        <v>12819</v>
      </c>
    </row>
    <row r="42" spans="1:29" hidden="1">
      <c r="A42" t="s">
        <v>12854</v>
      </c>
      <c r="B42" t="s">
        <v>12853</v>
      </c>
      <c r="C42" s="181">
        <v>1</v>
      </c>
      <c r="D42" s="181">
        <v>0</v>
      </c>
      <c r="E42" s="181">
        <f t="shared" ref="E42:E47" si="0">F42-(F42*20%)</f>
        <v>0.2888</v>
      </c>
      <c r="F42" s="200">
        <f>(F47*1.9)</f>
        <v>0.36099999999999999</v>
      </c>
    </row>
    <row r="43" spans="1:29" hidden="1">
      <c r="A43" t="s">
        <v>12855</v>
      </c>
      <c r="B43" t="s">
        <v>12852</v>
      </c>
      <c r="C43" s="181">
        <v>1</v>
      </c>
      <c r="D43" s="181">
        <v>0</v>
      </c>
      <c r="E43" s="181">
        <f t="shared" si="0"/>
        <v>0.22800000000000004</v>
      </c>
      <c r="F43" s="200">
        <f>(F47*1.5)</f>
        <v>0.28500000000000003</v>
      </c>
      <c r="G43" s="181"/>
      <c r="H43" s="181"/>
    </row>
    <row r="44" spans="1:29" hidden="1">
      <c r="A44" t="s">
        <v>12856</v>
      </c>
      <c r="B44" t="s">
        <v>12851</v>
      </c>
      <c r="C44" s="181">
        <v>0.75</v>
      </c>
      <c r="D44" s="181">
        <v>0.25</v>
      </c>
      <c r="E44" s="181">
        <f t="shared" si="0"/>
        <v>0.21660000000000004</v>
      </c>
      <c r="F44" s="181">
        <f>((F47*1.5)*75%)+(F46*25%)</f>
        <v>0.27075000000000005</v>
      </c>
      <c r="G44" s="181">
        <f>((F47*1.5)*75%)+(F46*25%)</f>
        <v>0.27075000000000005</v>
      </c>
      <c r="M44" s="181">
        <v>0.25</v>
      </c>
      <c r="N44" s="181">
        <v>0.33</v>
      </c>
    </row>
    <row r="45" spans="1:29" hidden="1">
      <c r="A45" t="s">
        <v>12820</v>
      </c>
      <c r="B45" t="s">
        <v>12848</v>
      </c>
      <c r="C45" s="181">
        <v>0.5</v>
      </c>
      <c r="D45" s="181">
        <v>0.5</v>
      </c>
      <c r="E45" s="181">
        <f t="shared" si="0"/>
        <v>0.20519999999999999</v>
      </c>
      <c r="F45" s="181">
        <f>((F47*1.5)*50%)+(F46*50%)</f>
        <v>0.25650000000000001</v>
      </c>
      <c r="G45" s="181">
        <f>((F47*1.5)*50%)+(F46*50%)</f>
        <v>0.25650000000000001</v>
      </c>
      <c r="M45" s="181">
        <v>0.18</v>
      </c>
      <c r="N45" s="181">
        <v>0.25</v>
      </c>
    </row>
    <row r="46" spans="1:29" hidden="1">
      <c r="A46" t="s">
        <v>12857</v>
      </c>
      <c r="B46" t="s">
        <v>12850</v>
      </c>
      <c r="C46" s="181">
        <v>0</v>
      </c>
      <c r="D46" s="181">
        <v>1</v>
      </c>
      <c r="E46" s="181">
        <f t="shared" si="0"/>
        <v>0.18240000000000001</v>
      </c>
      <c r="F46" s="181">
        <f>F47+(F47*20%)</f>
        <v>0.22800000000000001</v>
      </c>
      <c r="M46" s="181">
        <v>0.12</v>
      </c>
      <c r="N46" s="181">
        <v>0.14000000000000001</v>
      </c>
    </row>
    <row r="47" spans="1:29" hidden="1">
      <c r="A47" t="s">
        <v>12858</v>
      </c>
      <c r="B47" t="s">
        <v>12849</v>
      </c>
      <c r="C47" s="181">
        <v>0</v>
      </c>
      <c r="D47" s="181">
        <v>1</v>
      </c>
      <c r="E47" s="181">
        <f t="shared" si="0"/>
        <v>0.152</v>
      </c>
      <c r="F47" s="181">
        <v>0.19</v>
      </c>
      <c r="G47" t="s">
        <v>12845</v>
      </c>
      <c r="H47" s="199" t="s">
        <v>12844</v>
      </c>
      <c r="M47" s="181">
        <v>0.05</v>
      </c>
      <c r="N47" s="181">
        <v>7.0000000000000007E-2</v>
      </c>
    </row>
    <row r="48" spans="1:29" hidden="1">
      <c r="AC48" t="s">
        <v>12811</v>
      </c>
    </row>
    <row r="49" spans="29:29" hidden="1">
      <c r="AC49" s="195" t="s">
        <v>12812</v>
      </c>
    </row>
    <row r="50" spans="29:29" hidden="1"/>
    <row r="51" spans="29:29" hidden="1"/>
    <row r="52" spans="29:29" hidden="1"/>
    <row r="53" spans="29:29" hidden="1"/>
    <row r="54" spans="29:29" hidden="1"/>
    <row r="55" spans="29:29" hidden="1"/>
    <row r="56" spans="29:29" hidden="1"/>
    <row r="57" spans="29:29" hidden="1"/>
    <row r="58" spans="29:29" hidden="1"/>
    <row r="59" spans="29:29" hidden="1"/>
    <row r="60" spans="29:29" hidden="1"/>
    <row r="61" spans="29:29" hidden="1"/>
    <row r="62" spans="29:29" hidden="1"/>
    <row r="63" spans="29:29" hidden="1"/>
    <row r="64" spans="29:29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1:8" hidden="1"/>
    <row r="82" spans="1:8" hidden="1"/>
    <row r="83" spans="1:8" hidden="1">
      <c r="C83" t="s">
        <v>12841</v>
      </c>
      <c r="E83" t="s">
        <v>12842</v>
      </c>
      <c r="F83" t="s">
        <v>12843</v>
      </c>
    </row>
    <row r="84" spans="1:8" ht="15.75" hidden="1">
      <c r="A84" s="196" t="s">
        <v>12821</v>
      </c>
      <c r="B84" s="196" t="s">
        <v>12822</v>
      </c>
      <c r="C84" s="196" t="s">
        <v>12823</v>
      </c>
      <c r="D84" s="196" t="s">
        <v>12824</v>
      </c>
      <c r="E84" s="196" t="s">
        <v>12825</v>
      </c>
      <c r="F84" s="196" t="s">
        <v>12826</v>
      </c>
    </row>
    <row r="85" spans="1:8" ht="15.75" hidden="1">
      <c r="A85" s="196" t="s">
        <v>12827</v>
      </c>
      <c r="B85" s="196" t="s">
        <v>12828</v>
      </c>
      <c r="C85" s="197">
        <v>2.4854630398924993E-3</v>
      </c>
      <c r="D85" s="197">
        <v>4.847137496174625E-2</v>
      </c>
      <c r="E85" s="197">
        <v>2.5082921896271371E-2</v>
      </c>
      <c r="F85" s="197">
        <v>0.49863719787330041</v>
      </c>
    </row>
    <row r="86" spans="1:8" ht="15.75" hidden="1">
      <c r="A86" s="196" t="s">
        <v>12829</v>
      </c>
      <c r="B86" s="196" t="s">
        <v>12830</v>
      </c>
      <c r="C86" s="197">
        <v>7.2299690948594009E-3</v>
      </c>
      <c r="D86" s="197">
        <v>6.318646523630389E-2</v>
      </c>
      <c r="E86" s="197">
        <v>4.159627641957564E-2</v>
      </c>
      <c r="F86" s="197">
        <v>0.34502732910853373</v>
      </c>
    </row>
    <row r="87" spans="1:8" ht="15.75" hidden="1">
      <c r="A87" s="196" t="s">
        <v>12829</v>
      </c>
      <c r="B87" s="196" t="s">
        <v>12831</v>
      </c>
      <c r="C87" s="197"/>
      <c r="D87" s="197"/>
      <c r="E87" s="197"/>
      <c r="F87" s="197"/>
    </row>
    <row r="88" spans="1:8" ht="15.75" hidden="1">
      <c r="A88" s="196" t="s">
        <v>12829</v>
      </c>
      <c r="B88" s="196" t="s">
        <v>12832</v>
      </c>
      <c r="C88" s="197"/>
      <c r="D88" s="197"/>
      <c r="E88" s="197"/>
      <c r="F88" s="197"/>
    </row>
    <row r="89" spans="1:8" ht="15.75" hidden="1">
      <c r="A89" s="196" t="s">
        <v>12829</v>
      </c>
      <c r="B89" s="196" t="s">
        <v>12833</v>
      </c>
      <c r="C89" s="197">
        <v>5.4857170082116546E-2</v>
      </c>
      <c r="D89" s="197">
        <v>8.2325697162457745E-2</v>
      </c>
      <c r="E89" s="197">
        <v>7.1453528065405392E-2</v>
      </c>
      <c r="F89" s="197">
        <v>6.8483891859979718E-2</v>
      </c>
    </row>
    <row r="90" spans="1:8" ht="15.75" hidden="1">
      <c r="A90" s="196" t="s">
        <v>12834</v>
      </c>
      <c r="B90" s="196" t="s">
        <v>12833</v>
      </c>
      <c r="C90" s="197">
        <v>5.9506692346984469E-2</v>
      </c>
      <c r="D90" s="197">
        <v>8.8282837241558942E-2</v>
      </c>
      <c r="E90" s="197">
        <v>7.59814532824028E-2</v>
      </c>
      <c r="F90" s="197">
        <v>0.10455656571723848</v>
      </c>
    </row>
    <row r="91" spans="1:8" ht="15.75" hidden="1">
      <c r="A91" s="196" t="s">
        <v>12835</v>
      </c>
      <c r="B91" s="196" t="s">
        <v>12836</v>
      </c>
      <c r="C91" s="197">
        <v>0</v>
      </c>
      <c r="D91" s="197">
        <v>0</v>
      </c>
      <c r="E91" s="197">
        <v>0</v>
      </c>
      <c r="F91" s="197">
        <v>0</v>
      </c>
    </row>
    <row r="92" spans="1:8" ht="15.75" hidden="1">
      <c r="A92" s="196" t="s">
        <v>12837</v>
      </c>
      <c r="B92" s="196" t="s">
        <v>12833</v>
      </c>
      <c r="C92" s="197">
        <v>9.9069589326184232E-2</v>
      </c>
      <c r="D92" s="197">
        <v>0.11511854276253687</v>
      </c>
      <c r="E92" s="197">
        <v>9.9140730847545544E-2</v>
      </c>
      <c r="F92" s="197">
        <v>0.27712932169572968</v>
      </c>
    </row>
    <row r="93" spans="1:8" ht="15.75" hidden="1">
      <c r="A93" s="196" t="s">
        <v>12838</v>
      </c>
      <c r="B93" s="196" t="s">
        <v>12833</v>
      </c>
      <c r="C93" s="197">
        <v>0.18326025709205651</v>
      </c>
      <c r="D93" s="197">
        <v>0.15585794776315476</v>
      </c>
      <c r="E93" s="197">
        <v>0.14783229652659235</v>
      </c>
      <c r="F93" s="197">
        <v>0.52309817837308537</v>
      </c>
      <c r="H93" s="201">
        <f>F93/C93</f>
        <v>2.8544005485614878</v>
      </c>
    </row>
    <row r="94" spans="1:8" ht="15.75" hidden="1">
      <c r="A94" s="196" t="s">
        <v>12839</v>
      </c>
      <c r="B94" s="196" t="s">
        <v>12833</v>
      </c>
      <c r="C94" s="198">
        <v>-0.2018758738506177</v>
      </c>
      <c r="D94" s="198">
        <v>-0.16916258623214833</v>
      </c>
      <c r="E94" s="198">
        <v>-0.16055760099377045</v>
      </c>
      <c r="F94" s="198">
        <v>-0.52842695379519955</v>
      </c>
    </row>
    <row r="95" spans="1:8" ht="15.75" hidden="1">
      <c r="A95" s="196" t="s">
        <v>12840</v>
      </c>
      <c r="B95" s="196" t="s">
        <v>12833</v>
      </c>
      <c r="C95" s="197">
        <v>9.5959743162797526E-2</v>
      </c>
      <c r="D95" s="197">
        <v>0.33255144065302883</v>
      </c>
      <c r="E95" s="197">
        <v>0.2620663884590077</v>
      </c>
      <c r="F95" s="197">
        <v>0.19686320228913962</v>
      </c>
    </row>
    <row r="96" spans="1:8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</sheetData>
  <mergeCells count="2">
    <mergeCell ref="H27:J27"/>
    <mergeCell ref="C27:G27"/>
  </mergeCells>
  <hyperlinks>
    <hyperlink ref="H47" r:id="rId1" xr:uid="{FD531675-8337-4DA4-8A98-DA0C0CC6CA8F}"/>
  </hyperlinks>
  <pageMargins left="0.7" right="0.7" top="0.75" bottom="0.75" header="0.3" footer="0.3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1AD3A-8691-49A4-ACE8-BB3A37902D79}">
  <sheetPr codeName="Лист2">
    <tabColor theme="7" tint="0.59999389629810485"/>
  </sheetPr>
  <dimension ref="A1:AC84"/>
  <sheetViews>
    <sheetView showGridLines="0" zoomScaleNormal="100" workbookViewId="0">
      <selection activeCell="D45" sqref="D45:D53"/>
    </sheetView>
  </sheetViews>
  <sheetFormatPr defaultRowHeight="15"/>
  <cols>
    <col min="1" max="1" width="4.140625" customWidth="1"/>
    <col min="2" max="2" width="17.85546875" customWidth="1"/>
    <col min="3" max="4" width="16.42578125" customWidth="1"/>
    <col min="5" max="5" width="25.28515625" customWidth="1"/>
    <col min="6" max="6" width="11.42578125" customWidth="1"/>
    <col min="7" max="7" width="12.28515625" customWidth="1"/>
    <col min="8" max="8" width="13.28515625" customWidth="1"/>
    <col min="9" max="9" width="14" bestFit="1" customWidth="1"/>
    <col min="11" max="11" width="10.140625" bestFit="1" customWidth="1"/>
    <col min="12" max="12" width="14.28515625" customWidth="1"/>
    <col min="13" max="13" width="12.7109375" customWidth="1"/>
    <col min="14" max="14" width="11" customWidth="1"/>
    <col min="15" max="15" width="10.140625" customWidth="1"/>
    <col min="16" max="16" width="10.85546875" customWidth="1"/>
    <col min="17" max="17" width="8.85546875" bestFit="1" customWidth="1"/>
    <col min="18" max="18" width="14.42578125" customWidth="1"/>
    <col min="19" max="19" width="10.7109375" customWidth="1"/>
    <col min="22" max="22" width="10.28515625" customWidth="1"/>
    <col min="23" max="23" width="10.42578125" customWidth="1"/>
    <col min="24" max="24" width="11.28515625" customWidth="1"/>
    <col min="25" max="25" width="12.7109375" customWidth="1"/>
    <col min="28" max="28" width="10.7109375" customWidth="1"/>
    <col min="29" max="29" width="13.7109375" customWidth="1"/>
    <col min="36" max="36" width="11.28515625" customWidth="1"/>
    <col min="40" max="40" width="13" customWidth="1"/>
  </cols>
  <sheetData>
    <row r="1" spans="8:29">
      <c r="AB1" t="b">
        <v>1</v>
      </c>
      <c r="AC1" t="b">
        <f>IF(AB1=FALSE,TRUE,FALSE)</f>
        <v>0</v>
      </c>
    </row>
    <row r="2" spans="8:29">
      <c r="AB2" t="b">
        <v>1</v>
      </c>
      <c r="AC2" t="b">
        <f>IF(AB2=FALSE,TRUE,FALSE)</f>
        <v>0</v>
      </c>
    </row>
    <row r="3" spans="8:29">
      <c r="AC3" t="b">
        <f>IF(AB3=FALSE,TRUE,FALSE)</f>
        <v>1</v>
      </c>
    </row>
    <row r="12" spans="8:29">
      <c r="H12" s="211" t="s">
        <v>12882</v>
      </c>
    </row>
    <row r="19" spans="1:14">
      <c r="B19" s="210" t="s">
        <v>12884</v>
      </c>
    </row>
    <row r="20" spans="1:14">
      <c r="B20" s="203" t="s">
        <v>91</v>
      </c>
      <c r="C20" s="204" t="s">
        <v>89</v>
      </c>
    </row>
    <row r="21" spans="1:14">
      <c r="A21" s="262" t="s">
        <v>13004</v>
      </c>
      <c r="B21" s="132" t="s">
        <v>12880</v>
      </c>
      <c r="C21" t="s">
        <v>12881</v>
      </c>
      <c r="J21" s="211" t="s">
        <v>13003</v>
      </c>
      <c r="K21" s="211" t="s">
        <v>13002</v>
      </c>
      <c r="L21" s="211" t="s">
        <v>13001</v>
      </c>
      <c r="M21" s="211" t="s">
        <v>13001</v>
      </c>
    </row>
    <row r="22" spans="1:14" ht="43.5" customHeight="1">
      <c r="B22" s="218" t="s">
        <v>228</v>
      </c>
      <c r="C22" s="215" t="s">
        <v>12883</v>
      </c>
      <c r="D22" s="217" t="s">
        <v>65</v>
      </c>
      <c r="E22" s="205" t="s">
        <v>0</v>
      </c>
      <c r="F22" s="205" t="s">
        <v>12243</v>
      </c>
      <c r="G22" s="205" t="s">
        <v>233</v>
      </c>
      <c r="H22" s="205" t="s">
        <v>237</v>
      </c>
      <c r="I22" s="205" t="s">
        <v>52</v>
      </c>
      <c r="J22" s="205" t="s">
        <v>232</v>
      </c>
      <c r="K22" s="205" t="s">
        <v>258</v>
      </c>
      <c r="L22" s="205" t="s">
        <v>257</v>
      </c>
      <c r="M22" s="205" t="s">
        <v>256</v>
      </c>
      <c r="N22" s="205" t="s">
        <v>262</v>
      </c>
    </row>
    <row r="23" spans="1:14">
      <c r="B23" s="157" t="s">
        <v>718</v>
      </c>
      <c r="C23" s="157" t="str">
        <f>VLOOKUP(B23,QUIK!C:AL,3,FALSE)</f>
        <v>ЛУКОЙЛ</v>
      </c>
      <c r="D23" s="158">
        <v>0.05</v>
      </c>
      <c r="E23" s="222" t="str">
        <f>VLOOKUP(B23,QUIK!C:AL,2,FALSE)</f>
        <v>LKOH</v>
      </c>
      <c r="F23" s="222" t="str">
        <f>VLOOKUP(B23,QUIK!C:AL,4,FALSE)</f>
        <v>ао</v>
      </c>
      <c r="G23" s="154">
        <f>VLOOKUP(B23,QUIK!C:AL,6,FALSE)</f>
        <v>1</v>
      </c>
      <c r="H23" s="3">
        <f>VLOOKUP(B23,QUIK!C:AL,10,FALSE)</f>
        <v>6748.5</v>
      </c>
      <c r="I23" s="208" t="str">
        <f>VLOOKUP(B23,QUIK!C:AL,29,FALSE)</f>
        <v>SUR</v>
      </c>
      <c r="J23" s="208">
        <f>VLOOKUP(B23,QUIK!C:AL,5,FALSE)</f>
        <v>1</v>
      </c>
      <c r="K23" s="3">
        <f>VLOOKUP(B23,QUIK!C:AL,32,FALSE)</f>
        <v>-100</v>
      </c>
      <c r="L23" s="3" t="str">
        <f>VLOOKUP(B23,QUIK!C:AL,31,FALSE)</f>
        <v/>
      </c>
      <c r="M23" s="3" t="str">
        <f>VLOOKUP(B23,QUIK!C:AL,30,FALSE)</f>
        <v/>
      </c>
      <c r="N23" s="3" t="str">
        <f>VLOOKUP(B23,QUIK!C:AL,36,FALSE)</f>
        <v>торгуется</v>
      </c>
    </row>
    <row r="24" spans="1:14">
      <c r="B24" s="157" t="s">
        <v>299</v>
      </c>
      <c r="C24" s="157" t="str">
        <f>VLOOKUP(B24,QUIK!C:AL,3,FALSE)</f>
        <v>OZON-адр</v>
      </c>
      <c r="D24" s="158">
        <v>0.05</v>
      </c>
      <c r="E24" s="222" t="str">
        <f>VLOOKUP(B24,QUIK!C:AL,2,FALSE)</f>
        <v>OZON</v>
      </c>
      <c r="F24" s="222" t="str">
        <f>VLOOKUP(B24,QUIK!C:AL,4,FALSE)</f>
        <v>др</v>
      </c>
      <c r="G24" s="154">
        <f>VLOOKUP(B24,QUIK!C:AL,6,FALSE)</f>
        <v>1</v>
      </c>
      <c r="H24" s="3">
        <f>VLOOKUP(B24,QUIK!C:AL,10,FALSE)</f>
        <v>2719.5</v>
      </c>
      <c r="I24" s="208" t="str">
        <f>VLOOKUP(B24,QUIK!C:AL,29,FALSE)</f>
        <v>SUR</v>
      </c>
      <c r="J24" s="208">
        <f>VLOOKUP(B24,QUIK!C:AL,5,FALSE)</f>
        <v>1</v>
      </c>
      <c r="K24" s="3">
        <f>VLOOKUP(B24,QUIK!C:AL,32,FALSE)</f>
        <v>-100</v>
      </c>
      <c r="L24" s="3" t="str">
        <f>VLOOKUP(B24,QUIK!C:AL,31,FALSE)</f>
        <v/>
      </c>
      <c r="M24" s="3" t="str">
        <f>VLOOKUP(B24,QUIK!C:AL,30,FALSE)</f>
        <v/>
      </c>
      <c r="N24" s="3" t="str">
        <f>VLOOKUP(B24,QUIK!C:AL,36,FALSE)</f>
        <v>торгуется</v>
      </c>
    </row>
    <row r="25" spans="1:14">
      <c r="B25" s="157" t="s">
        <v>366</v>
      </c>
      <c r="C25" s="157" t="str">
        <f>VLOOKUP(B25,QUIK!C:AL,3,FALSE)</f>
        <v>iПозитив</v>
      </c>
      <c r="D25" s="158">
        <v>0.05</v>
      </c>
      <c r="E25" s="222" t="str">
        <f>VLOOKUP(B25,QUIK!C:AL,2,FALSE)</f>
        <v>POSI</v>
      </c>
      <c r="F25" s="222" t="str">
        <f>VLOOKUP(B25,QUIK!C:AL,4,FALSE)</f>
        <v>ао</v>
      </c>
      <c r="G25" s="154">
        <f>VLOOKUP(B25,QUIK!C:AL,6,FALSE)</f>
        <v>1</v>
      </c>
      <c r="H25" s="3">
        <f>VLOOKUP(B25,QUIK!C:AL,10,FALSE)</f>
        <v>1798.6</v>
      </c>
      <c r="I25" s="208" t="str">
        <f>VLOOKUP(B25,QUIK!C:AL,29,FALSE)</f>
        <v>SUR</v>
      </c>
      <c r="J25" s="208">
        <f>VLOOKUP(B25,QUIK!C:AL,5,FALSE)</f>
        <v>1</v>
      </c>
      <c r="K25" s="3">
        <f>VLOOKUP(B25,QUIK!C:AL,32,FALSE)</f>
        <v>-100</v>
      </c>
      <c r="L25" s="3" t="str">
        <f>VLOOKUP(B25,QUIK!C:AL,31,FALSE)</f>
        <v/>
      </c>
      <c r="M25" s="3" t="str">
        <f>VLOOKUP(B25,QUIK!C:AL,30,FALSE)</f>
        <v/>
      </c>
      <c r="N25" s="3" t="str">
        <f>VLOOKUP(B25,QUIK!C:AL,36,FALSE)</f>
        <v>торгуется</v>
      </c>
    </row>
    <row r="26" spans="1:14">
      <c r="B26" s="157" t="s">
        <v>1224</v>
      </c>
      <c r="C26" s="157" t="str">
        <f>VLOOKUP(B26,QUIK!C:AL,3,FALSE)</f>
        <v>Сургнфгз-п</v>
      </c>
      <c r="D26" s="160">
        <v>0.08</v>
      </c>
      <c r="E26" s="222" t="str">
        <f>VLOOKUP(B26,QUIK!C:AL,2,FALSE)</f>
        <v>SNGSP</v>
      </c>
      <c r="F26" s="222" t="str">
        <f>VLOOKUP(B26,QUIK!C:AL,4,FALSE)</f>
        <v>ап</v>
      </c>
      <c r="G26" s="154">
        <f>VLOOKUP(B26,QUIK!C:AL,6,FALSE)</f>
        <v>10</v>
      </c>
      <c r="H26" s="3">
        <f>VLOOKUP(B26,QUIK!C:AL,10,FALSE)</f>
        <v>55.975000000000001</v>
      </c>
      <c r="I26" s="208" t="str">
        <f>VLOOKUP(B26,QUIK!C:AL,29,FALSE)</f>
        <v>SUR</v>
      </c>
      <c r="J26" s="208">
        <f>VLOOKUP(B26,QUIK!C:AL,5,FALSE)</f>
        <v>2</v>
      </c>
      <c r="K26" s="3">
        <f>VLOOKUP(B26,QUIK!C:AL,32,FALSE)</f>
        <v>-100</v>
      </c>
      <c r="L26" s="3" t="str">
        <f>VLOOKUP(B26,QUIK!C:AL,31,FALSE)</f>
        <v/>
      </c>
      <c r="M26" s="3" t="str">
        <f>VLOOKUP(B26,QUIK!C:AL,30,FALSE)</f>
        <v/>
      </c>
      <c r="N26" s="3" t="str">
        <f>VLOOKUP(B26,QUIK!C:AL,36,FALSE)</f>
        <v>торгуется</v>
      </c>
    </row>
    <row r="27" spans="1:14">
      <c r="B27" s="157" t="s">
        <v>1257</v>
      </c>
      <c r="C27" s="157" t="str">
        <f>VLOOKUP(B27,QUIK!C:AL,3,FALSE)</f>
        <v>ТКСХолд ао</v>
      </c>
      <c r="D27" s="158">
        <v>0.05</v>
      </c>
      <c r="E27" s="222" t="str">
        <f>VLOOKUP(B27,QUIK!C:AL,2,FALSE)</f>
        <v>T</v>
      </c>
      <c r="F27" s="222" t="str">
        <f>VLOOKUP(B27,QUIK!C:AL,4,FALSE)</f>
        <v>ао</v>
      </c>
      <c r="G27" s="154">
        <f>VLOOKUP(B27,QUIK!C:AL,6,FALSE)</f>
        <v>1</v>
      </c>
      <c r="H27" s="3">
        <f>VLOOKUP(B27,QUIK!C:AL,10,FALSE)</f>
        <v>2348</v>
      </c>
      <c r="I27" s="208" t="str">
        <f>VLOOKUP(B27,QUIK!C:AL,29,FALSE)</f>
        <v>SUR</v>
      </c>
      <c r="J27" s="208">
        <f>VLOOKUP(B27,QUIK!C:AL,5,FALSE)</f>
        <v>1</v>
      </c>
      <c r="K27" s="3">
        <f>VLOOKUP(B27,QUIK!C:AL,32,FALSE)</f>
        <v>-100</v>
      </c>
      <c r="L27" s="3" t="str">
        <f>VLOOKUP(B27,QUIK!C:AL,31,FALSE)</f>
        <v/>
      </c>
      <c r="M27" s="3" t="str">
        <f>VLOOKUP(B27,QUIK!C:AL,30,FALSE)</f>
        <v/>
      </c>
      <c r="N27" s="3" t="str">
        <f>VLOOKUP(B27,QUIK!C:AL,36,FALSE)</f>
        <v>торгуется</v>
      </c>
    </row>
    <row r="28" spans="1:14">
      <c r="B28" s="157" t="s">
        <v>1358</v>
      </c>
      <c r="C28" s="157" t="str">
        <f>VLOOKUP(B28,QUIK!C:AL,3,FALSE)</f>
        <v>Транснф ап</v>
      </c>
      <c r="D28" s="161">
        <v>0.03</v>
      </c>
      <c r="E28" s="222" t="str">
        <f>VLOOKUP(B28,QUIK!C:AL,2,FALSE)</f>
        <v>TRNFP</v>
      </c>
      <c r="F28" s="222" t="str">
        <f>VLOOKUP(B28,QUIK!C:AL,4,FALSE)</f>
        <v>ап</v>
      </c>
      <c r="G28" s="154">
        <f>VLOOKUP(B28,QUIK!C:AL,6,FALSE)</f>
        <v>1</v>
      </c>
      <c r="H28" s="3">
        <f>VLOOKUP(B28,QUIK!C:AL,10,FALSE)</f>
        <v>944.5</v>
      </c>
      <c r="I28" s="208" t="str">
        <f>VLOOKUP(B28,QUIK!C:AL,29,FALSE)</f>
        <v>SUR</v>
      </c>
      <c r="J28" s="208">
        <f>VLOOKUP(B28,QUIK!C:AL,5,FALSE)</f>
        <v>1</v>
      </c>
      <c r="K28" s="3">
        <f>VLOOKUP(B28,QUIK!C:AL,32,FALSE)</f>
        <v>-100</v>
      </c>
      <c r="L28" s="3" t="str">
        <f>VLOOKUP(B28,QUIK!C:AL,31,FALSE)</f>
        <v/>
      </c>
      <c r="M28" s="3" t="str">
        <f>VLOOKUP(B28,QUIK!C:AL,30,FALSE)</f>
        <v/>
      </c>
      <c r="N28" s="3" t="str">
        <f>VLOOKUP(B28,QUIK!C:AL,36,FALSE)</f>
        <v>торгуется</v>
      </c>
    </row>
    <row r="29" spans="1:14">
      <c r="B29" s="157" t="s">
        <v>1468</v>
      </c>
      <c r="C29" s="157" t="str">
        <f>VLOOKUP(B29,QUIK!C:AL,3,FALSE)</f>
        <v>ЯНДЕКС</v>
      </c>
      <c r="D29" s="162">
        <v>0.09</v>
      </c>
      <c r="E29" s="222" t="str">
        <f>VLOOKUP(B29,QUIK!C:AL,2,FALSE)</f>
        <v>YDEX</v>
      </c>
      <c r="F29" s="222" t="str">
        <f>VLOOKUP(B29,QUIK!C:AL,4,FALSE)</f>
        <v>ао</v>
      </c>
      <c r="G29" s="154">
        <f>VLOOKUP(B29,QUIK!C:AL,6,FALSE)</f>
        <v>1</v>
      </c>
      <c r="H29" s="3">
        <f>VLOOKUP(B29,QUIK!C:AL,10,FALSE)</f>
        <v>3330.5</v>
      </c>
      <c r="I29" s="208" t="str">
        <f>VLOOKUP(B29,QUIK!C:AL,29,FALSE)</f>
        <v>SUR</v>
      </c>
      <c r="J29" s="208">
        <f>VLOOKUP(B29,QUIK!C:AL,5,FALSE)</f>
        <v>1</v>
      </c>
      <c r="K29" s="3">
        <f>VLOOKUP(B29,QUIK!C:AL,32,FALSE)</f>
        <v>-100</v>
      </c>
      <c r="L29" s="3" t="str">
        <f>VLOOKUP(B29,QUIK!C:AL,31,FALSE)</f>
        <v/>
      </c>
      <c r="M29" s="3" t="str">
        <f>VLOOKUP(B29,QUIK!C:AL,30,FALSE)</f>
        <v/>
      </c>
      <c r="N29" s="3" t="str">
        <f>VLOOKUP(B29,QUIK!C:AL,36,FALSE)</f>
        <v>торгуется</v>
      </c>
    </row>
    <row r="30" spans="1:14">
      <c r="B30" s="157" t="s">
        <v>834</v>
      </c>
      <c r="C30" s="157" t="str">
        <f>VLOOKUP(B30,QUIK!C:AL,3,FALSE)</f>
        <v>МосБиржа</v>
      </c>
      <c r="D30" s="158">
        <v>0.05</v>
      </c>
      <c r="E30" s="222" t="str">
        <f>VLOOKUP(B30,QUIK!C:AL,2,FALSE)</f>
        <v>MOEX</v>
      </c>
      <c r="F30" s="222" t="str">
        <f>VLOOKUP(B30,QUIK!C:AL,4,FALSE)</f>
        <v>ао</v>
      </c>
      <c r="G30" s="154">
        <f>VLOOKUP(B30,QUIK!C:AL,6,FALSE)</f>
        <v>10</v>
      </c>
      <c r="H30" s="3">
        <f>VLOOKUP(B30,QUIK!C:AL,10,FALSE)</f>
        <v>183.56</v>
      </c>
      <c r="I30" s="208" t="str">
        <f>VLOOKUP(B30,QUIK!C:AL,29,FALSE)</f>
        <v>SUR</v>
      </c>
      <c r="J30" s="208">
        <f>VLOOKUP(B30,QUIK!C:AL,5,FALSE)</f>
        <v>1</v>
      </c>
      <c r="K30" s="3">
        <f>VLOOKUP(B30,QUIK!C:AL,32,FALSE)</f>
        <v>-100</v>
      </c>
      <c r="L30" s="3" t="str">
        <f>VLOOKUP(B30,QUIK!C:AL,31,FALSE)</f>
        <v/>
      </c>
      <c r="M30" s="3" t="str">
        <f>VLOOKUP(B30,QUIK!C:AL,30,FALSE)</f>
        <v/>
      </c>
      <c r="N30" s="3" t="str">
        <f>VLOOKUP(B30,QUIK!C:AL,36,FALSE)</f>
        <v>торгуется</v>
      </c>
    </row>
    <row r="31" spans="1:14">
      <c r="B31" s="157" t="s">
        <v>1201</v>
      </c>
      <c r="C31" s="157" t="str">
        <f>VLOOKUP(B31,QUIK!C:AL,3,FALSE)</f>
        <v>Совкомбанк</v>
      </c>
      <c r="D31" s="158">
        <v>0.05</v>
      </c>
      <c r="E31" s="222" t="str">
        <f>VLOOKUP(B31,QUIK!C:AL,2,FALSE)</f>
        <v>SVCB</v>
      </c>
      <c r="F31" s="222" t="str">
        <f>VLOOKUP(B31,QUIK!C:AL,4,FALSE)</f>
        <v>ао</v>
      </c>
      <c r="G31" s="154">
        <f>VLOOKUP(B31,QUIK!C:AL,6,FALSE)</f>
        <v>100</v>
      </c>
      <c r="H31" s="3">
        <f>VLOOKUP(B31,QUIK!C:AL,10,FALSE)</f>
        <v>12.58</v>
      </c>
      <c r="I31" s="208" t="str">
        <f>VLOOKUP(B31,QUIK!C:AL,29,FALSE)</f>
        <v>SUR</v>
      </c>
      <c r="J31" s="208">
        <f>VLOOKUP(B31,QUIK!C:AL,5,FALSE)</f>
        <v>1</v>
      </c>
      <c r="K31" s="3">
        <f>VLOOKUP(B31,QUIK!C:AL,32,FALSE)</f>
        <v>-100</v>
      </c>
      <c r="L31" s="3" t="str">
        <f>VLOOKUP(B31,QUIK!C:AL,31,FALSE)</f>
        <v/>
      </c>
      <c r="M31" s="3" t="str">
        <f>VLOOKUP(B31,QUIK!C:AL,30,FALSE)</f>
        <v/>
      </c>
      <c r="N31" s="3" t="str">
        <f>VLOOKUP(B31,QUIK!C:AL,36,FALSE)</f>
        <v>торгуется</v>
      </c>
    </row>
    <row r="32" spans="1:14">
      <c r="B32" s="157" t="s">
        <v>1386</v>
      </c>
      <c r="C32" s="157" t="str">
        <f>VLOOKUP(B32,QUIK!C:AL,3,FALSE)</f>
        <v>Хэдхантер</v>
      </c>
      <c r="D32" s="158">
        <v>0.05</v>
      </c>
      <c r="E32" s="222" t="str">
        <f>VLOOKUP(B32,QUIK!C:AL,2,FALSE)</f>
        <v>HEAD</v>
      </c>
      <c r="F32" s="222" t="str">
        <f>VLOOKUP(B32,QUIK!C:AL,4,FALSE)</f>
        <v>ао</v>
      </c>
      <c r="G32" s="154">
        <f>VLOOKUP(B32,QUIK!C:AL,6,FALSE)</f>
        <v>1</v>
      </c>
      <c r="H32" s="3">
        <f>VLOOKUP(B32,QUIK!C:AL,10,FALSE)</f>
        <v>4200</v>
      </c>
      <c r="I32" s="208" t="str">
        <f>VLOOKUP(B32,QUIK!C:AL,29,FALSE)</f>
        <v>SUR</v>
      </c>
      <c r="J32" s="208">
        <f>VLOOKUP(B32,QUIK!C:AL,5,FALSE)</f>
        <v>1</v>
      </c>
      <c r="K32" s="3">
        <f>VLOOKUP(B32,QUIK!C:AL,32,FALSE)</f>
        <v>-100</v>
      </c>
      <c r="L32" s="3" t="str">
        <f>VLOOKUP(B32,QUIK!C:AL,31,FALSE)</f>
        <v/>
      </c>
      <c r="M32" s="3" t="str">
        <f>VLOOKUP(B32,QUIK!C:AL,30,FALSE)</f>
        <v/>
      </c>
      <c r="N32" s="3" t="str">
        <f>VLOOKUP(B32,QUIK!C:AL,36,FALSE)</f>
        <v>торгуется</v>
      </c>
    </row>
    <row r="33" spans="1:14">
      <c r="B33" s="157" t="s">
        <v>1340</v>
      </c>
      <c r="C33" s="157" t="str">
        <f>VLOOKUP(B33,QUIK!C:AL,3,FALSE)</f>
        <v>Татнфт 3ап</v>
      </c>
      <c r="D33" s="158">
        <v>0.05</v>
      </c>
      <c r="E33" s="222" t="str">
        <f>VLOOKUP(B33,QUIK!C:AL,2,FALSE)</f>
        <v>TATNP</v>
      </c>
      <c r="F33" s="222" t="str">
        <f>VLOOKUP(B33,QUIK!C:AL,4,FALSE)</f>
        <v>ап</v>
      </c>
      <c r="G33" s="154">
        <f>VLOOKUP(B33,QUIK!C:AL,6,FALSE)</f>
        <v>1</v>
      </c>
      <c r="H33" s="3">
        <f>VLOOKUP(B33,QUIK!C:AL,10,FALSE)</f>
        <v>531.29999999999995</v>
      </c>
      <c r="I33" s="208" t="str">
        <f>VLOOKUP(B33,QUIK!C:AL,29,FALSE)</f>
        <v>SUR</v>
      </c>
      <c r="J33" s="208">
        <f>VLOOKUP(B33,QUIK!C:AL,5,FALSE)</f>
        <v>1</v>
      </c>
      <c r="K33" s="3">
        <f>VLOOKUP(B33,QUIK!C:AL,32,FALSE)</f>
        <v>-100</v>
      </c>
      <c r="L33" s="3" t="str">
        <f>VLOOKUP(B33,QUIK!C:AL,31,FALSE)</f>
        <v/>
      </c>
      <c r="M33" s="3" t="str">
        <f>VLOOKUP(B33,QUIK!C:AL,30,FALSE)</f>
        <v/>
      </c>
      <c r="N33" s="3" t="str">
        <f>VLOOKUP(B33,QUIK!C:AL,36,FALSE)</f>
        <v>торгуется</v>
      </c>
    </row>
    <row r="34" spans="1:14">
      <c r="B34" s="157" t="s">
        <v>419</v>
      </c>
      <c r="C34" s="157" t="str">
        <f>VLOOKUP(B34,QUIK!C:AL,3,FALSE)</f>
        <v>Астра ао</v>
      </c>
      <c r="D34" s="162">
        <v>0.09</v>
      </c>
      <c r="E34" s="222" t="str">
        <f>VLOOKUP(B34,QUIK!C:AL,2,FALSE)</f>
        <v>ASTR</v>
      </c>
      <c r="F34" s="222" t="str">
        <f>VLOOKUP(B34,QUIK!C:AL,4,FALSE)</f>
        <v>ао</v>
      </c>
      <c r="G34" s="154">
        <f>VLOOKUP(B34,QUIK!C:AL,6,FALSE)</f>
        <v>1</v>
      </c>
      <c r="H34" s="3">
        <f>VLOOKUP(B34,QUIK!C:AL,10,FALSE)</f>
        <v>434.65</v>
      </c>
      <c r="I34" s="208" t="str">
        <f>VLOOKUP(B34,QUIK!C:AL,29,FALSE)</f>
        <v>SUR</v>
      </c>
      <c r="J34" s="208">
        <f>VLOOKUP(B34,QUIK!C:AL,5,FALSE)</f>
        <v>1</v>
      </c>
      <c r="K34" s="3">
        <f>VLOOKUP(B34,QUIK!C:AL,32,FALSE)</f>
        <v>-100</v>
      </c>
      <c r="L34" s="3" t="str">
        <f>VLOOKUP(B34,QUIK!C:AL,31,FALSE)</f>
        <v/>
      </c>
      <c r="M34" s="3" t="str">
        <f>VLOOKUP(B34,QUIK!C:AL,30,FALSE)</f>
        <v/>
      </c>
      <c r="N34" s="3" t="str">
        <f>VLOOKUP(B34,QUIK!C:AL,36,FALSE)</f>
        <v>торгуется</v>
      </c>
    </row>
    <row r="35" spans="1:14">
      <c r="B35" s="157" t="s">
        <v>547</v>
      </c>
      <c r="C35" s="157" t="str">
        <f>VLOOKUP(B35,QUIK!C:AL,3,FALSE)</f>
        <v>Газпрнефть</v>
      </c>
      <c r="D35" s="158">
        <v>0.05</v>
      </c>
      <c r="E35" s="222" t="str">
        <f>VLOOKUP(B35,QUIK!C:AL,2,FALSE)</f>
        <v>SIBN</v>
      </c>
      <c r="F35" s="222" t="str">
        <f>VLOOKUP(B35,QUIK!C:AL,4,FALSE)</f>
        <v>ао</v>
      </c>
      <c r="G35" s="154">
        <f>VLOOKUP(B35,QUIK!C:AL,6,FALSE)</f>
        <v>1</v>
      </c>
      <c r="H35" s="3">
        <f>VLOOKUP(B35,QUIK!C:AL,10,FALSE)</f>
        <v>542.9</v>
      </c>
      <c r="I35" s="208" t="str">
        <f>VLOOKUP(B35,QUIK!C:AL,29,FALSE)</f>
        <v>SUR</v>
      </c>
      <c r="J35" s="208">
        <f>VLOOKUP(B35,QUIK!C:AL,5,FALSE)</f>
        <v>3</v>
      </c>
      <c r="K35" s="3">
        <f>VLOOKUP(B35,QUIK!C:AL,32,FALSE)</f>
        <v>9</v>
      </c>
      <c r="L35" s="3" t="str">
        <f>VLOOKUP(B35,QUIK!C:AL,31,FALSE)</f>
        <v/>
      </c>
      <c r="M35" s="3" t="str">
        <f>VLOOKUP(B35,QUIK!C:AL,30,FALSE)</f>
        <v/>
      </c>
      <c r="N35" s="3" t="str">
        <f>VLOOKUP(B35,QUIK!C:AL,36,FALSE)</f>
        <v>торгуется</v>
      </c>
    </row>
    <row r="36" spans="1:14">
      <c r="B36" s="157" t="s">
        <v>293</v>
      </c>
      <c r="C36" s="157" t="str">
        <f>VLOOKUP(B36,QUIK!C:AL,3,FALSE)</f>
        <v>MDMG-ао</v>
      </c>
      <c r="D36" s="161">
        <v>0.03</v>
      </c>
      <c r="E36" s="222" t="str">
        <f>VLOOKUP(B36,QUIK!C:AL,2,FALSE)</f>
        <v>MDMG</v>
      </c>
      <c r="F36" s="222" t="str">
        <f>VLOOKUP(B36,QUIK!C:AL,4,FALSE)</f>
        <v>ао</v>
      </c>
      <c r="G36" s="154">
        <f>VLOOKUP(B36,QUIK!C:AL,6,FALSE)</f>
        <v>1</v>
      </c>
      <c r="H36" s="3">
        <f>VLOOKUP(B36,QUIK!C:AL,10,FALSE)</f>
        <v>845.2</v>
      </c>
      <c r="I36" s="208" t="str">
        <f>VLOOKUP(B36,QUIK!C:AL,29,FALSE)</f>
        <v>SUR</v>
      </c>
      <c r="J36" s="208">
        <f>VLOOKUP(B36,QUIK!C:AL,5,FALSE)</f>
        <v>1</v>
      </c>
      <c r="K36" s="3">
        <f>VLOOKUP(B36,QUIK!C:AL,32,FALSE)</f>
        <v>-100</v>
      </c>
      <c r="L36" s="3" t="str">
        <f>VLOOKUP(B36,QUIK!C:AL,31,FALSE)</f>
        <v/>
      </c>
      <c r="M36" s="3" t="str">
        <f>VLOOKUP(B36,QUIK!C:AL,30,FALSE)</f>
        <v/>
      </c>
      <c r="N36" s="3" t="str">
        <f>VLOOKUP(B36,QUIK!C:AL,36,FALSE)</f>
        <v>торгуется</v>
      </c>
    </row>
    <row r="37" spans="1:14">
      <c r="B37" s="157" t="s">
        <v>432</v>
      </c>
      <c r="C37" s="157" t="str">
        <f>VLOOKUP(B37,QUIK!C:AL,3,FALSE)</f>
        <v>БСП ао</v>
      </c>
      <c r="D37" s="163">
        <v>0.1</v>
      </c>
      <c r="E37" s="222" t="str">
        <f>VLOOKUP(B37,QUIK!C:AL,2,FALSE)</f>
        <v>BSPB</v>
      </c>
      <c r="F37" s="222" t="str">
        <f>VLOOKUP(B37,QUIK!C:AL,4,FALSE)</f>
        <v>ао</v>
      </c>
      <c r="G37" s="154">
        <f>VLOOKUP(B37,QUIK!C:AL,6,FALSE)</f>
        <v>10</v>
      </c>
      <c r="H37" s="3">
        <f>VLOOKUP(B37,QUIK!C:AL,10,FALSE)</f>
        <v>306.87</v>
      </c>
      <c r="I37" s="208" t="str">
        <f>VLOOKUP(B37,QUIK!C:AL,29,FALSE)</f>
        <v>SUR</v>
      </c>
      <c r="J37" s="208">
        <f>VLOOKUP(B37,QUIK!C:AL,5,FALSE)</f>
        <v>1</v>
      </c>
      <c r="K37" s="3">
        <f>VLOOKUP(B37,QUIK!C:AL,32,FALSE)</f>
        <v>-100</v>
      </c>
      <c r="L37" s="3" t="str">
        <f>VLOOKUP(B37,QUIK!C:AL,31,FALSE)</f>
        <v/>
      </c>
      <c r="M37" s="3" t="str">
        <f>VLOOKUP(B37,QUIK!C:AL,30,FALSE)</f>
        <v/>
      </c>
      <c r="N37" s="3" t="str">
        <f>VLOOKUP(B37,QUIK!C:AL,36,FALSE)</f>
        <v>торгуется</v>
      </c>
    </row>
    <row r="38" spans="1:14">
      <c r="B38" s="157" t="s">
        <v>630</v>
      </c>
      <c r="C38" s="157" t="str">
        <f>VLOOKUP(B38,QUIK!C:AL,3,FALSE)</f>
        <v>ИнтерРАОао</v>
      </c>
      <c r="D38" s="158">
        <v>0.05</v>
      </c>
      <c r="E38" s="222" t="str">
        <f>VLOOKUP(B38,QUIK!C:AL,2,FALSE)</f>
        <v>IRAO</v>
      </c>
      <c r="F38" s="222" t="str">
        <f>VLOOKUP(B38,QUIK!C:AL,4,FALSE)</f>
        <v>ао</v>
      </c>
      <c r="G38" s="154">
        <f>VLOOKUP(B38,QUIK!C:AL,6,FALSE)</f>
        <v>100</v>
      </c>
      <c r="H38" s="3">
        <f>VLOOKUP(B38,QUIK!C:AL,10,FALSE)</f>
        <v>3.6920000000000002</v>
      </c>
      <c r="I38" s="208" t="str">
        <f>VLOOKUP(B38,QUIK!C:AL,29,FALSE)</f>
        <v>SUR</v>
      </c>
      <c r="J38" s="208">
        <f>VLOOKUP(B38,QUIK!C:AL,5,FALSE)</f>
        <v>1</v>
      </c>
      <c r="K38" s="3">
        <f>VLOOKUP(B38,QUIK!C:AL,32,FALSE)</f>
        <v>-100</v>
      </c>
      <c r="L38" s="3" t="str">
        <f>VLOOKUP(B38,QUIK!C:AL,31,FALSE)</f>
        <v/>
      </c>
      <c r="M38" s="3" t="str">
        <f>VLOOKUP(B38,QUIK!C:AL,30,FALSE)</f>
        <v/>
      </c>
      <c r="N38" s="3" t="str">
        <f>VLOOKUP(B38,QUIK!C:AL,36,FALSE)</f>
        <v>торгуется</v>
      </c>
    </row>
    <row r="39" spans="1:14">
      <c r="B39" s="157" t="s">
        <v>741</v>
      </c>
      <c r="C39" s="157" t="str">
        <f>VLOOKUP(B39,QUIK!C:AL,3,FALSE)</f>
        <v>Лента ао</v>
      </c>
      <c r="D39" s="161">
        <v>0.03</v>
      </c>
      <c r="E39" s="222" t="str">
        <f>VLOOKUP(B39,QUIK!C:AL,2,FALSE)</f>
        <v>LENT</v>
      </c>
      <c r="F39" s="222" t="str">
        <f>VLOOKUP(B39,QUIK!C:AL,4,FALSE)</f>
        <v>ао</v>
      </c>
      <c r="G39" s="154">
        <f>VLOOKUP(B39,QUIK!C:AL,6,FALSE)</f>
        <v>1</v>
      </c>
      <c r="H39" s="3">
        <f>VLOOKUP(B39,QUIK!C:AL,10,FALSE)</f>
        <v>1027</v>
      </c>
      <c r="I39" s="208" t="str">
        <f>VLOOKUP(B39,QUIK!C:AL,29,FALSE)</f>
        <v>SUR</v>
      </c>
      <c r="J39" s="208">
        <f>VLOOKUP(B39,QUIK!C:AL,5,FALSE)</f>
        <v>1</v>
      </c>
      <c r="K39" s="3">
        <f>VLOOKUP(B39,QUIK!C:AL,32,FALSE)</f>
        <v>-100</v>
      </c>
      <c r="L39" s="3" t="str">
        <f>VLOOKUP(B39,QUIK!C:AL,31,FALSE)</f>
        <v/>
      </c>
      <c r="M39" s="3" t="str">
        <f>VLOOKUP(B39,QUIK!C:AL,30,FALSE)</f>
        <v/>
      </c>
      <c r="N39" s="3" t="str">
        <f>VLOOKUP(B39,QUIK!C:AL,36,FALSE)</f>
        <v>торгуется</v>
      </c>
    </row>
    <row r="40" spans="1:14">
      <c r="C40" s="132" t="s">
        <v>12250</v>
      </c>
      <c r="D40" s="90">
        <f>SUM(D23:D39)</f>
        <v>0.95000000000000018</v>
      </c>
    </row>
    <row r="41" spans="1:14">
      <c r="C41" s="132" t="s">
        <v>13027</v>
      </c>
      <c r="D41" s="181">
        <v>0.05</v>
      </c>
    </row>
    <row r="42" spans="1:14">
      <c r="B42" s="203" t="s">
        <v>91</v>
      </c>
      <c r="C42" s="204" t="s">
        <v>90</v>
      </c>
    </row>
    <row r="43" spans="1:14">
      <c r="A43" s="262" t="s">
        <v>13004</v>
      </c>
      <c r="B43" s="132" t="s">
        <v>12880</v>
      </c>
      <c r="C43" t="s">
        <v>12881</v>
      </c>
      <c r="J43" s="211" t="s">
        <v>13003</v>
      </c>
      <c r="K43" s="211" t="s">
        <v>13002</v>
      </c>
      <c r="L43" s="211" t="s">
        <v>13001</v>
      </c>
      <c r="M43" s="211" t="s">
        <v>13001</v>
      </c>
    </row>
    <row r="44" spans="1:14" ht="30">
      <c r="B44" s="223" t="s">
        <v>228</v>
      </c>
      <c r="C44" s="215" t="s">
        <v>12883</v>
      </c>
      <c r="D44" s="217" t="s">
        <v>65</v>
      </c>
      <c r="E44" s="205" t="s">
        <v>0</v>
      </c>
      <c r="F44" s="205" t="s">
        <v>12243</v>
      </c>
      <c r="G44" s="205" t="s">
        <v>233</v>
      </c>
      <c r="H44" s="205" t="s">
        <v>237</v>
      </c>
      <c r="I44" s="205" t="s">
        <v>52</v>
      </c>
      <c r="J44" s="205" t="s">
        <v>232</v>
      </c>
      <c r="K44" s="205" t="s">
        <v>258</v>
      </c>
      <c r="L44" s="205" t="s">
        <v>257</v>
      </c>
      <c r="M44" s="205" t="s">
        <v>256</v>
      </c>
      <c r="N44" s="205" t="s">
        <v>262</v>
      </c>
    </row>
    <row r="45" spans="1:14">
      <c r="B45" s="212" t="s">
        <v>1386</v>
      </c>
      <c r="C45" s="212" t="str">
        <f>VLOOKUP(B45,QUIK!C:AL,3,FALSE)</f>
        <v>Хэдхантер</v>
      </c>
      <c r="D45" s="220">
        <v>0.1</v>
      </c>
      <c r="E45" s="208" t="s">
        <v>124</v>
      </c>
      <c r="F45" s="222" t="str">
        <f>VLOOKUP(B45,QUIK!C:AL,4,FALSE)</f>
        <v>ао</v>
      </c>
      <c r="G45" s="154">
        <f>VLOOKUP(B45,QUIK!C:AL,6,FALSE)</f>
        <v>1</v>
      </c>
      <c r="H45" s="3">
        <f>VLOOKUP(B45,QUIK!C:AL,10,FALSE)</f>
        <v>4200</v>
      </c>
      <c r="I45" s="208" t="str">
        <f>VLOOKUP(B45,QUIK!C:AL,29,FALSE)</f>
        <v>SUR</v>
      </c>
      <c r="J45" s="208">
        <f>VLOOKUP(B45,QUIK!C:AL,5,FALSE)</f>
        <v>1</v>
      </c>
      <c r="K45" s="3">
        <f>VLOOKUP(B45,QUIK!C:AL,32,FALSE)</f>
        <v>-100</v>
      </c>
      <c r="L45" s="3" t="str">
        <f>VLOOKUP(B45,QUIK!C:AL,31,FALSE)</f>
        <v/>
      </c>
      <c r="M45" s="3" t="str">
        <f>VLOOKUP(B45,QUIK!C:AL,30,FALSE)</f>
        <v/>
      </c>
      <c r="N45" s="3" t="str">
        <f>VLOOKUP(B45,QUIK!C:AL,36,FALSE)</f>
        <v>торгуется</v>
      </c>
    </row>
    <row r="46" spans="1:14">
      <c r="B46" s="212" t="s">
        <v>1224</v>
      </c>
      <c r="C46" s="212" t="str">
        <f>VLOOKUP(B46,QUIK!C:AL,3,FALSE)</f>
        <v>Сургнфгз-п</v>
      </c>
      <c r="D46" s="220">
        <v>0.1</v>
      </c>
      <c r="E46" s="208" t="s">
        <v>112</v>
      </c>
      <c r="F46" s="222" t="str">
        <f>VLOOKUP(B46,QUIK!C:AL,4,FALSE)</f>
        <v>ап</v>
      </c>
      <c r="G46" s="154">
        <f>VLOOKUP(B46,QUIK!C:AL,6,FALSE)</f>
        <v>10</v>
      </c>
      <c r="H46" s="3">
        <f>VLOOKUP(B46,QUIK!C:AL,10,FALSE)</f>
        <v>55.975000000000001</v>
      </c>
      <c r="I46" s="208" t="str">
        <f>VLOOKUP(B46,QUIK!C:AL,29,FALSE)</f>
        <v>SUR</v>
      </c>
      <c r="J46" s="208">
        <f>VLOOKUP(B46,QUIK!C:AL,5,FALSE)</f>
        <v>2</v>
      </c>
      <c r="K46" s="3">
        <f>VLOOKUP(B46,QUIK!C:AL,32,FALSE)</f>
        <v>-100</v>
      </c>
      <c r="L46" s="3" t="str">
        <f>VLOOKUP(B46,QUIK!C:AL,31,FALSE)</f>
        <v/>
      </c>
      <c r="M46" s="3" t="str">
        <f>VLOOKUP(B46,QUIK!C:AL,30,FALSE)</f>
        <v/>
      </c>
      <c r="N46" s="3" t="str">
        <f>VLOOKUP(B46,QUIK!C:AL,36,FALSE)</f>
        <v>торгуется</v>
      </c>
    </row>
    <row r="47" spans="1:14">
      <c r="B47" s="212" t="s">
        <v>1468</v>
      </c>
      <c r="C47" s="212" t="str">
        <f>VLOOKUP(B47,QUIK!C:AL,3,FALSE)</f>
        <v>ЯНДЕКС</v>
      </c>
      <c r="D47" s="220">
        <v>0.1</v>
      </c>
      <c r="E47" s="208" t="s">
        <v>118</v>
      </c>
      <c r="F47" s="222" t="str">
        <f>VLOOKUP(B47,QUIK!C:AL,4,FALSE)</f>
        <v>ао</v>
      </c>
      <c r="G47" s="154">
        <f>VLOOKUP(B47,QUIK!C:AL,6,FALSE)</f>
        <v>1</v>
      </c>
      <c r="H47" s="3">
        <f>VLOOKUP(B47,QUIK!C:AL,10,FALSE)</f>
        <v>3330.5</v>
      </c>
      <c r="I47" s="208" t="str">
        <f>VLOOKUP(B47,QUIK!C:AL,29,FALSE)</f>
        <v>SUR</v>
      </c>
      <c r="J47" s="208">
        <f>VLOOKUP(B47,QUIK!C:AL,5,FALSE)</f>
        <v>1</v>
      </c>
      <c r="K47" s="3">
        <f>VLOOKUP(B47,QUIK!C:AL,32,FALSE)</f>
        <v>-100</v>
      </c>
      <c r="L47" s="3" t="str">
        <f>VLOOKUP(B47,QUIK!C:AL,31,FALSE)</f>
        <v/>
      </c>
      <c r="M47" s="3" t="str">
        <f>VLOOKUP(B47,QUIK!C:AL,30,FALSE)</f>
        <v/>
      </c>
      <c r="N47" s="3" t="str">
        <f>VLOOKUP(B47,QUIK!C:AL,36,FALSE)</f>
        <v>торгуется</v>
      </c>
    </row>
    <row r="48" spans="1:14">
      <c r="B48" s="212" t="s">
        <v>419</v>
      </c>
      <c r="C48" s="212" t="str">
        <f>VLOOKUP(B48,QUIK!C:AL,3,FALSE)</f>
        <v>Астра ао</v>
      </c>
      <c r="D48" s="220">
        <v>0.1</v>
      </c>
      <c r="E48" s="208" t="s">
        <v>128</v>
      </c>
      <c r="F48" s="222" t="str">
        <f>VLOOKUP(B48,QUIK!C:AL,4,FALSE)</f>
        <v>ао</v>
      </c>
      <c r="G48" s="154">
        <f>VLOOKUP(B48,QUIK!C:AL,6,FALSE)</f>
        <v>1</v>
      </c>
      <c r="H48" s="3">
        <f>VLOOKUP(B48,QUIK!C:AL,10,FALSE)</f>
        <v>434.65</v>
      </c>
      <c r="I48" s="208" t="str">
        <f>VLOOKUP(B48,QUIK!C:AL,29,FALSE)</f>
        <v>SUR</v>
      </c>
      <c r="J48" s="208">
        <f>VLOOKUP(B48,QUIK!C:AL,5,FALSE)</f>
        <v>1</v>
      </c>
      <c r="K48" s="3">
        <f>VLOOKUP(B48,QUIK!C:AL,32,FALSE)</f>
        <v>-100</v>
      </c>
      <c r="L48" s="3" t="str">
        <f>VLOOKUP(B48,QUIK!C:AL,31,FALSE)</f>
        <v/>
      </c>
      <c r="M48" s="3" t="str">
        <f>VLOOKUP(B48,QUIK!C:AL,30,FALSE)</f>
        <v/>
      </c>
      <c r="N48" s="3" t="str">
        <f>VLOOKUP(B48,QUIK!C:AL,36,FALSE)</f>
        <v>торгуется</v>
      </c>
    </row>
    <row r="49" spans="1:23">
      <c r="B49" s="212" t="s">
        <v>432</v>
      </c>
      <c r="C49" s="212" t="str">
        <f>VLOOKUP(B49,QUIK!C:AL,3,FALSE)</f>
        <v>БСП ао</v>
      </c>
      <c r="D49" s="220">
        <v>0.1</v>
      </c>
      <c r="E49" s="208" t="s">
        <v>134</v>
      </c>
      <c r="F49" s="222" t="str">
        <f>VLOOKUP(B49,QUIK!C:AL,4,FALSE)</f>
        <v>ао</v>
      </c>
      <c r="G49" s="154">
        <f>VLOOKUP(B49,QUIK!C:AL,6,FALSE)</f>
        <v>10</v>
      </c>
      <c r="H49" s="3">
        <f>VLOOKUP(B49,QUIK!C:AL,10,FALSE)</f>
        <v>306.87</v>
      </c>
      <c r="I49" s="208" t="str">
        <f>VLOOKUP(B49,QUIK!C:AL,29,FALSE)</f>
        <v>SUR</v>
      </c>
      <c r="J49" s="208">
        <f>VLOOKUP(B49,QUIK!C:AL,5,FALSE)</f>
        <v>1</v>
      </c>
      <c r="K49" s="3">
        <f>VLOOKUP(B49,QUIK!C:AL,32,FALSE)</f>
        <v>-100</v>
      </c>
      <c r="L49" s="3" t="str">
        <f>VLOOKUP(B49,QUIK!C:AL,31,FALSE)</f>
        <v/>
      </c>
      <c r="M49" s="3" t="str">
        <f>VLOOKUP(B49,QUIK!C:AL,30,FALSE)</f>
        <v/>
      </c>
      <c r="N49" s="3" t="str">
        <f>VLOOKUP(B49,QUIK!C:AL,36,FALSE)</f>
        <v>торгуется</v>
      </c>
    </row>
    <row r="50" spans="1:23">
      <c r="B50" s="212" t="s">
        <v>997</v>
      </c>
      <c r="C50" s="212" t="str">
        <f>VLOOKUP(B50,QUIK!C:AL,3,FALSE)</f>
        <v>РСетиЦП ао</v>
      </c>
      <c r="D50" s="221">
        <v>9.74E-2</v>
      </c>
      <c r="E50" s="208" t="s">
        <v>998</v>
      </c>
      <c r="F50" s="222" t="str">
        <f>VLOOKUP(B50,QUIK!C:AL,4,FALSE)</f>
        <v>ао</v>
      </c>
      <c r="G50" s="154">
        <f>VLOOKUP(B50,QUIK!C:AL,6,FALSE)</f>
        <v>10000</v>
      </c>
      <c r="H50" s="3">
        <f>VLOOKUP(B50,QUIK!C:AL,10,FALSE)</f>
        <v>0.32429999999999998</v>
      </c>
      <c r="I50" s="208" t="str">
        <f>VLOOKUP(B50,QUIK!C:AL,29,FALSE)</f>
        <v>SUR</v>
      </c>
      <c r="J50" s="208">
        <f>VLOOKUP(B50,QUIK!C:AL,5,FALSE)</f>
        <v>2</v>
      </c>
      <c r="K50" s="3">
        <f>VLOOKUP(B50,QUIK!C:AL,32,FALSE)</f>
        <v>-100</v>
      </c>
      <c r="L50" s="3" t="str">
        <f>VLOOKUP(B50,QUIK!C:AL,31,FALSE)</f>
        <v/>
      </c>
      <c r="M50" s="3" t="str">
        <f>VLOOKUP(B50,QUIK!C:AL,30,FALSE)</f>
        <v/>
      </c>
      <c r="N50" s="3" t="str">
        <f>VLOOKUP(B50,QUIK!C:AL,36,FALSE)</f>
        <v>торгуется</v>
      </c>
    </row>
    <row r="51" spans="1:23">
      <c r="B51" s="212" t="s">
        <v>1224</v>
      </c>
      <c r="C51" s="212" t="str">
        <f>VLOOKUP(B51,QUIK!C:AL,3,FALSE)</f>
        <v>Сургнфгз-п</v>
      </c>
      <c r="D51" s="221">
        <v>0.1198</v>
      </c>
      <c r="E51" s="208" t="s">
        <v>112</v>
      </c>
      <c r="F51" s="222" t="str">
        <f>VLOOKUP(B51,QUIK!C:AL,4,FALSE)</f>
        <v>ап</v>
      </c>
      <c r="G51" s="154">
        <f>VLOOKUP(B51,QUIK!C:AL,6,FALSE)</f>
        <v>10</v>
      </c>
      <c r="H51" s="3">
        <f>VLOOKUP(B51,QUIK!C:AL,10,FALSE)</f>
        <v>55.975000000000001</v>
      </c>
      <c r="I51" s="208" t="str">
        <f>VLOOKUP(B51,QUIK!C:AL,29,FALSE)</f>
        <v>SUR</v>
      </c>
      <c r="J51" s="208">
        <f>VLOOKUP(B51,QUIK!C:AL,5,FALSE)</f>
        <v>2</v>
      </c>
      <c r="K51" s="3">
        <f>VLOOKUP(B51,QUIK!C:AL,32,FALSE)</f>
        <v>-100</v>
      </c>
      <c r="L51" s="3" t="str">
        <f>VLOOKUP(B51,QUIK!C:AL,31,FALSE)</f>
        <v/>
      </c>
      <c r="M51" s="3" t="str">
        <f>VLOOKUP(B51,QUIK!C:AL,30,FALSE)</f>
        <v/>
      </c>
      <c r="N51" s="3" t="str">
        <f>VLOOKUP(B51,QUIK!C:AL,36,FALSE)</f>
        <v>торгуется</v>
      </c>
    </row>
    <row r="52" spans="1:23">
      <c r="B52" s="212" t="s">
        <v>718</v>
      </c>
      <c r="C52" s="212" t="str">
        <f>VLOOKUP(B52,QUIK!C:AL,3,FALSE)</f>
        <v>ЛУКОЙЛ</v>
      </c>
      <c r="D52" s="221">
        <v>7.4000000000000003E-3</v>
      </c>
      <c r="E52" s="208" t="s">
        <v>101</v>
      </c>
      <c r="F52" s="222" t="str">
        <f>VLOOKUP(B52,QUIK!C:AL,4,FALSE)</f>
        <v>ао</v>
      </c>
      <c r="G52" s="154">
        <f>VLOOKUP(B52,QUIK!C:AL,6,FALSE)</f>
        <v>1</v>
      </c>
      <c r="H52" s="3">
        <f>VLOOKUP(B52,QUIK!C:AL,10,FALSE)</f>
        <v>6748.5</v>
      </c>
      <c r="I52" s="208" t="str">
        <f>VLOOKUP(B52,QUIK!C:AL,29,FALSE)</f>
        <v>SUR</v>
      </c>
      <c r="J52" s="208">
        <f>VLOOKUP(B52,QUIK!C:AL,5,FALSE)</f>
        <v>1</v>
      </c>
      <c r="K52" s="3">
        <f>VLOOKUP(B52,QUIK!C:AL,32,FALSE)</f>
        <v>-100</v>
      </c>
      <c r="L52" s="3" t="str">
        <f>VLOOKUP(B52,QUIK!C:AL,31,FALSE)</f>
        <v/>
      </c>
      <c r="M52" s="3" t="str">
        <f>VLOOKUP(B52,QUIK!C:AL,30,FALSE)</f>
        <v/>
      </c>
      <c r="N52" s="3" t="str">
        <f>VLOOKUP(B52,QUIK!C:AL,36,FALSE)</f>
        <v>торгуется</v>
      </c>
    </row>
    <row r="53" spans="1:23">
      <c r="B53" s="212" t="s">
        <v>432</v>
      </c>
      <c r="C53" s="212" t="str">
        <f>VLOOKUP(B53,QUIK!C:AL,3,FALSE)</f>
        <v>БСП ао</v>
      </c>
      <c r="D53" s="221">
        <v>0.152</v>
      </c>
      <c r="E53" s="208" t="s">
        <v>134</v>
      </c>
      <c r="F53" s="222" t="str">
        <f>VLOOKUP(B53,QUIK!C:AL,4,FALSE)</f>
        <v>ао</v>
      </c>
      <c r="G53" s="154">
        <f>VLOOKUP(B53,QUIK!C:AL,6,FALSE)</f>
        <v>10</v>
      </c>
      <c r="H53" s="3">
        <f>VLOOKUP(B53,QUIK!C:AL,10,FALSE)</f>
        <v>306.87</v>
      </c>
      <c r="I53" s="208" t="str">
        <f>VLOOKUP(B53,QUIK!C:AL,29,FALSE)</f>
        <v>SUR</v>
      </c>
      <c r="J53" s="208">
        <f>VLOOKUP(B53,QUIK!C:AL,5,FALSE)</f>
        <v>1</v>
      </c>
      <c r="K53" s="3">
        <f>VLOOKUP(B53,QUIK!C:AL,32,FALSE)</f>
        <v>-100</v>
      </c>
      <c r="L53" s="3" t="str">
        <f>VLOOKUP(B53,QUIK!C:AL,31,FALSE)</f>
        <v/>
      </c>
      <c r="M53" s="3" t="str">
        <f>VLOOKUP(B53,QUIK!C:AL,30,FALSE)</f>
        <v/>
      </c>
      <c r="N53" s="3" t="str">
        <f>VLOOKUP(B53,QUIK!C:AL,36,FALSE)</f>
        <v>торгуется</v>
      </c>
    </row>
    <row r="54" spans="1:23">
      <c r="B54" s="212" t="s">
        <v>452</v>
      </c>
      <c r="C54" s="212" t="str">
        <f>VLOOKUP(B54,QUIK!C:AL,3,FALSE)</f>
        <v>Башнефт ап</v>
      </c>
      <c r="D54" s="221">
        <v>0.1234</v>
      </c>
      <c r="E54" s="208" t="s">
        <v>453</v>
      </c>
      <c r="F54" s="222" t="str">
        <f>VLOOKUP(B54,QUIK!C:AL,4,FALSE)</f>
        <v>ап</v>
      </c>
      <c r="G54" s="154">
        <f>VLOOKUP(B54,QUIK!C:AL,6,FALSE)</f>
        <v>1</v>
      </c>
      <c r="H54" s="3">
        <f>VLOOKUP(B54,QUIK!C:AL,10,FALSE)</f>
        <v>1084</v>
      </c>
      <c r="I54" s="208" t="str">
        <f>VLOOKUP(B54,QUIK!C:AL,29,FALSE)</f>
        <v>SUR</v>
      </c>
      <c r="J54" s="208">
        <f>VLOOKUP(B54,QUIK!C:AL,5,FALSE)</f>
        <v>3</v>
      </c>
      <c r="K54" s="3">
        <f>VLOOKUP(B54,QUIK!C:AL,32,FALSE)</f>
        <v>9</v>
      </c>
      <c r="L54" s="3" t="str">
        <f>VLOOKUP(B54,QUIK!C:AL,31,FALSE)</f>
        <v/>
      </c>
      <c r="M54" s="3" t="str">
        <f>VLOOKUP(B54,QUIK!C:AL,30,FALSE)</f>
        <v/>
      </c>
      <c r="N54" s="3" t="str">
        <f>VLOOKUP(B54,QUIK!C:AL,36,FALSE)</f>
        <v>торгуется</v>
      </c>
    </row>
    <row r="55" spans="1:23">
      <c r="C55" s="132" t="s">
        <v>12250</v>
      </c>
      <c r="D55" s="90">
        <f>SUM(D45:D54)</f>
        <v>1</v>
      </c>
    </row>
    <row r="56" spans="1:23">
      <c r="C56" s="132" t="s">
        <v>13027</v>
      </c>
      <c r="D56" s="181">
        <f>100%-D55</f>
        <v>0</v>
      </c>
    </row>
    <row r="57" spans="1:23">
      <c r="B57" s="203" t="s">
        <v>91</v>
      </c>
      <c r="C57" s="204" t="s">
        <v>12790</v>
      </c>
    </row>
    <row r="58" spans="1:23">
      <c r="A58" s="262" t="s">
        <v>13004</v>
      </c>
      <c r="B58" s="132" t="s">
        <v>12880</v>
      </c>
      <c r="C58" t="s">
        <v>98</v>
      </c>
      <c r="L58" s="211" t="s">
        <v>13002</v>
      </c>
      <c r="M58" s="211" t="s">
        <v>13001</v>
      </c>
      <c r="N58" s="211" t="s">
        <v>13001</v>
      </c>
    </row>
    <row r="59" spans="1:23" ht="45">
      <c r="B59" s="214" t="s">
        <v>228</v>
      </c>
      <c r="C59" s="215" t="s">
        <v>12883</v>
      </c>
      <c r="D59" s="216" t="s">
        <v>65</v>
      </c>
      <c r="E59" s="205" t="s">
        <v>1964</v>
      </c>
      <c r="F59" s="205" t="s">
        <v>12243</v>
      </c>
      <c r="G59" s="205" t="s">
        <v>235</v>
      </c>
      <c r="H59" s="205" t="s">
        <v>237</v>
      </c>
      <c r="I59" s="205" t="s">
        <v>255</v>
      </c>
      <c r="J59" s="205" t="s">
        <v>52</v>
      </c>
      <c r="K59" s="205" t="s">
        <v>232</v>
      </c>
      <c r="L59" s="205" t="s">
        <v>258</v>
      </c>
      <c r="M59" s="205" t="s">
        <v>257</v>
      </c>
      <c r="N59" s="205" t="s">
        <v>256</v>
      </c>
      <c r="O59" s="205" t="s">
        <v>262</v>
      </c>
      <c r="P59" s="205" t="s">
        <v>12859</v>
      </c>
      <c r="Q59" s="205" t="s">
        <v>12860</v>
      </c>
      <c r="R59" s="205" t="s">
        <v>12861</v>
      </c>
      <c r="S59" s="205" t="s">
        <v>12862</v>
      </c>
      <c r="T59" s="205" t="s">
        <v>12863</v>
      </c>
      <c r="U59" s="205" t="s">
        <v>12864</v>
      </c>
      <c r="V59" s="205" t="s">
        <v>12865</v>
      </c>
      <c r="W59" s="205" t="s">
        <v>13005</v>
      </c>
    </row>
    <row r="60" spans="1:23">
      <c r="B60" s="213" t="s">
        <v>2201</v>
      </c>
      <c r="C60" s="212" t="s">
        <v>2203</v>
      </c>
      <c r="D60" s="219">
        <f t="shared" ref="D60:D70" si="0">W60/SUM($W$60:$W$70)</f>
        <v>0.1</v>
      </c>
      <c r="E60" s="3" t="s">
        <v>12868</v>
      </c>
      <c r="F60" s="222" t="str">
        <f>VLOOKUP(B60,QUIK!C:AL,4,FALSE)</f>
        <v>РФ</v>
      </c>
      <c r="G60" s="207" t="s">
        <v>12867</v>
      </c>
      <c r="H60" s="3">
        <v>94.23</v>
      </c>
      <c r="I60" s="208" t="str">
        <f>VLOOKUP(B60,QUIK!C:AL,29,FALSE)</f>
        <v>SUR</v>
      </c>
      <c r="J60" s="208" t="str">
        <f>VLOOKUP(B60,QUIK!C:AL,28,FALSE)</f>
        <v>SUR</v>
      </c>
      <c r="K60" s="208">
        <f>VLOOKUP(B60,QUIK!C:AL,5,FALSE)</f>
        <v>1</v>
      </c>
      <c r="L60" s="3">
        <f>VLOOKUP(B60,QUIK!C:AL,32,FALSE)</f>
        <v>-100</v>
      </c>
      <c r="M60" s="3" t="str">
        <f>VLOOKUP(B60,QUIK!C:AL,31,FALSE)</f>
        <v/>
      </c>
      <c r="N60" s="3" t="str">
        <f>VLOOKUP(B60,QUIK!C:AL,30,FALSE)</f>
        <v/>
      </c>
      <c r="O60" s="3" t="str">
        <f>VLOOKUP(B60,QUIK!C:AL,36,FALSE)</f>
        <v>торгуется</v>
      </c>
      <c r="P60" s="3">
        <v>19.78</v>
      </c>
      <c r="Q60" s="208">
        <v>160</v>
      </c>
      <c r="R60" s="209">
        <v>45854</v>
      </c>
      <c r="S60" s="3">
        <v>22.44</v>
      </c>
      <c r="T60" s="3">
        <v>182</v>
      </c>
      <c r="U60" s="3">
        <v>2.84</v>
      </c>
      <c r="V60" s="209">
        <v>45854</v>
      </c>
      <c r="W60" s="3">
        <f t="shared" ref="W60:W70" si="1">IF((Q60/365)&lt;=2,2,IF((Q60/365)&gt;3,3,1))</f>
        <v>2</v>
      </c>
    </row>
    <row r="61" spans="1:23">
      <c r="B61" s="213" t="s">
        <v>2166</v>
      </c>
      <c r="C61" s="212" t="s">
        <v>2168</v>
      </c>
      <c r="D61" s="219">
        <f t="shared" si="0"/>
        <v>0.1</v>
      </c>
      <c r="E61" s="3" t="s">
        <v>12869</v>
      </c>
      <c r="F61" s="222" t="str">
        <f>VLOOKUP(B61,QUIK!C:AL,4,FALSE)</f>
        <v>РФ</v>
      </c>
      <c r="G61" s="207" t="s">
        <v>12867</v>
      </c>
      <c r="H61" s="3">
        <v>87.129000000000005</v>
      </c>
      <c r="I61" s="208" t="str">
        <f>VLOOKUP(B61,QUIK!C:AL,29,FALSE)</f>
        <v>SUR</v>
      </c>
      <c r="J61" s="208" t="str">
        <f>VLOOKUP(B61,QUIK!C:AL,28,FALSE)</f>
        <v>SUR</v>
      </c>
      <c r="K61" s="208">
        <f>VLOOKUP(B61,QUIK!C:AL,5,FALSE)</f>
        <v>1</v>
      </c>
      <c r="L61" s="3">
        <f>VLOOKUP(B61,QUIK!C:AL,32,FALSE)</f>
        <v>-100</v>
      </c>
      <c r="M61" s="3" t="str">
        <f>VLOOKUP(B61,QUIK!C:AL,31,FALSE)</f>
        <v/>
      </c>
      <c r="N61" s="3" t="str">
        <f>VLOOKUP(B61,QUIK!C:AL,30,FALSE)</f>
        <v/>
      </c>
      <c r="O61" s="3" t="str">
        <f>VLOOKUP(B61,QUIK!C:AL,36,FALSE)</f>
        <v>торгуется</v>
      </c>
      <c r="P61" s="3">
        <v>17.88</v>
      </c>
      <c r="Q61" s="208">
        <v>608</v>
      </c>
      <c r="R61" s="209">
        <v>46302</v>
      </c>
      <c r="S61" s="3">
        <v>39.64</v>
      </c>
      <c r="T61" s="3">
        <v>182</v>
      </c>
      <c r="U61" s="3">
        <v>26.35</v>
      </c>
      <c r="V61" s="209">
        <v>45756</v>
      </c>
      <c r="W61" s="3">
        <f t="shared" si="1"/>
        <v>2</v>
      </c>
    </row>
    <row r="62" spans="1:23">
      <c r="B62" s="213" t="s">
        <v>2176</v>
      </c>
      <c r="C62" s="212" t="s">
        <v>2178</v>
      </c>
      <c r="D62" s="219">
        <f t="shared" si="0"/>
        <v>0.1</v>
      </c>
      <c r="E62" s="3" t="s">
        <v>12870</v>
      </c>
      <c r="F62" s="222" t="str">
        <f>VLOOKUP(B62,QUIK!C:AL,4,FALSE)</f>
        <v>РФ</v>
      </c>
      <c r="G62" s="207" t="s">
        <v>12867</v>
      </c>
      <c r="H62" s="3">
        <v>92.28</v>
      </c>
      <c r="I62" s="208" t="str">
        <f>VLOOKUP(B62,QUIK!C:AL,29,FALSE)</f>
        <v>SUR</v>
      </c>
      <c r="J62" s="208" t="str">
        <f>VLOOKUP(B62,QUIK!C:AL,28,FALSE)</f>
        <v>SUR</v>
      </c>
      <c r="K62" s="208">
        <f>VLOOKUP(B62,QUIK!C:AL,5,FALSE)</f>
        <v>1</v>
      </c>
      <c r="L62" s="3">
        <f>VLOOKUP(B62,QUIK!C:AL,32,FALSE)</f>
        <v>-100</v>
      </c>
      <c r="M62" s="3" t="str">
        <f>VLOOKUP(B62,QUIK!C:AL,31,FALSE)</f>
        <v/>
      </c>
      <c r="N62" s="3" t="str">
        <f>VLOOKUP(B62,QUIK!C:AL,30,FALSE)</f>
        <v/>
      </c>
      <c r="O62" s="3" t="str">
        <f>VLOOKUP(B62,QUIK!C:AL,36,FALSE)</f>
        <v>торгуется</v>
      </c>
      <c r="P62" s="3">
        <v>19.260000000000002</v>
      </c>
      <c r="Q62" s="208">
        <v>279</v>
      </c>
      <c r="R62" s="209">
        <v>45973</v>
      </c>
      <c r="S62" s="3">
        <v>35.65</v>
      </c>
      <c r="T62" s="3">
        <v>182</v>
      </c>
      <c r="U62" s="3">
        <v>16.850000000000001</v>
      </c>
      <c r="V62" s="209">
        <v>45791</v>
      </c>
      <c r="W62" s="3">
        <f t="shared" si="1"/>
        <v>2</v>
      </c>
    </row>
    <row r="63" spans="1:23">
      <c r="B63" s="213" t="s">
        <v>9535</v>
      </c>
      <c r="C63" s="212" t="s">
        <v>9536</v>
      </c>
      <c r="D63" s="219">
        <f t="shared" si="0"/>
        <v>0.1</v>
      </c>
      <c r="E63" s="3" t="s">
        <v>12874</v>
      </c>
      <c r="F63" s="222" t="str">
        <f>VLOOKUP(B63,QUIK!C:AL,4,FALSE)</f>
        <v>бирж.обл.</v>
      </c>
      <c r="G63" s="207" t="s">
        <v>12867</v>
      </c>
      <c r="H63" s="3">
        <v>87.68</v>
      </c>
      <c r="I63" s="208" t="str">
        <f>VLOOKUP(B63,QUIK!C:AL,29,FALSE)</f>
        <v>SUR</v>
      </c>
      <c r="J63" s="208" t="str">
        <f>VLOOKUP(B63,QUIK!C:AL,28,FALSE)</f>
        <v>SUR</v>
      </c>
      <c r="K63" s="208">
        <f>VLOOKUP(B63,QUIK!C:AL,5,FALSE)</f>
        <v>1</v>
      </c>
      <c r="L63" s="3">
        <f>VLOOKUP(B63,QUIK!C:AL,32,FALSE)</f>
        <v>-100</v>
      </c>
      <c r="M63" s="3" t="str">
        <f>VLOOKUP(B63,QUIK!C:AL,31,FALSE)</f>
        <v/>
      </c>
      <c r="N63" s="3" t="str">
        <f>VLOOKUP(B63,QUIK!C:AL,30,FALSE)</f>
        <v/>
      </c>
      <c r="O63" s="3" t="str">
        <f>VLOOKUP(B63,QUIK!C:AL,36,FALSE)</f>
        <v>торгуется</v>
      </c>
      <c r="P63" s="3">
        <v>20.72</v>
      </c>
      <c r="Q63" s="208">
        <v>427</v>
      </c>
      <c r="R63" s="209">
        <v>46121</v>
      </c>
      <c r="S63" s="3">
        <v>37.15</v>
      </c>
      <c r="T63" s="3">
        <v>182</v>
      </c>
      <c r="U63" s="3">
        <v>24.49</v>
      </c>
      <c r="V63" s="209">
        <v>45757</v>
      </c>
      <c r="W63" s="3">
        <f t="shared" si="1"/>
        <v>2</v>
      </c>
    </row>
    <row r="64" spans="1:23">
      <c r="B64" s="213" t="s">
        <v>7363</v>
      </c>
      <c r="C64" s="212" t="s">
        <v>7364</v>
      </c>
      <c r="D64" s="219">
        <f t="shared" si="0"/>
        <v>0.1</v>
      </c>
      <c r="E64" s="3" t="s">
        <v>12875</v>
      </c>
      <c r="F64" s="222" t="str">
        <f>VLOOKUP(B64,QUIK!C:AL,4,FALSE)</f>
        <v>бирж.обл.</v>
      </c>
      <c r="G64" s="207" t="s">
        <v>12867</v>
      </c>
      <c r="H64" s="3">
        <v>100.15</v>
      </c>
      <c r="I64" s="208" t="str">
        <f>VLOOKUP(B64,QUIK!C:AL,29,FALSE)</f>
        <v>SUR</v>
      </c>
      <c r="J64" s="208" t="str">
        <f>VLOOKUP(B64,QUIK!C:AL,28,FALSE)</f>
        <v>SUR</v>
      </c>
      <c r="K64" s="208">
        <f>VLOOKUP(B64,QUIK!C:AL,5,FALSE)</f>
        <v>2</v>
      </c>
      <c r="L64" s="3">
        <f>VLOOKUP(B64,QUIK!C:AL,32,FALSE)</f>
        <v>-100</v>
      </c>
      <c r="M64" s="3" t="str">
        <f>VLOOKUP(B64,QUIK!C:AL,31,FALSE)</f>
        <v/>
      </c>
      <c r="N64" s="3" t="str">
        <f>VLOOKUP(B64,QUIK!C:AL,30,FALSE)</f>
        <v/>
      </c>
      <c r="O64" s="3" t="str">
        <f>VLOOKUP(B64,QUIK!C:AL,36,FALSE)</f>
        <v>торгуется</v>
      </c>
      <c r="P64" s="3">
        <v>23.57</v>
      </c>
      <c r="Q64" s="208">
        <v>437</v>
      </c>
      <c r="R64" s="209">
        <v>46131</v>
      </c>
      <c r="S64" s="3">
        <v>17.670000000000002</v>
      </c>
      <c r="T64" s="3">
        <v>30</v>
      </c>
      <c r="U64" s="3">
        <v>8.25</v>
      </c>
      <c r="V64" s="209">
        <v>45711</v>
      </c>
      <c r="W64" s="3">
        <f t="shared" si="1"/>
        <v>2</v>
      </c>
    </row>
    <row r="65" spans="1:23">
      <c r="B65" s="213" t="s">
        <v>9543</v>
      </c>
      <c r="C65" s="212" t="s">
        <v>9544</v>
      </c>
      <c r="D65" s="219">
        <f t="shared" si="0"/>
        <v>0.1</v>
      </c>
      <c r="E65" s="3" t="s">
        <v>12876</v>
      </c>
      <c r="F65" s="222" t="str">
        <f>VLOOKUP(B65,QUIK!C:AL,4,FALSE)</f>
        <v>бирж.обл.</v>
      </c>
      <c r="G65" s="207" t="s">
        <v>12867</v>
      </c>
      <c r="H65" s="3">
        <v>85.79</v>
      </c>
      <c r="I65" s="208" t="str">
        <f>VLOOKUP(B65,QUIK!C:AL,29,FALSE)</f>
        <v>SUR</v>
      </c>
      <c r="J65" s="208" t="str">
        <f>VLOOKUP(B65,QUIK!C:AL,28,FALSE)</f>
        <v>SUR</v>
      </c>
      <c r="K65" s="208">
        <f>VLOOKUP(B65,QUIK!C:AL,5,FALSE)</f>
        <v>1</v>
      </c>
      <c r="L65" s="3">
        <f>VLOOKUP(B65,QUIK!C:AL,32,FALSE)</f>
        <v>-100</v>
      </c>
      <c r="M65" s="3" t="str">
        <f>VLOOKUP(B65,QUIK!C:AL,31,FALSE)</f>
        <v/>
      </c>
      <c r="N65" s="3" t="str">
        <f>VLOOKUP(B65,QUIK!C:AL,30,FALSE)</f>
        <v/>
      </c>
      <c r="O65" s="3" t="str">
        <f>VLOOKUP(B65,QUIK!C:AL,36,FALSE)</f>
        <v>торгуется</v>
      </c>
      <c r="P65" s="3">
        <v>20.86</v>
      </c>
      <c r="Q65" s="208">
        <v>494</v>
      </c>
      <c r="R65" s="209">
        <v>46188</v>
      </c>
      <c r="S65" s="3">
        <v>36.9</v>
      </c>
      <c r="T65" s="3">
        <v>182</v>
      </c>
      <c r="U65" s="3">
        <v>10.75</v>
      </c>
      <c r="V65" s="209">
        <v>45824</v>
      </c>
      <c r="W65" s="3">
        <f t="shared" si="1"/>
        <v>2</v>
      </c>
    </row>
    <row r="66" spans="1:23">
      <c r="B66" s="213" t="s">
        <v>4254</v>
      </c>
      <c r="C66" s="212" t="s">
        <v>4255</v>
      </c>
      <c r="D66" s="219">
        <f t="shared" si="0"/>
        <v>0.05</v>
      </c>
      <c r="E66" s="3" t="s">
        <v>12877</v>
      </c>
      <c r="F66" s="222" t="str">
        <f>VLOOKUP(B66,QUIK!C:AL,4,FALSE)</f>
        <v>бирж.обл.</v>
      </c>
      <c r="G66" s="207" t="s">
        <v>12867</v>
      </c>
      <c r="H66" s="3">
        <v>81.599999999999994</v>
      </c>
      <c r="I66" s="208" t="str">
        <f>VLOOKUP(B66,QUIK!C:AL,29,FALSE)</f>
        <v>SUR</v>
      </c>
      <c r="J66" s="208" t="str">
        <f>VLOOKUP(B66,QUIK!C:AL,28,FALSE)</f>
        <v>SUR</v>
      </c>
      <c r="K66" s="208">
        <f>VLOOKUP(B66,QUIK!C:AL,5,FALSE)</f>
        <v>2</v>
      </c>
      <c r="L66" s="3">
        <f>VLOOKUP(B66,QUIK!C:AL,32,FALSE)</f>
        <v>6</v>
      </c>
      <c r="M66" s="3" t="str">
        <f>VLOOKUP(B66,QUIK!C:AL,31,FALSE)</f>
        <v/>
      </c>
      <c r="N66" s="3" t="str">
        <f>VLOOKUP(B66,QUIK!C:AL,30,FALSE)</f>
        <v/>
      </c>
      <c r="O66" s="3" t="str">
        <f>VLOOKUP(B66,QUIK!C:AL,36,FALSE)</f>
        <v>торгуется</v>
      </c>
      <c r="P66" s="3">
        <v>21.88</v>
      </c>
      <c r="Q66" s="208">
        <v>875</v>
      </c>
      <c r="R66" s="209">
        <v>46569</v>
      </c>
      <c r="S66" s="3">
        <v>53.1</v>
      </c>
      <c r="T66" s="3">
        <v>182</v>
      </c>
      <c r="U66" s="3">
        <v>1.75</v>
      </c>
      <c r="V66" s="209">
        <v>45871</v>
      </c>
      <c r="W66" s="3">
        <f t="shared" si="1"/>
        <v>1</v>
      </c>
    </row>
    <row r="67" spans="1:23">
      <c r="B67" s="213" t="s">
        <v>2131</v>
      </c>
      <c r="C67" s="212" t="s">
        <v>2133</v>
      </c>
      <c r="D67" s="219">
        <f t="shared" si="0"/>
        <v>0.1</v>
      </c>
      <c r="E67" s="3" t="s">
        <v>12872</v>
      </c>
      <c r="F67" s="222" t="str">
        <f>VLOOKUP(B67,QUIK!C:AL,4,FALSE)</f>
        <v>РФ</v>
      </c>
      <c r="G67" s="207" t="s">
        <v>12867</v>
      </c>
      <c r="H67" s="3">
        <v>85.697999999999993</v>
      </c>
      <c r="I67" s="208" t="str">
        <f>VLOOKUP(B67,QUIK!C:AL,29,FALSE)</f>
        <v>SUR</v>
      </c>
      <c r="J67" s="208" t="str">
        <f>VLOOKUP(B67,QUIK!C:AL,28,FALSE)</f>
        <v>SUR</v>
      </c>
      <c r="K67" s="208">
        <f>VLOOKUP(B67,QUIK!C:AL,5,FALSE)</f>
        <v>1</v>
      </c>
      <c r="L67" s="3">
        <f>VLOOKUP(B67,QUIK!C:AL,32,FALSE)</f>
        <v>-100</v>
      </c>
      <c r="M67" s="3" t="str">
        <f>VLOOKUP(B67,QUIK!C:AL,31,FALSE)</f>
        <v/>
      </c>
      <c r="N67" s="3" t="str">
        <f>VLOOKUP(B67,QUIK!C:AL,30,FALSE)</f>
        <v/>
      </c>
      <c r="O67" s="3" t="str">
        <f>VLOOKUP(B67,QUIK!C:AL,36,FALSE)</f>
        <v>торгуется</v>
      </c>
      <c r="P67" s="3">
        <v>17.63</v>
      </c>
      <c r="Q67" s="208">
        <v>727</v>
      </c>
      <c r="R67" s="209">
        <v>46421</v>
      </c>
      <c r="S67" s="3">
        <v>40.64</v>
      </c>
      <c r="T67" s="3">
        <v>182</v>
      </c>
      <c r="U67" s="3">
        <v>0.45</v>
      </c>
      <c r="V67" s="209">
        <v>45875</v>
      </c>
      <c r="W67" s="3">
        <f t="shared" si="1"/>
        <v>2</v>
      </c>
    </row>
    <row r="68" spans="1:23">
      <c r="B68" s="213" t="s">
        <v>2136</v>
      </c>
      <c r="C68" s="212" t="s">
        <v>2138</v>
      </c>
      <c r="D68" s="219">
        <f t="shared" si="0"/>
        <v>0.05</v>
      </c>
      <c r="E68" s="3" t="s">
        <v>12873</v>
      </c>
      <c r="F68" s="222" t="str">
        <f>VLOOKUP(B68,QUIK!C:AL,4,FALSE)</f>
        <v>РФ</v>
      </c>
      <c r="G68" s="207" t="s">
        <v>12867</v>
      </c>
      <c r="H68" s="3">
        <v>78.164000000000001</v>
      </c>
      <c r="I68" s="208" t="str">
        <f>VLOOKUP(B68,QUIK!C:AL,29,FALSE)</f>
        <v>SUR</v>
      </c>
      <c r="J68" s="208" t="str">
        <f>VLOOKUP(B68,QUIK!C:AL,28,FALSE)</f>
        <v>SUR</v>
      </c>
      <c r="K68" s="208">
        <f>VLOOKUP(B68,QUIK!C:AL,5,FALSE)</f>
        <v>1</v>
      </c>
      <c r="L68" s="3">
        <f>VLOOKUP(B68,QUIK!C:AL,32,FALSE)</f>
        <v>-100</v>
      </c>
      <c r="M68" s="3" t="str">
        <f>VLOOKUP(B68,QUIK!C:AL,31,FALSE)</f>
        <v/>
      </c>
      <c r="N68" s="3" t="str">
        <f>VLOOKUP(B68,QUIK!C:AL,30,FALSE)</f>
        <v/>
      </c>
      <c r="O68" s="3" t="str">
        <f>VLOOKUP(B68,QUIK!C:AL,36,FALSE)</f>
        <v>торгуется</v>
      </c>
      <c r="P68" s="3">
        <v>17.43</v>
      </c>
      <c r="Q68" s="208">
        <v>1077</v>
      </c>
      <c r="R68" s="209">
        <v>46771</v>
      </c>
      <c r="S68" s="3">
        <v>35.15</v>
      </c>
      <c r="T68" s="3">
        <v>182</v>
      </c>
      <c r="U68" s="3">
        <v>3.09</v>
      </c>
      <c r="V68" s="209">
        <v>45861</v>
      </c>
      <c r="W68" s="3">
        <f t="shared" si="1"/>
        <v>1</v>
      </c>
    </row>
    <row r="69" spans="1:23">
      <c r="B69" s="213" t="s">
        <v>8988</v>
      </c>
      <c r="C69" s="212" t="s">
        <v>8989</v>
      </c>
      <c r="D69" s="219">
        <f t="shared" si="0"/>
        <v>0.1</v>
      </c>
      <c r="E69" s="3" t="s">
        <v>12878</v>
      </c>
      <c r="F69" s="222" t="str">
        <f>VLOOKUP(B69,QUIK!C:AL,4,FALSE)</f>
        <v>бирж.обл.</v>
      </c>
      <c r="G69" s="207" t="s">
        <v>12867</v>
      </c>
      <c r="H69" s="3">
        <v>94.9</v>
      </c>
      <c r="I69" s="208" t="str">
        <f>VLOOKUP(B69,QUIK!C:AL,29,FALSE)</f>
        <v>SUR</v>
      </c>
      <c r="J69" s="208" t="str">
        <f>VLOOKUP(B69,QUIK!C:AL,28,FALSE)</f>
        <v>SUR</v>
      </c>
      <c r="K69" s="208">
        <f>VLOOKUP(B69,QUIK!C:AL,5,FALSE)</f>
        <v>2</v>
      </c>
      <c r="L69" s="3">
        <f>VLOOKUP(B69,QUIK!C:AL,32,FALSE)</f>
        <v>6</v>
      </c>
      <c r="M69" s="3" t="str">
        <f>VLOOKUP(B69,QUIK!C:AL,31,FALSE)</f>
        <v/>
      </c>
      <c r="N69" s="3" t="str">
        <f>VLOOKUP(B69,QUIK!C:AL,30,FALSE)</f>
        <v/>
      </c>
      <c r="O69" s="3" t="str">
        <f>VLOOKUP(B69,QUIK!C:AL,36,FALSE)</f>
        <v>торгуется</v>
      </c>
      <c r="P69" s="3">
        <v>20.92</v>
      </c>
      <c r="Q69" s="208">
        <v>419</v>
      </c>
      <c r="R69" s="209">
        <v>46113</v>
      </c>
      <c r="S69" s="3">
        <v>35.9</v>
      </c>
      <c r="T69" s="3">
        <v>91</v>
      </c>
      <c r="U69" s="3">
        <v>14.6</v>
      </c>
      <c r="V69" s="209">
        <v>45749</v>
      </c>
      <c r="W69" s="3">
        <f t="shared" si="1"/>
        <v>2</v>
      </c>
    </row>
    <row r="70" spans="1:23">
      <c r="B70" s="213" t="s">
        <v>1977</v>
      </c>
      <c r="C70" s="212" t="s">
        <v>1975</v>
      </c>
      <c r="D70" s="219">
        <f t="shared" si="0"/>
        <v>0.1</v>
      </c>
      <c r="E70" s="3" t="s">
        <v>12879</v>
      </c>
      <c r="F70" s="222" t="str">
        <f>VLOOKUP(B70,QUIK!C:AL,4,FALSE)</f>
        <v>бирж.обл.</v>
      </c>
      <c r="G70" s="207" t="s">
        <v>12867</v>
      </c>
      <c r="H70" s="3">
        <v>97</v>
      </c>
      <c r="I70" s="208" t="str">
        <f>VLOOKUP(B70,QUIK!C:AL,29,FALSE)</f>
        <v>SUR</v>
      </c>
      <c r="J70" s="208" t="str">
        <f>VLOOKUP(B70,QUIK!C:AL,28,FALSE)</f>
        <v>SUR</v>
      </c>
      <c r="K70" s="208">
        <f>VLOOKUP(B70,QUIK!C:AL,5,FALSE)</f>
        <v>1</v>
      </c>
      <c r="L70" s="3">
        <f>VLOOKUP(B70,QUIK!C:AL,32,FALSE)</f>
        <v>6</v>
      </c>
      <c r="M70" s="3" t="str">
        <f>VLOOKUP(B70,QUIK!C:AL,31,FALSE)</f>
        <v/>
      </c>
      <c r="N70" s="3" t="str">
        <f>VLOOKUP(B70,QUIK!C:AL,30,FALSE)</f>
        <v/>
      </c>
      <c r="O70" s="3" t="str">
        <f>VLOOKUP(B70,QUIK!C:AL,36,FALSE)</f>
        <v>торгуется</v>
      </c>
      <c r="P70" s="3">
        <v>24.96</v>
      </c>
      <c r="Q70" s="208">
        <v>138</v>
      </c>
      <c r="R70" s="209">
        <v>45832</v>
      </c>
      <c r="S70" s="3">
        <v>25.55</v>
      </c>
      <c r="T70" s="3">
        <v>91</v>
      </c>
      <c r="U70" s="3">
        <v>12.64</v>
      </c>
      <c r="V70" s="209">
        <v>45741</v>
      </c>
      <c r="W70" s="3">
        <f t="shared" si="1"/>
        <v>2</v>
      </c>
    </row>
    <row r="71" spans="1:23">
      <c r="C71" s="132" t="s">
        <v>12250</v>
      </c>
      <c r="D71" s="90">
        <f>SUM(D60:D70)</f>
        <v>1</v>
      </c>
    </row>
    <row r="72" spans="1:23">
      <c r="C72" s="132" t="s">
        <v>13027</v>
      </c>
      <c r="D72" s="181">
        <f>100%-D71</f>
        <v>0</v>
      </c>
    </row>
    <row r="73" spans="1:23">
      <c r="B73" s="203" t="s">
        <v>91</v>
      </c>
      <c r="C73" s="204" t="s">
        <v>12815</v>
      </c>
      <c r="D73" s="204"/>
    </row>
    <row r="74" spans="1:23">
      <c r="A74" s="262" t="s">
        <v>13004</v>
      </c>
      <c r="B74" s="132" t="s">
        <v>12880</v>
      </c>
      <c r="C74" t="s">
        <v>98</v>
      </c>
      <c r="L74" s="211" t="s">
        <v>13002</v>
      </c>
      <c r="M74" s="211" t="s">
        <v>13001</v>
      </c>
      <c r="N74" s="211" t="s">
        <v>13001</v>
      </c>
    </row>
    <row r="75" spans="1:23" ht="45">
      <c r="B75" s="214" t="s">
        <v>228</v>
      </c>
      <c r="C75" s="215" t="s">
        <v>12883</v>
      </c>
      <c r="D75" s="216" t="s">
        <v>65</v>
      </c>
      <c r="E75" s="205" t="s">
        <v>1964</v>
      </c>
      <c r="F75" s="205" t="s">
        <v>12243</v>
      </c>
      <c r="G75" s="205" t="s">
        <v>235</v>
      </c>
      <c r="H75" s="205" t="s">
        <v>237</v>
      </c>
      <c r="I75" s="205" t="s">
        <v>255</v>
      </c>
      <c r="J75" s="205" t="s">
        <v>52</v>
      </c>
      <c r="K75" s="205" t="s">
        <v>232</v>
      </c>
      <c r="L75" s="205" t="s">
        <v>258</v>
      </c>
      <c r="M75" s="205" t="s">
        <v>257</v>
      </c>
      <c r="N75" s="205" t="s">
        <v>256</v>
      </c>
      <c r="O75" s="205" t="s">
        <v>262</v>
      </c>
      <c r="P75" s="205" t="s">
        <v>12859</v>
      </c>
      <c r="Q75" s="205" t="s">
        <v>12860</v>
      </c>
      <c r="R75" s="205" t="s">
        <v>12861</v>
      </c>
      <c r="S75" s="205" t="s">
        <v>12862</v>
      </c>
      <c r="T75" s="205" t="s">
        <v>12863</v>
      </c>
      <c r="U75" s="205" t="s">
        <v>12864</v>
      </c>
      <c r="V75" s="205" t="s">
        <v>12865</v>
      </c>
      <c r="W75" s="205" t="s">
        <v>13005</v>
      </c>
    </row>
    <row r="76" spans="1:23">
      <c r="B76" s="213" t="s">
        <v>2211</v>
      </c>
      <c r="C76" s="212" t="s">
        <v>2213</v>
      </c>
      <c r="D76" s="219">
        <f t="shared" ref="D76:D82" si="2">W76/SUM($W$76:$W$82)</f>
        <v>9.0909090909090912E-2</v>
      </c>
      <c r="E76" s="3" t="s">
        <v>12866</v>
      </c>
      <c r="F76" s="222" t="str">
        <f>VLOOKUP(B76,QUIK!C:AL,4,FALSE)</f>
        <v>РФ</v>
      </c>
      <c r="G76" s="207" t="s">
        <v>12867</v>
      </c>
      <c r="H76" s="3">
        <v>72.2</v>
      </c>
      <c r="I76" s="208" t="str">
        <f>VLOOKUP(B76,QUIK!C:AL,29,FALSE)</f>
        <v>SUR</v>
      </c>
      <c r="J76" s="208" t="str">
        <f>VLOOKUP(B76,QUIK!C:AL,28,FALSE)</f>
        <v>SUR</v>
      </c>
      <c r="K76" s="208">
        <f>VLOOKUP(B76,QUIK!C:AL,5,FALSE)</f>
        <v>1</v>
      </c>
      <c r="L76" s="3">
        <f>VLOOKUP(B76,QUIK!C:AL,32,FALSE)</f>
        <v>-100</v>
      </c>
      <c r="M76" s="3" t="str">
        <f>VLOOKUP(B76,QUIK!C:AL,31,FALSE)</f>
        <v/>
      </c>
      <c r="N76" s="3" t="str">
        <f>VLOOKUP(B76,QUIK!C:AL,30,FALSE)</f>
        <v/>
      </c>
      <c r="O76" s="3" t="str">
        <f>VLOOKUP(B76,QUIK!C:AL,36,FALSE)</f>
        <v>торгуется</v>
      </c>
      <c r="P76" s="3">
        <v>17.87</v>
      </c>
      <c r="Q76" s="208">
        <v>1196</v>
      </c>
      <c r="R76" s="209">
        <v>46890</v>
      </c>
      <c r="S76" s="3">
        <v>28.42</v>
      </c>
      <c r="T76" s="3">
        <v>182</v>
      </c>
      <c r="U76" s="3">
        <v>12.34</v>
      </c>
      <c r="V76" s="209">
        <v>45798</v>
      </c>
      <c r="W76" s="3">
        <f t="shared" ref="W76:W82" si="3">IF((Q76/365)&lt;=2,2,1)</f>
        <v>1</v>
      </c>
    </row>
    <row r="77" spans="1:23">
      <c r="B77" s="213" t="s">
        <v>2201</v>
      </c>
      <c r="C77" s="212" t="s">
        <v>2203</v>
      </c>
      <c r="D77" s="219">
        <f t="shared" si="2"/>
        <v>0.18181818181818182</v>
      </c>
      <c r="E77" s="3" t="s">
        <v>12868</v>
      </c>
      <c r="F77" s="222" t="str">
        <f>VLOOKUP(B77,QUIK!C:AL,4,FALSE)</f>
        <v>РФ</v>
      </c>
      <c r="G77" s="207" t="s">
        <v>12867</v>
      </c>
      <c r="H77" s="3">
        <v>94.23</v>
      </c>
      <c r="I77" s="208" t="str">
        <f>VLOOKUP(B77,QUIK!C:AL,29,FALSE)</f>
        <v>SUR</v>
      </c>
      <c r="J77" s="208" t="str">
        <f>VLOOKUP(B77,QUIK!C:AL,28,FALSE)</f>
        <v>SUR</v>
      </c>
      <c r="K77" s="208">
        <f>VLOOKUP(B77,QUIK!C:AL,5,FALSE)</f>
        <v>1</v>
      </c>
      <c r="L77" s="3">
        <f>VLOOKUP(B77,QUIK!C:AL,32,FALSE)</f>
        <v>-100</v>
      </c>
      <c r="M77" s="3" t="str">
        <f>VLOOKUP(B77,QUIK!C:AL,31,FALSE)</f>
        <v/>
      </c>
      <c r="N77" s="3" t="str">
        <f>VLOOKUP(B77,QUIK!C:AL,30,FALSE)</f>
        <v/>
      </c>
      <c r="O77" s="3" t="str">
        <f>VLOOKUP(B77,QUIK!C:AL,36,FALSE)</f>
        <v>торгуется</v>
      </c>
      <c r="P77" s="3">
        <v>19.78</v>
      </c>
      <c r="Q77" s="208">
        <v>160</v>
      </c>
      <c r="R77" s="209">
        <v>45854</v>
      </c>
      <c r="S77" s="3">
        <v>22.44</v>
      </c>
      <c r="T77" s="3">
        <v>182</v>
      </c>
      <c r="U77" s="3">
        <v>2.84</v>
      </c>
      <c r="V77" s="209">
        <v>45854</v>
      </c>
      <c r="W77" s="3">
        <f t="shared" si="3"/>
        <v>2</v>
      </c>
    </row>
    <row r="78" spans="1:23">
      <c r="B78" s="213" t="s">
        <v>2166</v>
      </c>
      <c r="C78" s="212" t="s">
        <v>2168</v>
      </c>
      <c r="D78" s="219">
        <f t="shared" si="2"/>
        <v>0.18181818181818182</v>
      </c>
      <c r="E78" s="3" t="s">
        <v>12869</v>
      </c>
      <c r="F78" s="222" t="str">
        <f>VLOOKUP(B78,QUIK!C:AL,4,FALSE)</f>
        <v>РФ</v>
      </c>
      <c r="G78" s="207" t="s">
        <v>12867</v>
      </c>
      <c r="H78" s="3">
        <v>87.129000000000005</v>
      </c>
      <c r="I78" s="208" t="str">
        <f>VLOOKUP(B78,QUIK!C:AL,29,FALSE)</f>
        <v>SUR</v>
      </c>
      <c r="J78" s="208" t="str">
        <f>VLOOKUP(B78,QUIK!C:AL,28,FALSE)</f>
        <v>SUR</v>
      </c>
      <c r="K78" s="208">
        <f>VLOOKUP(B78,QUIK!C:AL,5,FALSE)</f>
        <v>1</v>
      </c>
      <c r="L78" s="3">
        <f>VLOOKUP(B78,QUIK!C:AL,32,FALSE)</f>
        <v>-100</v>
      </c>
      <c r="M78" s="3" t="str">
        <f>VLOOKUP(B78,QUIK!C:AL,31,FALSE)</f>
        <v/>
      </c>
      <c r="N78" s="3" t="str">
        <f>VLOOKUP(B78,QUIK!C:AL,30,FALSE)</f>
        <v/>
      </c>
      <c r="O78" s="3" t="str">
        <f>VLOOKUP(B78,QUIK!C:AL,36,FALSE)</f>
        <v>торгуется</v>
      </c>
      <c r="P78" s="3">
        <v>17.88</v>
      </c>
      <c r="Q78" s="208">
        <v>608</v>
      </c>
      <c r="R78" s="209">
        <v>46302</v>
      </c>
      <c r="S78" s="3">
        <v>39.64</v>
      </c>
      <c r="T78" s="3">
        <v>182</v>
      </c>
      <c r="U78" s="3">
        <v>26.35</v>
      </c>
      <c r="V78" s="209">
        <v>45756</v>
      </c>
      <c r="W78" s="3">
        <f t="shared" si="3"/>
        <v>2</v>
      </c>
    </row>
    <row r="79" spans="1:23">
      <c r="B79" s="213" t="s">
        <v>2176</v>
      </c>
      <c r="C79" s="212" t="s">
        <v>2178</v>
      </c>
      <c r="D79" s="219">
        <f t="shared" si="2"/>
        <v>0.18181818181818182</v>
      </c>
      <c r="E79" s="3" t="s">
        <v>12870</v>
      </c>
      <c r="F79" s="222" t="str">
        <f>VLOOKUP(B79,QUIK!C:AL,4,FALSE)</f>
        <v>РФ</v>
      </c>
      <c r="G79" s="207" t="s">
        <v>12867</v>
      </c>
      <c r="H79" s="3">
        <v>92.28</v>
      </c>
      <c r="I79" s="208" t="str">
        <f>VLOOKUP(B79,QUIK!C:AL,29,FALSE)</f>
        <v>SUR</v>
      </c>
      <c r="J79" s="208" t="str">
        <f>VLOOKUP(B79,QUIK!C:AL,28,FALSE)</f>
        <v>SUR</v>
      </c>
      <c r="K79" s="208">
        <f>VLOOKUP(B79,QUIK!C:AL,5,FALSE)</f>
        <v>1</v>
      </c>
      <c r="L79" s="3">
        <f>VLOOKUP(B79,QUIK!C:AL,32,FALSE)</f>
        <v>-100</v>
      </c>
      <c r="M79" s="3" t="str">
        <f>VLOOKUP(B79,QUIK!C:AL,31,FALSE)</f>
        <v/>
      </c>
      <c r="N79" s="3" t="str">
        <f>VLOOKUP(B79,QUIK!C:AL,30,FALSE)</f>
        <v/>
      </c>
      <c r="O79" s="3" t="str">
        <f>VLOOKUP(B79,QUIK!C:AL,36,FALSE)</f>
        <v>торгуется</v>
      </c>
      <c r="P79" s="3">
        <v>19.260000000000002</v>
      </c>
      <c r="Q79" s="208">
        <v>279</v>
      </c>
      <c r="R79" s="209">
        <v>45973</v>
      </c>
      <c r="S79" s="3">
        <v>35.65</v>
      </c>
      <c r="T79" s="3">
        <v>182</v>
      </c>
      <c r="U79" s="3">
        <v>16.850000000000001</v>
      </c>
      <c r="V79" s="209">
        <v>45791</v>
      </c>
      <c r="W79" s="3">
        <f t="shared" si="3"/>
        <v>2</v>
      </c>
    </row>
    <row r="80" spans="1:23">
      <c r="B80" s="213" t="s">
        <v>2216</v>
      </c>
      <c r="C80" s="212" t="s">
        <v>2218</v>
      </c>
      <c r="D80" s="219">
        <f t="shared" si="2"/>
        <v>9.0909090909090912E-2</v>
      </c>
      <c r="E80" s="3" t="s">
        <v>12871</v>
      </c>
      <c r="F80" s="222" t="str">
        <f>VLOOKUP(B80,QUIK!C:AL,4,FALSE)</f>
        <v>РФ</v>
      </c>
      <c r="G80" s="207" t="s">
        <v>12867</v>
      </c>
      <c r="H80" s="3">
        <v>71.998000000000005</v>
      </c>
      <c r="I80" s="208" t="str">
        <f>VLOOKUP(B80,QUIK!C:AL,29,FALSE)</f>
        <v>SUR</v>
      </c>
      <c r="J80" s="208" t="str">
        <f>VLOOKUP(B80,QUIK!C:AL,28,FALSE)</f>
        <v>SUR</v>
      </c>
      <c r="K80" s="208">
        <f>VLOOKUP(B80,QUIK!C:AL,5,FALSE)</f>
        <v>1</v>
      </c>
      <c r="L80" s="3">
        <f>VLOOKUP(B80,QUIK!C:AL,32,FALSE)</f>
        <v>-100</v>
      </c>
      <c r="M80" s="3" t="str">
        <f>VLOOKUP(B80,QUIK!C:AL,31,FALSE)</f>
        <v/>
      </c>
      <c r="N80" s="3" t="str">
        <f>VLOOKUP(B80,QUIK!C:AL,30,FALSE)</f>
        <v/>
      </c>
      <c r="O80" s="3" t="str">
        <f>VLOOKUP(B80,QUIK!C:AL,36,FALSE)</f>
        <v>торгуется</v>
      </c>
      <c r="P80" s="3">
        <v>17</v>
      </c>
      <c r="Q80" s="208">
        <v>1497</v>
      </c>
      <c r="R80" s="209">
        <v>47191</v>
      </c>
      <c r="S80" s="3">
        <v>33.409999999999997</v>
      </c>
      <c r="T80" s="3">
        <v>182</v>
      </c>
      <c r="U80" s="3">
        <v>26.07</v>
      </c>
      <c r="V80" s="209">
        <v>45735</v>
      </c>
      <c r="W80" s="3">
        <f t="shared" si="3"/>
        <v>1</v>
      </c>
    </row>
    <row r="81" spans="2:23">
      <c r="B81" s="213" t="s">
        <v>2131</v>
      </c>
      <c r="C81" s="212" t="s">
        <v>2133</v>
      </c>
      <c r="D81" s="219">
        <f t="shared" si="2"/>
        <v>0.18181818181818182</v>
      </c>
      <c r="E81" s="3" t="s">
        <v>12872</v>
      </c>
      <c r="F81" s="222" t="str">
        <f>VLOOKUP(B81,QUIK!C:AL,4,FALSE)</f>
        <v>РФ</v>
      </c>
      <c r="G81" s="207" t="s">
        <v>12867</v>
      </c>
      <c r="H81" s="3">
        <v>85.697999999999993</v>
      </c>
      <c r="I81" s="208" t="str">
        <f>VLOOKUP(B81,QUIK!C:AL,29,FALSE)</f>
        <v>SUR</v>
      </c>
      <c r="J81" s="208" t="str">
        <f>VLOOKUP(B81,QUIK!C:AL,28,FALSE)</f>
        <v>SUR</v>
      </c>
      <c r="K81" s="208">
        <f>VLOOKUP(B81,QUIK!C:AL,5,FALSE)</f>
        <v>1</v>
      </c>
      <c r="L81" s="3">
        <f>VLOOKUP(B81,QUIK!C:AL,32,FALSE)</f>
        <v>-100</v>
      </c>
      <c r="M81" s="3" t="str">
        <f>VLOOKUP(B81,QUIK!C:AL,31,FALSE)</f>
        <v/>
      </c>
      <c r="N81" s="3" t="str">
        <f>VLOOKUP(B81,QUIK!C:AL,30,FALSE)</f>
        <v/>
      </c>
      <c r="O81" s="3" t="str">
        <f>VLOOKUP(B81,QUIK!C:AL,36,FALSE)</f>
        <v>торгуется</v>
      </c>
      <c r="P81" s="3">
        <v>17.63</v>
      </c>
      <c r="Q81" s="208">
        <v>727</v>
      </c>
      <c r="R81" s="209">
        <v>46421</v>
      </c>
      <c r="S81" s="3">
        <v>40.64</v>
      </c>
      <c r="T81" s="3">
        <v>182</v>
      </c>
      <c r="U81" s="3">
        <v>0.45</v>
      </c>
      <c r="V81" s="209">
        <v>45875</v>
      </c>
      <c r="W81" s="3">
        <f t="shared" si="3"/>
        <v>2</v>
      </c>
    </row>
    <row r="82" spans="2:23">
      <c r="B82" s="213" t="s">
        <v>2136</v>
      </c>
      <c r="C82" s="212" t="s">
        <v>2138</v>
      </c>
      <c r="D82" s="219">
        <f t="shared" si="2"/>
        <v>9.0909090909090912E-2</v>
      </c>
      <c r="E82" s="3" t="s">
        <v>12873</v>
      </c>
      <c r="F82" s="222" t="str">
        <f>VLOOKUP(B82,QUIK!C:AL,4,FALSE)</f>
        <v>РФ</v>
      </c>
      <c r="G82" s="207" t="s">
        <v>12867</v>
      </c>
      <c r="H82" s="3">
        <v>78.164000000000001</v>
      </c>
      <c r="I82" s="208" t="str">
        <f>VLOOKUP(B82,QUIK!C:AL,29,FALSE)</f>
        <v>SUR</v>
      </c>
      <c r="J82" s="208" t="str">
        <f>VLOOKUP(B82,QUIK!C:AL,28,FALSE)</f>
        <v>SUR</v>
      </c>
      <c r="K82" s="208">
        <f>VLOOKUP(B82,QUIK!C:AL,5,FALSE)</f>
        <v>1</v>
      </c>
      <c r="L82" s="3">
        <f>VLOOKUP(B82,QUIK!C:AL,32,FALSE)</f>
        <v>-100</v>
      </c>
      <c r="M82" s="3" t="str">
        <f>VLOOKUP(B82,QUIK!C:AL,31,FALSE)</f>
        <v/>
      </c>
      <c r="N82" s="3" t="str">
        <f>VLOOKUP(B82,QUIK!C:AL,30,FALSE)</f>
        <v/>
      </c>
      <c r="O82" s="3" t="str">
        <f>VLOOKUP(B82,QUIK!C:AL,36,FALSE)</f>
        <v>торгуется</v>
      </c>
      <c r="P82" s="3">
        <v>17.43</v>
      </c>
      <c r="Q82" s="208">
        <v>1077</v>
      </c>
      <c r="R82" s="209">
        <v>46771</v>
      </c>
      <c r="S82" s="3">
        <v>35.15</v>
      </c>
      <c r="T82" s="3">
        <v>182</v>
      </c>
      <c r="U82" s="3">
        <v>3.09</v>
      </c>
      <c r="V82" s="209">
        <v>45861</v>
      </c>
      <c r="W82" s="3">
        <f t="shared" si="3"/>
        <v>1</v>
      </c>
    </row>
    <row r="83" spans="2:23">
      <c r="C83" s="132" t="s">
        <v>12250</v>
      </c>
      <c r="D83" s="90">
        <f>SUM(D76:D82)</f>
        <v>1</v>
      </c>
    </row>
    <row r="84" spans="2:23">
      <c r="C84" s="132" t="s">
        <v>13027</v>
      </c>
      <c r="D84" s="181">
        <f>100%-D83</f>
        <v>0</v>
      </c>
    </row>
  </sheetData>
  <sheetProtection selectLockedCells="1" selectUnlockedCells="1"/>
  <conditionalFormatting sqref="D45:D54">
    <cfRule type="colorScale" priority="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51" r:id="rId3" name="ToggleButton4">
          <controlPr defaultSize="0" autoLine="0" linkedCell="AC1" r:id="rId4">
            <anchor moveWithCells="1">
              <from>
                <xdr:col>2</xdr:col>
                <xdr:colOff>190500</xdr:colOff>
                <xdr:row>2</xdr:row>
                <xdr:rowOff>57150</xdr:rowOff>
              </from>
              <to>
                <xdr:col>3</xdr:col>
                <xdr:colOff>114300</xdr:colOff>
                <xdr:row>3</xdr:row>
                <xdr:rowOff>171450</xdr:rowOff>
              </to>
            </anchor>
          </controlPr>
        </control>
      </mc:Choice>
      <mc:Fallback>
        <control shapeId="18451" r:id="rId3" name="ToggleButton4"/>
      </mc:Fallback>
    </mc:AlternateContent>
    <mc:AlternateContent xmlns:mc="http://schemas.openxmlformats.org/markup-compatibility/2006">
      <mc:Choice Requires="x14">
        <control shapeId="18450" r:id="rId5" name="ToggleButton3">
          <controlPr defaultSize="0" autoLine="0" linkedCell="AB1" r:id="rId6">
            <anchor moveWithCells="1">
              <from>
                <xdr:col>1</xdr:col>
                <xdr:colOff>171450</xdr:colOff>
                <xdr:row>2</xdr:row>
                <xdr:rowOff>47625</xdr:rowOff>
              </from>
              <to>
                <xdr:col>2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8450" r:id="rId5" name="ToggleButton3"/>
      </mc:Fallback>
    </mc:AlternateContent>
    <mc:AlternateContent xmlns:mc="http://schemas.openxmlformats.org/markup-compatibility/2006">
      <mc:Choice Requires="x14">
        <control shapeId="18444" r:id="rId7" name="ToggleButton2">
          <controlPr defaultSize="0" autoLine="0" linkedCell="AC2" r:id="rId8">
            <anchor moveWithCells="1">
              <from>
                <xdr:col>2</xdr:col>
                <xdr:colOff>180975</xdr:colOff>
                <xdr:row>6</xdr:row>
                <xdr:rowOff>95250</xdr:rowOff>
              </from>
              <to>
                <xdr:col>3</xdr:col>
                <xdr:colOff>104775</xdr:colOff>
                <xdr:row>8</xdr:row>
                <xdr:rowOff>19050</xdr:rowOff>
              </to>
            </anchor>
          </controlPr>
        </control>
      </mc:Choice>
      <mc:Fallback>
        <control shapeId="18444" r:id="rId7" name="ToggleButton2"/>
      </mc:Fallback>
    </mc:AlternateContent>
    <mc:AlternateContent xmlns:mc="http://schemas.openxmlformats.org/markup-compatibility/2006">
      <mc:Choice Requires="x14">
        <control shapeId="18443" r:id="rId9" name="ToggleButton1">
          <controlPr defaultSize="0" autoLine="0" linkedCell="AB2" r:id="rId10">
            <anchor moveWithCells="1">
              <from>
                <xdr:col>1</xdr:col>
                <xdr:colOff>171450</xdr:colOff>
                <xdr:row>6</xdr:row>
                <xdr:rowOff>76200</xdr:rowOff>
              </from>
              <to>
                <xdr:col>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8443" r:id="rId9" name="ToggleButton1"/>
      </mc:Fallback>
    </mc:AlternateContent>
    <mc:AlternateContent xmlns:mc="http://schemas.openxmlformats.org/markup-compatibility/2006">
      <mc:Choice Requires="x14">
        <control shapeId="18445" r:id="rId11" name="Group Box 13">
          <controlPr defaultSize="0" autoFill="0" autoPict="0">
            <anchor moveWithCells="1">
              <from>
                <xdr:col>1</xdr:col>
                <xdr:colOff>76200</xdr:colOff>
                <xdr:row>0</xdr:row>
                <xdr:rowOff>152400</xdr:rowOff>
              </from>
              <to>
                <xdr:col>3</xdr:col>
                <xdr:colOff>180975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12" name="Group Box 14">
          <controlPr defaultSize="0" autoFill="0" autoPict="0">
            <anchor moveWithCells="1">
              <from>
                <xdr:col>1</xdr:col>
                <xdr:colOff>66675</xdr:colOff>
                <xdr:row>5</xdr:row>
                <xdr:rowOff>9525</xdr:rowOff>
              </from>
              <to>
                <xdr:col>3</xdr:col>
                <xdr:colOff>190500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13" name="List Box 25">
          <controlPr defaultSize="0" autoLine="0" autoPict="0">
            <anchor moveWithCells="1">
              <from>
                <xdr:col>1</xdr:col>
                <xdr:colOff>76200</xdr:colOff>
                <xdr:row>9</xdr:row>
                <xdr:rowOff>47625</xdr:rowOff>
              </from>
              <to>
                <xdr:col>5</xdr:col>
                <xdr:colOff>66675</xdr:colOff>
                <xdr:row>15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14" name="Button 32">
          <controlPr defaultSize="0" print="0" autoFill="0" autoPict="0">
            <anchor moveWithCells="1" sizeWithCells="1">
              <from>
                <xdr:col>1</xdr:col>
                <xdr:colOff>66675</xdr:colOff>
                <xdr:row>15</xdr:row>
                <xdr:rowOff>47625</xdr:rowOff>
              </from>
              <to>
                <xdr:col>2</xdr:col>
                <xdr:colOff>466725</xdr:colOff>
                <xdr:row>16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80D1F1-31C8-4328-A616-43ACAF4EA54F}">
            <x14:iconSet iconSet="3Flags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J23:J39</xm:sqref>
        </x14:conditionalFormatting>
        <x14:conditionalFormatting xmlns:xm="http://schemas.microsoft.com/office/excel/2006/main">
          <x14:cfRule type="iconSet" priority="3" id="{128CF7B3-F2A0-4E9D-90BE-DCEC39B5F0E1}">
            <x14:iconSet iconSet="3Flags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J45:J54</xm:sqref>
        </x14:conditionalFormatting>
        <x14:conditionalFormatting xmlns:xm="http://schemas.microsoft.com/office/excel/2006/main">
          <x14:cfRule type="iconSet" priority="2" id="{C35F94B2-C167-4228-8832-B2BEDE6A5B61}">
            <x14:iconSet iconSet="3Flags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K60:K70</xm:sqref>
        </x14:conditionalFormatting>
        <x14:conditionalFormatting xmlns:xm="http://schemas.microsoft.com/office/excel/2006/main">
          <x14:cfRule type="iconSet" priority="1" id="{8907194A-DAFC-46C2-83C5-41CA225E7AF9}">
            <x14:iconSet iconSet="3Flags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K76:K82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A52F3-AF48-486B-9E45-21879825D190}">
  <sheetPr codeName="Лист20">
    <tabColor theme="7" tint="0.59999389629810485"/>
  </sheetPr>
  <dimension ref="A1:AC38"/>
  <sheetViews>
    <sheetView workbookViewId="0">
      <selection activeCell="C9" sqref="C9"/>
    </sheetView>
  </sheetViews>
  <sheetFormatPr defaultRowHeight="15"/>
  <cols>
    <col min="1" max="1" width="5.42578125" customWidth="1"/>
    <col min="2" max="2" width="27.85546875" customWidth="1"/>
    <col min="3" max="3" width="10.85546875" customWidth="1"/>
    <col min="4" max="4" width="10.140625" customWidth="1"/>
    <col min="5" max="5" width="18.28515625" customWidth="1"/>
    <col min="6" max="6" width="15.140625" customWidth="1"/>
    <col min="7" max="8" width="12" customWidth="1"/>
    <col min="9" max="10" width="15.7109375" customWidth="1"/>
    <col min="12" max="12" width="10.7109375" customWidth="1"/>
    <col min="16" max="16" width="29.5703125" customWidth="1"/>
    <col min="17" max="17" width="2.5703125" customWidth="1"/>
  </cols>
  <sheetData>
    <row r="1" spans="1:29">
      <c r="D1" s="230" t="s">
        <v>12945</v>
      </c>
      <c r="AB1" t="b">
        <v>1</v>
      </c>
      <c r="AC1" t="b">
        <f>IF(AB1=FALSE,TRUE,FALSE)</f>
        <v>0</v>
      </c>
    </row>
    <row r="2" spans="1:29">
      <c r="D2" s="246"/>
    </row>
    <row r="3" spans="1:29">
      <c r="D3" s="246"/>
    </row>
    <row r="4" spans="1:29" ht="15.75" thickBot="1"/>
    <row r="5" spans="1:29" ht="69.75">
      <c r="A5" s="233" t="s">
        <v>12932</v>
      </c>
      <c r="B5" s="234"/>
      <c r="C5" s="235" t="s">
        <v>12922</v>
      </c>
      <c r="D5" s="235" t="s">
        <v>12922</v>
      </c>
      <c r="E5" s="235" t="s">
        <v>12924</v>
      </c>
      <c r="F5" s="235" t="s">
        <v>12925</v>
      </c>
      <c r="G5" s="235" t="s">
        <v>12918</v>
      </c>
      <c r="H5" s="235" t="s">
        <v>12918</v>
      </c>
      <c r="I5" s="234"/>
      <c r="J5" s="234"/>
      <c r="K5" s="234"/>
      <c r="L5" s="234"/>
      <c r="M5" s="236"/>
    </row>
    <row r="6" spans="1:29" ht="57.75" customHeight="1">
      <c r="A6" s="237" t="s">
        <v>12887</v>
      </c>
      <c r="B6" s="218" t="s">
        <v>12883</v>
      </c>
      <c r="C6" s="218" t="s">
        <v>12791</v>
      </c>
      <c r="D6" s="229" t="s">
        <v>12792</v>
      </c>
      <c r="E6" s="218" t="s">
        <v>12813</v>
      </c>
      <c r="F6" s="229" t="s">
        <v>12814</v>
      </c>
      <c r="G6" s="218" t="s">
        <v>12914</v>
      </c>
      <c r="H6" s="218" t="s">
        <v>12915</v>
      </c>
      <c r="I6" s="215" t="s">
        <v>12818</v>
      </c>
      <c r="J6" s="215" t="s">
        <v>12819</v>
      </c>
      <c r="K6" s="228" t="s">
        <v>12921</v>
      </c>
      <c r="L6" s="228" t="s">
        <v>12920</v>
      </c>
      <c r="M6" s="238"/>
      <c r="R6" t="b">
        <f>ISBLANK(C7)=TRUE</f>
        <v>1</v>
      </c>
      <c r="S6" t="s">
        <v>12979</v>
      </c>
      <c r="T6" t="s">
        <v>12980</v>
      </c>
    </row>
    <row r="7" spans="1:29">
      <c r="A7" s="61" t="s">
        <v>12948</v>
      </c>
      <c r="B7" t="s">
        <v>12858</v>
      </c>
      <c r="C7" s="181"/>
      <c r="D7" s="181">
        <v>1</v>
      </c>
      <c r="F7" t="s">
        <v>12815</v>
      </c>
      <c r="H7" t="s">
        <v>12916</v>
      </c>
      <c r="I7" s="181">
        <f t="shared" ref="I7" si="0">J7-(J7*20%)</f>
        <v>0.14199999999999999</v>
      </c>
      <c r="J7" s="181">
        <f>K7+L7</f>
        <v>0.17749999999999999</v>
      </c>
      <c r="K7" s="239">
        <f t="shared" ref="K7:K12" si="1">IF(G7="1 - низкий",$D$18,$D$17)*C7</f>
        <v>0</v>
      </c>
      <c r="L7" s="240">
        <f t="shared" ref="L7:L12" si="2">IF(H7="1 - низкий",$D$20,$D$19)*D7</f>
        <v>0.17749999999999999</v>
      </c>
      <c r="M7" s="62"/>
      <c r="N7" t="s">
        <v>12942</v>
      </c>
      <c r="P7" s="181" t="str">
        <f>A7&amp;" "&amp;B7</f>
        <v>1pR Консервативный</v>
      </c>
      <c r="Q7" s="247">
        <v>1</v>
      </c>
      <c r="R7" t="str">
        <f>IF(ISBLANK(C7)=TRUE,"",C7*100&amp;"% акций в "&amp;E7&amp;"; ")&amp;IF(ISBLANK(D7)=TRUE,"",D7*100&amp;"% облигаций в "&amp;F7)</f>
        <v>100% облигаций в 6S - РФ ОФЗ</v>
      </c>
      <c r="S7" s="181">
        <f>C7</f>
        <v>0</v>
      </c>
      <c r="T7" s="181">
        <f>D7</f>
        <v>1</v>
      </c>
    </row>
    <row r="8" spans="1:29">
      <c r="A8" s="61" t="s">
        <v>12949</v>
      </c>
      <c r="B8" t="s">
        <v>12857</v>
      </c>
      <c r="C8" s="181"/>
      <c r="D8" s="181">
        <v>1</v>
      </c>
      <c r="F8" t="s">
        <v>12790</v>
      </c>
      <c r="H8" t="s">
        <v>12917</v>
      </c>
      <c r="I8" s="181">
        <f>J8-(J8*20%)</f>
        <v>0.17749999999999999</v>
      </c>
      <c r="J8" s="181">
        <f t="shared" ref="J8:J12" si="3">K8+L8</f>
        <v>0.22187499999999999</v>
      </c>
      <c r="K8" s="239">
        <f t="shared" si="1"/>
        <v>0</v>
      </c>
      <c r="L8" s="240">
        <f t="shared" si="2"/>
        <v>0.22187499999999999</v>
      </c>
      <c r="M8" s="62"/>
      <c r="N8" t="s">
        <v>12943</v>
      </c>
      <c r="P8" s="181" t="str">
        <f t="shared" ref="P8:P12" si="4">A8&amp;" "&amp;B8</f>
        <v>2pR Умеренно консервативный</v>
      </c>
      <c r="Q8" s="247">
        <v>2</v>
      </c>
      <c r="R8" t="str">
        <f t="shared" ref="R8:R12" si="5">IF(ISBLANK(C8)=TRUE,"",C8*100&amp;"% акций в "&amp;E8&amp;"; ")&amp;IF(ISBLANK(D8)=TRUE,"",D8*100&amp;"% облигаций в "&amp;F8)</f>
        <v>100% облигаций в 5S - РФ Облигации</v>
      </c>
      <c r="S8" s="181">
        <f t="shared" ref="S8:S12" si="6">C8</f>
        <v>0</v>
      </c>
      <c r="T8" s="181">
        <f t="shared" ref="T8:T12" si="7">D8</f>
        <v>1</v>
      </c>
    </row>
    <row r="9" spans="1:29">
      <c r="A9" s="61" t="s">
        <v>12950</v>
      </c>
      <c r="B9" t="s">
        <v>12820</v>
      </c>
      <c r="C9" s="181">
        <v>0.5</v>
      </c>
      <c r="D9" s="181">
        <v>0.5</v>
      </c>
      <c r="E9" t="s">
        <v>89</v>
      </c>
      <c r="F9" t="s">
        <v>12790</v>
      </c>
      <c r="G9" t="s">
        <v>12916</v>
      </c>
      <c r="H9" t="s">
        <v>12917</v>
      </c>
      <c r="I9" s="181">
        <f t="shared" ref="I9:I12" si="8">J9-(J9*20%)</f>
        <v>0.23075000000000001</v>
      </c>
      <c r="J9" s="181">
        <f t="shared" si="3"/>
        <v>0.28843750000000001</v>
      </c>
      <c r="K9" s="239">
        <f t="shared" si="1"/>
        <v>0.17749999999999999</v>
      </c>
      <c r="L9" s="240">
        <f t="shared" si="2"/>
        <v>0.11093749999999999</v>
      </c>
      <c r="M9" s="62"/>
      <c r="N9" t="s">
        <v>12848</v>
      </c>
      <c r="P9" s="181" t="str">
        <f t="shared" si="4"/>
        <v>3pR Сбалансированный</v>
      </c>
      <c r="Q9" s="247">
        <v>3</v>
      </c>
      <c r="R9" t="str">
        <f t="shared" si="5"/>
        <v>50% акций в 3S - РФ Стандарт; 50% облигаций в 5S - РФ Облигации</v>
      </c>
      <c r="S9" s="181">
        <f t="shared" si="6"/>
        <v>0.5</v>
      </c>
      <c r="T9" s="181">
        <f t="shared" si="7"/>
        <v>0.5</v>
      </c>
    </row>
    <row r="10" spans="1:29">
      <c r="A10" s="61" t="s">
        <v>12951</v>
      </c>
      <c r="B10" t="s">
        <v>12856</v>
      </c>
      <c r="C10" s="181">
        <v>0.75</v>
      </c>
      <c r="D10" s="181">
        <v>0.25</v>
      </c>
      <c r="E10" t="s">
        <v>89</v>
      </c>
      <c r="F10" t="s">
        <v>12790</v>
      </c>
      <c r="G10" t="s">
        <v>12916</v>
      </c>
      <c r="H10" t="s">
        <v>12917</v>
      </c>
      <c r="I10" s="181">
        <f t="shared" si="8"/>
        <v>0.25737500000000002</v>
      </c>
      <c r="J10" s="181">
        <f t="shared" si="3"/>
        <v>0.32171875</v>
      </c>
      <c r="K10" s="239">
        <f t="shared" si="1"/>
        <v>0.26624999999999999</v>
      </c>
      <c r="L10" s="240">
        <f t="shared" si="2"/>
        <v>5.5468749999999997E-2</v>
      </c>
      <c r="M10" s="62"/>
      <c r="N10" t="s">
        <v>12851</v>
      </c>
      <c r="P10" s="181" t="str">
        <f t="shared" si="4"/>
        <v>4pR Умеренно агрессивный</v>
      </c>
      <c r="Q10" s="247">
        <v>4</v>
      </c>
      <c r="R10" t="str">
        <f t="shared" si="5"/>
        <v>75% акций в 3S - РФ Стандарт; 25% облигаций в 5S - РФ Облигации</v>
      </c>
      <c r="S10" s="181">
        <f t="shared" si="6"/>
        <v>0.75</v>
      </c>
      <c r="T10" s="181">
        <f t="shared" si="7"/>
        <v>0.25</v>
      </c>
    </row>
    <row r="11" spans="1:29">
      <c r="A11" s="61" t="s">
        <v>12952</v>
      </c>
      <c r="B11" t="s">
        <v>12855</v>
      </c>
      <c r="C11" s="181">
        <v>1</v>
      </c>
      <c r="D11" s="181"/>
      <c r="E11" t="s">
        <v>89</v>
      </c>
      <c r="G11" t="s">
        <v>12916</v>
      </c>
      <c r="I11" s="181">
        <f t="shared" si="8"/>
        <v>0.28399999999999997</v>
      </c>
      <c r="J11" s="181">
        <f t="shared" si="3"/>
        <v>0.35499999999999998</v>
      </c>
      <c r="K11" s="239">
        <f t="shared" si="1"/>
        <v>0.35499999999999998</v>
      </c>
      <c r="L11" s="240">
        <f t="shared" si="2"/>
        <v>0</v>
      </c>
      <c r="M11" s="62"/>
      <c r="N11" t="s">
        <v>12852</v>
      </c>
      <c r="P11" s="181" t="str">
        <f t="shared" si="4"/>
        <v>5pR Агрессивный</v>
      </c>
      <c r="Q11" s="247">
        <v>5</v>
      </c>
      <c r="R11" t="str">
        <f t="shared" si="5"/>
        <v xml:space="preserve">100% акций в 3S - РФ Стандарт; </v>
      </c>
      <c r="S11" s="181">
        <f t="shared" si="6"/>
        <v>1</v>
      </c>
      <c r="T11" s="181">
        <f t="shared" si="7"/>
        <v>0</v>
      </c>
    </row>
    <row r="12" spans="1:29">
      <c r="A12" s="61" t="s">
        <v>12953</v>
      </c>
      <c r="B12" t="s">
        <v>12854</v>
      </c>
      <c r="C12" s="181">
        <v>1</v>
      </c>
      <c r="D12" s="181"/>
      <c r="E12" t="s">
        <v>90</v>
      </c>
      <c r="G12" t="s">
        <v>12917</v>
      </c>
      <c r="I12" s="181">
        <f t="shared" si="8"/>
        <v>0.31950000000000001</v>
      </c>
      <c r="J12" s="181">
        <f t="shared" si="3"/>
        <v>0.39937499999999998</v>
      </c>
      <c r="K12" s="239">
        <f t="shared" si="1"/>
        <v>0.39937499999999998</v>
      </c>
      <c r="L12" s="240">
        <f t="shared" si="2"/>
        <v>0</v>
      </c>
      <c r="M12" s="62"/>
      <c r="N12" t="s">
        <v>12944</v>
      </c>
      <c r="P12" s="181" t="str">
        <f t="shared" si="4"/>
        <v>6pR Сверхагрессивный</v>
      </c>
      <c r="Q12" s="247">
        <v>6</v>
      </c>
      <c r="R12" t="str">
        <f t="shared" si="5"/>
        <v xml:space="preserve">100% акций в 4S - РФ Концентированная; </v>
      </c>
      <c r="S12" s="181">
        <f t="shared" si="6"/>
        <v>1</v>
      </c>
      <c r="T12" s="181">
        <f t="shared" si="7"/>
        <v>0</v>
      </c>
    </row>
    <row r="13" spans="1:29">
      <c r="A13" s="245" t="s">
        <v>12960</v>
      </c>
      <c r="M13" s="62"/>
    </row>
    <row r="14" spans="1:29">
      <c r="A14" s="61"/>
      <c r="M14" s="62"/>
    </row>
    <row r="15" spans="1:29" ht="67.5">
      <c r="A15" s="241" t="s">
        <v>12934</v>
      </c>
      <c r="D15" s="242" t="s">
        <v>12930</v>
      </c>
      <c r="E15" s="242" t="s">
        <v>12931</v>
      </c>
      <c r="M15" s="62"/>
    </row>
    <row r="16" spans="1:29" ht="24">
      <c r="A16" s="237" t="s">
        <v>12887</v>
      </c>
      <c r="B16" s="215" t="s">
        <v>1964</v>
      </c>
      <c r="C16" s="215" t="s">
        <v>12818</v>
      </c>
      <c r="D16" s="229" t="s">
        <v>12819</v>
      </c>
      <c r="M16" s="62"/>
    </row>
    <row r="17" spans="1:17">
      <c r="A17" s="52">
        <v>1</v>
      </c>
      <c r="B17" s="3" t="s">
        <v>12843</v>
      </c>
      <c r="C17" s="3" t="s">
        <v>12917</v>
      </c>
      <c r="D17" s="231">
        <f>D20+(D20*125%)</f>
        <v>0.39937499999999998</v>
      </c>
      <c r="M17" s="62"/>
    </row>
    <row r="18" spans="1:17">
      <c r="A18" s="52">
        <v>2</v>
      </c>
      <c r="B18" s="3" t="s">
        <v>12843</v>
      </c>
      <c r="C18" s="3" t="s">
        <v>12916</v>
      </c>
      <c r="D18" s="231">
        <f>D20+(D20*100%)</f>
        <v>0.35499999999999998</v>
      </c>
      <c r="M18" s="62"/>
    </row>
    <row r="19" spans="1:17">
      <c r="A19" s="52">
        <v>3</v>
      </c>
      <c r="B19" s="3" t="s">
        <v>12919</v>
      </c>
      <c r="C19" s="3" t="s">
        <v>12917</v>
      </c>
      <c r="D19" s="231">
        <f>D20+(D20*25%)</f>
        <v>0.22187499999999999</v>
      </c>
      <c r="M19" s="62"/>
    </row>
    <row r="20" spans="1:17">
      <c r="A20" s="52">
        <v>4</v>
      </c>
      <c r="B20" s="3" t="s">
        <v>12919</v>
      </c>
      <c r="C20" s="3" t="s">
        <v>12916</v>
      </c>
      <c r="D20" s="232">
        <v>0.17749999999999999</v>
      </c>
      <c r="E20" s="230" t="s">
        <v>12923</v>
      </c>
      <c r="G20" s="243" t="s">
        <v>12929</v>
      </c>
      <c r="M20" s="62"/>
    </row>
    <row r="21" spans="1:17" ht="15.75" thickBo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5"/>
    </row>
    <row r="22" spans="1:17" ht="69.75">
      <c r="A22" s="233" t="s">
        <v>12933</v>
      </c>
      <c r="B22" s="234"/>
      <c r="C22" s="235" t="s">
        <v>12922</v>
      </c>
      <c r="D22" s="235" t="s">
        <v>12922</v>
      </c>
      <c r="E22" s="235" t="s">
        <v>12924</v>
      </c>
      <c r="F22" s="235" t="s">
        <v>12925</v>
      </c>
      <c r="G22" s="235" t="s">
        <v>12918</v>
      </c>
      <c r="H22" s="235" t="s">
        <v>12918</v>
      </c>
      <c r="I22" s="234"/>
      <c r="J22" s="234"/>
      <c r="K22" s="234"/>
      <c r="L22" s="234"/>
      <c r="M22" s="236"/>
    </row>
    <row r="23" spans="1:17" ht="72">
      <c r="A23" s="237" t="s">
        <v>12887</v>
      </c>
      <c r="B23" s="218" t="s">
        <v>12883</v>
      </c>
      <c r="C23" s="218" t="s">
        <v>12791</v>
      </c>
      <c r="D23" s="229" t="s">
        <v>12792</v>
      </c>
      <c r="E23" s="218" t="s">
        <v>12813</v>
      </c>
      <c r="F23" s="229" t="s">
        <v>12814</v>
      </c>
      <c r="G23" s="218" t="s">
        <v>12914</v>
      </c>
      <c r="H23" s="218" t="s">
        <v>12915</v>
      </c>
      <c r="I23" s="215" t="s">
        <v>12818</v>
      </c>
      <c r="J23" s="215" t="s">
        <v>12819</v>
      </c>
      <c r="K23" s="228" t="s">
        <v>12921</v>
      </c>
      <c r="L23" s="228" t="s">
        <v>12920</v>
      </c>
      <c r="M23" s="62"/>
    </row>
    <row r="24" spans="1:17">
      <c r="A24" s="61" t="s">
        <v>12954</v>
      </c>
      <c r="B24" t="s">
        <v>12858</v>
      </c>
      <c r="C24" s="181">
        <v>0</v>
      </c>
      <c r="D24" s="181">
        <v>1</v>
      </c>
      <c r="F24" t="s">
        <v>12939</v>
      </c>
      <c r="H24" t="s">
        <v>12916</v>
      </c>
      <c r="I24" s="181">
        <f t="shared" ref="I24" si="9">J24-(J24*20%)</f>
        <v>0.14199999999999999</v>
      </c>
      <c r="J24" s="181">
        <f>K24+L24</f>
        <v>0.17749999999999999</v>
      </c>
      <c r="K24" s="239">
        <f t="shared" ref="K24:K29" si="10">IF(G24="1 - низкий",$D$18,$D$17)*C24</f>
        <v>0</v>
      </c>
      <c r="L24" s="240">
        <f t="shared" ref="L24:L29" si="11">IF(H24="1 - низкий",$D$20,$D$19)*D24</f>
        <v>0.17749999999999999</v>
      </c>
      <c r="M24" s="62"/>
      <c r="O24" t="s">
        <v>12809</v>
      </c>
      <c r="P24" s="181" t="str">
        <f t="shared" ref="P24:P29" si="12">A24&amp;" "&amp;B24</f>
        <v>1pU Консервативный</v>
      </c>
      <c r="Q24" s="181"/>
    </row>
    <row r="25" spans="1:17">
      <c r="A25" s="61" t="s">
        <v>12955</v>
      </c>
      <c r="B25" t="s">
        <v>12857</v>
      </c>
      <c r="C25" s="181">
        <v>0</v>
      </c>
      <c r="D25" s="181">
        <v>1</v>
      </c>
      <c r="F25" t="s">
        <v>12938</v>
      </c>
      <c r="H25" t="s">
        <v>12917</v>
      </c>
      <c r="I25" s="181">
        <f>J25-(J25*20%)</f>
        <v>0.17749999999999999</v>
      </c>
      <c r="J25" s="181">
        <f t="shared" ref="J25:J29" si="13">K25+L25</f>
        <v>0.22187499999999999</v>
      </c>
      <c r="K25" s="239">
        <f t="shared" si="10"/>
        <v>0</v>
      </c>
      <c r="L25" s="240">
        <f t="shared" si="11"/>
        <v>0.22187499999999999</v>
      </c>
      <c r="M25" s="62"/>
      <c r="O25" t="s">
        <v>12810</v>
      </c>
      <c r="P25" s="181" t="str">
        <f t="shared" si="12"/>
        <v>2pU Умеренно консервативный</v>
      </c>
      <c r="Q25" s="181"/>
    </row>
    <row r="26" spans="1:17">
      <c r="A26" s="61" t="s">
        <v>12956</v>
      </c>
      <c r="B26" t="s">
        <v>12820</v>
      </c>
      <c r="C26" s="181">
        <v>0.5</v>
      </c>
      <c r="D26" s="181">
        <v>0.5</v>
      </c>
      <c r="E26" t="s">
        <v>87</v>
      </c>
      <c r="F26" t="s">
        <v>12938</v>
      </c>
      <c r="G26" t="s">
        <v>12916</v>
      </c>
      <c r="H26" t="s">
        <v>12917</v>
      </c>
      <c r="I26" s="181">
        <f t="shared" ref="I26:I29" si="14">J26-(J26*20%)</f>
        <v>0.23075000000000001</v>
      </c>
      <c r="J26" s="181">
        <f t="shared" si="13"/>
        <v>0.28843750000000001</v>
      </c>
      <c r="K26" s="239">
        <f t="shared" si="10"/>
        <v>0.17749999999999999</v>
      </c>
      <c r="L26" s="240">
        <f t="shared" si="11"/>
        <v>0.11093749999999999</v>
      </c>
      <c r="M26" s="62"/>
      <c r="P26" s="181" t="str">
        <f t="shared" si="12"/>
        <v>3pU Сбалансированный</v>
      </c>
      <c r="Q26" s="181"/>
    </row>
    <row r="27" spans="1:17">
      <c r="A27" s="61" t="s">
        <v>12957</v>
      </c>
      <c r="B27" t="s">
        <v>12856</v>
      </c>
      <c r="C27" s="181">
        <v>0.75</v>
      </c>
      <c r="D27" s="181">
        <v>0.25</v>
      </c>
      <c r="E27" t="s">
        <v>87</v>
      </c>
      <c r="F27" t="s">
        <v>12938</v>
      </c>
      <c r="G27" t="s">
        <v>12916</v>
      </c>
      <c r="H27" t="s">
        <v>12917</v>
      </c>
      <c r="I27" s="181">
        <f t="shared" si="14"/>
        <v>0.25737500000000002</v>
      </c>
      <c r="J27" s="181">
        <f t="shared" si="13"/>
        <v>0.32171875</v>
      </c>
      <c r="K27" s="239">
        <f t="shared" si="10"/>
        <v>0.26624999999999999</v>
      </c>
      <c r="L27" s="240">
        <f t="shared" si="11"/>
        <v>5.5468749999999997E-2</v>
      </c>
      <c r="M27" s="62"/>
      <c r="P27" s="181" t="str">
        <f t="shared" si="12"/>
        <v>4pU Умеренно агрессивный</v>
      </c>
      <c r="Q27" s="181"/>
    </row>
    <row r="28" spans="1:17">
      <c r="A28" s="61" t="s">
        <v>12958</v>
      </c>
      <c r="B28" t="s">
        <v>12855</v>
      </c>
      <c r="C28" s="181">
        <v>1</v>
      </c>
      <c r="D28" s="181">
        <v>0</v>
      </c>
      <c r="E28" t="s">
        <v>87</v>
      </c>
      <c r="G28" t="s">
        <v>12916</v>
      </c>
      <c r="I28" s="181">
        <f t="shared" si="14"/>
        <v>0.28399999999999997</v>
      </c>
      <c r="J28" s="181">
        <f t="shared" si="13"/>
        <v>0.35499999999999998</v>
      </c>
      <c r="K28" s="239">
        <f t="shared" si="10"/>
        <v>0.35499999999999998</v>
      </c>
      <c r="L28" s="240">
        <f t="shared" si="11"/>
        <v>0</v>
      </c>
      <c r="M28" s="62"/>
      <c r="P28" s="181" t="str">
        <f t="shared" si="12"/>
        <v>5pU Агрессивный</v>
      </c>
      <c r="Q28" s="181"/>
    </row>
    <row r="29" spans="1:17">
      <c r="A29" s="61" t="s">
        <v>12959</v>
      </c>
      <c r="B29" t="s">
        <v>12854</v>
      </c>
      <c r="C29" s="181">
        <v>1</v>
      </c>
      <c r="D29" s="181">
        <v>0</v>
      </c>
      <c r="E29" t="s">
        <v>88</v>
      </c>
      <c r="G29" t="s">
        <v>12917</v>
      </c>
      <c r="I29" s="181">
        <f t="shared" si="14"/>
        <v>0.31950000000000001</v>
      </c>
      <c r="J29" s="181">
        <f t="shared" si="13"/>
        <v>0.39937499999999998</v>
      </c>
      <c r="K29" s="239">
        <f t="shared" si="10"/>
        <v>0.39937499999999998</v>
      </c>
      <c r="L29" s="240">
        <f t="shared" si="11"/>
        <v>0</v>
      </c>
      <c r="M29" s="62"/>
      <c r="P29" s="181" t="str">
        <f t="shared" si="12"/>
        <v>6pU Сверхагрессивный</v>
      </c>
      <c r="Q29" s="181"/>
    </row>
    <row r="30" spans="1:17">
      <c r="A30" s="245" t="s">
        <v>12960</v>
      </c>
      <c r="C30" s="181"/>
      <c r="D30" s="181"/>
      <c r="I30" s="181"/>
      <c r="J30" s="181"/>
      <c r="K30" s="239"/>
      <c r="L30" s="240"/>
      <c r="M30" s="62"/>
    </row>
    <row r="31" spans="1:17" ht="67.5">
      <c r="A31" s="61"/>
      <c r="B31" s="244" t="s">
        <v>12935</v>
      </c>
      <c r="D31" s="242" t="s">
        <v>12930</v>
      </c>
      <c r="E31" s="242" t="s">
        <v>12931</v>
      </c>
      <c r="I31" s="181"/>
      <c r="J31" s="181"/>
      <c r="K31" s="239"/>
      <c r="L31" s="240"/>
      <c r="M31" s="62"/>
    </row>
    <row r="32" spans="1:17" ht="24">
      <c r="A32" s="237" t="s">
        <v>12887</v>
      </c>
      <c r="B32" s="215" t="s">
        <v>1964</v>
      </c>
      <c r="C32" s="215" t="s">
        <v>12818</v>
      </c>
      <c r="D32" s="229" t="s">
        <v>12819</v>
      </c>
      <c r="M32" s="62"/>
    </row>
    <row r="33" spans="1:13">
      <c r="A33" s="52">
        <v>1</v>
      </c>
      <c r="B33" s="3" t="s">
        <v>12843</v>
      </c>
      <c r="C33" s="3" t="s">
        <v>12917</v>
      </c>
      <c r="D33" s="231">
        <f>IF(D36&lt;4%,D36+(D36*400%),D36+(D36*300%))</f>
        <v>0.16048000000000001</v>
      </c>
      <c r="E33" s="240"/>
      <c r="M33" s="62"/>
    </row>
    <row r="34" spans="1:13">
      <c r="A34" s="52">
        <v>2</v>
      </c>
      <c r="B34" s="3" t="s">
        <v>12843</v>
      </c>
      <c r="C34" s="3" t="s">
        <v>12916</v>
      </c>
      <c r="D34" s="231">
        <f>IF(D36&lt;4%,D36+(D36*350%),D36+(D36*250%))</f>
        <v>0.14041999999999999</v>
      </c>
      <c r="M34" s="62"/>
    </row>
    <row r="35" spans="1:13">
      <c r="A35" s="52">
        <v>3</v>
      </c>
      <c r="B35" s="3" t="s">
        <v>12919</v>
      </c>
      <c r="C35" s="3" t="s">
        <v>12917</v>
      </c>
      <c r="D35" s="231">
        <f>D36+(D36*25%)</f>
        <v>5.015E-2</v>
      </c>
      <c r="M35" s="62"/>
    </row>
    <row r="36" spans="1:13">
      <c r="A36" s="52">
        <v>4</v>
      </c>
      <c r="B36" s="3" t="s">
        <v>12919</v>
      </c>
      <c r="C36" s="3" t="s">
        <v>12916</v>
      </c>
      <c r="D36" s="232">
        <v>4.0120000000000003E-2</v>
      </c>
      <c r="E36" s="230" t="s">
        <v>12928</v>
      </c>
      <c r="G36" s="243" t="s">
        <v>12927</v>
      </c>
      <c r="M36" s="62"/>
    </row>
    <row r="37" spans="1:13">
      <c r="A37" s="61"/>
      <c r="M37" s="62"/>
    </row>
    <row r="38" spans="1:13" ht="15.75" thickBot="1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5"/>
    </row>
  </sheetData>
  <hyperlinks>
    <hyperlink ref="G20" r:id="rId1" xr:uid="{1E20C99C-E9B3-4D84-B649-EA1CFFA8100E}"/>
    <hyperlink ref="G36" r:id="rId2" xr:uid="{71653C2F-768C-43A6-B141-F2E034F80CB2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34819" r:id="rId5" name="ToggleButton2">
          <controlPr defaultSize="0" autoLine="0" linkedCell="AC1" r:id="rId6">
            <anchor moveWithCells="1">
              <from>
                <xdr:col>1</xdr:col>
                <xdr:colOff>1257300</xdr:colOff>
                <xdr:row>0</xdr:row>
                <xdr:rowOff>142875</xdr:rowOff>
              </from>
              <to>
                <xdr:col>2</xdr:col>
                <xdr:colOff>419100</xdr:colOff>
                <xdr:row>2</xdr:row>
                <xdr:rowOff>66675</xdr:rowOff>
              </to>
            </anchor>
          </controlPr>
        </control>
      </mc:Choice>
      <mc:Fallback>
        <control shapeId="34819" r:id="rId5" name="ToggleButton2"/>
      </mc:Fallback>
    </mc:AlternateContent>
    <mc:AlternateContent xmlns:mc="http://schemas.openxmlformats.org/markup-compatibility/2006">
      <mc:Choice Requires="x14">
        <control shapeId="34818" r:id="rId7" name="ToggleButton1">
          <controlPr defaultSize="0" autoLine="0" linkedCell="AB1" r:id="rId8">
            <anchor moveWithCells="1">
              <from>
                <xdr:col>1</xdr:col>
                <xdr:colOff>47625</xdr:colOff>
                <xdr:row>0</xdr:row>
                <xdr:rowOff>133350</xdr:rowOff>
              </from>
              <to>
                <xdr:col>1</xdr:col>
                <xdr:colOff>1066800</xdr:colOff>
                <xdr:row>2</xdr:row>
                <xdr:rowOff>66675</xdr:rowOff>
              </to>
            </anchor>
          </controlPr>
        </control>
      </mc:Choice>
      <mc:Fallback>
        <control shapeId="34818" r:id="rId7" name="ToggleButton1"/>
      </mc:Fallback>
    </mc:AlternateContent>
    <mc:AlternateContent xmlns:mc="http://schemas.openxmlformats.org/markup-compatibility/2006">
      <mc:Choice Requires="x14">
        <control shapeId="34817" r:id="rId9" name="Group Box 1">
          <controlPr defaultSize="0" autoFill="0" autoPict="0">
            <anchor moveWithCells="1">
              <from>
                <xdr:col>0</xdr:col>
                <xdr:colOff>314325</xdr:colOff>
                <xdr:row>0</xdr:row>
                <xdr:rowOff>9525</xdr:rowOff>
              </from>
              <to>
                <xdr:col>2</xdr:col>
                <xdr:colOff>523875</xdr:colOff>
                <xdr:row>2</xdr:row>
                <xdr:rowOff>123825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0FD31-8C29-4F02-9421-024266CF74FE}">
  <sheetPr codeName="Лист7"/>
  <dimension ref="A1:AF53"/>
  <sheetViews>
    <sheetView workbookViewId="0">
      <selection activeCell="AE12" sqref="AE12:AF18"/>
    </sheetView>
  </sheetViews>
  <sheetFormatPr defaultRowHeight="15"/>
  <cols>
    <col min="2" max="2" width="12.5703125" bestFit="1" customWidth="1"/>
    <col min="5" max="5" width="8.85546875" bestFit="1" customWidth="1"/>
    <col min="6" max="6" width="8.85546875" customWidth="1"/>
    <col min="8" max="8" width="14.140625" customWidth="1"/>
    <col min="9" max="9" width="16.5703125" bestFit="1" customWidth="1"/>
    <col min="10" max="10" width="23" customWidth="1"/>
    <col min="12" max="13" width="11.7109375" customWidth="1"/>
    <col min="14" max="14" width="9.7109375" customWidth="1"/>
    <col min="15" max="15" width="9.140625" customWidth="1"/>
    <col min="24" max="24" width="8.5703125" customWidth="1"/>
    <col min="25" max="25" width="13" customWidth="1"/>
    <col min="26" max="26" width="13.140625" customWidth="1"/>
    <col min="27" max="27" width="11.5703125" bestFit="1" customWidth="1"/>
    <col min="28" max="30" width="11.5703125" customWidth="1"/>
    <col min="31" max="31" width="54.140625" bestFit="1" customWidth="1"/>
    <col min="32" max="32" width="12.85546875" bestFit="1" customWidth="1"/>
  </cols>
  <sheetData>
    <row r="1" spans="1:32">
      <c r="A1" t="s">
        <v>2109</v>
      </c>
    </row>
    <row r="2" spans="1:32">
      <c r="A2" t="s">
        <v>2110</v>
      </c>
    </row>
    <row r="3" spans="1:32">
      <c r="A3" t="s">
        <v>2112</v>
      </c>
      <c r="V3" t="s">
        <v>2111</v>
      </c>
    </row>
    <row r="4" spans="1:32">
      <c r="V4" s="114">
        <f>SUM(W8:W38)</f>
        <v>1.6495691470010704E-2</v>
      </c>
    </row>
    <row r="5" spans="1:32">
      <c r="D5" s="132" t="s">
        <v>2116</v>
      </c>
      <c r="E5" s="131">
        <f>QUIK_портфель!P5</f>
        <v>963451.3899999999</v>
      </c>
      <c r="F5" s="131"/>
      <c r="H5" t="s">
        <v>2114</v>
      </c>
    </row>
    <row r="6" spans="1:32">
      <c r="A6" t="s">
        <v>2113</v>
      </c>
      <c r="H6" s="152" t="s">
        <v>12238</v>
      </c>
      <c r="V6" t="s">
        <v>2118</v>
      </c>
      <c r="W6" t="s">
        <v>2117</v>
      </c>
      <c r="X6" t="s">
        <v>2119</v>
      </c>
      <c r="Y6" t="s">
        <v>12204</v>
      </c>
    </row>
    <row r="7" spans="1:32" ht="75">
      <c r="A7" s="3" t="s">
        <v>229</v>
      </c>
      <c r="B7" s="3" t="s">
        <v>1964</v>
      </c>
      <c r="C7" s="3" t="s">
        <v>1966</v>
      </c>
      <c r="D7" s="3" t="s">
        <v>1967</v>
      </c>
      <c r="E7" s="3" t="s">
        <v>1968</v>
      </c>
      <c r="H7" s="3" t="s">
        <v>229</v>
      </c>
      <c r="I7" s="3" t="s">
        <v>1964</v>
      </c>
      <c r="J7" s="3"/>
      <c r="K7" s="116" t="s">
        <v>140</v>
      </c>
      <c r="L7" s="100" t="s">
        <v>12243</v>
      </c>
      <c r="M7" s="100" t="s">
        <v>12244</v>
      </c>
      <c r="N7" s="100" t="s">
        <v>12236</v>
      </c>
      <c r="O7" s="100" t="s">
        <v>12242</v>
      </c>
      <c r="P7" s="100" t="s">
        <v>2075</v>
      </c>
      <c r="Q7" s="100" t="s">
        <v>2076</v>
      </c>
      <c r="R7" s="100" t="s">
        <v>2090</v>
      </c>
      <c r="S7" s="100" t="s">
        <v>2091</v>
      </c>
      <c r="T7" s="100" t="s">
        <v>2092</v>
      </c>
      <c r="U7" s="134" t="s">
        <v>2094</v>
      </c>
      <c r="V7" s="100" t="s">
        <v>12231</v>
      </c>
      <c r="W7" s="135" t="s">
        <v>2115</v>
      </c>
      <c r="X7" s="100" t="s">
        <v>12230</v>
      </c>
      <c r="Y7" s="137" t="s">
        <v>12239</v>
      </c>
      <c r="Z7" s="137" t="s">
        <v>12235</v>
      </c>
      <c r="AA7" s="137" t="s">
        <v>12240</v>
      </c>
      <c r="AB7" s="137" t="s">
        <v>12246</v>
      </c>
      <c r="AC7" s="137" t="s">
        <v>12247</v>
      </c>
      <c r="AD7" s="137" t="s">
        <v>12249</v>
      </c>
    </row>
    <row r="8" spans="1:32">
      <c r="A8" s="3" t="s">
        <v>94</v>
      </c>
      <c r="B8" s="3"/>
      <c r="C8" s="3">
        <f>QUIK_деньги!J5</f>
        <v>3518.69</v>
      </c>
      <c r="D8" s="3">
        <f>C8</f>
        <v>3518.69</v>
      </c>
      <c r="E8" s="115">
        <f>D8/$E$5</f>
        <v>3.6521718028763241E-3</v>
      </c>
      <c r="F8" s="133"/>
      <c r="H8" s="122" t="s">
        <v>101</v>
      </c>
      <c r="I8" s="122" t="s">
        <v>102</v>
      </c>
      <c r="J8" s="123" t="s">
        <v>103</v>
      </c>
      <c r="K8" s="124">
        <v>0.05</v>
      </c>
      <c r="L8" s="150" t="str">
        <f>VLOOKUP(H8,QUIK!D:AL,3,FALSE)</f>
        <v>ао</v>
      </c>
      <c r="M8" s="150" t="str">
        <f>IF(ISERROR(VLOOKUP(L8,Лист12!$A$23:$A$27,1,FALSE))=FALSE,"Обл",IF(OR(L8="ао",L8="ап",L8="др"),"Акции","Прочее"))</f>
        <v>Акции</v>
      </c>
      <c r="N8" s="149">
        <f>IFERROR(VLOOKUP(H8,QUIK_купитьпродать!B:G,6,FALSE),)</f>
        <v>8</v>
      </c>
      <c r="O8" s="149">
        <f>IF(M8="Обл",VLOOKUP(H8,QUIK!C:J,8,FALSE),1)</f>
        <v>1</v>
      </c>
      <c r="P8">
        <f>VLOOKUP(H8,QUIK!$D:$AL,5,FALSE)</f>
        <v>1</v>
      </c>
      <c r="Q8">
        <f>VLOOKUP(H8,QUIK!$D:$AL,9,FALSE)</f>
        <v>6748.5</v>
      </c>
      <c r="R8" t="str">
        <f>VLOOKUP(H8,QUIK!$D:$AL,28,FALSE)</f>
        <v>SUR</v>
      </c>
      <c r="S8">
        <f>VLOOKUP(H8,QUIK!$D:$AL,31,FALSE)</f>
        <v>-100</v>
      </c>
      <c r="T8" t="str">
        <f>VLOOKUP(H8,QUIK!$D:$AL,30,FALSE)</f>
        <v/>
      </c>
      <c r="U8">
        <f>VLOOKUP(H8,QUIK!$D:$AL,4,FALSE)</f>
        <v>1</v>
      </c>
      <c r="V8" s="113">
        <f t="shared" ref="V8:V24" si="0">IFERROR(VLOOKUP(H8,A:E,4,FALSE)/SUM(D:D),"")</f>
        <v>5.4931827881576613E-2</v>
      </c>
      <c r="W8" s="90">
        <f>K8-V8</f>
        <v>-4.9318278815766101E-3</v>
      </c>
      <c r="X8" s="136">
        <f>(Q8*P8)/$E$5</f>
        <v>7.0045049185096936E-3</v>
      </c>
      <c r="Y8" s="145">
        <f t="shared" ref="Y8:Y24" si="1">W8*$E$5</f>
        <v>-4751.5764277457401</v>
      </c>
      <c r="Z8" s="148">
        <f>IF(ABS(W8)&lt;X8,0,ROUNDDOWN(Y8/(Q8*P8),0))</f>
        <v>0</v>
      </c>
      <c r="AA8" s="148">
        <f t="shared" ref="AA8:AA34" si="2">IF(M8="Обл",Z8*P8*Q8%*O8,Z8*P8*Q8)</f>
        <v>0</v>
      </c>
      <c r="AB8" s="148">
        <f t="shared" ref="AB8:AB24" si="3">(IF(N8&lt;&gt;0,N8,0)+Z8*P8)</f>
        <v>8</v>
      </c>
      <c r="AC8" s="148">
        <f>AB8*Q8</f>
        <v>53988</v>
      </c>
      <c r="AD8" s="113">
        <f>AC8/$E$5</f>
        <v>5.6036039348077549E-2</v>
      </c>
    </row>
    <row r="9" spans="1:32">
      <c r="A9" s="3" t="s">
        <v>99</v>
      </c>
      <c r="B9" s="3" t="s">
        <v>188</v>
      </c>
      <c r="C9" s="3">
        <v>37000</v>
      </c>
      <c r="D9" s="3">
        <v>56894.9</v>
      </c>
      <c r="E9" s="115">
        <f t="shared" ref="E9:E35" si="4">D9/$E$5</f>
        <v>5.9053212845538584E-2</v>
      </c>
      <c r="F9" s="133"/>
      <c r="H9" s="122" t="s">
        <v>104</v>
      </c>
      <c r="I9" s="122" t="s">
        <v>105</v>
      </c>
      <c r="J9" s="125" t="s">
        <v>106</v>
      </c>
      <c r="K9" s="124">
        <v>0.05</v>
      </c>
      <c r="L9" s="150" t="str">
        <f>VLOOKUP(H9,QUIK!D:AL,3,FALSE)</f>
        <v>др</v>
      </c>
      <c r="M9" s="150" t="str">
        <f>IF(ISERROR(VLOOKUP(L9,Лист12!$A$23:$A$27,1,FALSE))=FALSE,"Обл",IF(OR(L9="ао",L9="ап",L9="др"),"Акции","Прочее"))</f>
        <v>Акции</v>
      </c>
      <c r="N9" s="149">
        <f>IFERROR(VLOOKUP(H9,QUIK_купитьпродать!B:G,6,FALSE),)</f>
        <v>0</v>
      </c>
      <c r="O9" s="149">
        <f>IF(M9="Обл",VLOOKUP(H9,QUIK!C:J,8,FALSE),1)</f>
        <v>1</v>
      </c>
      <c r="P9">
        <f>VLOOKUP(H9,QUIK!$D:$AL,5,FALSE)</f>
        <v>1</v>
      </c>
      <c r="Q9">
        <f>VLOOKUP(H9,QUIK!$D:$AL,9,FALSE)</f>
        <v>2719.5</v>
      </c>
      <c r="R9" t="str">
        <f>VLOOKUP(H9,QUIK!$D:$AL,28,FALSE)</f>
        <v>SUR</v>
      </c>
      <c r="S9">
        <f>VLOOKUP(H9,QUIK!$D:$AL,31,FALSE)</f>
        <v>-100</v>
      </c>
      <c r="T9" t="str">
        <f>VLOOKUP(H9,QUIK!$D:$AL,30,FALSE)</f>
        <v/>
      </c>
      <c r="U9">
        <f>VLOOKUP(H9,QUIK!$D:$AL,4,FALSE)</f>
        <v>1</v>
      </c>
      <c r="V9" s="113" t="str">
        <f t="shared" si="0"/>
        <v/>
      </c>
      <c r="W9" s="90">
        <f>K9</f>
        <v>0.05</v>
      </c>
      <c r="X9" s="136">
        <f>(Q9*P9)/$E$5</f>
        <v>2.8226644626045952E-3</v>
      </c>
      <c r="Y9" s="145">
        <f t="shared" si="1"/>
        <v>48172.569499999998</v>
      </c>
      <c r="Z9" s="148">
        <f>IF(ABS(W9)&lt;X9,0,ROUNDDOWN(Y9/(Q9*P9),0))</f>
        <v>17</v>
      </c>
      <c r="AA9" s="148">
        <f t="shared" si="2"/>
        <v>46231.5</v>
      </c>
      <c r="AB9" s="148">
        <f t="shared" si="3"/>
        <v>17</v>
      </c>
      <c r="AC9" s="148">
        <f t="shared" ref="AC9:AC38" si="5">AB9*Q9</f>
        <v>46231.5</v>
      </c>
      <c r="AD9" s="113">
        <f t="shared" ref="AD9:AD45" si="6">AC9/$E$5</f>
        <v>4.7985295864278119E-2</v>
      </c>
    </row>
    <row r="10" spans="1:32">
      <c r="A10" s="3" t="s">
        <v>107</v>
      </c>
      <c r="B10" s="3" t="s">
        <v>108</v>
      </c>
      <c r="C10" s="3">
        <v>6</v>
      </c>
      <c r="D10" s="3">
        <v>11618.400000000001</v>
      </c>
      <c r="E10" s="115">
        <f t="shared" si="4"/>
        <v>1.2059144987065723E-2</v>
      </c>
      <c r="F10" s="133"/>
      <c r="H10" s="122" t="s">
        <v>107</v>
      </c>
      <c r="I10" s="122" t="s">
        <v>108</v>
      </c>
      <c r="J10" s="126" t="s">
        <v>106</v>
      </c>
      <c r="K10" s="124">
        <v>0.05</v>
      </c>
      <c r="L10" s="150" t="str">
        <f>VLOOKUP(H10,QUIK!D:AL,3,FALSE)</f>
        <v>ао</v>
      </c>
      <c r="M10" s="150" t="str">
        <f>IF(ISERROR(VLOOKUP(L10,Лист12!$A$23:$A$27,1,FALSE))=FALSE,"Обл",IF(OR(L10="ао",L10="ап",L10="др"),"Акции","Прочее"))</f>
        <v>Акции</v>
      </c>
      <c r="N10" s="149">
        <f>IFERROR(VLOOKUP(H10,QUIK_купитьпродать!B:G,6,FALSE),)</f>
        <v>6</v>
      </c>
      <c r="O10" s="149">
        <f>IF(M10="Обл",VLOOKUP(H10,QUIK!C:J,8,FALSE),1)</f>
        <v>1</v>
      </c>
      <c r="P10">
        <f>VLOOKUP(H10,QUIK!$D:$AL,5,FALSE)</f>
        <v>1</v>
      </c>
      <c r="Q10">
        <f>VLOOKUP(H10,QUIK!$D:$AL,9,FALSE)</f>
        <v>1798.6</v>
      </c>
      <c r="R10" t="str">
        <f>VLOOKUP(H10,QUIK!$D:$AL,28,FALSE)</f>
        <v>SUR</v>
      </c>
      <c r="S10">
        <f>VLOOKUP(H10,QUIK!$D:$AL,31,FALSE)</f>
        <v>-100</v>
      </c>
      <c r="T10" t="str">
        <f>VLOOKUP(H10,QUIK!$D:$AL,30,FALSE)</f>
        <v/>
      </c>
      <c r="U10">
        <f>VLOOKUP(H10,QUIK!$D:$AL,4,FALSE)</f>
        <v>1</v>
      </c>
      <c r="V10" s="113">
        <f t="shared" si="0"/>
        <v>1.1713896723061995E-2</v>
      </c>
      <c r="W10" s="90">
        <f t="shared" ref="W10:W17" si="7">K10-V10</f>
        <v>3.8286103276938009E-2</v>
      </c>
      <c r="X10" s="136">
        <f>(Q10*P10)/$E$5</f>
        <v>1.8668300431846387E-3</v>
      </c>
      <c r="Y10" s="145">
        <f t="shared" si="1"/>
        <v>36886.799419849478</v>
      </c>
      <c r="Z10" s="148">
        <f t="shared" ref="Z10:Z24" si="8">IF(ABS(W10)&lt;X10,0,ROUNDDOWN(Y10/(Q10*P10),0))</f>
        <v>20</v>
      </c>
      <c r="AA10" s="148">
        <f t="shared" si="2"/>
        <v>35972</v>
      </c>
      <c r="AB10" s="148">
        <f t="shared" si="3"/>
        <v>26</v>
      </c>
      <c r="AC10" s="148">
        <f t="shared" si="5"/>
        <v>46763.6</v>
      </c>
      <c r="AD10" s="113">
        <f t="shared" si="6"/>
        <v>4.8537581122800606E-2</v>
      </c>
    </row>
    <row r="11" spans="1:32">
      <c r="A11" s="3" t="s">
        <v>132</v>
      </c>
      <c r="B11" s="3" t="s">
        <v>133</v>
      </c>
      <c r="C11" s="3">
        <v>25</v>
      </c>
      <c r="D11" s="3">
        <v>21485</v>
      </c>
      <c r="E11" s="115">
        <f t="shared" si="4"/>
        <v>2.2300035292906684E-2</v>
      </c>
      <c r="F11" s="133"/>
      <c r="H11" s="122" t="s">
        <v>112</v>
      </c>
      <c r="I11" s="122" t="s">
        <v>113</v>
      </c>
      <c r="J11" s="123" t="s">
        <v>103</v>
      </c>
      <c r="K11" s="127">
        <v>0.08</v>
      </c>
      <c r="L11" s="150" t="str">
        <f>VLOOKUP(H11,QUIK!D:AL,3,FALSE)</f>
        <v>ап</v>
      </c>
      <c r="M11" s="150" t="str">
        <f>IF(ISERROR(VLOOKUP(L11,Лист12!$A$23:$A$27,1,FALSE))=FALSE,"Обл",IF(OR(L11="ао",L11="ап",L11="др"),"Акции","Прочее"))</f>
        <v>Акции</v>
      </c>
      <c r="N11" s="149">
        <f>IFERROR(VLOOKUP(H11,QUIK_купитьпродать!B:G,6,FALSE),)</f>
        <v>500</v>
      </c>
      <c r="O11" s="149">
        <f>IF(M11="Обл",VLOOKUP(H11,QUIK!C:J,8,FALSE),1)</f>
        <v>1</v>
      </c>
      <c r="P11">
        <f>VLOOKUP(H11,QUIK!$D:$AL,5,FALSE)</f>
        <v>10</v>
      </c>
      <c r="Q11">
        <f>VLOOKUP(H11,QUIK!$D:$AL,9,FALSE)</f>
        <v>55.975000000000001</v>
      </c>
      <c r="R11" t="str">
        <f>VLOOKUP(H11,QUIK!$D:$AL,28,FALSE)</f>
        <v>SUR</v>
      </c>
      <c r="S11">
        <f>VLOOKUP(H11,QUIK!$D:$AL,31,FALSE)</f>
        <v>-100</v>
      </c>
      <c r="T11" t="str">
        <f>VLOOKUP(H11,QUIK!$D:$AL,30,FALSE)</f>
        <v/>
      </c>
      <c r="U11">
        <f>VLOOKUP(H11,QUIK!$D:$AL,4,FALSE)</f>
        <v>2</v>
      </c>
      <c r="V11" s="113">
        <f t="shared" si="0"/>
        <v>2.9223240421912822E-2</v>
      </c>
      <c r="W11" s="90">
        <f t="shared" si="7"/>
        <v>5.077675957808718E-2</v>
      </c>
      <c r="X11" s="136">
        <f>(Q11*P11)/$E$5</f>
        <v>5.8098416361203244E-4</v>
      </c>
      <c r="Y11" s="145">
        <f t="shared" si="1"/>
        <v>48920.939595203905</v>
      </c>
      <c r="Z11" s="148">
        <f t="shared" si="8"/>
        <v>87</v>
      </c>
      <c r="AA11" s="148">
        <f t="shared" si="2"/>
        <v>48698.25</v>
      </c>
      <c r="AB11" s="148">
        <f t="shared" si="3"/>
        <v>1370</v>
      </c>
      <c r="AC11" s="148">
        <f t="shared" si="5"/>
        <v>76685.75</v>
      </c>
      <c r="AD11" s="113">
        <f t="shared" si="6"/>
        <v>7.9594830414848439E-2</v>
      </c>
    </row>
    <row r="12" spans="1:32">
      <c r="A12" s="3" t="s">
        <v>128</v>
      </c>
      <c r="B12" s="3" t="s">
        <v>129</v>
      </c>
      <c r="C12" s="3">
        <v>50</v>
      </c>
      <c r="D12" s="3">
        <v>23102.5</v>
      </c>
      <c r="E12" s="115">
        <f t="shared" si="4"/>
        <v>2.3978895292267939E-2</v>
      </c>
      <c r="F12" s="133"/>
      <c r="H12" s="122" t="s">
        <v>114</v>
      </c>
      <c r="I12" s="122" t="s">
        <v>115</v>
      </c>
      <c r="J12" s="123" t="s">
        <v>103</v>
      </c>
      <c r="K12" s="124">
        <v>0.05</v>
      </c>
      <c r="L12" s="150" t="str">
        <f>VLOOKUP(H12,QUIK!D:AL,3,FALSE)</f>
        <v>ао</v>
      </c>
      <c r="M12" s="150" t="str">
        <f>IF(ISERROR(VLOOKUP(L12,Лист12!$A$23:$A$27,1,FALSE))=FALSE,"Обл",IF(OR(L12="ао",L12="ап",L12="др"),"Акции","Прочее"))</f>
        <v>Акции</v>
      </c>
      <c r="N12" s="149">
        <f>IFERROR(VLOOKUP(H12,QUIK_купитьпродать!B:G,6,FALSE),)</f>
        <v>9</v>
      </c>
      <c r="O12" s="149">
        <f>IF(M12="Обл",VLOOKUP(H12,QUIK!C:J,8,FALSE),1)</f>
        <v>1</v>
      </c>
      <c r="P12">
        <f>VLOOKUP(H12,QUIK!$D:$AL,5,FALSE)</f>
        <v>1</v>
      </c>
      <c r="Q12">
        <f>VLOOKUP(H12,QUIK!$D:$AL,9,FALSE)</f>
        <v>2348</v>
      </c>
      <c r="R12" t="str">
        <f>VLOOKUP(H12,QUIK!$D:$AL,28,FALSE)</f>
        <v>SUR</v>
      </c>
      <c r="S12">
        <f>VLOOKUP(H12,QUIK!$D:$AL,31,FALSE)</f>
        <v>-100</v>
      </c>
      <c r="T12" t="str">
        <f>VLOOKUP(H12,QUIK!$D:$AL,30,FALSE)</f>
        <v/>
      </c>
      <c r="U12">
        <f>VLOOKUP(H12,QUIK!$D:$AL,4,FALSE)</f>
        <v>1</v>
      </c>
      <c r="V12" s="113">
        <f t="shared" si="0"/>
        <v>2.1766651099422468E-2</v>
      </c>
      <c r="W12" s="90">
        <f t="shared" si="7"/>
        <v>2.8233348900577535E-2</v>
      </c>
      <c r="X12" s="136">
        <f t="shared" ref="X12:X24" si="9">(Q12*P12)/$E$5</f>
        <v>2.4370715786709283E-3</v>
      </c>
      <c r="Y12" s="145">
        <f t="shared" si="1"/>
        <v>27201.459242616394</v>
      </c>
      <c r="Z12" s="148">
        <f t="shared" si="8"/>
        <v>11</v>
      </c>
      <c r="AA12" s="148">
        <f t="shared" si="2"/>
        <v>25828</v>
      </c>
      <c r="AB12" s="148">
        <f t="shared" si="3"/>
        <v>20</v>
      </c>
      <c r="AC12" s="148">
        <f t="shared" si="5"/>
        <v>46960</v>
      </c>
      <c r="AD12" s="113">
        <f t="shared" si="6"/>
        <v>4.8741431573418564E-2</v>
      </c>
      <c r="AE12" s="146" t="s">
        <v>12232</v>
      </c>
      <c r="AF12" s="147">
        <f>SUMIF(AA8:AA38,"&lt;0",AA8:AA38)</f>
        <v>-464389.7</v>
      </c>
    </row>
    <row r="13" spans="1:32">
      <c r="A13" s="3" t="s">
        <v>453</v>
      </c>
      <c r="B13" s="3" t="s">
        <v>454</v>
      </c>
      <c r="C13" s="3">
        <v>50</v>
      </c>
      <c r="D13" s="3">
        <v>56300</v>
      </c>
      <c r="E13" s="115">
        <f t="shared" si="4"/>
        <v>5.8435745263702411E-2</v>
      </c>
      <c r="F13" s="133"/>
      <c r="H13" s="122" t="s">
        <v>116</v>
      </c>
      <c r="I13" s="122" t="s">
        <v>117</v>
      </c>
      <c r="J13" s="126" t="s">
        <v>106</v>
      </c>
      <c r="K13" s="128">
        <v>0.03</v>
      </c>
      <c r="L13" s="150" t="str">
        <f>VLOOKUP(H13,QUIK!D:AL,3,FALSE)</f>
        <v>ап</v>
      </c>
      <c r="M13" s="150" t="str">
        <f>IF(ISERROR(VLOOKUP(L13,Лист12!$A$23:$A$27,1,FALSE))=FALSE,"Обл",IF(OR(L13="ао",L13="ап",L13="др"),"Акции","Прочее"))</f>
        <v>Акции</v>
      </c>
      <c r="N13" s="149">
        <f>IFERROR(VLOOKUP(H13,QUIK_купитьпродать!B:G,6,FALSE),)</f>
        <v>11</v>
      </c>
      <c r="O13" s="149">
        <f>IF(M13="Обл",VLOOKUP(H13,QUIK!C:J,8,FALSE),1)</f>
        <v>1</v>
      </c>
      <c r="P13">
        <f>VLOOKUP(H13,QUIK!$D:$AL,5,FALSE)</f>
        <v>1</v>
      </c>
      <c r="Q13">
        <f>VLOOKUP(H13,QUIK!$D:$AL,9,FALSE)</f>
        <v>944.5</v>
      </c>
      <c r="R13" t="str">
        <f>VLOOKUP(H13,QUIK!$D:$AL,28,FALSE)</f>
        <v>SUR</v>
      </c>
      <c r="S13">
        <f>VLOOKUP(H13,QUIK!$D:$AL,31,FALSE)</f>
        <v>-100</v>
      </c>
      <c r="T13" t="str">
        <f>VLOOKUP(H13,QUIK!$D:$AL,30,FALSE)</f>
        <v/>
      </c>
      <c r="U13">
        <f>VLOOKUP(H13,QUIK!$D:$AL,4,FALSE)</f>
        <v>1</v>
      </c>
      <c r="V13" s="113">
        <f t="shared" si="0"/>
        <v>1.1168046719114311E-2</v>
      </c>
      <c r="W13" s="90">
        <f t="shared" si="7"/>
        <v>1.8831953280885688E-2</v>
      </c>
      <c r="X13" s="136">
        <f t="shared" si="9"/>
        <v>9.8032968741681927E-4</v>
      </c>
      <c r="Y13" s="145">
        <f t="shared" si="1"/>
        <v>18143.671564884375</v>
      </c>
      <c r="Z13" s="148">
        <f t="shared" si="8"/>
        <v>19</v>
      </c>
      <c r="AA13" s="148">
        <f t="shared" si="2"/>
        <v>17945.5</v>
      </c>
      <c r="AB13" s="148">
        <f t="shared" si="3"/>
        <v>30</v>
      </c>
      <c r="AC13" s="148">
        <f t="shared" si="5"/>
        <v>28335</v>
      </c>
      <c r="AD13" s="113">
        <f t="shared" si="6"/>
        <v>2.940989062250458E-2</v>
      </c>
      <c r="AE13" t="s">
        <v>12233</v>
      </c>
      <c r="AF13" s="147">
        <f>SUMIF(AA8:AA38,"&gt;0",AA8:AA38)</f>
        <v>470438</v>
      </c>
    </row>
    <row r="14" spans="1:32">
      <c r="A14" s="3" t="s">
        <v>134</v>
      </c>
      <c r="B14" s="3" t="s">
        <v>135</v>
      </c>
      <c r="C14" s="3">
        <v>240</v>
      </c>
      <c r="D14" s="3">
        <v>78208.800000000003</v>
      </c>
      <c r="E14" s="115">
        <f t="shared" si="4"/>
        <v>8.1175657445468022E-2</v>
      </c>
      <c r="F14" s="133"/>
      <c r="H14" s="122" t="s">
        <v>118</v>
      </c>
      <c r="I14" s="122" t="s">
        <v>119</v>
      </c>
      <c r="J14" s="123" t="s">
        <v>103</v>
      </c>
      <c r="K14" s="129">
        <v>0.09</v>
      </c>
      <c r="L14" s="150" t="str">
        <f>VLOOKUP(H14,QUIK!D:AL,3,FALSE)</f>
        <v>ао</v>
      </c>
      <c r="M14" s="150" t="str">
        <f>IF(ISERROR(VLOOKUP(L14,Лист12!$A$23:$A$27,1,FALSE))=FALSE,"Обл",IF(OR(L14="ао",L14="ап",L14="др"),"Акции","Прочее"))</f>
        <v>Акции</v>
      </c>
      <c r="N14" s="149">
        <f>IFERROR(VLOOKUP(H14,QUIK_купитьпродать!B:G,6,FALSE),)</f>
        <v>30</v>
      </c>
      <c r="O14" s="149">
        <f>IF(M14="Обл",VLOOKUP(H14,QUIK!C:J,8,FALSE),1)</f>
        <v>1</v>
      </c>
      <c r="P14">
        <f>VLOOKUP(H14,QUIK!$D:$AL,5,FALSE)</f>
        <v>1</v>
      </c>
      <c r="Q14">
        <f>VLOOKUP(H14,QUIK!$D:$AL,9,FALSE)</f>
        <v>3330.5</v>
      </c>
      <c r="R14" t="str">
        <f>VLOOKUP(H14,QUIK!$D:$AL,28,FALSE)</f>
        <v>SUR</v>
      </c>
      <c r="S14">
        <f>VLOOKUP(H14,QUIK!$D:$AL,31,FALSE)</f>
        <v>-100</v>
      </c>
      <c r="T14" t="str">
        <f>VLOOKUP(H14,QUIK!$D:$AL,30,FALSE)</f>
        <v/>
      </c>
      <c r="U14">
        <f>VLOOKUP(H14,QUIK!$D:$AL,4,FALSE)</f>
        <v>1</v>
      </c>
      <c r="V14" s="113">
        <f t="shared" si="0"/>
        <v>0.102248574344947</v>
      </c>
      <c r="W14" s="90">
        <f t="shared" si="7"/>
        <v>-1.2248574344947E-2</v>
      </c>
      <c r="X14" s="136">
        <f t="shared" si="9"/>
        <v>3.4568427993030351E-3</v>
      </c>
      <c r="Y14" s="145">
        <f t="shared" si="1"/>
        <v>-11800.905978157525</v>
      </c>
      <c r="Z14" s="148">
        <f t="shared" si="8"/>
        <v>-3</v>
      </c>
      <c r="AA14" s="148">
        <f t="shared" si="2"/>
        <v>-9991.5</v>
      </c>
      <c r="AB14" s="148">
        <f t="shared" si="3"/>
        <v>27</v>
      </c>
      <c r="AC14" s="148">
        <f t="shared" si="5"/>
        <v>89923.5</v>
      </c>
      <c r="AD14" s="113">
        <f t="shared" si="6"/>
        <v>9.3334755581181955E-2</v>
      </c>
      <c r="AE14" t="s">
        <v>12234</v>
      </c>
      <c r="AF14" s="145">
        <f>AF13+AF12</f>
        <v>6048.2999999999884</v>
      </c>
    </row>
    <row r="15" spans="1:32">
      <c r="A15" s="3" t="s">
        <v>130</v>
      </c>
      <c r="B15" s="3" t="s">
        <v>131</v>
      </c>
      <c r="C15" s="3">
        <v>40</v>
      </c>
      <c r="D15" s="3">
        <v>22510</v>
      </c>
      <c r="E15" s="115">
        <f t="shared" si="4"/>
        <v>2.3363918754634838E-2</v>
      </c>
      <c r="F15" s="133"/>
      <c r="H15" s="122" t="s">
        <v>120</v>
      </c>
      <c r="I15" s="122" t="s">
        <v>121</v>
      </c>
      <c r="J15" s="123" t="s">
        <v>103</v>
      </c>
      <c r="K15" s="124">
        <v>0.05</v>
      </c>
      <c r="L15" s="150" t="str">
        <f>VLOOKUP(H15,QUIK!D:AL,3,FALSE)</f>
        <v>ао</v>
      </c>
      <c r="M15" s="150" t="str">
        <f>IF(ISERROR(VLOOKUP(L15,Лист12!$A$23:$A$27,1,FALSE))=FALSE,"Обл",IF(OR(L15="ао",L15="ап",L15="др"),"Акции","Прочее"))</f>
        <v>Акции</v>
      </c>
      <c r="N15" s="149">
        <f>IFERROR(VLOOKUP(H15,QUIK_купитьпродать!B:G,6,FALSE),)</f>
        <v>140</v>
      </c>
      <c r="O15" s="149">
        <f>IF(M15="Обл",VLOOKUP(H15,QUIK!C:J,8,FALSE),1)</f>
        <v>1</v>
      </c>
      <c r="P15">
        <f>VLOOKUP(H15,QUIK!$D:$AL,5,FALSE)</f>
        <v>10</v>
      </c>
      <c r="Q15">
        <f>VLOOKUP(H15,QUIK!$D:$AL,9,FALSE)</f>
        <v>183.56</v>
      </c>
      <c r="R15" t="str">
        <f>VLOOKUP(H15,QUIK!$D:$AL,28,FALSE)</f>
        <v>SUR</v>
      </c>
      <c r="S15">
        <f>VLOOKUP(H15,QUIK!$D:$AL,31,FALSE)</f>
        <v>-100</v>
      </c>
      <c r="T15" t="str">
        <f>VLOOKUP(H15,QUIK!$D:$AL,30,FALSE)</f>
        <v/>
      </c>
      <c r="U15">
        <f>VLOOKUP(H15,QUIK!$D:$AL,4,FALSE)</f>
        <v>1</v>
      </c>
      <c r="V15" s="113">
        <f t="shared" si="0"/>
        <v>2.6725477585230164E-2</v>
      </c>
      <c r="W15" s="90">
        <f t="shared" si="7"/>
        <v>2.3274522414769839E-2</v>
      </c>
      <c r="X15" s="136">
        <f t="shared" si="9"/>
        <v>1.9052336413153135E-3</v>
      </c>
      <c r="Y15" s="145">
        <f t="shared" si="1"/>
        <v>22423.870972096156</v>
      </c>
      <c r="Z15" s="148">
        <f t="shared" si="8"/>
        <v>12</v>
      </c>
      <c r="AA15" s="148">
        <f t="shared" si="2"/>
        <v>22027.200000000001</v>
      </c>
      <c r="AB15" s="148">
        <f t="shared" si="3"/>
        <v>260</v>
      </c>
      <c r="AC15" s="148">
        <f t="shared" si="5"/>
        <v>47725.599999999999</v>
      </c>
      <c r="AD15" s="113">
        <f t="shared" si="6"/>
        <v>4.9536074674198148E-2</v>
      </c>
    </row>
    <row r="16" spans="1:32">
      <c r="A16" s="3" t="s">
        <v>136</v>
      </c>
      <c r="B16" s="3" t="s">
        <v>137</v>
      </c>
      <c r="C16" s="3">
        <v>5000</v>
      </c>
      <c r="D16" s="3">
        <v>19315.000000000004</v>
      </c>
      <c r="E16" s="115">
        <f t="shared" si="4"/>
        <v>2.0047716159296843E-2</v>
      </c>
      <c r="F16" s="133"/>
      <c r="H16" s="122" t="s">
        <v>122</v>
      </c>
      <c r="I16" s="122" t="s">
        <v>123</v>
      </c>
      <c r="J16" s="126" t="s">
        <v>106</v>
      </c>
      <c r="K16" s="124">
        <v>0.05</v>
      </c>
      <c r="L16" s="150" t="str">
        <f>VLOOKUP(H16,QUIK!D:AL,3,FALSE)</f>
        <v>ао</v>
      </c>
      <c r="M16" s="150" t="str">
        <f>IF(ISERROR(VLOOKUP(L16,Лист12!$A$23:$A$27,1,FALSE))=FALSE,"Обл",IF(OR(L16="ао",L16="ап",L16="др"),"Акции","Прочее"))</f>
        <v>Акции</v>
      </c>
      <c r="N16" s="149">
        <f>IFERROR(VLOOKUP(H16,QUIK_купитьпродать!B:G,6,FALSE),)</f>
        <v>1000</v>
      </c>
      <c r="O16" s="149">
        <f>IF(M16="Обл",VLOOKUP(H16,QUIK!C:J,8,FALSE),1)</f>
        <v>1</v>
      </c>
      <c r="P16">
        <f>VLOOKUP(H16,QUIK!$D:$AL,5,FALSE)</f>
        <v>100</v>
      </c>
      <c r="Q16">
        <f>VLOOKUP(H16,QUIK!$D:$AL,9,FALSE)</f>
        <v>12.58</v>
      </c>
      <c r="R16" t="str">
        <f>VLOOKUP(H16,QUIK!$D:$AL,28,FALSE)</f>
        <v>SUR</v>
      </c>
      <c r="S16">
        <f>VLOOKUP(H16,QUIK!$D:$AL,31,FALSE)</f>
        <v>-100</v>
      </c>
      <c r="T16" t="str">
        <f>VLOOKUP(H16,QUIK!$D:$AL,30,FALSE)</f>
        <v/>
      </c>
      <c r="U16">
        <f>VLOOKUP(H16,QUIK!$D:$AL,4,FALSE)</f>
        <v>1</v>
      </c>
      <c r="V16" s="113">
        <f t="shared" si="0"/>
        <v>1.2804386867631285E-2</v>
      </c>
      <c r="W16" s="90">
        <f t="shared" si="7"/>
        <v>3.7195613132368716E-2</v>
      </c>
      <c r="X16" s="136">
        <f t="shared" si="9"/>
        <v>1.3057223364429419E-3</v>
      </c>
      <c r="Y16" s="145">
        <f t="shared" si="1"/>
        <v>35836.165174282891</v>
      </c>
      <c r="Z16" s="148">
        <f t="shared" si="8"/>
        <v>28</v>
      </c>
      <c r="AA16" s="148">
        <f t="shared" si="2"/>
        <v>35224</v>
      </c>
      <c r="AB16" s="148">
        <f t="shared" si="3"/>
        <v>3800</v>
      </c>
      <c r="AC16" s="148">
        <f t="shared" si="5"/>
        <v>47804</v>
      </c>
      <c r="AD16" s="113">
        <f t="shared" si="6"/>
        <v>4.9617448784831798E-2</v>
      </c>
      <c r="AE16" t="s">
        <v>12245</v>
      </c>
      <c r="AF16" s="145">
        <f>Y44</f>
        <v>-55266.022871751353</v>
      </c>
    </row>
    <row r="17" spans="1:32">
      <c r="A17" s="3" t="s">
        <v>101</v>
      </c>
      <c r="B17" s="3" t="s">
        <v>102</v>
      </c>
      <c r="C17" s="3">
        <v>8</v>
      </c>
      <c r="D17" s="3">
        <v>54484</v>
      </c>
      <c r="E17" s="115">
        <f t="shared" si="4"/>
        <v>5.6550855150045508E-2</v>
      </c>
      <c r="F17" s="133"/>
      <c r="H17" s="122" t="s">
        <v>124</v>
      </c>
      <c r="I17" s="122" t="s">
        <v>125</v>
      </c>
      <c r="J17" s="123" t="s">
        <v>103</v>
      </c>
      <c r="K17" s="124">
        <v>0.05</v>
      </c>
      <c r="L17" s="150" t="str">
        <f>VLOOKUP(H17,QUIK!D:AL,3,FALSE)</f>
        <v>ао</v>
      </c>
      <c r="M17" s="150" t="str">
        <f>IF(ISERROR(VLOOKUP(L17,Лист12!$A$23:$A$27,1,FALSE))=FALSE,"Обл",IF(OR(L17="ао",L17="ап",L17="др"),"Акции","Прочее"))</f>
        <v>Акции</v>
      </c>
      <c r="N17" s="149">
        <f>IFERROR(VLOOKUP(H17,QUIK_купитьпродать!B:G,6,FALSE),)</f>
        <v>7</v>
      </c>
      <c r="O17" s="149">
        <f>IF(M17="Обл",VLOOKUP(H17,QUIK!C:J,8,FALSE),1)</f>
        <v>1</v>
      </c>
      <c r="P17">
        <f>VLOOKUP(H17,QUIK!$D:$AL,5,FALSE)</f>
        <v>1</v>
      </c>
      <c r="Q17">
        <f>VLOOKUP(H17,QUIK!$D:$AL,9,FALSE)</f>
        <v>4200</v>
      </c>
      <c r="R17" t="str">
        <f>VLOOKUP(H17,QUIK!$D:$AL,28,FALSE)</f>
        <v>SUR</v>
      </c>
      <c r="S17">
        <f>VLOOKUP(H17,QUIK!$D:$AL,31,FALSE)</f>
        <v>-100</v>
      </c>
      <c r="T17" t="str">
        <f>VLOOKUP(H17,QUIK!$D:$AL,30,FALSE)</f>
        <v/>
      </c>
      <c r="U17">
        <f>VLOOKUP(H17,QUIK!$D:$AL,4,FALSE)</f>
        <v>1</v>
      </c>
      <c r="V17" s="113">
        <f t="shared" si="0"/>
        <v>3.0128621477592574E-2</v>
      </c>
      <c r="W17" s="90">
        <f t="shared" si="7"/>
        <v>1.9871378522407428E-2</v>
      </c>
      <c r="X17" s="136">
        <f t="shared" si="9"/>
        <v>4.3593273553738923E-3</v>
      </c>
      <c r="Y17" s="145">
        <f t="shared" si="1"/>
        <v>19145.107258629581</v>
      </c>
      <c r="Z17" s="148">
        <f t="shared" si="8"/>
        <v>4</v>
      </c>
      <c r="AA17" s="148">
        <f t="shared" si="2"/>
        <v>16800</v>
      </c>
      <c r="AB17" s="148">
        <f t="shared" si="3"/>
        <v>11</v>
      </c>
      <c r="AC17" s="148">
        <f t="shared" si="5"/>
        <v>46200</v>
      </c>
      <c r="AD17" s="113">
        <f t="shared" si="6"/>
        <v>4.7952600909112818E-2</v>
      </c>
      <c r="AE17" t="s">
        <v>12234</v>
      </c>
      <c r="AF17" s="145">
        <f>AF14+AF16</f>
        <v>-49217.722871751364</v>
      </c>
    </row>
    <row r="18" spans="1:32">
      <c r="A18" s="3" t="s">
        <v>770</v>
      </c>
      <c r="B18" s="3" t="s">
        <v>771</v>
      </c>
      <c r="C18" s="3">
        <v>50</v>
      </c>
      <c r="D18" s="3">
        <v>13850</v>
      </c>
      <c r="E18" s="115">
        <f t="shared" si="4"/>
        <v>1.4375400921887715E-2</v>
      </c>
      <c r="F18" s="133"/>
      <c r="H18" s="122" t="s">
        <v>126</v>
      </c>
      <c r="I18" s="122" t="s">
        <v>127</v>
      </c>
      <c r="J18" s="126" t="s">
        <v>106</v>
      </c>
      <c r="K18" s="124">
        <v>0.05</v>
      </c>
      <c r="L18" s="150" t="str">
        <f>VLOOKUP(H18,QUIK!D:AL,3,FALSE)</f>
        <v>ап</v>
      </c>
      <c r="M18" s="150" t="str">
        <f>IF(ISERROR(VLOOKUP(L18,Лист12!$A$23:$A$27,1,FALSE))=FALSE,"Обл",IF(OR(L18="ао",L18="ап",L18="др"),"Акции","Прочее"))</f>
        <v>Акции</v>
      </c>
      <c r="N18" s="149">
        <f>IFERROR(VLOOKUP(H18,QUIK_купитьпродать!B:G,6,FALSE),)</f>
        <v>0</v>
      </c>
      <c r="O18" s="149">
        <f>IF(M18="Обл",VLOOKUP(H18,QUIK!C:J,8,FALSE),1)</f>
        <v>1</v>
      </c>
      <c r="P18">
        <f>VLOOKUP(H18,QUIK!$D:$AL,5,FALSE)</f>
        <v>1</v>
      </c>
      <c r="Q18">
        <f>VLOOKUP(H18,QUIK!$D:$AL,9,FALSE)</f>
        <v>531.29999999999995</v>
      </c>
      <c r="R18" t="str">
        <f>VLOOKUP(H18,QUIK!$D:$AL,28,FALSE)</f>
        <v>SUR</v>
      </c>
      <c r="S18">
        <f>VLOOKUP(H18,QUIK!$D:$AL,31,FALSE)</f>
        <v>-100</v>
      </c>
      <c r="T18" t="str">
        <f>VLOOKUP(H18,QUIK!$D:$AL,30,FALSE)</f>
        <v/>
      </c>
      <c r="U18">
        <f>VLOOKUP(H18,QUIK!$D:$AL,4,FALSE)</f>
        <v>1</v>
      </c>
      <c r="V18" s="113" t="str">
        <f t="shared" si="0"/>
        <v/>
      </c>
      <c r="W18" s="90">
        <f>K18</f>
        <v>0.05</v>
      </c>
      <c r="X18" s="136">
        <f t="shared" si="9"/>
        <v>5.5145491045479732E-4</v>
      </c>
      <c r="Y18" s="145">
        <f t="shared" si="1"/>
        <v>48172.569499999998</v>
      </c>
      <c r="Z18" s="148">
        <f t="shared" si="8"/>
        <v>90</v>
      </c>
      <c r="AA18" s="148">
        <f t="shared" si="2"/>
        <v>47816.999999999993</v>
      </c>
      <c r="AB18" s="148">
        <f t="shared" si="3"/>
        <v>90</v>
      </c>
      <c r="AC18" s="148">
        <f t="shared" si="5"/>
        <v>47816.999999999993</v>
      </c>
      <c r="AD18" s="113">
        <f t="shared" si="6"/>
        <v>4.9630941940931754E-2</v>
      </c>
      <c r="AE18" t="s">
        <v>2111</v>
      </c>
      <c r="AF18" t="str">
        <f>IF(AF17&lt;0,"Средств достаточно","Не хватает")</f>
        <v>Средств достаточно</v>
      </c>
    </row>
    <row r="19" spans="1:32">
      <c r="A19" s="3" t="s">
        <v>120</v>
      </c>
      <c r="B19" s="3" t="s">
        <v>121</v>
      </c>
      <c r="C19" s="3">
        <v>140</v>
      </c>
      <c r="D19" s="3">
        <v>26507.600000000002</v>
      </c>
      <c r="E19" s="115">
        <f t="shared" si="4"/>
        <v>2.7513168048883093E-2</v>
      </c>
      <c r="F19" s="133"/>
      <c r="H19" s="122" t="s">
        <v>128</v>
      </c>
      <c r="I19" s="122" t="s">
        <v>129</v>
      </c>
      <c r="J19" s="123" t="s">
        <v>103</v>
      </c>
      <c r="K19" s="129">
        <v>0.09</v>
      </c>
      <c r="L19" s="150" t="str">
        <f>VLOOKUP(H19,QUIK!D:AL,3,FALSE)</f>
        <v>ао</v>
      </c>
      <c r="M19" s="150" t="str">
        <f>IF(ISERROR(VLOOKUP(L19,Лист12!$A$23:$A$27,1,FALSE))=FALSE,"Обл",IF(OR(L19="ао",L19="ап",L19="др"),"Акции","Прочее"))</f>
        <v>Акции</v>
      </c>
      <c r="N19" s="149">
        <f>IFERROR(VLOOKUP(H19,QUIK_купитьпродать!B:G,6,FALSE),)</f>
        <v>50</v>
      </c>
      <c r="O19" s="149">
        <f>IF(M19="Обл",VLOOKUP(H19,QUIK!C:J,8,FALSE),1)</f>
        <v>1</v>
      </c>
      <c r="P19">
        <f>VLOOKUP(H19,QUIK!$D:$AL,5,FALSE)</f>
        <v>1</v>
      </c>
      <c r="Q19">
        <f>VLOOKUP(H19,QUIK!$D:$AL,9,FALSE)</f>
        <v>434.65</v>
      </c>
      <c r="R19" t="str">
        <f>VLOOKUP(H19,QUIK!$D:$AL,28,FALSE)</f>
        <v>SUR</v>
      </c>
      <c r="S19">
        <f>VLOOKUP(H19,QUIK!$D:$AL,31,FALSE)</f>
        <v>-100</v>
      </c>
      <c r="T19" t="str">
        <f>VLOOKUP(H19,QUIK!$D:$AL,30,FALSE)</f>
        <v/>
      </c>
      <c r="U19">
        <f>VLOOKUP(H19,QUIK!$D:$AL,4,FALSE)</f>
        <v>1</v>
      </c>
      <c r="V19" s="113">
        <f t="shared" si="0"/>
        <v>2.3292389575547384E-2</v>
      </c>
      <c r="W19" s="90">
        <f>K19-V19</f>
        <v>6.6707610424452612E-2</v>
      </c>
      <c r="X19" s="136">
        <f t="shared" si="9"/>
        <v>4.5113848452696718E-4</v>
      </c>
      <c r="Y19" s="145">
        <f t="shared" si="1"/>
        <v>64269.53998701735</v>
      </c>
      <c r="Z19" s="148">
        <f t="shared" si="8"/>
        <v>147</v>
      </c>
      <c r="AA19" s="148">
        <f t="shared" si="2"/>
        <v>63893.549999999996</v>
      </c>
      <c r="AB19" s="148">
        <f t="shared" si="3"/>
        <v>197</v>
      </c>
      <c r="AC19" s="148">
        <f t="shared" si="5"/>
        <v>85626.049999999988</v>
      </c>
      <c r="AD19" s="113">
        <f t="shared" si="6"/>
        <v>8.8874281451812531E-2</v>
      </c>
    </row>
    <row r="20" spans="1:32">
      <c r="A20" s="3" t="s">
        <v>878</v>
      </c>
      <c r="B20" s="3" t="s">
        <v>879</v>
      </c>
      <c r="C20" s="3">
        <v>12</v>
      </c>
      <c r="D20" s="3">
        <v>7212</v>
      </c>
      <c r="E20" s="115">
        <f t="shared" si="4"/>
        <v>7.4855878302277409E-3</v>
      </c>
      <c r="F20" s="133"/>
      <c r="H20" s="122" t="s">
        <v>130</v>
      </c>
      <c r="I20" s="122" t="s">
        <v>131</v>
      </c>
      <c r="J20" s="123" t="s">
        <v>103</v>
      </c>
      <c r="K20" s="124">
        <v>0.05</v>
      </c>
      <c r="L20" s="150" t="str">
        <f>VLOOKUP(H20,QUIK!D:AL,3,FALSE)</f>
        <v>ао</v>
      </c>
      <c r="M20" s="150" t="str">
        <f>IF(ISERROR(VLOOKUP(L20,Лист12!$A$23:$A$27,1,FALSE))=FALSE,"Обл",IF(OR(L20="ао",L20="ап",L20="др"),"Акции","Прочее"))</f>
        <v>Акции</v>
      </c>
      <c r="N20" s="149">
        <f>IFERROR(VLOOKUP(H20,QUIK_купитьпродать!B:G,6,FALSE),)</f>
        <v>40</v>
      </c>
      <c r="O20" s="149">
        <f>IF(M20="Обл",VLOOKUP(H20,QUIK!C:J,8,FALSE),1)</f>
        <v>1</v>
      </c>
      <c r="P20">
        <f>VLOOKUP(H20,QUIK!$D:$AL,5,FALSE)</f>
        <v>1</v>
      </c>
      <c r="Q20">
        <f>VLOOKUP(H20,QUIK!$D:$AL,9,FALSE)</f>
        <v>542.9</v>
      </c>
      <c r="R20" t="str">
        <f>VLOOKUP(H20,QUIK!$D:$AL,28,FALSE)</f>
        <v>SUR</v>
      </c>
      <c r="S20">
        <f>VLOOKUP(H20,QUIK!$D:$AL,31,FALSE)</f>
        <v>9</v>
      </c>
      <c r="T20" t="str">
        <f>VLOOKUP(H20,QUIK!$D:$AL,30,FALSE)</f>
        <v/>
      </c>
      <c r="U20">
        <f>VLOOKUP(H20,QUIK!$D:$AL,4,FALSE)</f>
        <v>3</v>
      </c>
      <c r="V20" s="113">
        <f t="shared" si="0"/>
        <v>2.2695019558297655E-2</v>
      </c>
      <c r="W20" s="90">
        <f>K20-V20</f>
        <v>2.7304980441702348E-2</v>
      </c>
      <c r="X20" s="136">
        <f t="shared" si="9"/>
        <v>5.6349495743630623E-4</v>
      </c>
      <c r="Y20" s="145">
        <f t="shared" si="1"/>
        <v>26307.02136048094</v>
      </c>
      <c r="Z20" s="148">
        <f t="shared" si="8"/>
        <v>48</v>
      </c>
      <c r="AA20" s="148">
        <f t="shared" si="2"/>
        <v>26059.199999999997</v>
      </c>
      <c r="AB20" s="148">
        <f t="shared" si="3"/>
        <v>88</v>
      </c>
      <c r="AC20" s="148">
        <f t="shared" si="5"/>
        <v>47775.199999999997</v>
      </c>
      <c r="AD20" s="113">
        <f t="shared" si="6"/>
        <v>4.9587556254394941E-2</v>
      </c>
    </row>
    <row r="21" spans="1:32">
      <c r="A21" s="3" t="s">
        <v>109</v>
      </c>
      <c r="B21" s="3" t="s">
        <v>110</v>
      </c>
      <c r="C21" s="3">
        <v>100</v>
      </c>
      <c r="D21" s="3">
        <v>5540</v>
      </c>
      <c r="E21" s="115">
        <f t="shared" si="4"/>
        <v>5.7501603687550862E-3</v>
      </c>
      <c r="F21" s="133"/>
      <c r="H21" s="122" t="s">
        <v>132</v>
      </c>
      <c r="I21" s="122" t="s">
        <v>133</v>
      </c>
      <c r="J21" s="123" t="s">
        <v>103</v>
      </c>
      <c r="K21" s="128">
        <v>0.03</v>
      </c>
      <c r="L21" s="150" t="str">
        <f>VLOOKUP(H21,QUIK!D:AL,3,FALSE)</f>
        <v>ао</v>
      </c>
      <c r="M21" s="150" t="str">
        <f>IF(ISERROR(VLOOKUP(L21,Лист12!$A$23:$A$27,1,FALSE))=FALSE,"Обл",IF(OR(L21="ао",L21="ап",L21="др"),"Акции","Прочее"))</f>
        <v>Акции</v>
      </c>
      <c r="N21" s="149">
        <f>IFERROR(VLOOKUP(H21,QUIK_купитьпродать!B:G,6,FALSE),)</f>
        <v>25</v>
      </c>
      <c r="O21" s="149">
        <f>IF(M21="Обл",VLOOKUP(H21,QUIK!C:J,8,FALSE),1)</f>
        <v>1</v>
      </c>
      <c r="P21">
        <f>VLOOKUP(H21,QUIK!$D:$AL,5,FALSE)</f>
        <v>1</v>
      </c>
      <c r="Q21">
        <f>VLOOKUP(H21,QUIK!$D:$AL,9,FALSE)</f>
        <v>845.2</v>
      </c>
      <c r="R21" t="str">
        <f>VLOOKUP(H21,QUIK!$D:$AL,28,FALSE)</f>
        <v>SUR</v>
      </c>
      <c r="S21">
        <f>VLOOKUP(H21,QUIK!$D:$AL,31,FALSE)</f>
        <v>-100</v>
      </c>
      <c r="T21" t="str">
        <f>VLOOKUP(H21,QUIK!$D:$AL,30,FALSE)</f>
        <v/>
      </c>
      <c r="U21">
        <f>VLOOKUP(H21,QUIK!$D:$AL,4,FALSE)</f>
        <v>1</v>
      </c>
      <c r="V21" s="113">
        <f t="shared" si="0"/>
        <v>2.1661594633941589E-2</v>
      </c>
      <c r="W21" s="90">
        <f>K21-V21</f>
        <v>8.3384053660584094E-3</v>
      </c>
      <c r="X21" s="136">
        <f t="shared" si="9"/>
        <v>8.7726273351476517E-4</v>
      </c>
      <c r="Y21" s="145">
        <f t="shared" si="1"/>
        <v>8033.6482403124328</v>
      </c>
      <c r="Z21" s="148">
        <f t="shared" si="8"/>
        <v>9</v>
      </c>
      <c r="AA21" s="148">
        <f t="shared" si="2"/>
        <v>7606.8</v>
      </c>
      <c r="AB21" s="148">
        <f t="shared" si="3"/>
        <v>34</v>
      </c>
      <c r="AC21" s="148">
        <f t="shared" si="5"/>
        <v>28736.800000000003</v>
      </c>
      <c r="AD21" s="113">
        <f t="shared" si="6"/>
        <v>2.9826932939502018E-2</v>
      </c>
    </row>
    <row r="22" spans="1:32">
      <c r="A22" s="3" t="s">
        <v>988</v>
      </c>
      <c r="B22" s="3" t="s">
        <v>989</v>
      </c>
      <c r="C22" s="3">
        <v>10000</v>
      </c>
      <c r="D22" s="3">
        <v>10990</v>
      </c>
      <c r="E22" s="115">
        <f t="shared" si="4"/>
        <v>1.1406906579895019E-2</v>
      </c>
      <c r="F22" s="133"/>
      <c r="H22" s="122" t="s">
        <v>134</v>
      </c>
      <c r="I22" s="122" t="s">
        <v>135</v>
      </c>
      <c r="J22" s="123" t="s">
        <v>103</v>
      </c>
      <c r="K22" s="130">
        <v>0.1</v>
      </c>
      <c r="L22" s="150" t="str">
        <f>VLOOKUP(H22,QUIK!D:AL,3,FALSE)</f>
        <v>ао</v>
      </c>
      <c r="M22" s="150" t="str">
        <f>IF(ISERROR(VLOOKUP(L22,Лист12!$A$23:$A$27,1,FALSE))=FALSE,"Обл",IF(OR(L22="ао",L22="ап",L22="др"),"Акции","Прочее"))</f>
        <v>Акции</v>
      </c>
      <c r="N22" s="149">
        <f>IFERROR(VLOOKUP(H22,QUIK_купитьпродать!B:G,6,FALSE),)</f>
        <v>240</v>
      </c>
      <c r="O22" s="149">
        <f>IF(M22="Обл",VLOOKUP(H22,QUIK!C:J,8,FALSE),1)</f>
        <v>1</v>
      </c>
      <c r="P22">
        <f>VLOOKUP(H22,QUIK!$D:$AL,5,FALSE)</f>
        <v>10</v>
      </c>
      <c r="Q22">
        <f>VLOOKUP(H22,QUIK!$D:$AL,9,FALSE)</f>
        <v>306.87</v>
      </c>
      <c r="R22" t="str">
        <f>VLOOKUP(H22,QUIK!$D:$AL,28,FALSE)</f>
        <v>SUR</v>
      </c>
      <c r="S22">
        <f>VLOOKUP(H22,QUIK!$D:$AL,31,FALSE)</f>
        <v>-100</v>
      </c>
      <c r="T22" t="str">
        <f>VLOOKUP(H22,QUIK!$D:$AL,30,FALSE)</f>
        <v/>
      </c>
      <c r="U22">
        <f>VLOOKUP(H22,QUIK!$D:$AL,4,FALSE)</f>
        <v>1</v>
      </c>
      <c r="V22" s="113">
        <f t="shared" si="0"/>
        <v>7.8851632413637934E-2</v>
      </c>
      <c r="W22" s="90">
        <f>K22-V22</f>
        <v>2.1148367586362071E-2</v>
      </c>
      <c r="X22" s="136">
        <f t="shared" si="9"/>
        <v>3.185111394151396E-3</v>
      </c>
      <c r="Y22" s="145">
        <f t="shared" si="1"/>
        <v>20375.424147311482</v>
      </c>
      <c r="Z22" s="148">
        <f t="shared" si="8"/>
        <v>6</v>
      </c>
      <c r="AA22" s="148">
        <f t="shared" si="2"/>
        <v>18412.2</v>
      </c>
      <c r="AB22" s="148">
        <f t="shared" si="3"/>
        <v>300</v>
      </c>
      <c r="AC22" s="148">
        <f t="shared" si="5"/>
        <v>92061</v>
      </c>
      <c r="AD22" s="113">
        <f t="shared" si="6"/>
        <v>9.5553341824541879E-2</v>
      </c>
    </row>
    <row r="23" spans="1:32">
      <c r="A23" s="3" t="s">
        <v>998</v>
      </c>
      <c r="B23" s="3" t="s">
        <v>999</v>
      </c>
      <c r="C23" s="3">
        <v>230000</v>
      </c>
      <c r="D23" s="3">
        <v>76176</v>
      </c>
      <c r="E23" s="115">
        <f t="shared" si="4"/>
        <v>7.9065743005467051E-2</v>
      </c>
      <c r="F23" s="133"/>
      <c r="H23" s="122" t="s">
        <v>136</v>
      </c>
      <c r="I23" s="122" t="s">
        <v>137</v>
      </c>
      <c r="J23" s="123" t="s">
        <v>103</v>
      </c>
      <c r="K23" s="124">
        <v>0.05</v>
      </c>
      <c r="L23" s="150" t="str">
        <f>VLOOKUP(H23,QUIK!D:AL,3,FALSE)</f>
        <v>ао</v>
      </c>
      <c r="M23" s="150" t="str">
        <f>IF(ISERROR(VLOOKUP(L23,Лист12!$A$23:$A$27,1,FALSE))=FALSE,"Обл",IF(OR(L23="ао",L23="ап",L23="др"),"Акции","Прочее"))</f>
        <v>Акции</v>
      </c>
      <c r="N23" s="149">
        <f>IFERROR(VLOOKUP(H23,QUIK_купитьпродать!B:G,6,FALSE),)</f>
        <v>5000</v>
      </c>
      <c r="O23" s="149">
        <f>IF(M23="Обл",VLOOKUP(H23,QUIK!C:J,8,FALSE),1)</f>
        <v>1</v>
      </c>
      <c r="P23">
        <f>VLOOKUP(H23,QUIK!$D:$AL,5,FALSE)</f>
        <v>100</v>
      </c>
      <c r="Q23">
        <f>VLOOKUP(H23,QUIK!$D:$AL,9,FALSE)</f>
        <v>3.6920000000000002</v>
      </c>
      <c r="R23" t="str">
        <f>VLOOKUP(H23,QUIK!$D:$AL,28,FALSE)</f>
        <v>SUR</v>
      </c>
      <c r="S23">
        <f>VLOOKUP(H23,QUIK!$D:$AL,31,FALSE)</f>
        <v>-100</v>
      </c>
      <c r="T23" t="str">
        <f>VLOOKUP(H23,QUIK!$D:$AL,30,FALSE)</f>
        <v/>
      </c>
      <c r="U23">
        <f>VLOOKUP(H23,QUIK!$D:$AL,4,FALSE)</f>
        <v>1</v>
      </c>
      <c r="V23" s="113">
        <f t="shared" si="0"/>
        <v>1.9473758452621916E-2</v>
      </c>
      <c r="W23" s="90">
        <f>K23-V23</f>
        <v>3.0526241547378086E-2</v>
      </c>
      <c r="X23" s="136">
        <f t="shared" si="9"/>
        <v>3.8320563323905745E-4</v>
      </c>
      <c r="Y23" s="145">
        <f t="shared" si="1"/>
        <v>29410.549850297164</v>
      </c>
      <c r="Z23" s="148">
        <f t="shared" si="8"/>
        <v>79</v>
      </c>
      <c r="AA23" s="148">
        <f t="shared" si="2"/>
        <v>29166.800000000003</v>
      </c>
      <c r="AB23" s="148">
        <f t="shared" si="3"/>
        <v>12900</v>
      </c>
      <c r="AC23" s="148">
        <f t="shared" si="5"/>
        <v>47626.8</v>
      </c>
      <c r="AD23" s="113">
        <f t="shared" si="6"/>
        <v>4.9433526687838403E-2</v>
      </c>
    </row>
    <row r="24" spans="1:32">
      <c r="A24" s="3" t="s">
        <v>1152</v>
      </c>
      <c r="B24" s="3" t="s">
        <v>1153</v>
      </c>
      <c r="C24" s="3">
        <v>400</v>
      </c>
      <c r="D24" s="3">
        <v>94320</v>
      </c>
      <c r="E24" s="115">
        <f t="shared" si="4"/>
        <v>9.7898037180682268E-2</v>
      </c>
      <c r="F24" s="133"/>
      <c r="H24" s="122" t="s">
        <v>138</v>
      </c>
      <c r="I24" s="122" t="s">
        <v>139</v>
      </c>
      <c r="J24" s="123" t="s">
        <v>103</v>
      </c>
      <c r="K24" s="128">
        <v>0.03</v>
      </c>
      <c r="L24" s="150" t="str">
        <f>VLOOKUP(H24,QUIK!D:AL,3,FALSE)</f>
        <v>ао</v>
      </c>
      <c r="M24" s="150" t="str">
        <f>IF(ISERROR(VLOOKUP(L24,Лист12!$A$23:$A$27,1,FALSE))=FALSE,"Обл",IF(OR(L24="ао",L24="ап",L24="др"),"Акции","Прочее"))</f>
        <v>Акции</v>
      </c>
      <c r="N24" s="149">
        <f>IFERROR(VLOOKUP(H24,QUIK_купитьпродать!B:G,6,FALSE),)</f>
        <v>0</v>
      </c>
      <c r="O24" s="149">
        <f>IF(M24="Обл",VLOOKUP(H24,QUIK!C:J,8,FALSE),1)</f>
        <v>1</v>
      </c>
      <c r="P24">
        <f>VLOOKUP(H24,QUIK!$D:$AL,5,FALSE)</f>
        <v>1</v>
      </c>
      <c r="Q24">
        <f>VLOOKUP(H24,QUIK!$D:$AL,9,FALSE)</f>
        <v>1027</v>
      </c>
      <c r="R24" t="str">
        <f>VLOOKUP(H24,QUIK!$D:$AL,28,FALSE)</f>
        <v>SUR</v>
      </c>
      <c r="S24">
        <f>VLOOKUP(H24,QUIK!$D:$AL,31,FALSE)</f>
        <v>-100</v>
      </c>
      <c r="T24" t="str">
        <f>VLOOKUP(H24,QUIK!$D:$AL,30,FALSE)</f>
        <v/>
      </c>
      <c r="U24">
        <f>VLOOKUP(H24,QUIK!$D:$AL,4,FALSE)</f>
        <v>1</v>
      </c>
      <c r="V24" s="113" t="str">
        <f t="shared" si="0"/>
        <v/>
      </c>
      <c r="W24" s="90">
        <f>K24</f>
        <v>0.03</v>
      </c>
      <c r="X24" s="136">
        <f t="shared" si="9"/>
        <v>1.0659593318973779E-3</v>
      </c>
      <c r="Y24" s="145">
        <f t="shared" si="1"/>
        <v>28903.541699999994</v>
      </c>
      <c r="Z24" s="148">
        <f t="shared" si="8"/>
        <v>28</v>
      </c>
      <c r="AA24" s="148">
        <f t="shared" si="2"/>
        <v>28756</v>
      </c>
      <c r="AB24" s="148">
        <f t="shared" si="3"/>
        <v>28</v>
      </c>
      <c r="AC24" s="148">
        <f t="shared" si="5"/>
        <v>28756</v>
      </c>
      <c r="AD24" s="113">
        <f t="shared" si="6"/>
        <v>2.9846861293126581E-2</v>
      </c>
    </row>
    <row r="25" spans="1:32">
      <c r="A25" s="3" t="s">
        <v>1157</v>
      </c>
      <c r="B25" s="3" t="s">
        <v>1158</v>
      </c>
      <c r="C25" s="3">
        <v>300</v>
      </c>
      <c r="D25" s="3">
        <v>70752</v>
      </c>
      <c r="E25" s="115">
        <f t="shared" si="4"/>
        <v>7.3435983106527047E-2</v>
      </c>
      <c r="F25" s="133"/>
      <c r="L25" s="150"/>
      <c r="M25" s="150"/>
      <c r="N25" s="149" t="str">
        <f>IFERROR(VLOOKUP(H25,QUIK_купитьпродать!B:G,6,FALSE),"")</f>
        <v/>
      </c>
      <c r="O25" s="149"/>
      <c r="X25" s="136"/>
      <c r="Y25" s="145"/>
      <c r="Z25" s="148"/>
      <c r="AA25" s="148"/>
      <c r="AB25" s="148"/>
      <c r="AC25" s="148"/>
      <c r="AD25" s="113"/>
    </row>
    <row r="26" spans="1:32" ht="15.75" thickBot="1">
      <c r="A26" s="3" t="s">
        <v>122</v>
      </c>
      <c r="B26" s="3" t="s">
        <v>123</v>
      </c>
      <c r="C26" s="3">
        <v>1000</v>
      </c>
      <c r="D26" s="3">
        <v>12700</v>
      </c>
      <c r="E26" s="115">
        <f t="shared" si="4"/>
        <v>1.3181775574582959E-2</v>
      </c>
      <c r="F26" s="133"/>
      <c r="H26" s="151" t="s">
        <v>12237</v>
      </c>
      <c r="L26" s="150"/>
      <c r="M26" s="150"/>
      <c r="O26" s="149"/>
      <c r="AA26" s="148"/>
      <c r="AB26" s="148"/>
      <c r="AC26" s="148"/>
      <c r="AD26" s="113"/>
    </row>
    <row r="27" spans="1:32" ht="15.75" thickBot="1">
      <c r="A27" s="3" t="s">
        <v>112</v>
      </c>
      <c r="B27" s="3" t="s">
        <v>113</v>
      </c>
      <c r="C27" s="3">
        <v>500</v>
      </c>
      <c r="D27" s="3">
        <v>28985.000000000004</v>
      </c>
      <c r="E27" s="115">
        <f t="shared" si="4"/>
        <v>3.0084548427502925E-2</v>
      </c>
      <c r="F27" s="133"/>
      <c r="H27" t="s">
        <v>453</v>
      </c>
      <c r="I27" t="s">
        <v>454</v>
      </c>
      <c r="J27" s="94" t="s">
        <v>111</v>
      </c>
      <c r="L27" s="150" t="str">
        <f>VLOOKUP(H27,QUIK!D:AL,3,FALSE)</f>
        <v>ап</v>
      </c>
      <c r="M27" s="150" t="str">
        <f>IF(ISERROR(VLOOKUP(L27,Лист12!$A$23:$A$27,1,FALSE))=FALSE,"Обл",IF(OR(L27="ао",L27="ап",L27="др"),"Акции","Прочее"))</f>
        <v>Акции</v>
      </c>
      <c r="N27" s="149">
        <f>IFERROR(VLOOKUP(H27,QUIK_купитьпродать!B:G,6,FALSE),"")</f>
        <v>50</v>
      </c>
      <c r="O27" s="149">
        <f>IF(M27="Обл",VLOOKUP(H27,QUIK!C:J,8,FALSE),1)</f>
        <v>1</v>
      </c>
      <c r="P27">
        <f>VLOOKUP(H27,QUIK!$D:$AL,5,FALSE)</f>
        <v>1</v>
      </c>
      <c r="Q27">
        <f>VLOOKUP(H27,QUIK!$D:$AL,9,FALSE)</f>
        <v>1084</v>
      </c>
      <c r="R27" t="str">
        <f>VLOOKUP(H27,QUIK!$D:$AL,28,FALSE)</f>
        <v>SUR</v>
      </c>
      <c r="S27">
        <f>VLOOKUP(H27,QUIK!$D:$AL,31,FALSE)</f>
        <v>9</v>
      </c>
      <c r="T27" t="str">
        <f>VLOOKUP(H27,QUIK!$D:$AL,30,FALSE)</f>
        <v/>
      </c>
      <c r="U27">
        <f>VLOOKUP(H27,QUIK!$D:$AL,4,FALSE)</f>
        <v>3</v>
      </c>
      <c r="V27" s="113">
        <f>IFERROR(VLOOKUP(H27,A:E,4,FALSE)/SUM(D:D),"")</f>
        <v>5.6762754381704042E-2</v>
      </c>
      <c r="W27" s="90">
        <f t="shared" ref="W27:W32" si="10">K27-V27</f>
        <v>-5.6762754381704042E-2</v>
      </c>
      <c r="X27" s="136">
        <f t="shared" ref="X27:X38" si="11">(Q27*P27)/$E$5</f>
        <v>1.1251216317203093E-3</v>
      </c>
      <c r="Y27" s="145"/>
      <c r="Z27" s="148">
        <f>(N27/P27)*-1</f>
        <v>-50</v>
      </c>
      <c r="AA27" s="148">
        <f t="shared" si="2"/>
        <v>-54200</v>
      </c>
      <c r="AB27" s="148">
        <f>(IF(N27&lt;&gt;0,N27,0)+Z27*P27)</f>
        <v>0</v>
      </c>
      <c r="AC27" s="148">
        <f t="shared" si="5"/>
        <v>0</v>
      </c>
      <c r="AD27" s="113">
        <f t="shared" si="6"/>
        <v>0</v>
      </c>
    </row>
    <row r="28" spans="1:32" ht="15.75" thickBot="1">
      <c r="A28" s="3" t="s">
        <v>1336</v>
      </c>
      <c r="B28" s="3" t="s">
        <v>1337</v>
      </c>
      <c r="C28" s="3">
        <v>50</v>
      </c>
      <c r="D28" s="3">
        <v>27450</v>
      </c>
      <c r="E28" s="115">
        <f t="shared" si="4"/>
        <v>2.8491318072622226E-2</v>
      </c>
      <c r="F28" s="133"/>
      <c r="H28" t="s">
        <v>770</v>
      </c>
      <c r="I28" t="s">
        <v>771</v>
      </c>
      <c r="J28" s="94" t="s">
        <v>111</v>
      </c>
      <c r="L28" s="150" t="str">
        <f>VLOOKUP(H28,QUIK!D:AL,3,FALSE)</f>
        <v>ао</v>
      </c>
      <c r="M28" s="150" t="str">
        <f>IF(ISERROR(VLOOKUP(L28,Лист12!$A$23:$A$27,1,FALSE))=FALSE,"Обл",IF(OR(L28="ао",L28="ап",L28="др"),"Акции","Прочее"))</f>
        <v>Акции</v>
      </c>
      <c r="N28" s="149">
        <f>IFERROR(VLOOKUP(H28,QUIK_купитьпродать!B:G,6,FALSE),"")</f>
        <v>50</v>
      </c>
      <c r="O28" s="149">
        <f>IF(M28="Обл",VLOOKUP(H28,QUIK!C:J,8,FALSE),1)</f>
        <v>1</v>
      </c>
      <c r="P28">
        <f>VLOOKUP(H28,QUIK!$D:$AL,5,FALSE)</f>
        <v>1</v>
      </c>
      <c r="Q28">
        <f>VLOOKUP(H28,QUIK!$D:$AL,9,FALSE)</f>
        <v>255</v>
      </c>
      <c r="R28" t="str">
        <f>VLOOKUP(H28,QUIK!$D:$AL,28,FALSE)</f>
        <v>SUR</v>
      </c>
      <c r="S28">
        <f>VLOOKUP(H28,QUIK!$D:$AL,31,FALSE)</f>
        <v>-100</v>
      </c>
      <c r="T28" t="str">
        <f>VLOOKUP(H28,QUIK!$D:$AL,30,FALSE)</f>
        <v/>
      </c>
      <c r="U28">
        <f>VLOOKUP(H28,QUIK!$D:$AL,4,FALSE)</f>
        <v>1</v>
      </c>
      <c r="V28" s="113">
        <f>IFERROR(VLOOKUP(H28,A:E,4,FALSE)/SUM(D:D),"")</f>
        <v>1.3963839221786874E-2</v>
      </c>
      <c r="W28" s="90">
        <f t="shared" si="10"/>
        <v>-1.3963839221786874E-2</v>
      </c>
      <c r="X28" s="136">
        <f t="shared" si="11"/>
        <v>2.6467344657627205E-4</v>
      </c>
      <c r="Y28" s="145"/>
      <c r="Z28" s="148">
        <f t="shared" ref="Z28:Z38" si="12">(N28/P28)*-1</f>
        <v>-50</v>
      </c>
      <c r="AA28" s="148">
        <f t="shared" si="2"/>
        <v>-12750</v>
      </c>
      <c r="AB28" s="148">
        <f>(IF(N28&lt;&gt;0,N28,0)+Z28*P28)</f>
        <v>0</v>
      </c>
      <c r="AC28" s="148">
        <f t="shared" si="5"/>
        <v>0</v>
      </c>
      <c r="AD28" s="113">
        <f t="shared" si="6"/>
        <v>0</v>
      </c>
    </row>
    <row r="29" spans="1:32" ht="15.75" thickBot="1">
      <c r="A29" s="3" t="s">
        <v>114</v>
      </c>
      <c r="B29" s="3" t="s">
        <v>115</v>
      </c>
      <c r="C29" s="3">
        <v>9</v>
      </c>
      <c r="D29" s="3">
        <v>21589.200000000001</v>
      </c>
      <c r="E29" s="115">
        <f t="shared" si="4"/>
        <v>2.2408188128723344E-2</v>
      </c>
      <c r="F29" s="133"/>
      <c r="H29" t="s">
        <v>878</v>
      </c>
      <c r="I29" t="s">
        <v>879</v>
      </c>
      <c r="J29" s="94" t="s">
        <v>111</v>
      </c>
      <c r="L29" s="150" t="str">
        <f>VLOOKUP(H29,QUIK!D:AL,3,FALSE)</f>
        <v>ао</v>
      </c>
      <c r="M29" s="150" t="str">
        <f>IF(ISERROR(VLOOKUP(L29,Лист12!$A$23:$A$27,1,FALSE))=FALSE,"Обл",IF(OR(L29="ао",L29="ап",L29="др"),"Акции","Прочее"))</f>
        <v>Акции</v>
      </c>
      <c r="N29" s="149">
        <f>IFERROR(VLOOKUP(H29,QUIK_купитьпродать!B:G,6,FALSE),"")</f>
        <v>12</v>
      </c>
      <c r="O29" s="149">
        <f>IF(M29="Обл",VLOOKUP(H29,QUIK!C:J,8,FALSE),1)</f>
        <v>1</v>
      </c>
      <c r="P29">
        <f>VLOOKUP(H29,QUIK!$D:$AL,5,FALSE)</f>
        <v>1</v>
      </c>
      <c r="Q29">
        <f>VLOOKUP(H29,QUIK!$D:$AL,9,FALSE)</f>
        <v>580</v>
      </c>
      <c r="R29" t="str">
        <f>VLOOKUP(H29,QUIK!$D:$AL,28,FALSE)</f>
        <v>SUR</v>
      </c>
      <c r="S29">
        <f>VLOOKUP(H29,QUIK!$D:$AL,31,FALSE)</f>
        <v>-100</v>
      </c>
      <c r="T29" t="str">
        <f>VLOOKUP(H29,QUIK!$D:$AL,30,FALSE)</f>
        <v/>
      </c>
      <c r="U29">
        <f>VLOOKUP(H29,QUIK!$D:$AL,4,FALSE)</f>
        <v>1</v>
      </c>
      <c r="V29" s="113">
        <f>IFERROR(VLOOKUP(H29,A:E,4,FALSE)/SUM(D:D),"")</f>
        <v>7.2712785897131359E-3</v>
      </c>
      <c r="W29" s="90">
        <f t="shared" si="10"/>
        <v>-7.2712785897131359E-3</v>
      </c>
      <c r="X29" s="136">
        <f t="shared" si="11"/>
        <v>6.020023490754423E-4</v>
      </c>
      <c r="Y29" s="145"/>
      <c r="Z29" s="148">
        <f t="shared" si="12"/>
        <v>-12</v>
      </c>
      <c r="AA29" s="148">
        <f t="shared" si="2"/>
        <v>-6960</v>
      </c>
      <c r="AB29" s="148">
        <f>(IF(N29&lt;&gt;0,N29,0)+Z29*P29)</f>
        <v>0</v>
      </c>
      <c r="AC29" s="148">
        <f t="shared" si="5"/>
        <v>0</v>
      </c>
      <c r="AD29" s="113">
        <f t="shared" si="6"/>
        <v>0</v>
      </c>
    </row>
    <row r="30" spans="1:32" ht="15.75" thickBot="1">
      <c r="A30" s="3" t="s">
        <v>116</v>
      </c>
      <c r="B30" s="3" t="s">
        <v>117</v>
      </c>
      <c r="C30" s="3">
        <v>11</v>
      </c>
      <c r="D30" s="3">
        <v>11077</v>
      </c>
      <c r="E30" s="115">
        <f t="shared" si="4"/>
        <v>1.1497206932256334E-2</v>
      </c>
      <c r="F30" s="133"/>
      <c r="H30" t="s">
        <v>109</v>
      </c>
      <c r="I30" t="s">
        <v>110</v>
      </c>
      <c r="J30" s="94" t="s">
        <v>111</v>
      </c>
      <c r="L30" s="150" t="str">
        <f>VLOOKUP(H30,QUIK!D:AL,3,FALSE)</f>
        <v>ао</v>
      </c>
      <c r="M30" s="150" t="str">
        <f>IF(ISERROR(VLOOKUP(L30,Лист12!$A$23:$A$27,1,FALSE))=FALSE,"Обл",IF(OR(L30="ао",L30="ап",L30="др"),"Акции","Прочее"))</f>
        <v>Акции</v>
      </c>
      <c r="N30" s="149">
        <f>IFERROR(VLOOKUP(H30,QUIK_купитьпродать!B:G,6,FALSE),"")</f>
        <v>100</v>
      </c>
      <c r="O30" s="149">
        <f>IF(M30="Обл",VLOOKUP(H30,QUIK!C:J,8,FALSE),1)</f>
        <v>1</v>
      </c>
      <c r="P30">
        <f>VLOOKUP(H30,QUIK!$D:$AL,5,FALSE)</f>
        <v>10</v>
      </c>
      <c r="Q30">
        <f>VLOOKUP(H30,QUIK!$D:$AL,9,FALSE)</f>
        <v>52.67</v>
      </c>
      <c r="R30" t="str">
        <f>VLOOKUP(H30,QUIK!$D:$AL,28,FALSE)</f>
        <v>SUR</v>
      </c>
      <c r="S30">
        <f>VLOOKUP(H30,QUIK!$D:$AL,31,FALSE)</f>
        <v>-100</v>
      </c>
      <c r="T30" t="str">
        <f>VLOOKUP(H30,QUIK!$D:$AL,30,FALSE)</f>
        <v/>
      </c>
      <c r="U30">
        <f>VLOOKUP(H30,QUIK!$D:$AL,4,FALSE)</f>
        <v>1</v>
      </c>
      <c r="W30" s="90"/>
      <c r="X30" s="136">
        <f t="shared" si="11"/>
        <v>5.4668040906557841E-4</v>
      </c>
      <c r="Y30" s="145"/>
      <c r="Z30" s="148">
        <f t="shared" si="12"/>
        <v>-10</v>
      </c>
      <c r="AA30" s="148">
        <f t="shared" si="2"/>
        <v>-5267</v>
      </c>
      <c r="AB30" s="148">
        <f>(IF(N30&lt;&gt;0,N30,0)+Z30*P30)</f>
        <v>0</v>
      </c>
      <c r="AC30" s="148">
        <f t="shared" si="5"/>
        <v>0</v>
      </c>
      <c r="AD30" s="113">
        <f t="shared" si="6"/>
        <v>0</v>
      </c>
    </row>
    <row r="31" spans="1:32" ht="15.75" thickBot="1">
      <c r="A31" s="3" t="s">
        <v>124</v>
      </c>
      <c r="B31" s="3" t="s">
        <v>125</v>
      </c>
      <c r="C31" s="3">
        <v>7</v>
      </c>
      <c r="D31" s="3">
        <v>29883</v>
      </c>
      <c r="E31" s="115">
        <f t="shared" si="4"/>
        <v>3.1016614133485242E-2</v>
      </c>
      <c r="F31" s="133"/>
      <c r="H31" t="s">
        <v>988</v>
      </c>
      <c r="I31" t="s">
        <v>989</v>
      </c>
      <c r="J31" s="94" t="s">
        <v>111</v>
      </c>
      <c r="L31" s="150" t="str">
        <f>VLOOKUP(H31,QUIK!D:AL,3,FALSE)</f>
        <v>ао</v>
      </c>
      <c r="M31" s="150" t="str">
        <f>IF(ISERROR(VLOOKUP(L31,Лист12!$A$23:$A$27,1,FALSE))=FALSE,"Обл",IF(OR(L31="ао",L31="ап",L31="др"),"Акции","Прочее"))</f>
        <v>Акции</v>
      </c>
      <c r="N31" s="149">
        <f>IFERROR(VLOOKUP(H31,QUIK_купитьпродать!B:G,6,FALSE),"")</f>
        <v>10000</v>
      </c>
      <c r="O31" s="149">
        <f>IF(M31="Обл",VLOOKUP(H31,QUIK!C:J,8,FALSE),1)</f>
        <v>1</v>
      </c>
      <c r="P31">
        <f>VLOOKUP(H31,QUIK!$D:$AL,5,FALSE)</f>
        <v>1000</v>
      </c>
      <c r="Q31">
        <f>VLOOKUP(H31,QUIK!$D:$AL,9,FALSE)</f>
        <v>1.0745</v>
      </c>
      <c r="R31" t="str">
        <f>VLOOKUP(H31,QUIK!$D:$AL,28,FALSE)</f>
        <v>SUR</v>
      </c>
      <c r="S31">
        <f>VLOOKUP(H31,QUIK!$D:$AL,31,FALSE)</f>
        <v>-100</v>
      </c>
      <c r="T31" t="str">
        <f>VLOOKUP(H31,QUIK!$D:$AL,30,FALSE)</f>
        <v/>
      </c>
      <c r="U31">
        <f>VLOOKUP(H31,QUIK!$D:$AL,4,FALSE)</f>
        <v>2</v>
      </c>
      <c r="V31" s="113">
        <f t="shared" ref="V31:V38" si="13">IFERROR(VLOOKUP(H31,A:E,4,FALSE)/SUM(D:D),"")</f>
        <v>1.1080331627973845E-2</v>
      </c>
      <c r="W31" s="90">
        <f t="shared" si="10"/>
        <v>-1.1080331627973845E-2</v>
      </c>
      <c r="X31" s="136">
        <f t="shared" si="11"/>
        <v>1.1152612484164875E-3</v>
      </c>
      <c r="Y31" s="145"/>
      <c r="Z31" s="148">
        <f t="shared" si="12"/>
        <v>-10</v>
      </c>
      <c r="AA31" s="148">
        <f t="shared" si="2"/>
        <v>-10745</v>
      </c>
      <c r="AB31" s="148">
        <f t="shared" ref="AB31:AB38" si="14">(IF(N31&lt;&gt;0,N31,0)+Z31*P31)</f>
        <v>0</v>
      </c>
      <c r="AC31" s="148">
        <f t="shared" si="5"/>
        <v>0</v>
      </c>
      <c r="AD31" s="113">
        <f t="shared" si="6"/>
        <v>0</v>
      </c>
    </row>
    <row r="32" spans="1:32" ht="15.75" thickBot="1">
      <c r="A32" s="3" t="s">
        <v>118</v>
      </c>
      <c r="B32" s="3" t="s">
        <v>119</v>
      </c>
      <c r="C32" s="3">
        <v>30</v>
      </c>
      <c r="D32" s="3">
        <v>101415</v>
      </c>
      <c r="E32" s="115">
        <f t="shared" si="4"/>
        <v>0.10526218660601031</v>
      </c>
      <c r="F32" s="133"/>
      <c r="H32" t="s">
        <v>998</v>
      </c>
      <c r="I32" t="s">
        <v>999</v>
      </c>
      <c r="J32" s="94" t="s">
        <v>111</v>
      </c>
      <c r="L32" s="150" t="str">
        <f>VLOOKUP(H32,QUIK!D:AL,3,FALSE)</f>
        <v>ао</v>
      </c>
      <c r="M32" s="150" t="str">
        <f>IF(ISERROR(VLOOKUP(L32,Лист12!$A$23:$A$27,1,FALSE))=FALSE,"Обл",IF(OR(L32="ао",L32="ап",L32="др"),"Акции","Прочее"))</f>
        <v>Акции</v>
      </c>
      <c r="N32" s="149">
        <f>IFERROR(VLOOKUP(H32,QUIK_купитьпродать!B:G,6,FALSE),"")</f>
        <v>230000</v>
      </c>
      <c r="O32" s="149">
        <f>IF(M32="Обл",VLOOKUP(H32,QUIK!C:J,8,FALSE),1)</f>
        <v>1</v>
      </c>
      <c r="P32">
        <f>VLOOKUP(H32,QUIK!$D:$AL,5,FALSE)</f>
        <v>10000</v>
      </c>
      <c r="Q32">
        <f>VLOOKUP(H32,QUIK!$D:$AL,9,FALSE)</f>
        <v>0.32429999999999998</v>
      </c>
      <c r="R32" t="str">
        <f>VLOOKUP(H32,QUIK!$D:$AL,28,FALSE)</f>
        <v>SUR</v>
      </c>
      <c r="S32">
        <f>VLOOKUP(H32,QUIK!$D:$AL,31,FALSE)</f>
        <v>-100</v>
      </c>
      <c r="T32" t="str">
        <f>VLOOKUP(H32,QUIK!$D:$AL,30,FALSE)</f>
        <v/>
      </c>
      <c r="U32">
        <f>VLOOKUP(H32,QUIK!$D:$AL,4,FALSE)</f>
        <v>2</v>
      </c>
      <c r="V32" s="113">
        <f t="shared" si="13"/>
        <v>7.6802123939266206E-2</v>
      </c>
      <c r="W32" s="90">
        <f t="shared" si="10"/>
        <v>-7.6802123939266206E-2</v>
      </c>
      <c r="X32" s="136">
        <f t="shared" si="11"/>
        <v>3.3660234793994122E-3</v>
      </c>
      <c r="Y32" s="145"/>
      <c r="Z32" s="148">
        <f t="shared" si="12"/>
        <v>-23</v>
      </c>
      <c r="AA32" s="148">
        <f t="shared" si="2"/>
        <v>-74589</v>
      </c>
      <c r="AB32" s="148">
        <f t="shared" si="14"/>
        <v>0</v>
      </c>
      <c r="AC32" s="148">
        <f t="shared" si="5"/>
        <v>0</v>
      </c>
      <c r="AD32" s="113">
        <f t="shared" si="6"/>
        <v>0</v>
      </c>
    </row>
    <row r="33" spans="1:30" ht="15.75" thickBot="1">
      <c r="A33" s="3" t="s">
        <v>1977</v>
      </c>
      <c r="B33" s="3" t="s">
        <v>1975</v>
      </c>
      <c r="C33" s="3">
        <v>50</v>
      </c>
      <c r="D33" s="3">
        <v>48268.000000000007</v>
      </c>
      <c r="E33" s="115">
        <f t="shared" si="4"/>
        <v>5.0099050664092155E-2</v>
      </c>
      <c r="F33" s="133"/>
      <c r="H33" t="s">
        <v>1152</v>
      </c>
      <c r="I33" t="s">
        <v>1153</v>
      </c>
      <c r="J33" s="94" t="s">
        <v>111</v>
      </c>
      <c r="L33" s="150" t="str">
        <f>VLOOKUP(H33,QUIK!D:AL,3,FALSE)</f>
        <v>ао</v>
      </c>
      <c r="M33" s="150" t="str">
        <f>IF(ISERROR(VLOOKUP(L33,Лист12!$A$23:$A$27,1,FALSE))=FALSE,"Обл",IF(OR(L33="ао",L33="ап",L33="др"),"Акции","Прочее"))</f>
        <v>Акции</v>
      </c>
      <c r="N33" s="149">
        <f>IFERROR(VLOOKUP(H33,QUIK_купитьпродать!B:G,6,FALSE),"")</f>
        <v>400</v>
      </c>
      <c r="O33" s="149">
        <f>IF(M33="Обл",VLOOKUP(H33,QUIK!C:J,8,FALSE),1)</f>
        <v>1</v>
      </c>
      <c r="P33">
        <f>VLOOKUP(H33,QUIK!$D:$AL,5,FALSE)</f>
        <v>10</v>
      </c>
      <c r="Q33">
        <f>VLOOKUP(H33,QUIK!$D:$AL,9,FALSE)</f>
        <v>228.11</v>
      </c>
      <c r="R33" t="str">
        <f>VLOOKUP(H33,QUIK!$D:$AL,28,FALSE)</f>
        <v>SUR</v>
      </c>
      <c r="S33">
        <f>VLOOKUP(H33,QUIK!$D:$AL,31,FALSE)</f>
        <v>-100</v>
      </c>
      <c r="T33" t="str">
        <f>VLOOKUP(H33,QUIK!$D:$AL,30,FALSE)</f>
        <v/>
      </c>
      <c r="U33">
        <f>VLOOKUP(H33,QUIK!$D:$AL,4,FALSE)</f>
        <v>1</v>
      </c>
      <c r="V33" s="113">
        <f t="shared" si="13"/>
        <v>9.5095257429526209E-2</v>
      </c>
      <c r="W33" s="90">
        <f t="shared" ref="W33:W38" si="15">K33-V33</f>
        <v>-9.5095257429526209E-2</v>
      </c>
      <c r="X33" s="136">
        <f t="shared" si="11"/>
        <v>2.3676337215103303E-3</v>
      </c>
      <c r="Y33" s="145"/>
      <c r="Z33" s="148">
        <f t="shared" si="12"/>
        <v>-40</v>
      </c>
      <c r="AA33" s="148">
        <f t="shared" si="2"/>
        <v>-91244</v>
      </c>
      <c r="AB33" s="148">
        <f t="shared" si="14"/>
        <v>0</v>
      </c>
      <c r="AC33" s="148">
        <f t="shared" si="5"/>
        <v>0</v>
      </c>
      <c r="AD33" s="113">
        <f t="shared" si="6"/>
        <v>0</v>
      </c>
    </row>
    <row r="34" spans="1:30" ht="15.75" thickBot="1">
      <c r="A34" s="3" t="s">
        <v>1979</v>
      </c>
      <c r="B34" s="3" t="s">
        <v>1978</v>
      </c>
      <c r="C34" s="3">
        <v>32</v>
      </c>
      <c r="D34" s="3">
        <v>30217.279999999999</v>
      </c>
      <c r="E34" s="115">
        <f t="shared" si="4"/>
        <v>3.136357507356962E-2</v>
      </c>
      <c r="F34" s="133"/>
      <c r="H34" t="s">
        <v>1157</v>
      </c>
      <c r="I34" t="s">
        <v>1158</v>
      </c>
      <c r="J34" s="94" t="s">
        <v>111</v>
      </c>
      <c r="L34" s="150" t="str">
        <f>VLOOKUP(H34,QUIK!D:AL,3,FALSE)</f>
        <v>ап</v>
      </c>
      <c r="M34" s="150" t="str">
        <f>IF(ISERROR(VLOOKUP(L34,Лист12!$A$23:$A$27,1,FALSE))=FALSE,"Обл",IF(OR(L34="ао",L34="ап",L34="др"),"Акции","Прочее"))</f>
        <v>Акции</v>
      </c>
      <c r="N34" s="149">
        <f>IFERROR(VLOOKUP(H34,QUIK_купитьпродать!B:G,6,FALSE),"")</f>
        <v>300</v>
      </c>
      <c r="O34" s="149">
        <f>IF(M34="Обл",VLOOKUP(H34,QUIK!C:J,8,FALSE),1)</f>
        <v>1</v>
      </c>
      <c r="P34">
        <f>VLOOKUP(H34,QUIK!$D:$AL,5,FALSE)</f>
        <v>10</v>
      </c>
      <c r="Q34">
        <f>VLOOKUP(H34,QUIK!$D:$AL,9,FALSE)</f>
        <v>228.35</v>
      </c>
      <c r="R34" t="str">
        <f>VLOOKUP(H34,QUIK!$D:$AL,28,FALSE)</f>
        <v>SUR</v>
      </c>
      <c r="S34">
        <f>VLOOKUP(H34,QUIK!$D:$AL,31,FALSE)</f>
        <v>-100</v>
      </c>
      <c r="T34" t="str">
        <f>VLOOKUP(H34,QUIK!$D:$AL,30,FALSE)</f>
        <v/>
      </c>
      <c r="U34">
        <f>VLOOKUP(H34,QUIK!$D:$AL,4,FALSE)</f>
        <v>1</v>
      </c>
      <c r="V34" s="113">
        <f t="shared" si="13"/>
        <v>7.1333541705405415E-2</v>
      </c>
      <c r="W34" s="90">
        <f t="shared" si="15"/>
        <v>-7.1333541705405415E-2</v>
      </c>
      <c r="X34" s="136">
        <f t="shared" si="11"/>
        <v>2.3701247657134006E-3</v>
      </c>
      <c r="Y34" s="145"/>
      <c r="Z34" s="148">
        <f t="shared" si="12"/>
        <v>-30</v>
      </c>
      <c r="AA34" s="148">
        <f t="shared" si="2"/>
        <v>-68505</v>
      </c>
      <c r="AB34" s="148">
        <f t="shared" si="14"/>
        <v>0</v>
      </c>
      <c r="AC34" s="148">
        <f t="shared" si="5"/>
        <v>0</v>
      </c>
      <c r="AD34" s="113">
        <f t="shared" si="6"/>
        <v>0</v>
      </c>
    </row>
    <row r="35" spans="1:30" ht="15.75" thickBot="1">
      <c r="A35" s="3" t="s">
        <v>1981</v>
      </c>
      <c r="B35" s="3" t="s">
        <v>1980</v>
      </c>
      <c r="C35" s="3">
        <v>30</v>
      </c>
      <c r="D35" s="3">
        <v>27478.2</v>
      </c>
      <c r="E35" s="115">
        <f t="shared" si="4"/>
        <v>2.8520587842008307E-2</v>
      </c>
      <c r="F35" s="133"/>
      <c r="H35" t="s">
        <v>1336</v>
      </c>
      <c r="I35" t="s">
        <v>1337</v>
      </c>
      <c r="J35" s="94" t="s">
        <v>111</v>
      </c>
      <c r="L35" s="150" t="str">
        <f>VLOOKUP(H35,QUIK!D:AL,3,FALSE)</f>
        <v>ао</v>
      </c>
      <c r="M35" s="150" t="str">
        <f>IF(ISERROR(VLOOKUP(L35,Лист12!$A$23:$A$27,1,FALSE))=FALSE,"Обл",IF(OR(L35="ао",L35="ап",L35="др"),"Акции","Прочее"))</f>
        <v>Акции</v>
      </c>
      <c r="N35" s="149">
        <f>IFERROR(VLOOKUP(H35,QUIK_купитьпродать!B:G,6,FALSE),"")</f>
        <v>50</v>
      </c>
      <c r="O35" s="149">
        <f>IF(M35="Обл",VLOOKUP(H35,QUIK!C:J,8,FALSE),1)</f>
        <v>1</v>
      </c>
      <c r="P35">
        <f>VLOOKUP(H35,QUIK!$D:$AL,5,FALSE)</f>
        <v>1</v>
      </c>
      <c r="Q35">
        <f>VLOOKUP(H35,QUIK!$D:$AL,9,FALSE)</f>
        <v>532.9</v>
      </c>
      <c r="R35" t="str">
        <f>VLOOKUP(H35,QUIK!$D:$AL,28,FALSE)</f>
        <v>SUR</v>
      </c>
      <c r="S35">
        <f>VLOOKUP(H35,QUIK!$D:$AL,31,FALSE)</f>
        <v>-100</v>
      </c>
      <c r="T35" t="str">
        <f>VLOOKUP(H35,QUIK!$D:$AL,30,FALSE)</f>
        <v/>
      </c>
      <c r="U35">
        <f>VLOOKUP(H35,QUIK!$D:$AL,4,FALSE)</f>
        <v>1</v>
      </c>
      <c r="V35" s="113">
        <f t="shared" si="13"/>
        <v>2.7675623583974709E-2</v>
      </c>
      <c r="W35" s="90">
        <f t="shared" si="15"/>
        <v>-2.7675623583974709E-2</v>
      </c>
      <c r="X35" s="136">
        <f t="shared" si="11"/>
        <v>5.531156065901779E-4</v>
      </c>
      <c r="Y35" s="145"/>
      <c r="Z35" s="148">
        <f t="shared" si="12"/>
        <v>-50</v>
      </c>
      <c r="AA35" s="148">
        <f>IF(M35="Обл",Z35*P35*Q35%*O35,Z35*P35*Q35)</f>
        <v>-26645</v>
      </c>
      <c r="AB35" s="148">
        <f t="shared" si="14"/>
        <v>0</v>
      </c>
      <c r="AC35" s="148">
        <f t="shared" si="5"/>
        <v>0</v>
      </c>
      <c r="AD35" s="113">
        <f t="shared" si="6"/>
        <v>0</v>
      </c>
    </row>
    <row r="36" spans="1:30" ht="15.75" thickBot="1">
      <c r="H36" t="s">
        <v>1977</v>
      </c>
      <c r="I36" t="s">
        <v>1975</v>
      </c>
      <c r="J36" s="94" t="s">
        <v>111</v>
      </c>
      <c r="L36" s="150" t="str">
        <f>VLOOKUP(H36,QUIK!D:AL,3,FALSE)</f>
        <v>бирж.обл.</v>
      </c>
      <c r="M36" s="150" t="str">
        <f>IF(ISERROR(VLOOKUP(L36,Лист12!$A$23:$A$27,1,FALSE))=FALSE,"Обл",IF(OR(L36="ао",L36="ап",L36="др"),"Акции","Прочее"))</f>
        <v>Обл</v>
      </c>
      <c r="N36" s="149">
        <f>IFERROR(VLOOKUP(H36,QUIK_купитьпродать!B:G,6,FALSE),"")</f>
        <v>50</v>
      </c>
      <c r="O36" s="149">
        <f>IF(M36="Обл",VLOOKUP(H36,QUIK!C:J,8,FALSE),1)</f>
        <v>1000</v>
      </c>
      <c r="P36">
        <f>VLOOKUP(H36,QUIK!$D:$AL,5,FALSE)</f>
        <v>1</v>
      </c>
      <c r="Q36">
        <f>VLOOKUP(H36,QUIK!$D:$AL,9,FALSE)</f>
        <v>94.58</v>
      </c>
      <c r="R36" t="str">
        <f>VLOOKUP(H36,QUIK!$D:$AL,28,FALSE)</f>
        <v>SUR</v>
      </c>
      <c r="S36">
        <f>VLOOKUP(H36,QUIK!$D:$AL,31,FALSE)</f>
        <v>6</v>
      </c>
      <c r="T36" t="str">
        <f>VLOOKUP(H36,QUIK!$D:$AL,30,FALSE)</f>
        <v/>
      </c>
      <c r="U36">
        <f>VLOOKUP(H36,QUIK!$D:$AL,4,FALSE)</f>
        <v>1</v>
      </c>
      <c r="V36" s="113">
        <f t="shared" si="13"/>
        <v>4.8664735852506059E-2</v>
      </c>
      <c r="W36" s="90">
        <f t="shared" si="15"/>
        <v>-4.8664735852506059E-2</v>
      </c>
      <c r="X36" s="136">
        <f t="shared" si="11"/>
        <v>9.8167900302681605E-5</v>
      </c>
      <c r="Y36" s="145"/>
      <c r="Z36" s="148">
        <f t="shared" si="12"/>
        <v>-50</v>
      </c>
      <c r="AA36" s="148">
        <f>IF(M36="Обл",Z36*P36*Q36%*O36,Z36*P36*Q36)</f>
        <v>-47290</v>
      </c>
      <c r="AB36" s="148">
        <f t="shared" si="14"/>
        <v>0</v>
      </c>
      <c r="AC36" s="148">
        <f t="shared" si="5"/>
        <v>0</v>
      </c>
      <c r="AD36" s="113">
        <f t="shared" si="6"/>
        <v>0</v>
      </c>
    </row>
    <row r="37" spans="1:30" ht="15.75" thickBot="1">
      <c r="H37" t="s">
        <v>1979</v>
      </c>
      <c r="I37" t="s">
        <v>1978</v>
      </c>
      <c r="J37" s="94" t="s">
        <v>111</v>
      </c>
      <c r="L37" s="150" t="str">
        <f>VLOOKUP(H37,QUIK!D:AL,3,FALSE)</f>
        <v>бирж.обл.</v>
      </c>
      <c r="M37" s="150" t="str">
        <f>IF(ISERROR(VLOOKUP(L37,Лист12!$A$23:$A$27,1,FALSE))=FALSE,"Обл","")</f>
        <v>Обл</v>
      </c>
      <c r="N37" s="149">
        <f>IFERROR(VLOOKUP(H37,QUIK_купитьпродать!B:G,6,FALSE),"")</f>
        <v>32</v>
      </c>
      <c r="O37" s="149">
        <f>IF(M37="Обл",VLOOKUP(H37,QUIK!C:J,8,FALSE),1)</f>
        <v>1000</v>
      </c>
      <c r="P37">
        <f>VLOOKUP(H37,QUIK!$D:$AL,5,FALSE)</f>
        <v>1</v>
      </c>
      <c r="Q37">
        <f>VLOOKUP(H37,QUIK!$D:$AL,9,FALSE)</f>
        <v>91.11</v>
      </c>
      <c r="R37" t="str">
        <f>VLOOKUP(H37,QUIK!$D:$AL,28,FALSE)</f>
        <v>SUR</v>
      </c>
      <c r="S37">
        <f>VLOOKUP(H37,QUIK!$D:$AL,31,FALSE)</f>
        <v>6</v>
      </c>
      <c r="T37" t="str">
        <f>VLOOKUP(H37,QUIK!$D:$AL,30,FALSE)</f>
        <v/>
      </c>
      <c r="U37">
        <f>VLOOKUP(H37,QUIK!$D:$AL,4,FALSE)</f>
        <v>1</v>
      </c>
      <c r="V37" s="113">
        <f t="shared" si="13"/>
        <v>3.0465649071459645E-2</v>
      </c>
      <c r="W37" s="90">
        <f t="shared" si="15"/>
        <v>-3.0465649071459645E-2</v>
      </c>
      <c r="X37" s="136">
        <f t="shared" si="11"/>
        <v>9.4566265559075071E-5</v>
      </c>
      <c r="Y37" s="145"/>
      <c r="Z37" s="148">
        <f t="shared" si="12"/>
        <v>-32</v>
      </c>
      <c r="AA37" s="148">
        <f>IF(M37="Обл",Z37*P37*Q37%*O37,Z37*P37*Q37)</f>
        <v>-29155.200000000001</v>
      </c>
      <c r="AB37" s="148">
        <f t="shared" si="14"/>
        <v>0</v>
      </c>
      <c r="AC37" s="148">
        <f t="shared" si="5"/>
        <v>0</v>
      </c>
      <c r="AD37" s="113">
        <f t="shared" si="6"/>
        <v>0</v>
      </c>
    </row>
    <row r="38" spans="1:30" ht="15.75" thickBot="1">
      <c r="H38" t="s">
        <v>1981</v>
      </c>
      <c r="I38" t="s">
        <v>1980</v>
      </c>
      <c r="J38" s="94" t="s">
        <v>111</v>
      </c>
      <c r="L38" s="150" t="str">
        <f>VLOOKUP(H38,QUIK!D:AL,3,FALSE)</f>
        <v>бирж.обл.</v>
      </c>
      <c r="M38" s="150" t="str">
        <f>IF(ISERROR(VLOOKUP(L38,Лист12!$A$23:$A$27,1,FALSE))=FALSE,"Обл","")</f>
        <v>Обл</v>
      </c>
      <c r="N38" s="149">
        <f>IFERROR(VLOOKUP(H38,QUIK_купитьпродать!B:G,6,FALSE),"")</f>
        <v>30</v>
      </c>
      <c r="O38" s="149">
        <f>IF(M38="Обл",VLOOKUP(H38,QUIK!C:J,8,FALSE),1)</f>
        <v>1000</v>
      </c>
      <c r="P38">
        <f>VLOOKUP(H38,QUIK!$D:$AL,5,FALSE)</f>
        <v>1</v>
      </c>
      <c r="Q38">
        <f>VLOOKUP(H38,QUIK!$D:$AL,9,FALSE)</f>
        <v>90.16</v>
      </c>
      <c r="R38" t="str">
        <f>VLOOKUP(H38,QUIK!$D:$AL,28,FALSE)</f>
        <v>SUR</v>
      </c>
      <c r="S38">
        <f>VLOOKUP(H38,QUIK!$D:$AL,31,FALSE)</f>
        <v>6</v>
      </c>
      <c r="T38" t="str">
        <f>VLOOKUP(H38,QUIK!$D:$AL,30,FALSE)</f>
        <v/>
      </c>
      <c r="U38">
        <f>VLOOKUP(H38,QUIK!$D:$AL,4,FALSE)</f>
        <v>1</v>
      </c>
      <c r="V38" s="113">
        <f t="shared" si="13"/>
        <v>2.7704055372137479E-2</v>
      </c>
      <c r="W38" s="90">
        <f t="shared" si="15"/>
        <v>-2.7704055372137479E-2</v>
      </c>
      <c r="X38" s="136">
        <f t="shared" si="11"/>
        <v>9.3580227228692888E-5</v>
      </c>
      <c r="Y38" s="145"/>
      <c r="Z38" s="148">
        <f t="shared" si="12"/>
        <v>-30</v>
      </c>
      <c r="AA38" s="148">
        <f>IF(M38="Обл",Z38*P38*Q38%*O38,Z38*P38*Q38)</f>
        <v>-27048</v>
      </c>
      <c r="AB38" s="148">
        <f t="shared" si="14"/>
        <v>0</v>
      </c>
      <c r="AC38" s="148">
        <f t="shared" si="5"/>
        <v>0</v>
      </c>
      <c r="AD38" s="113">
        <f t="shared" si="6"/>
        <v>0</v>
      </c>
    </row>
    <row r="39" spans="1:30">
      <c r="AD39" s="113"/>
    </row>
    <row r="40" spans="1:30">
      <c r="H40" s="151"/>
      <c r="AD40" s="113"/>
    </row>
    <row r="41" spans="1:30">
      <c r="AD41" s="113"/>
    </row>
    <row r="42" spans="1:30">
      <c r="AD42" s="113"/>
    </row>
    <row r="43" spans="1:30">
      <c r="H43" t="s">
        <v>12248</v>
      </c>
      <c r="AD43" s="113"/>
    </row>
    <row r="44" spans="1:30">
      <c r="H44" s="120" t="s">
        <v>99</v>
      </c>
      <c r="I44" s="120" t="s">
        <v>100</v>
      </c>
      <c r="J44" s="118"/>
      <c r="K44" s="121">
        <v>0</v>
      </c>
      <c r="L44" s="153"/>
      <c r="M44" s="153"/>
      <c r="N44" s="149">
        <f>IFERROR(VLOOKUP(H44,QUIK_купитьпродать!B:G,6,FALSE),)</f>
        <v>37000</v>
      </c>
      <c r="O44" s="149" t="str">
        <f>IF(ISERROR(VLOOKUP(L44,Лист12!$A$23:$A$27,1,FALSE))=FALSE,VLOOKUP(H44,QUIK!C:J,8,FALSE),"")</f>
        <v/>
      </c>
      <c r="P44">
        <f>VLOOKUP(H44,QUIK!$D:$AL,5,FALSE)</f>
        <v>1</v>
      </c>
      <c r="Q44">
        <f>VLOOKUP(H44,QUIK!$D:$AL,9,FALSE)</f>
        <v>1.5396000000000001</v>
      </c>
      <c r="R44" t="str">
        <f>VLOOKUP(H44,QUIK!$D:$AL,28,FALSE)</f>
        <v>SUR</v>
      </c>
      <c r="S44">
        <f>VLOOKUP(H44,QUIK!$D:$AL,31,FALSE)</f>
        <v>-100</v>
      </c>
      <c r="T44" t="str">
        <f>VLOOKUP(H44,QUIK!$D:$AL,30,FALSE)</f>
        <v/>
      </c>
      <c r="U44">
        <f>VLOOKUP(H44,QUIK!$D:$AL,4,FALSE)</f>
        <v>1</v>
      </c>
      <c r="V44" s="113">
        <f>IFERROR(VLOOKUP(H44,A:E,4,FALSE)/SUM(D:D),"")</f>
        <v>5.7362544125605923E-2</v>
      </c>
      <c r="W44" s="90">
        <f>K44-V44</f>
        <v>-5.7362544125605923E-2</v>
      </c>
      <c r="X44" s="136">
        <f>(Q44*P44)/$E$5</f>
        <v>1.5980048562699153E-6</v>
      </c>
      <c r="Y44" s="145">
        <f>W44*$E$5</f>
        <v>-55266.022871751353</v>
      </c>
      <c r="Z44" s="148">
        <f>IF(ABS(W44)&lt;X44,0,ROUNDDOWN(Y44/(Q44*P44),0))</f>
        <v>-35896</v>
      </c>
      <c r="AA44" s="148">
        <f>IF(M44="Обл",Z44*P44*Q44%*O44,Z44*P44*Q44)</f>
        <v>-55265.481600000006</v>
      </c>
      <c r="AB44" s="148">
        <f>(IF(N44&lt;&gt;0,N44,0)+Z44*P44)</f>
        <v>1104</v>
      </c>
      <c r="AC44" s="148">
        <f>E5-SUM(AC8:AC38,AC45)</f>
        <v>52508.687219999847</v>
      </c>
      <c r="AD44" s="113">
        <f t="shared" si="6"/>
        <v>5.4500608712599243E-2</v>
      </c>
    </row>
    <row r="45" spans="1:30">
      <c r="H45" s="117" t="s">
        <v>94</v>
      </c>
      <c r="I45" s="117" t="s">
        <v>95</v>
      </c>
      <c r="J45" s="118"/>
      <c r="K45" s="119">
        <v>0</v>
      </c>
      <c r="L45" s="149"/>
      <c r="M45" s="149"/>
      <c r="N45" s="149" t="str">
        <f>IFERROR(VLOOKUP(H45,QUIK_купитьпродать!B:G,6,FALSE),"")</f>
        <v/>
      </c>
      <c r="O45" s="149"/>
      <c r="V45" s="113">
        <f>IFERROR(VLOOKUP(H45,A:E,4,FALSE)/SUM(D:D),"")</f>
        <v>3.5476116556901992E-3</v>
      </c>
      <c r="W45" s="90">
        <f>K45-V45</f>
        <v>-3.5476116556901992E-3</v>
      </c>
      <c r="X45" s="136">
        <f>(Q45*P45)/$E$5</f>
        <v>0</v>
      </c>
      <c r="AC45" s="148">
        <f>E5*0.2%</f>
        <v>1926.9027799999999</v>
      </c>
      <c r="AD45" s="113">
        <f t="shared" si="6"/>
        <v>2E-3</v>
      </c>
    </row>
    <row r="52" spans="29:30">
      <c r="AC52" t="s">
        <v>12250</v>
      </c>
      <c r="AD52" s="90">
        <f>SUM(AD8:AD45)</f>
        <v>0.99999999999999978</v>
      </c>
    </row>
    <row r="53" spans="29:30">
      <c r="AC53" t="s">
        <v>12250</v>
      </c>
      <c r="AD53" t="str">
        <f>IF(AD52&gt;=99%,"портфель ок","ошибка!")</f>
        <v>портфель ок</v>
      </c>
    </row>
  </sheetData>
  <phoneticPr fontId="2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641E8-443A-4B81-9E73-D3F4D0244711}">
  <sheetPr codeName="Лист8"/>
  <dimension ref="A1:H263"/>
  <sheetViews>
    <sheetView topLeftCell="A196" workbookViewId="0">
      <selection activeCell="J18" sqref="J18"/>
    </sheetView>
  </sheetViews>
  <sheetFormatPr defaultRowHeight="15"/>
  <cols>
    <col min="4" max="4" width="14.42578125" customWidth="1"/>
    <col min="5" max="5" width="16.85546875" customWidth="1"/>
  </cols>
  <sheetData>
    <row r="1" spans="1:8">
      <c r="A1" t="s">
        <v>12265</v>
      </c>
    </row>
    <row r="3" spans="1:8">
      <c r="A3" t="s">
        <v>12266</v>
      </c>
      <c r="B3" t="s">
        <v>12267</v>
      </c>
      <c r="C3" t="s">
        <v>12268</v>
      </c>
      <c r="D3" t="s">
        <v>12269</v>
      </c>
      <c r="E3" t="s">
        <v>228</v>
      </c>
      <c r="F3" t="s">
        <v>12270</v>
      </c>
      <c r="G3" t="s">
        <v>12271</v>
      </c>
      <c r="H3" t="s">
        <v>12272</v>
      </c>
    </row>
    <row r="4" spans="1:8">
      <c r="A4" t="s">
        <v>312</v>
      </c>
      <c r="B4" t="s">
        <v>313</v>
      </c>
      <c r="C4" t="s">
        <v>12273</v>
      </c>
      <c r="D4" t="s">
        <v>12274</v>
      </c>
      <c r="E4" t="s">
        <v>311</v>
      </c>
      <c r="F4" t="s">
        <v>269</v>
      </c>
      <c r="G4" t="s">
        <v>12275</v>
      </c>
      <c r="H4">
        <v>0</v>
      </c>
    </row>
    <row r="5" spans="1:8">
      <c r="A5" t="s">
        <v>390</v>
      </c>
      <c r="B5" t="s">
        <v>391</v>
      </c>
      <c r="C5" t="s">
        <v>12276</v>
      </c>
      <c r="D5" t="s">
        <v>12274</v>
      </c>
      <c r="E5" t="s">
        <v>389</v>
      </c>
      <c r="F5" t="s">
        <v>269</v>
      </c>
      <c r="G5" t="s">
        <v>12277</v>
      </c>
      <c r="H5">
        <v>0</v>
      </c>
    </row>
    <row r="6" spans="1:8">
      <c r="A6" t="s">
        <v>385</v>
      </c>
      <c r="B6" t="s">
        <v>386</v>
      </c>
      <c r="C6" t="s">
        <v>12278</v>
      </c>
      <c r="D6" t="s">
        <v>12274</v>
      </c>
      <c r="E6" t="s">
        <v>384</v>
      </c>
      <c r="F6" t="s">
        <v>269</v>
      </c>
      <c r="G6" t="s">
        <v>12279</v>
      </c>
      <c r="H6">
        <v>0</v>
      </c>
    </row>
    <row r="7" spans="1:8">
      <c r="A7" t="s">
        <v>1187</v>
      </c>
      <c r="B7" t="s">
        <v>1188</v>
      </c>
      <c r="C7" t="s">
        <v>12280</v>
      </c>
      <c r="D7" t="s">
        <v>12274</v>
      </c>
      <c r="E7" t="s">
        <v>1186</v>
      </c>
      <c r="F7" t="s">
        <v>269</v>
      </c>
      <c r="G7" t="s">
        <v>12281</v>
      </c>
      <c r="H7">
        <v>1</v>
      </c>
    </row>
    <row r="8" spans="1:8">
      <c r="A8" t="s">
        <v>428</v>
      </c>
      <c r="B8" t="s">
        <v>429</v>
      </c>
      <c r="C8" t="s">
        <v>12282</v>
      </c>
      <c r="D8" t="s">
        <v>12274</v>
      </c>
      <c r="E8" t="s">
        <v>427</v>
      </c>
      <c r="F8" t="s">
        <v>269</v>
      </c>
      <c r="G8" t="s">
        <v>12283</v>
      </c>
      <c r="H8">
        <v>1</v>
      </c>
    </row>
    <row r="9" spans="1:8">
      <c r="A9" t="s">
        <v>275</v>
      </c>
      <c r="B9" t="s">
        <v>276</v>
      </c>
      <c r="C9" t="s">
        <v>12284</v>
      </c>
      <c r="D9" t="s">
        <v>12285</v>
      </c>
      <c r="E9" t="s">
        <v>274</v>
      </c>
      <c r="F9" t="s">
        <v>269</v>
      </c>
      <c r="G9" t="s">
        <v>12286</v>
      </c>
      <c r="H9">
        <v>0</v>
      </c>
    </row>
    <row r="10" spans="1:8">
      <c r="A10" t="s">
        <v>400</v>
      </c>
      <c r="B10" t="s">
        <v>401</v>
      </c>
      <c r="C10" t="s">
        <v>12287</v>
      </c>
      <c r="D10" t="s">
        <v>12274</v>
      </c>
      <c r="E10" t="s">
        <v>399</v>
      </c>
      <c r="F10" t="s">
        <v>269</v>
      </c>
      <c r="G10" t="s">
        <v>12288</v>
      </c>
      <c r="H10">
        <v>0</v>
      </c>
    </row>
    <row r="11" spans="1:8">
      <c r="A11" t="s">
        <v>375</v>
      </c>
      <c r="B11" t="s">
        <v>376</v>
      </c>
      <c r="C11" t="s">
        <v>12289</v>
      </c>
      <c r="D11" t="s">
        <v>12274</v>
      </c>
      <c r="E11" t="s">
        <v>374</v>
      </c>
      <c r="F11" t="s">
        <v>269</v>
      </c>
      <c r="G11" t="s">
        <v>12290</v>
      </c>
      <c r="H11">
        <v>1</v>
      </c>
    </row>
    <row r="12" spans="1:8">
      <c r="A12" t="s">
        <v>423</v>
      </c>
      <c r="B12" t="s">
        <v>424</v>
      </c>
      <c r="C12" t="s">
        <v>12291</v>
      </c>
      <c r="D12" t="s">
        <v>12274</v>
      </c>
      <c r="E12" t="s">
        <v>422</v>
      </c>
      <c r="F12" t="s">
        <v>269</v>
      </c>
      <c r="G12" t="s">
        <v>12292</v>
      </c>
      <c r="H12">
        <v>0</v>
      </c>
    </row>
    <row r="13" spans="1:8">
      <c r="A13" t="s">
        <v>380</v>
      </c>
      <c r="B13" t="s">
        <v>381</v>
      </c>
      <c r="C13" t="s">
        <v>381</v>
      </c>
      <c r="D13" t="s">
        <v>12274</v>
      </c>
      <c r="E13" t="s">
        <v>379</v>
      </c>
      <c r="F13" t="s">
        <v>269</v>
      </c>
      <c r="G13" t="s">
        <v>12293</v>
      </c>
      <c r="H13">
        <v>0</v>
      </c>
    </row>
    <row r="14" spans="1:8">
      <c r="A14" t="s">
        <v>405</v>
      </c>
      <c r="B14" t="s">
        <v>406</v>
      </c>
      <c r="C14" t="s">
        <v>12294</v>
      </c>
      <c r="D14" t="s">
        <v>12274</v>
      </c>
      <c r="E14" t="s">
        <v>404</v>
      </c>
      <c r="F14" t="s">
        <v>269</v>
      </c>
      <c r="G14" t="s">
        <v>12295</v>
      </c>
      <c r="H14">
        <v>0</v>
      </c>
    </row>
    <row r="15" spans="1:8">
      <c r="A15" t="s">
        <v>611</v>
      </c>
      <c r="B15" t="s">
        <v>612</v>
      </c>
      <c r="C15" t="s">
        <v>12296</v>
      </c>
      <c r="D15" t="s">
        <v>12274</v>
      </c>
      <c r="E15" t="s">
        <v>610</v>
      </c>
      <c r="F15" t="s">
        <v>269</v>
      </c>
      <c r="G15" t="s">
        <v>12297</v>
      </c>
      <c r="H15">
        <v>0</v>
      </c>
    </row>
    <row r="16" spans="1:8">
      <c r="A16" t="s">
        <v>410</v>
      </c>
      <c r="B16" t="s">
        <v>411</v>
      </c>
      <c r="C16" t="s">
        <v>12298</v>
      </c>
      <c r="D16" t="s">
        <v>12274</v>
      </c>
      <c r="E16" t="s">
        <v>409</v>
      </c>
      <c r="F16" t="s">
        <v>269</v>
      </c>
      <c r="G16" t="s">
        <v>12299</v>
      </c>
      <c r="H16">
        <v>0</v>
      </c>
    </row>
    <row r="17" spans="1:8">
      <c r="A17" t="s">
        <v>415</v>
      </c>
      <c r="B17" t="s">
        <v>416</v>
      </c>
      <c r="C17" t="s">
        <v>12300</v>
      </c>
      <c r="D17" t="s">
        <v>12274</v>
      </c>
      <c r="E17" t="s">
        <v>414</v>
      </c>
      <c r="F17" t="s">
        <v>269</v>
      </c>
      <c r="G17" t="s">
        <v>12301</v>
      </c>
      <c r="H17">
        <v>0</v>
      </c>
    </row>
    <row r="18" spans="1:8">
      <c r="A18" t="s">
        <v>128</v>
      </c>
      <c r="B18" t="s">
        <v>129</v>
      </c>
      <c r="C18" t="s">
        <v>12302</v>
      </c>
      <c r="D18" t="s">
        <v>12274</v>
      </c>
      <c r="E18" t="s">
        <v>419</v>
      </c>
      <c r="F18" t="s">
        <v>269</v>
      </c>
      <c r="G18" t="s">
        <v>12303</v>
      </c>
      <c r="H18">
        <v>1</v>
      </c>
    </row>
    <row r="19" spans="1:8">
      <c r="A19" t="s">
        <v>395</v>
      </c>
      <c r="B19" t="s">
        <v>396</v>
      </c>
      <c r="C19" t="s">
        <v>12304</v>
      </c>
      <c r="D19" t="s">
        <v>12274</v>
      </c>
      <c r="E19" t="s">
        <v>394</v>
      </c>
      <c r="F19" t="s">
        <v>269</v>
      </c>
      <c r="G19" t="s">
        <v>12305</v>
      </c>
      <c r="H19">
        <v>0</v>
      </c>
    </row>
    <row r="20" spans="1:8">
      <c r="A20" t="s">
        <v>448</v>
      </c>
      <c r="B20" t="s">
        <v>449</v>
      </c>
      <c r="C20" t="s">
        <v>12306</v>
      </c>
      <c r="D20" t="s">
        <v>12274</v>
      </c>
      <c r="E20" t="s">
        <v>447</v>
      </c>
      <c r="F20" t="s">
        <v>269</v>
      </c>
      <c r="G20" t="s">
        <v>12307</v>
      </c>
      <c r="H20">
        <v>0</v>
      </c>
    </row>
    <row r="21" spans="1:8">
      <c r="A21" t="s">
        <v>453</v>
      </c>
      <c r="B21" t="s">
        <v>454</v>
      </c>
      <c r="C21" t="s">
        <v>12308</v>
      </c>
      <c r="D21" t="s">
        <v>12309</v>
      </c>
      <c r="E21" t="s">
        <v>452</v>
      </c>
      <c r="F21" t="s">
        <v>269</v>
      </c>
      <c r="G21" t="s">
        <v>12307</v>
      </c>
      <c r="H21">
        <v>0</v>
      </c>
    </row>
    <row r="22" spans="1:8">
      <c r="A22" t="s">
        <v>878</v>
      </c>
      <c r="B22" t="s">
        <v>879</v>
      </c>
      <c r="C22" t="s">
        <v>12310</v>
      </c>
      <c r="D22" t="s">
        <v>12274</v>
      </c>
      <c r="E22" t="s">
        <v>877</v>
      </c>
      <c r="F22" t="s">
        <v>269</v>
      </c>
      <c r="G22" t="s">
        <v>12311</v>
      </c>
      <c r="H22">
        <v>0</v>
      </c>
    </row>
    <row r="23" spans="1:8">
      <c r="A23" t="s">
        <v>443</v>
      </c>
      <c r="B23" t="s">
        <v>444</v>
      </c>
      <c r="C23" t="s">
        <v>12312</v>
      </c>
      <c r="D23" t="s">
        <v>12309</v>
      </c>
      <c r="E23" t="s">
        <v>442</v>
      </c>
      <c r="F23" t="s">
        <v>269</v>
      </c>
      <c r="G23" t="s">
        <v>12313</v>
      </c>
      <c r="H23">
        <v>0</v>
      </c>
    </row>
    <row r="24" spans="1:8">
      <c r="A24" t="s">
        <v>1492</v>
      </c>
      <c r="B24" t="s">
        <v>1493</v>
      </c>
      <c r="C24" t="s">
        <v>12314</v>
      </c>
      <c r="D24" t="s">
        <v>12274</v>
      </c>
      <c r="E24" t="s">
        <v>1491</v>
      </c>
      <c r="F24" t="s">
        <v>269</v>
      </c>
      <c r="G24" t="s">
        <v>12315</v>
      </c>
      <c r="H24">
        <v>0</v>
      </c>
    </row>
    <row r="25" spans="1:8">
      <c r="A25" t="s">
        <v>458</v>
      </c>
      <c r="B25" t="s">
        <v>459</v>
      </c>
      <c r="C25" t="s">
        <v>12316</v>
      </c>
      <c r="D25" t="s">
        <v>12274</v>
      </c>
      <c r="E25" t="s">
        <v>457</v>
      </c>
      <c r="F25" t="s">
        <v>269</v>
      </c>
      <c r="G25" t="s">
        <v>12317</v>
      </c>
      <c r="H25">
        <v>0</v>
      </c>
    </row>
    <row r="26" spans="1:8">
      <c r="A26" t="s">
        <v>134</v>
      </c>
      <c r="B26" t="s">
        <v>135</v>
      </c>
      <c r="C26" t="s">
        <v>12318</v>
      </c>
      <c r="D26" t="s">
        <v>12274</v>
      </c>
      <c r="E26" t="s">
        <v>432</v>
      </c>
      <c r="F26" t="s">
        <v>269</v>
      </c>
      <c r="G26" t="s">
        <v>12319</v>
      </c>
      <c r="H26">
        <v>1</v>
      </c>
    </row>
    <row r="27" spans="1:8">
      <c r="A27" t="s">
        <v>436</v>
      </c>
      <c r="B27" t="s">
        <v>437</v>
      </c>
      <c r="C27" t="s">
        <v>12320</v>
      </c>
      <c r="D27" t="s">
        <v>12309</v>
      </c>
      <c r="E27" t="s">
        <v>435</v>
      </c>
      <c r="F27" t="s">
        <v>269</v>
      </c>
      <c r="G27" t="s">
        <v>12319</v>
      </c>
      <c r="H27">
        <v>0</v>
      </c>
    </row>
    <row r="28" spans="1:8">
      <c r="A28" t="s">
        <v>1107</v>
      </c>
      <c r="B28" t="s">
        <v>1108</v>
      </c>
      <c r="C28" t="s">
        <v>12321</v>
      </c>
      <c r="D28" t="s">
        <v>12274</v>
      </c>
      <c r="E28" t="s">
        <v>1106</v>
      </c>
      <c r="F28" t="s">
        <v>269</v>
      </c>
      <c r="G28" t="s">
        <v>12322</v>
      </c>
      <c r="H28">
        <v>0</v>
      </c>
    </row>
    <row r="29" spans="1:8">
      <c r="A29" t="s">
        <v>765</v>
      </c>
      <c r="B29" t="s">
        <v>766</v>
      </c>
      <c r="C29" t="s">
        <v>12323</v>
      </c>
      <c r="D29" t="s">
        <v>12274</v>
      </c>
      <c r="E29" t="s">
        <v>764</v>
      </c>
      <c r="F29" t="s">
        <v>269</v>
      </c>
      <c r="G29" t="s">
        <v>12324</v>
      </c>
      <c r="H29">
        <v>1</v>
      </c>
    </row>
    <row r="30" spans="1:8">
      <c r="A30" t="s">
        <v>953</v>
      </c>
      <c r="B30" t="s">
        <v>954</v>
      </c>
      <c r="C30" t="s">
        <v>12325</v>
      </c>
      <c r="D30" t="s">
        <v>12274</v>
      </c>
      <c r="E30" t="s">
        <v>952</v>
      </c>
      <c r="F30" t="s">
        <v>269</v>
      </c>
      <c r="G30" t="s">
        <v>12326</v>
      </c>
      <c r="H30">
        <v>0</v>
      </c>
    </row>
    <row r="31" spans="1:8">
      <c r="A31" t="s">
        <v>1405</v>
      </c>
      <c r="B31" t="s">
        <v>1406</v>
      </c>
      <c r="C31" t="s">
        <v>12327</v>
      </c>
      <c r="D31" t="s">
        <v>12274</v>
      </c>
      <c r="E31" t="s">
        <v>1404</v>
      </c>
      <c r="F31" t="s">
        <v>269</v>
      </c>
      <c r="G31" t="s">
        <v>12328</v>
      </c>
      <c r="H31">
        <v>0</v>
      </c>
    </row>
    <row r="32" spans="1:8">
      <c r="A32" t="s">
        <v>1172</v>
      </c>
      <c r="B32" t="s">
        <v>1173</v>
      </c>
      <c r="C32" t="s">
        <v>12329</v>
      </c>
      <c r="D32" t="s">
        <v>12274</v>
      </c>
      <c r="E32" t="s">
        <v>1171</v>
      </c>
      <c r="F32" t="s">
        <v>269</v>
      </c>
      <c r="G32" t="s">
        <v>12330</v>
      </c>
      <c r="H32">
        <v>1</v>
      </c>
    </row>
    <row r="33" spans="1:8">
      <c r="A33" t="s">
        <v>1410</v>
      </c>
      <c r="B33" t="s">
        <v>1411</v>
      </c>
      <c r="C33" t="s">
        <v>12331</v>
      </c>
      <c r="D33" t="s">
        <v>12274</v>
      </c>
      <c r="E33" t="s">
        <v>1409</v>
      </c>
      <c r="F33" t="s">
        <v>269</v>
      </c>
      <c r="G33" t="s">
        <v>12332</v>
      </c>
      <c r="H33">
        <v>0</v>
      </c>
    </row>
    <row r="34" spans="1:8">
      <c r="A34" t="s">
        <v>281</v>
      </c>
      <c r="B34" t="s">
        <v>282</v>
      </c>
      <c r="C34" t="s">
        <v>12333</v>
      </c>
      <c r="D34" t="s">
        <v>12285</v>
      </c>
      <c r="E34" t="s">
        <v>280</v>
      </c>
      <c r="F34" t="s">
        <v>269</v>
      </c>
      <c r="G34" t="s">
        <v>12334</v>
      </c>
      <c r="H34">
        <v>0</v>
      </c>
    </row>
    <row r="35" spans="1:8">
      <c r="A35" t="s">
        <v>1349</v>
      </c>
      <c r="B35" t="s">
        <v>1350</v>
      </c>
      <c r="C35" t="s">
        <v>12335</v>
      </c>
      <c r="D35" t="s">
        <v>12274</v>
      </c>
      <c r="E35" t="s">
        <v>1348</v>
      </c>
      <c r="F35" t="s">
        <v>269</v>
      </c>
      <c r="G35" t="s">
        <v>12336</v>
      </c>
      <c r="H35">
        <v>0</v>
      </c>
    </row>
    <row r="36" spans="1:8">
      <c r="A36" t="s">
        <v>1354</v>
      </c>
      <c r="B36" t="s">
        <v>1355</v>
      </c>
      <c r="C36" t="s">
        <v>12337</v>
      </c>
      <c r="D36" t="s">
        <v>12309</v>
      </c>
      <c r="E36" t="s">
        <v>1353</v>
      </c>
      <c r="F36" t="s">
        <v>269</v>
      </c>
      <c r="G36" t="s">
        <v>12336</v>
      </c>
      <c r="H36">
        <v>0</v>
      </c>
    </row>
    <row r="37" spans="1:8">
      <c r="A37" t="s">
        <v>322</v>
      </c>
      <c r="B37" t="s">
        <v>323</v>
      </c>
      <c r="C37" t="s">
        <v>12338</v>
      </c>
      <c r="D37" t="s">
        <v>12274</v>
      </c>
      <c r="E37" t="s">
        <v>321</v>
      </c>
      <c r="F37" t="s">
        <v>269</v>
      </c>
      <c r="G37" t="s">
        <v>12339</v>
      </c>
      <c r="H37">
        <v>0</v>
      </c>
    </row>
    <row r="38" spans="1:8">
      <c r="A38" t="s">
        <v>347</v>
      </c>
      <c r="B38" t="s">
        <v>348</v>
      </c>
      <c r="C38" t="s">
        <v>12340</v>
      </c>
      <c r="D38" t="s">
        <v>12274</v>
      </c>
      <c r="E38" t="s">
        <v>346</v>
      </c>
      <c r="F38" t="s">
        <v>269</v>
      </c>
      <c r="G38" t="s">
        <v>12341</v>
      </c>
      <c r="H38">
        <v>0</v>
      </c>
    </row>
    <row r="39" spans="1:8">
      <c r="A39" t="s">
        <v>337</v>
      </c>
      <c r="B39" t="s">
        <v>338</v>
      </c>
      <c r="C39" t="s">
        <v>12342</v>
      </c>
      <c r="D39" t="s">
        <v>12274</v>
      </c>
      <c r="E39" t="s">
        <v>336</v>
      </c>
      <c r="F39" t="s">
        <v>269</v>
      </c>
      <c r="G39" t="s">
        <v>12343</v>
      </c>
      <c r="H39">
        <v>0</v>
      </c>
    </row>
    <row r="40" spans="1:8">
      <c r="A40" t="s">
        <v>596</v>
      </c>
      <c r="B40" t="s">
        <v>597</v>
      </c>
      <c r="C40" t="s">
        <v>12344</v>
      </c>
      <c r="D40" t="s">
        <v>12274</v>
      </c>
      <c r="E40" t="s">
        <v>595</v>
      </c>
      <c r="F40" t="s">
        <v>269</v>
      </c>
      <c r="G40" t="s">
        <v>12345</v>
      </c>
      <c r="H40">
        <v>0</v>
      </c>
    </row>
    <row r="41" spans="1:8">
      <c r="A41" t="s">
        <v>1515</v>
      </c>
      <c r="B41" t="s">
        <v>1516</v>
      </c>
      <c r="C41" t="s">
        <v>12346</v>
      </c>
      <c r="D41" t="s">
        <v>12274</v>
      </c>
      <c r="E41" t="s">
        <v>1514</v>
      </c>
      <c r="F41" t="s">
        <v>269</v>
      </c>
      <c r="G41" t="s">
        <v>12347</v>
      </c>
      <c r="H41">
        <v>0</v>
      </c>
    </row>
    <row r="42" spans="1:8">
      <c r="A42" t="s">
        <v>556</v>
      </c>
      <c r="B42" t="s">
        <v>557</v>
      </c>
      <c r="C42" t="s">
        <v>12348</v>
      </c>
      <c r="D42" t="s">
        <v>12274</v>
      </c>
      <c r="E42" t="s">
        <v>555</v>
      </c>
      <c r="F42" t="s">
        <v>269</v>
      </c>
      <c r="G42" t="s">
        <v>12349</v>
      </c>
      <c r="H42">
        <v>0</v>
      </c>
    </row>
    <row r="43" spans="1:8">
      <c r="A43" t="s">
        <v>561</v>
      </c>
      <c r="B43" t="s">
        <v>562</v>
      </c>
      <c r="C43" t="s">
        <v>12350</v>
      </c>
      <c r="D43" t="s">
        <v>12274</v>
      </c>
      <c r="E43" t="s">
        <v>560</v>
      </c>
      <c r="F43" t="s">
        <v>269</v>
      </c>
      <c r="G43" t="s">
        <v>12351</v>
      </c>
      <c r="H43">
        <v>0</v>
      </c>
    </row>
    <row r="44" spans="1:8">
      <c r="A44" t="s">
        <v>566</v>
      </c>
      <c r="B44" t="s">
        <v>567</v>
      </c>
      <c r="C44" t="s">
        <v>12352</v>
      </c>
      <c r="D44" t="s">
        <v>12309</v>
      </c>
      <c r="E44" t="s">
        <v>565</v>
      </c>
      <c r="F44" t="s">
        <v>269</v>
      </c>
      <c r="G44" t="s">
        <v>12351</v>
      </c>
      <c r="H44">
        <v>0</v>
      </c>
    </row>
    <row r="45" spans="1:8">
      <c r="A45" t="s">
        <v>576</v>
      </c>
      <c r="B45" t="s">
        <v>577</v>
      </c>
      <c r="C45" t="s">
        <v>12353</v>
      </c>
      <c r="D45" t="s">
        <v>12274</v>
      </c>
      <c r="E45" t="s">
        <v>575</v>
      </c>
      <c r="F45" t="s">
        <v>269</v>
      </c>
      <c r="G45" t="s">
        <v>12354</v>
      </c>
      <c r="H45">
        <v>0</v>
      </c>
    </row>
    <row r="46" spans="1:8">
      <c r="A46" t="s">
        <v>1420</v>
      </c>
      <c r="B46" t="s">
        <v>1421</v>
      </c>
      <c r="C46" t="s">
        <v>12355</v>
      </c>
      <c r="D46" t="s">
        <v>12274</v>
      </c>
      <c r="E46" t="s">
        <v>1419</v>
      </c>
      <c r="F46" t="s">
        <v>269</v>
      </c>
      <c r="G46" t="s">
        <v>12356</v>
      </c>
      <c r="H46">
        <v>0</v>
      </c>
    </row>
    <row r="47" spans="1:8">
      <c r="A47" t="s">
        <v>1430</v>
      </c>
      <c r="B47" t="s">
        <v>1431</v>
      </c>
      <c r="C47" t="s">
        <v>1431</v>
      </c>
      <c r="D47" t="s">
        <v>12274</v>
      </c>
      <c r="E47" t="s">
        <v>1429</v>
      </c>
      <c r="F47" t="s">
        <v>269</v>
      </c>
      <c r="G47" t="s">
        <v>12357</v>
      </c>
      <c r="H47">
        <v>0</v>
      </c>
    </row>
    <row r="48" spans="1:8">
      <c r="A48" t="s">
        <v>1425</v>
      </c>
      <c r="B48" t="s">
        <v>1426</v>
      </c>
      <c r="C48" t="s">
        <v>12358</v>
      </c>
      <c r="D48" t="s">
        <v>12274</v>
      </c>
      <c r="E48" t="s">
        <v>1424</v>
      </c>
      <c r="F48" t="s">
        <v>269</v>
      </c>
      <c r="G48" t="s">
        <v>12359</v>
      </c>
      <c r="H48">
        <v>1</v>
      </c>
    </row>
    <row r="49" spans="1:8">
      <c r="A49" t="s">
        <v>285</v>
      </c>
      <c r="B49" t="s">
        <v>286</v>
      </c>
      <c r="C49" t="s">
        <v>12360</v>
      </c>
      <c r="D49" t="s">
        <v>12285</v>
      </c>
      <c r="E49" t="s">
        <v>284</v>
      </c>
      <c r="F49" t="s">
        <v>269</v>
      </c>
      <c r="G49" t="s">
        <v>12361</v>
      </c>
      <c r="H49">
        <v>0</v>
      </c>
    </row>
    <row r="50" spans="1:8">
      <c r="A50" t="s">
        <v>571</v>
      </c>
      <c r="B50" t="s">
        <v>572</v>
      </c>
      <c r="C50" t="s">
        <v>12362</v>
      </c>
      <c r="D50" t="s">
        <v>12274</v>
      </c>
      <c r="E50" t="s">
        <v>570</v>
      </c>
      <c r="F50" t="s">
        <v>269</v>
      </c>
      <c r="G50" t="s">
        <v>12363</v>
      </c>
      <c r="H50">
        <v>0</v>
      </c>
    </row>
    <row r="51" spans="1:8">
      <c r="A51" t="s">
        <v>1039</v>
      </c>
      <c r="B51" t="s">
        <v>1040</v>
      </c>
      <c r="C51" t="s">
        <v>12364</v>
      </c>
      <c r="D51" t="s">
        <v>12274</v>
      </c>
      <c r="E51" t="s">
        <v>1038</v>
      </c>
      <c r="F51" t="s">
        <v>269</v>
      </c>
      <c r="G51" t="s">
        <v>12365</v>
      </c>
      <c r="H51">
        <v>1</v>
      </c>
    </row>
    <row r="52" spans="1:8">
      <c r="A52" t="s">
        <v>551</v>
      </c>
      <c r="B52" t="s">
        <v>552</v>
      </c>
      <c r="C52" t="s">
        <v>12366</v>
      </c>
      <c r="D52" t="s">
        <v>12274</v>
      </c>
      <c r="E52" t="s">
        <v>550</v>
      </c>
      <c r="F52" t="s">
        <v>269</v>
      </c>
      <c r="G52" t="s">
        <v>12367</v>
      </c>
      <c r="H52">
        <v>0</v>
      </c>
    </row>
    <row r="53" spans="1:8">
      <c r="A53" t="s">
        <v>289</v>
      </c>
      <c r="B53" t="s">
        <v>290</v>
      </c>
      <c r="C53" t="s">
        <v>12368</v>
      </c>
      <c r="D53" t="s">
        <v>12285</v>
      </c>
      <c r="E53" t="s">
        <v>288</v>
      </c>
      <c r="F53" t="s">
        <v>269</v>
      </c>
      <c r="G53" t="s">
        <v>12369</v>
      </c>
      <c r="H53">
        <v>0</v>
      </c>
    </row>
    <row r="54" spans="1:8">
      <c r="A54" t="s">
        <v>1205</v>
      </c>
      <c r="B54" t="s">
        <v>1206</v>
      </c>
      <c r="C54" t="s">
        <v>12370</v>
      </c>
      <c r="D54" t="s">
        <v>12274</v>
      </c>
      <c r="E54" t="s">
        <v>1204</v>
      </c>
      <c r="F54" t="s">
        <v>269</v>
      </c>
      <c r="G54" t="s">
        <v>12371</v>
      </c>
      <c r="H54">
        <v>1</v>
      </c>
    </row>
    <row r="55" spans="1:8">
      <c r="A55" t="s">
        <v>1500</v>
      </c>
      <c r="B55" t="s">
        <v>1501</v>
      </c>
      <c r="C55" t="s">
        <v>12372</v>
      </c>
      <c r="D55" t="s">
        <v>12274</v>
      </c>
      <c r="E55" t="s">
        <v>1499</v>
      </c>
      <c r="F55" t="s">
        <v>269</v>
      </c>
      <c r="G55" t="s">
        <v>12373</v>
      </c>
      <c r="H55">
        <v>0</v>
      </c>
    </row>
    <row r="56" spans="1:8">
      <c r="A56" t="s">
        <v>1505</v>
      </c>
      <c r="B56" t="s">
        <v>1506</v>
      </c>
      <c r="C56" t="s">
        <v>12374</v>
      </c>
      <c r="D56" t="s">
        <v>12309</v>
      </c>
      <c r="E56" t="s">
        <v>1504</v>
      </c>
      <c r="F56" t="s">
        <v>269</v>
      </c>
      <c r="G56" t="s">
        <v>12373</v>
      </c>
      <c r="H56">
        <v>0</v>
      </c>
    </row>
    <row r="57" spans="1:8">
      <c r="A57" t="s">
        <v>523</v>
      </c>
      <c r="B57" t="s">
        <v>524</v>
      </c>
      <c r="C57" t="s">
        <v>12375</v>
      </c>
      <c r="D57" t="s">
        <v>12274</v>
      </c>
      <c r="E57" t="s">
        <v>522</v>
      </c>
      <c r="F57" t="s">
        <v>269</v>
      </c>
      <c r="G57" t="s">
        <v>12376</v>
      </c>
      <c r="H57">
        <v>0</v>
      </c>
    </row>
    <row r="58" spans="1:8">
      <c r="A58" t="s">
        <v>528</v>
      </c>
      <c r="B58" t="s">
        <v>529</v>
      </c>
      <c r="C58" t="s">
        <v>12377</v>
      </c>
      <c r="D58" t="s">
        <v>12274</v>
      </c>
      <c r="E58" t="s">
        <v>527</v>
      </c>
      <c r="F58" t="s">
        <v>269</v>
      </c>
      <c r="G58" t="s">
        <v>12378</v>
      </c>
      <c r="H58">
        <v>1</v>
      </c>
    </row>
    <row r="59" spans="1:8">
      <c r="A59" t="s">
        <v>518</v>
      </c>
      <c r="B59" t="s">
        <v>519</v>
      </c>
      <c r="C59" t="s">
        <v>12379</v>
      </c>
      <c r="D59" t="s">
        <v>12274</v>
      </c>
      <c r="E59" t="s">
        <v>517</v>
      </c>
      <c r="F59" t="s">
        <v>269</v>
      </c>
      <c r="G59" t="s">
        <v>12380</v>
      </c>
      <c r="H59">
        <v>0</v>
      </c>
    </row>
    <row r="60" spans="1:8">
      <c r="A60" t="s">
        <v>513</v>
      </c>
      <c r="B60" t="s">
        <v>514</v>
      </c>
      <c r="C60" t="s">
        <v>12381</v>
      </c>
      <c r="D60" t="s">
        <v>12274</v>
      </c>
      <c r="E60" t="s">
        <v>512</v>
      </c>
      <c r="F60" t="s">
        <v>269</v>
      </c>
      <c r="G60" t="s">
        <v>12382</v>
      </c>
      <c r="H60">
        <v>0</v>
      </c>
    </row>
    <row r="61" spans="1:8">
      <c r="A61" t="s">
        <v>1415</v>
      </c>
      <c r="B61" t="s">
        <v>1416</v>
      </c>
      <c r="C61" t="s">
        <v>12383</v>
      </c>
      <c r="D61" t="s">
        <v>12274</v>
      </c>
      <c r="E61" t="s">
        <v>1414</v>
      </c>
      <c r="F61" t="s">
        <v>269</v>
      </c>
      <c r="G61" t="s">
        <v>12384</v>
      </c>
      <c r="H61">
        <v>0</v>
      </c>
    </row>
    <row r="62" spans="1:8">
      <c r="A62" t="s">
        <v>332</v>
      </c>
      <c r="B62" t="s">
        <v>333</v>
      </c>
      <c r="C62" t="s">
        <v>12385</v>
      </c>
      <c r="D62" t="s">
        <v>12274</v>
      </c>
      <c r="E62" t="s">
        <v>331</v>
      </c>
      <c r="F62" t="s">
        <v>269</v>
      </c>
      <c r="G62" t="s">
        <v>12386</v>
      </c>
      <c r="H62">
        <v>0</v>
      </c>
    </row>
    <row r="63" spans="1:8">
      <c r="A63" t="s">
        <v>352</v>
      </c>
      <c r="B63" t="s">
        <v>353</v>
      </c>
      <c r="C63" t="s">
        <v>12387</v>
      </c>
      <c r="D63" t="s">
        <v>12274</v>
      </c>
      <c r="E63" t="s">
        <v>351</v>
      </c>
      <c r="F63" t="s">
        <v>269</v>
      </c>
      <c r="G63" t="s">
        <v>12388</v>
      </c>
      <c r="H63">
        <v>0</v>
      </c>
    </row>
    <row r="64" spans="1:8">
      <c r="A64" t="s">
        <v>775</v>
      </c>
      <c r="B64" t="s">
        <v>776</v>
      </c>
      <c r="C64" t="s">
        <v>12389</v>
      </c>
      <c r="D64" t="s">
        <v>12274</v>
      </c>
      <c r="E64" t="s">
        <v>774</v>
      </c>
      <c r="F64" t="s">
        <v>269</v>
      </c>
      <c r="G64" t="s">
        <v>12390</v>
      </c>
      <c r="H64">
        <v>0</v>
      </c>
    </row>
    <row r="65" spans="1:8">
      <c r="A65" t="s">
        <v>533</v>
      </c>
      <c r="B65" t="s">
        <v>534</v>
      </c>
      <c r="C65" t="s">
        <v>12391</v>
      </c>
      <c r="D65" t="s">
        <v>12274</v>
      </c>
      <c r="E65" t="s">
        <v>532</v>
      </c>
      <c r="F65" t="s">
        <v>269</v>
      </c>
      <c r="G65" t="s">
        <v>12392</v>
      </c>
      <c r="H65">
        <v>1</v>
      </c>
    </row>
    <row r="66" spans="1:8">
      <c r="A66" t="s">
        <v>543</v>
      </c>
      <c r="B66" t="s">
        <v>544</v>
      </c>
      <c r="C66" t="s">
        <v>12393</v>
      </c>
      <c r="D66" t="s">
        <v>12274</v>
      </c>
      <c r="E66" t="s">
        <v>542</v>
      </c>
      <c r="F66" t="s">
        <v>269</v>
      </c>
      <c r="G66" t="s">
        <v>12394</v>
      </c>
      <c r="H66">
        <v>0</v>
      </c>
    </row>
    <row r="67" spans="1:8">
      <c r="A67" t="s">
        <v>124</v>
      </c>
      <c r="B67" t="s">
        <v>125</v>
      </c>
      <c r="C67" t="s">
        <v>12395</v>
      </c>
      <c r="D67" t="s">
        <v>12274</v>
      </c>
      <c r="E67" t="s">
        <v>1386</v>
      </c>
      <c r="F67" t="s">
        <v>269</v>
      </c>
      <c r="G67" t="s">
        <v>12396</v>
      </c>
      <c r="H67">
        <v>1</v>
      </c>
    </row>
    <row r="68" spans="1:8">
      <c r="A68" t="s">
        <v>1382</v>
      </c>
      <c r="B68" t="s">
        <v>1383</v>
      </c>
      <c r="C68" t="s">
        <v>12397</v>
      </c>
      <c r="D68" t="s">
        <v>12309</v>
      </c>
      <c r="E68" t="s">
        <v>1381</v>
      </c>
      <c r="F68" t="s">
        <v>269</v>
      </c>
      <c r="G68" t="s">
        <v>12398</v>
      </c>
      <c r="H68">
        <v>0</v>
      </c>
    </row>
    <row r="69" spans="1:8">
      <c r="A69" t="s">
        <v>1377</v>
      </c>
      <c r="B69" t="s">
        <v>1378</v>
      </c>
      <c r="C69" t="s">
        <v>12399</v>
      </c>
      <c r="D69" t="s">
        <v>12274</v>
      </c>
      <c r="E69" t="s">
        <v>1376</v>
      </c>
      <c r="F69" t="s">
        <v>269</v>
      </c>
      <c r="G69" t="s">
        <v>12400</v>
      </c>
      <c r="H69">
        <v>0</v>
      </c>
    </row>
    <row r="70" spans="1:8">
      <c r="A70" t="s">
        <v>1072</v>
      </c>
      <c r="B70" t="s">
        <v>1073</v>
      </c>
      <c r="C70" t="s">
        <v>12401</v>
      </c>
      <c r="D70" t="s">
        <v>12274</v>
      </c>
      <c r="E70" t="s">
        <v>1071</v>
      </c>
      <c r="F70" t="s">
        <v>269</v>
      </c>
      <c r="G70" t="s">
        <v>12402</v>
      </c>
      <c r="H70">
        <v>1</v>
      </c>
    </row>
    <row r="71" spans="1:8">
      <c r="A71" t="s">
        <v>626</v>
      </c>
      <c r="B71" t="s">
        <v>627</v>
      </c>
      <c r="C71" t="s">
        <v>12403</v>
      </c>
      <c r="D71" t="s">
        <v>12274</v>
      </c>
      <c r="E71" t="s">
        <v>625</v>
      </c>
      <c r="F71" t="s">
        <v>269</v>
      </c>
      <c r="G71" t="s">
        <v>12404</v>
      </c>
      <c r="H71">
        <v>0</v>
      </c>
    </row>
    <row r="72" spans="1:8">
      <c r="A72" t="s">
        <v>621</v>
      </c>
      <c r="B72" t="s">
        <v>622</v>
      </c>
      <c r="C72" t="s">
        <v>12405</v>
      </c>
      <c r="D72" t="s">
        <v>12309</v>
      </c>
      <c r="E72" t="s">
        <v>620</v>
      </c>
      <c r="F72" t="s">
        <v>269</v>
      </c>
      <c r="G72" t="s">
        <v>12404</v>
      </c>
      <c r="H72">
        <v>0</v>
      </c>
    </row>
    <row r="73" spans="1:8">
      <c r="A73" t="s">
        <v>616</v>
      </c>
      <c r="B73" t="s">
        <v>617</v>
      </c>
      <c r="C73" t="s">
        <v>12406</v>
      </c>
      <c r="D73" t="s">
        <v>12274</v>
      </c>
      <c r="E73" t="s">
        <v>615</v>
      </c>
      <c r="F73" t="s">
        <v>269</v>
      </c>
      <c r="G73" t="s">
        <v>12407</v>
      </c>
      <c r="H73">
        <v>0</v>
      </c>
    </row>
    <row r="74" spans="1:8">
      <c r="A74" t="s">
        <v>136</v>
      </c>
      <c r="B74" t="s">
        <v>137</v>
      </c>
      <c r="C74" t="s">
        <v>12408</v>
      </c>
      <c r="D74" t="s">
        <v>12274</v>
      </c>
      <c r="E74" t="s">
        <v>630</v>
      </c>
      <c r="F74" t="s">
        <v>269</v>
      </c>
      <c r="G74" t="s">
        <v>12409</v>
      </c>
      <c r="H74">
        <v>1</v>
      </c>
    </row>
    <row r="75" spans="1:8">
      <c r="A75" t="s">
        <v>1477</v>
      </c>
      <c r="B75" t="s">
        <v>1478</v>
      </c>
      <c r="C75" t="s">
        <v>12410</v>
      </c>
      <c r="D75" t="s">
        <v>12274</v>
      </c>
      <c r="E75" t="s">
        <v>1476</v>
      </c>
      <c r="F75" t="s">
        <v>269</v>
      </c>
      <c r="G75" t="s">
        <v>12411</v>
      </c>
      <c r="H75">
        <v>0</v>
      </c>
    </row>
    <row r="76" spans="1:8">
      <c r="A76" t="s">
        <v>342</v>
      </c>
      <c r="B76" t="s">
        <v>343</v>
      </c>
      <c r="C76" t="s">
        <v>12412</v>
      </c>
      <c r="D76" t="s">
        <v>12274</v>
      </c>
      <c r="E76" t="s">
        <v>341</v>
      </c>
      <c r="F76" t="s">
        <v>269</v>
      </c>
      <c r="G76" t="s">
        <v>12413</v>
      </c>
      <c r="H76">
        <v>0</v>
      </c>
    </row>
    <row r="77" spans="1:8">
      <c r="A77" t="s">
        <v>1197</v>
      </c>
      <c r="B77" t="s">
        <v>1198</v>
      </c>
      <c r="C77" t="s">
        <v>12414</v>
      </c>
      <c r="D77" t="s">
        <v>12274</v>
      </c>
      <c r="E77" t="s">
        <v>1196</v>
      </c>
      <c r="F77" t="s">
        <v>269</v>
      </c>
      <c r="G77" t="s">
        <v>12415</v>
      </c>
      <c r="H77">
        <v>0</v>
      </c>
    </row>
    <row r="78" spans="1:8">
      <c r="A78" t="s">
        <v>1192</v>
      </c>
      <c r="B78" t="s">
        <v>1193</v>
      </c>
      <c r="C78" t="s">
        <v>12416</v>
      </c>
      <c r="D78" t="s">
        <v>12309</v>
      </c>
      <c r="E78" t="s">
        <v>1191</v>
      </c>
      <c r="F78" t="s">
        <v>269</v>
      </c>
      <c r="G78" t="s">
        <v>12415</v>
      </c>
      <c r="H78">
        <v>0</v>
      </c>
    </row>
    <row r="79" spans="1:8">
      <c r="A79" t="s">
        <v>694</v>
      </c>
      <c r="B79" t="s">
        <v>695</v>
      </c>
      <c r="C79" t="s">
        <v>12417</v>
      </c>
      <c r="D79" t="s">
        <v>12274</v>
      </c>
      <c r="E79" t="s">
        <v>693</v>
      </c>
      <c r="F79" t="s">
        <v>269</v>
      </c>
      <c r="G79" t="s">
        <v>12418</v>
      </c>
      <c r="H79">
        <v>0</v>
      </c>
    </row>
    <row r="80" spans="1:8">
      <c r="A80" t="s">
        <v>699</v>
      </c>
      <c r="B80" t="s">
        <v>700</v>
      </c>
      <c r="C80" t="s">
        <v>12419</v>
      </c>
      <c r="D80" t="s">
        <v>12309</v>
      </c>
      <c r="E80" t="s">
        <v>698</v>
      </c>
      <c r="F80" t="s">
        <v>269</v>
      </c>
      <c r="G80" t="s">
        <v>12418</v>
      </c>
      <c r="H80">
        <v>0</v>
      </c>
    </row>
    <row r="81" spans="1:8">
      <c r="A81" t="s">
        <v>1266</v>
      </c>
      <c r="B81" t="s">
        <v>1267</v>
      </c>
      <c r="C81" t="s">
        <v>12420</v>
      </c>
      <c r="D81" t="s">
        <v>12274</v>
      </c>
      <c r="E81" t="s">
        <v>1265</v>
      </c>
      <c r="F81" t="s">
        <v>269</v>
      </c>
      <c r="G81" t="s">
        <v>12421</v>
      </c>
      <c r="H81">
        <v>0</v>
      </c>
    </row>
    <row r="82" spans="1:8">
      <c r="A82" t="s">
        <v>649</v>
      </c>
      <c r="B82" t="s">
        <v>650</v>
      </c>
      <c r="C82" t="s">
        <v>12422</v>
      </c>
      <c r="D82" t="s">
        <v>12274</v>
      </c>
      <c r="E82" t="s">
        <v>648</v>
      </c>
      <c r="F82" t="s">
        <v>269</v>
      </c>
      <c r="G82" t="s">
        <v>12423</v>
      </c>
      <c r="H82">
        <v>0</v>
      </c>
    </row>
    <row r="83" spans="1:8">
      <c r="A83" t="s">
        <v>654</v>
      </c>
      <c r="B83" t="s">
        <v>655</v>
      </c>
      <c r="C83" t="s">
        <v>12424</v>
      </c>
      <c r="D83" t="s">
        <v>12309</v>
      </c>
      <c r="E83" t="s">
        <v>653</v>
      </c>
      <c r="F83" t="s">
        <v>269</v>
      </c>
      <c r="G83" t="s">
        <v>12423</v>
      </c>
      <c r="H83">
        <v>0</v>
      </c>
    </row>
    <row r="84" spans="1:8">
      <c r="A84" t="s">
        <v>704</v>
      </c>
      <c r="B84" t="s">
        <v>705</v>
      </c>
      <c r="C84" t="s">
        <v>12425</v>
      </c>
      <c r="D84" t="s">
        <v>12274</v>
      </c>
      <c r="E84" t="s">
        <v>703</v>
      </c>
      <c r="F84" t="s">
        <v>269</v>
      </c>
      <c r="G84" t="s">
        <v>12426</v>
      </c>
      <c r="H84">
        <v>0</v>
      </c>
    </row>
    <row r="85" spans="1:8">
      <c r="A85" t="s">
        <v>709</v>
      </c>
      <c r="B85" t="s">
        <v>710</v>
      </c>
      <c r="C85" t="s">
        <v>12427</v>
      </c>
      <c r="D85" t="s">
        <v>12309</v>
      </c>
      <c r="E85" t="s">
        <v>708</v>
      </c>
      <c r="F85" t="s">
        <v>269</v>
      </c>
      <c r="G85" t="s">
        <v>12426</v>
      </c>
      <c r="H85">
        <v>0</v>
      </c>
    </row>
    <row r="86" spans="1:8">
      <c r="A86" t="s">
        <v>644</v>
      </c>
      <c r="B86" t="s">
        <v>645</v>
      </c>
      <c r="C86" t="s">
        <v>12428</v>
      </c>
      <c r="D86" t="s">
        <v>12274</v>
      </c>
      <c r="E86" t="s">
        <v>643</v>
      </c>
      <c r="F86" t="s">
        <v>269</v>
      </c>
      <c r="G86" t="s">
        <v>12429</v>
      </c>
      <c r="H86">
        <v>0</v>
      </c>
    </row>
    <row r="87" spans="1:8">
      <c r="A87" t="s">
        <v>684</v>
      </c>
      <c r="B87" t="s">
        <v>685</v>
      </c>
      <c r="C87" t="s">
        <v>12430</v>
      </c>
      <c r="D87" t="s">
        <v>12274</v>
      </c>
      <c r="E87" t="s">
        <v>683</v>
      </c>
      <c r="F87" t="s">
        <v>269</v>
      </c>
      <c r="G87" t="s">
        <v>12431</v>
      </c>
      <c r="H87">
        <v>0</v>
      </c>
    </row>
    <row r="88" spans="1:8">
      <c r="A88" t="s">
        <v>634</v>
      </c>
      <c r="B88" t="s">
        <v>635</v>
      </c>
      <c r="C88" t="s">
        <v>12432</v>
      </c>
      <c r="D88" t="s">
        <v>12274</v>
      </c>
      <c r="E88" t="s">
        <v>633</v>
      </c>
      <c r="F88" t="s">
        <v>269</v>
      </c>
      <c r="G88" t="s">
        <v>12433</v>
      </c>
      <c r="H88">
        <v>0</v>
      </c>
    </row>
    <row r="89" spans="1:8">
      <c r="A89" t="s">
        <v>639</v>
      </c>
      <c r="B89" t="s">
        <v>640</v>
      </c>
      <c r="C89" t="s">
        <v>12434</v>
      </c>
      <c r="D89" t="s">
        <v>12274</v>
      </c>
      <c r="E89" t="s">
        <v>638</v>
      </c>
      <c r="F89" t="s">
        <v>269</v>
      </c>
      <c r="G89" t="s">
        <v>12435</v>
      </c>
      <c r="H89">
        <v>0</v>
      </c>
    </row>
    <row r="90" spans="1:8">
      <c r="A90" t="s">
        <v>659</v>
      </c>
      <c r="B90" t="s">
        <v>660</v>
      </c>
      <c r="C90" t="s">
        <v>12436</v>
      </c>
      <c r="D90" t="s">
        <v>12274</v>
      </c>
      <c r="E90" t="s">
        <v>658</v>
      </c>
      <c r="F90" t="s">
        <v>269</v>
      </c>
      <c r="G90" t="s">
        <v>12437</v>
      </c>
      <c r="H90">
        <v>0</v>
      </c>
    </row>
    <row r="91" spans="1:8">
      <c r="A91" t="s">
        <v>1127</v>
      </c>
      <c r="B91" t="s">
        <v>1128</v>
      </c>
      <c r="C91" t="s">
        <v>12438</v>
      </c>
      <c r="D91" t="s">
        <v>12274</v>
      </c>
      <c r="E91" t="s">
        <v>1126</v>
      </c>
      <c r="F91" t="s">
        <v>269</v>
      </c>
      <c r="G91" t="s">
        <v>12439</v>
      </c>
      <c r="H91">
        <v>0</v>
      </c>
    </row>
    <row r="92" spans="1:8">
      <c r="A92" t="s">
        <v>1132</v>
      </c>
      <c r="B92" t="s">
        <v>1133</v>
      </c>
      <c r="C92" t="s">
        <v>12440</v>
      </c>
      <c r="D92" t="s">
        <v>12309</v>
      </c>
      <c r="E92" t="s">
        <v>1131</v>
      </c>
      <c r="F92" t="s">
        <v>269</v>
      </c>
      <c r="G92" t="s">
        <v>12439</v>
      </c>
      <c r="H92">
        <v>0</v>
      </c>
    </row>
    <row r="93" spans="1:8">
      <c r="A93" t="s">
        <v>1253</v>
      </c>
      <c r="B93" t="s">
        <v>1254</v>
      </c>
      <c r="C93" t="s">
        <v>12441</v>
      </c>
      <c r="D93" t="s">
        <v>12309</v>
      </c>
      <c r="E93" t="s">
        <v>1252</v>
      </c>
      <c r="F93" t="s">
        <v>269</v>
      </c>
      <c r="G93" t="s">
        <v>12442</v>
      </c>
      <c r="H93">
        <v>0</v>
      </c>
    </row>
    <row r="94" spans="1:8">
      <c r="A94" t="s">
        <v>669</v>
      </c>
      <c r="B94" t="s">
        <v>670</v>
      </c>
      <c r="C94" t="s">
        <v>12443</v>
      </c>
      <c r="D94" t="s">
        <v>12274</v>
      </c>
      <c r="E94" t="s">
        <v>668</v>
      </c>
      <c r="F94" t="s">
        <v>269</v>
      </c>
      <c r="G94" t="s">
        <v>12444</v>
      </c>
      <c r="H94">
        <v>0</v>
      </c>
    </row>
    <row r="95" spans="1:8">
      <c r="A95" t="s">
        <v>664</v>
      </c>
      <c r="B95" t="s">
        <v>665</v>
      </c>
      <c r="C95" t="s">
        <v>12445</v>
      </c>
      <c r="D95" t="s">
        <v>12309</v>
      </c>
      <c r="E95" t="s">
        <v>663</v>
      </c>
      <c r="F95" t="s">
        <v>269</v>
      </c>
      <c r="G95" t="s">
        <v>12444</v>
      </c>
      <c r="H95">
        <v>0</v>
      </c>
    </row>
    <row r="96" spans="1:8">
      <c r="A96" t="s">
        <v>674</v>
      </c>
      <c r="B96" t="s">
        <v>675</v>
      </c>
      <c r="C96" t="s">
        <v>12446</v>
      </c>
      <c r="D96" t="s">
        <v>12274</v>
      </c>
      <c r="E96" t="s">
        <v>673</v>
      </c>
      <c r="F96" t="s">
        <v>269</v>
      </c>
      <c r="G96" t="s">
        <v>12447</v>
      </c>
      <c r="H96">
        <v>0</v>
      </c>
    </row>
    <row r="97" spans="1:8">
      <c r="A97" t="s">
        <v>679</v>
      </c>
      <c r="B97" t="s">
        <v>680</v>
      </c>
      <c r="C97" t="s">
        <v>12448</v>
      </c>
      <c r="D97" t="s">
        <v>12309</v>
      </c>
      <c r="E97" t="s">
        <v>678</v>
      </c>
      <c r="F97" t="s">
        <v>269</v>
      </c>
      <c r="G97" t="s">
        <v>12447</v>
      </c>
      <c r="H97">
        <v>0</v>
      </c>
    </row>
    <row r="98" spans="1:8">
      <c r="A98" t="s">
        <v>689</v>
      </c>
      <c r="B98" t="s">
        <v>690</v>
      </c>
      <c r="C98" t="s">
        <v>12449</v>
      </c>
      <c r="D98" t="s">
        <v>12274</v>
      </c>
      <c r="E98" t="s">
        <v>688</v>
      </c>
      <c r="F98" t="s">
        <v>269</v>
      </c>
      <c r="G98" t="s">
        <v>12450</v>
      </c>
      <c r="H98">
        <v>0</v>
      </c>
    </row>
    <row r="99" spans="1:8">
      <c r="A99" t="s">
        <v>903</v>
      </c>
      <c r="B99" t="s">
        <v>904</v>
      </c>
      <c r="C99" t="s">
        <v>12451</v>
      </c>
      <c r="D99" t="s">
        <v>12274</v>
      </c>
      <c r="E99" t="s">
        <v>902</v>
      </c>
      <c r="F99" t="s">
        <v>269</v>
      </c>
      <c r="G99" t="s">
        <v>12452</v>
      </c>
      <c r="H99">
        <v>0</v>
      </c>
    </row>
    <row r="100" spans="1:8">
      <c r="A100" t="s">
        <v>908</v>
      </c>
      <c r="B100" t="s">
        <v>909</v>
      </c>
      <c r="C100" t="s">
        <v>12453</v>
      </c>
      <c r="D100" t="s">
        <v>12309</v>
      </c>
      <c r="E100" t="s">
        <v>907</v>
      </c>
      <c r="F100" t="s">
        <v>269</v>
      </c>
      <c r="G100" t="s">
        <v>12452</v>
      </c>
      <c r="H100">
        <v>0</v>
      </c>
    </row>
    <row r="101" spans="1:8">
      <c r="A101" t="s">
        <v>581</v>
      </c>
      <c r="B101" t="s">
        <v>582</v>
      </c>
      <c r="C101" t="s">
        <v>12454</v>
      </c>
      <c r="D101" t="s">
        <v>12274</v>
      </c>
      <c r="E101" t="s">
        <v>580</v>
      </c>
      <c r="F101" t="s">
        <v>269</v>
      </c>
      <c r="G101" t="s">
        <v>12455</v>
      </c>
      <c r="H101">
        <v>1</v>
      </c>
    </row>
    <row r="102" spans="1:8">
      <c r="A102" t="s">
        <v>138</v>
      </c>
      <c r="B102" t="s">
        <v>139</v>
      </c>
      <c r="C102" t="s">
        <v>12456</v>
      </c>
      <c r="D102" t="s">
        <v>12274</v>
      </c>
      <c r="E102" t="s">
        <v>741</v>
      </c>
      <c r="F102" t="s">
        <v>269</v>
      </c>
      <c r="G102" t="s">
        <v>12457</v>
      </c>
      <c r="H102">
        <v>0</v>
      </c>
    </row>
    <row r="103" spans="1:8">
      <c r="A103" t="s">
        <v>1567</v>
      </c>
      <c r="B103" t="s">
        <v>1568</v>
      </c>
      <c r="C103" t="s">
        <v>12458</v>
      </c>
      <c r="D103" t="s">
        <v>12274</v>
      </c>
      <c r="E103" t="s">
        <v>1566</v>
      </c>
      <c r="F103" t="s">
        <v>269</v>
      </c>
      <c r="G103" t="s">
        <v>12459</v>
      </c>
      <c r="H103">
        <v>0</v>
      </c>
    </row>
    <row r="104" spans="1:8">
      <c r="A104" t="s">
        <v>101</v>
      </c>
      <c r="B104" t="s">
        <v>102</v>
      </c>
      <c r="C104" t="s">
        <v>12460</v>
      </c>
      <c r="D104" t="s">
        <v>12274</v>
      </c>
      <c r="E104" t="s">
        <v>718</v>
      </c>
      <c r="F104" t="s">
        <v>269</v>
      </c>
      <c r="G104" t="s">
        <v>12461</v>
      </c>
      <c r="H104">
        <v>1</v>
      </c>
    </row>
    <row r="105" spans="1:8">
      <c r="A105" t="s">
        <v>722</v>
      </c>
      <c r="B105" t="s">
        <v>723</v>
      </c>
      <c r="C105" t="s">
        <v>723</v>
      </c>
      <c r="D105" t="s">
        <v>12274</v>
      </c>
      <c r="E105" t="s">
        <v>721</v>
      </c>
      <c r="F105" t="s">
        <v>269</v>
      </c>
      <c r="G105" t="s">
        <v>12462</v>
      </c>
      <c r="H105">
        <v>0</v>
      </c>
    </row>
    <row r="106" spans="1:8">
      <c r="A106" t="s">
        <v>737</v>
      </c>
      <c r="B106" t="s">
        <v>738</v>
      </c>
      <c r="C106" t="s">
        <v>12463</v>
      </c>
      <c r="D106" t="s">
        <v>12274</v>
      </c>
      <c r="E106" t="s">
        <v>736</v>
      </c>
      <c r="F106" t="s">
        <v>269</v>
      </c>
      <c r="G106" t="s">
        <v>12464</v>
      </c>
      <c r="H106">
        <v>0</v>
      </c>
    </row>
    <row r="107" spans="1:8">
      <c r="A107" t="s">
        <v>732</v>
      </c>
      <c r="B107" t="s">
        <v>733</v>
      </c>
      <c r="C107" t="s">
        <v>12465</v>
      </c>
      <c r="D107" t="s">
        <v>12309</v>
      </c>
      <c r="E107" t="s">
        <v>731</v>
      </c>
      <c r="F107" t="s">
        <v>269</v>
      </c>
      <c r="G107" t="s">
        <v>12464</v>
      </c>
      <c r="H107">
        <v>0</v>
      </c>
    </row>
    <row r="108" spans="1:8">
      <c r="A108" t="s">
        <v>1536</v>
      </c>
      <c r="B108" t="s">
        <v>1537</v>
      </c>
      <c r="C108" t="s">
        <v>12466</v>
      </c>
      <c r="D108" t="s">
        <v>12274</v>
      </c>
      <c r="E108" t="s">
        <v>1535</v>
      </c>
      <c r="F108" t="s">
        <v>269</v>
      </c>
      <c r="G108" t="s">
        <v>12467</v>
      </c>
      <c r="H108">
        <v>0</v>
      </c>
    </row>
    <row r="109" spans="1:8">
      <c r="A109" t="s">
        <v>978</v>
      </c>
      <c r="B109" t="s">
        <v>979</v>
      </c>
      <c r="C109" t="s">
        <v>12468</v>
      </c>
      <c r="D109" t="s">
        <v>12274</v>
      </c>
      <c r="E109" t="s">
        <v>977</v>
      </c>
      <c r="F109" t="s">
        <v>269</v>
      </c>
      <c r="G109" t="s">
        <v>12469</v>
      </c>
      <c r="H109">
        <v>0</v>
      </c>
    </row>
    <row r="110" spans="1:8">
      <c r="A110" t="s">
        <v>983</v>
      </c>
      <c r="B110" t="s">
        <v>984</v>
      </c>
      <c r="C110" t="s">
        <v>12470</v>
      </c>
      <c r="D110" t="s">
        <v>12309</v>
      </c>
      <c r="E110" t="s">
        <v>982</v>
      </c>
      <c r="F110" t="s">
        <v>269</v>
      </c>
      <c r="G110" t="s">
        <v>12469</v>
      </c>
      <c r="H110">
        <v>0</v>
      </c>
    </row>
    <row r="111" spans="1:8">
      <c r="A111" t="s">
        <v>714</v>
      </c>
      <c r="B111" t="s">
        <v>715</v>
      </c>
      <c r="C111" t="s">
        <v>12471</v>
      </c>
      <c r="D111" t="s">
        <v>12274</v>
      </c>
      <c r="E111" t="s">
        <v>713</v>
      </c>
      <c r="F111" t="s">
        <v>269</v>
      </c>
      <c r="G111" t="s">
        <v>12472</v>
      </c>
      <c r="H111">
        <v>0</v>
      </c>
    </row>
    <row r="112" spans="1:8">
      <c r="A112" t="s">
        <v>727</v>
      </c>
      <c r="B112" t="s">
        <v>728</v>
      </c>
      <c r="C112" t="s">
        <v>12473</v>
      </c>
      <c r="D112" t="s">
        <v>12274</v>
      </c>
      <c r="E112" t="s">
        <v>726</v>
      </c>
      <c r="F112" t="s">
        <v>269</v>
      </c>
      <c r="G112" t="s">
        <v>12474</v>
      </c>
      <c r="H112">
        <v>0</v>
      </c>
    </row>
    <row r="113" spans="1:8">
      <c r="A113" t="s">
        <v>795</v>
      </c>
      <c r="B113" t="s">
        <v>796</v>
      </c>
      <c r="C113" t="s">
        <v>12475</v>
      </c>
      <c r="D113" t="s">
        <v>12274</v>
      </c>
      <c r="E113" t="s">
        <v>794</v>
      </c>
      <c r="F113" t="s">
        <v>269</v>
      </c>
      <c r="G113" t="s">
        <v>12476</v>
      </c>
      <c r="H113">
        <v>0</v>
      </c>
    </row>
    <row r="114" spans="1:8">
      <c r="A114" t="s">
        <v>800</v>
      </c>
      <c r="B114" t="s">
        <v>801</v>
      </c>
      <c r="C114" t="s">
        <v>12477</v>
      </c>
      <c r="D114" t="s">
        <v>12309</v>
      </c>
      <c r="E114" t="s">
        <v>799</v>
      </c>
      <c r="F114" t="s">
        <v>269</v>
      </c>
      <c r="G114" t="s">
        <v>12476</v>
      </c>
      <c r="H114">
        <v>0</v>
      </c>
    </row>
    <row r="115" spans="1:8">
      <c r="A115" t="s">
        <v>780</v>
      </c>
      <c r="B115" t="s">
        <v>781</v>
      </c>
      <c r="C115" t="s">
        <v>12478</v>
      </c>
      <c r="D115" t="s">
        <v>12274</v>
      </c>
      <c r="E115" t="s">
        <v>779</v>
      </c>
      <c r="F115" t="s">
        <v>269</v>
      </c>
      <c r="G115" t="s">
        <v>12479</v>
      </c>
      <c r="H115">
        <v>1</v>
      </c>
    </row>
    <row r="116" spans="1:8">
      <c r="A116" t="s">
        <v>785</v>
      </c>
      <c r="B116" t="s">
        <v>786</v>
      </c>
      <c r="C116" t="s">
        <v>12480</v>
      </c>
      <c r="D116" t="s">
        <v>12274</v>
      </c>
      <c r="E116" t="s">
        <v>784</v>
      </c>
      <c r="F116" t="s">
        <v>269</v>
      </c>
      <c r="G116" t="s">
        <v>12481</v>
      </c>
      <c r="H116">
        <v>0</v>
      </c>
    </row>
    <row r="117" spans="1:8">
      <c r="A117" t="s">
        <v>132</v>
      </c>
      <c r="B117" t="s">
        <v>133</v>
      </c>
      <c r="C117" t="s">
        <v>12482</v>
      </c>
      <c r="D117" t="s">
        <v>12274</v>
      </c>
      <c r="E117" t="s">
        <v>293</v>
      </c>
      <c r="F117" t="s">
        <v>269</v>
      </c>
      <c r="G117" t="s">
        <v>12483</v>
      </c>
      <c r="H117">
        <v>0</v>
      </c>
    </row>
    <row r="118" spans="1:8">
      <c r="A118" t="s">
        <v>810</v>
      </c>
      <c r="B118" t="s">
        <v>811</v>
      </c>
      <c r="C118" t="s">
        <v>12484</v>
      </c>
      <c r="D118" t="s">
        <v>12274</v>
      </c>
      <c r="E118" t="s">
        <v>809</v>
      </c>
      <c r="F118" t="s">
        <v>269</v>
      </c>
      <c r="G118" t="s">
        <v>12485</v>
      </c>
      <c r="H118">
        <v>0</v>
      </c>
    </row>
    <row r="119" spans="1:8">
      <c r="A119" t="s">
        <v>815</v>
      </c>
      <c r="B119" t="s">
        <v>816</v>
      </c>
      <c r="C119" t="s">
        <v>12486</v>
      </c>
      <c r="D119" t="s">
        <v>12309</v>
      </c>
      <c r="E119" t="s">
        <v>814</v>
      </c>
      <c r="F119" t="s">
        <v>269</v>
      </c>
      <c r="G119" t="s">
        <v>12485</v>
      </c>
      <c r="H119">
        <v>0</v>
      </c>
    </row>
    <row r="120" spans="1:8">
      <c r="A120" t="s">
        <v>750</v>
      </c>
      <c r="B120" t="s">
        <v>751</v>
      </c>
      <c r="C120" t="s">
        <v>12487</v>
      </c>
      <c r="D120" t="s">
        <v>12274</v>
      </c>
      <c r="E120" t="s">
        <v>749</v>
      </c>
      <c r="F120" t="s">
        <v>269</v>
      </c>
      <c r="G120" t="s">
        <v>12488</v>
      </c>
      <c r="H120">
        <v>0</v>
      </c>
    </row>
    <row r="121" spans="1:8">
      <c r="A121" t="s">
        <v>805</v>
      </c>
      <c r="B121" t="s">
        <v>806</v>
      </c>
      <c r="C121" t="s">
        <v>12489</v>
      </c>
      <c r="D121" t="s">
        <v>12274</v>
      </c>
      <c r="E121" t="s">
        <v>804</v>
      </c>
      <c r="F121" t="s">
        <v>269</v>
      </c>
      <c r="G121" t="s">
        <v>12490</v>
      </c>
      <c r="H121">
        <v>1</v>
      </c>
    </row>
    <row r="122" spans="1:8">
      <c r="A122" t="s">
        <v>1092</v>
      </c>
      <c r="B122" t="s">
        <v>1093</v>
      </c>
      <c r="C122" t="s">
        <v>12491</v>
      </c>
      <c r="D122" t="s">
        <v>12274</v>
      </c>
      <c r="E122" t="s">
        <v>1091</v>
      </c>
      <c r="F122" t="s">
        <v>269</v>
      </c>
      <c r="G122" t="s">
        <v>12492</v>
      </c>
      <c r="H122">
        <v>0</v>
      </c>
    </row>
    <row r="123" spans="1:8">
      <c r="A123" t="s">
        <v>760</v>
      </c>
      <c r="B123" t="s">
        <v>761</v>
      </c>
      <c r="C123" t="s">
        <v>12493</v>
      </c>
      <c r="D123" t="s">
        <v>12274</v>
      </c>
      <c r="E123" t="s">
        <v>759</v>
      </c>
      <c r="F123" t="s">
        <v>269</v>
      </c>
      <c r="G123" t="s">
        <v>12494</v>
      </c>
      <c r="H123">
        <v>0</v>
      </c>
    </row>
    <row r="124" spans="1:8">
      <c r="A124" t="s">
        <v>755</v>
      </c>
      <c r="B124" t="s">
        <v>756</v>
      </c>
      <c r="C124" t="s">
        <v>12495</v>
      </c>
      <c r="D124" t="s">
        <v>12309</v>
      </c>
      <c r="E124" t="s">
        <v>754</v>
      </c>
      <c r="F124" t="s">
        <v>269</v>
      </c>
      <c r="G124" t="s">
        <v>12494</v>
      </c>
      <c r="H124">
        <v>0</v>
      </c>
    </row>
    <row r="125" spans="1:8">
      <c r="A125" t="s">
        <v>1286</v>
      </c>
      <c r="B125" t="s">
        <v>1287</v>
      </c>
      <c r="C125" t="s">
        <v>12496</v>
      </c>
      <c r="D125" t="s">
        <v>12274</v>
      </c>
      <c r="E125" t="s">
        <v>1285</v>
      </c>
      <c r="F125" t="s">
        <v>269</v>
      </c>
      <c r="G125" t="s">
        <v>12497</v>
      </c>
      <c r="H125">
        <v>0</v>
      </c>
    </row>
    <row r="126" spans="1:8">
      <c r="A126" t="s">
        <v>1271</v>
      </c>
      <c r="B126" t="s">
        <v>1272</v>
      </c>
      <c r="C126" t="s">
        <v>12498</v>
      </c>
      <c r="D126" t="s">
        <v>12309</v>
      </c>
      <c r="E126" t="s">
        <v>1270</v>
      </c>
      <c r="F126" t="s">
        <v>269</v>
      </c>
      <c r="G126" t="s">
        <v>12497</v>
      </c>
      <c r="H126">
        <v>0</v>
      </c>
    </row>
    <row r="127" spans="1:8">
      <c r="A127" t="s">
        <v>120</v>
      </c>
      <c r="B127" t="s">
        <v>121</v>
      </c>
      <c r="C127" t="s">
        <v>12499</v>
      </c>
      <c r="D127" t="s">
        <v>12274</v>
      </c>
      <c r="E127" t="s">
        <v>834</v>
      </c>
      <c r="F127" t="s">
        <v>269</v>
      </c>
      <c r="G127" t="s">
        <v>12500</v>
      </c>
      <c r="H127">
        <v>1</v>
      </c>
    </row>
    <row r="128" spans="1:8">
      <c r="A128" t="s">
        <v>1029</v>
      </c>
      <c r="B128" t="s">
        <v>1030</v>
      </c>
      <c r="C128" t="s">
        <v>12501</v>
      </c>
      <c r="D128" t="s">
        <v>12274</v>
      </c>
      <c r="E128" t="s">
        <v>1028</v>
      </c>
      <c r="F128" t="s">
        <v>269</v>
      </c>
      <c r="G128" t="s">
        <v>12502</v>
      </c>
      <c r="H128">
        <v>0</v>
      </c>
    </row>
    <row r="129" spans="1:8">
      <c r="A129" t="s">
        <v>1044</v>
      </c>
      <c r="B129" t="s">
        <v>1045</v>
      </c>
      <c r="C129" t="s">
        <v>12503</v>
      </c>
      <c r="D129" t="s">
        <v>12274</v>
      </c>
      <c r="E129" t="s">
        <v>1043</v>
      </c>
      <c r="F129" t="s">
        <v>269</v>
      </c>
      <c r="G129" t="s">
        <v>12504</v>
      </c>
      <c r="H129">
        <v>0</v>
      </c>
    </row>
    <row r="130" spans="1:8">
      <c r="A130" t="s">
        <v>998</v>
      </c>
      <c r="B130" t="s">
        <v>999</v>
      </c>
      <c r="C130" t="s">
        <v>12505</v>
      </c>
      <c r="D130" t="s">
        <v>12274</v>
      </c>
      <c r="E130" t="s">
        <v>997</v>
      </c>
      <c r="F130" t="s">
        <v>269</v>
      </c>
      <c r="G130" t="s">
        <v>12506</v>
      </c>
      <c r="H130">
        <v>0</v>
      </c>
    </row>
    <row r="131" spans="1:8">
      <c r="A131" t="s">
        <v>1067</v>
      </c>
      <c r="B131" t="s">
        <v>1068</v>
      </c>
      <c r="C131" t="s">
        <v>12507</v>
      </c>
      <c r="D131" t="s">
        <v>12274</v>
      </c>
      <c r="E131" t="s">
        <v>1066</v>
      </c>
      <c r="F131" t="s">
        <v>269</v>
      </c>
      <c r="G131" t="s">
        <v>12508</v>
      </c>
      <c r="H131">
        <v>0</v>
      </c>
    </row>
    <row r="132" spans="1:8">
      <c r="A132" t="s">
        <v>1049</v>
      </c>
      <c r="B132" t="s">
        <v>1050</v>
      </c>
      <c r="C132" t="s">
        <v>12509</v>
      </c>
      <c r="D132" t="s">
        <v>12274</v>
      </c>
      <c r="E132" t="s">
        <v>1048</v>
      </c>
      <c r="F132" t="s">
        <v>269</v>
      </c>
      <c r="G132" t="s">
        <v>12510</v>
      </c>
      <c r="H132">
        <v>0</v>
      </c>
    </row>
    <row r="133" spans="1:8">
      <c r="A133" t="s">
        <v>1062</v>
      </c>
      <c r="B133" t="s">
        <v>1063</v>
      </c>
      <c r="C133" t="s">
        <v>12511</v>
      </c>
      <c r="D133" t="s">
        <v>12274</v>
      </c>
      <c r="E133" t="s">
        <v>1061</v>
      </c>
      <c r="F133" t="s">
        <v>269</v>
      </c>
      <c r="G133" t="s">
        <v>12512</v>
      </c>
      <c r="H133">
        <v>0</v>
      </c>
    </row>
    <row r="134" spans="1:8">
      <c r="A134" t="s">
        <v>1034</v>
      </c>
      <c r="B134" t="s">
        <v>1035</v>
      </c>
      <c r="C134" t="s">
        <v>12513</v>
      </c>
      <c r="D134" t="s">
        <v>12274</v>
      </c>
      <c r="E134" t="s">
        <v>1033</v>
      </c>
      <c r="F134" t="s">
        <v>269</v>
      </c>
      <c r="G134" t="s">
        <v>12514</v>
      </c>
      <c r="H134">
        <v>0</v>
      </c>
    </row>
    <row r="135" spans="1:8">
      <c r="A135" t="s">
        <v>993</v>
      </c>
      <c r="B135" t="s">
        <v>994</v>
      </c>
      <c r="C135" t="s">
        <v>12515</v>
      </c>
      <c r="D135" t="s">
        <v>12274</v>
      </c>
      <c r="E135" t="s">
        <v>992</v>
      </c>
      <c r="F135" t="s">
        <v>269</v>
      </c>
      <c r="G135" t="s">
        <v>12516</v>
      </c>
      <c r="H135">
        <v>0</v>
      </c>
    </row>
    <row r="136" spans="1:8">
      <c r="A136" t="s">
        <v>830</v>
      </c>
      <c r="B136" t="s">
        <v>831</v>
      </c>
      <c r="C136" t="s">
        <v>12517</v>
      </c>
      <c r="D136" t="s">
        <v>12274</v>
      </c>
      <c r="E136" t="s">
        <v>829</v>
      </c>
      <c r="F136" t="s">
        <v>269</v>
      </c>
      <c r="G136" t="s">
        <v>12518</v>
      </c>
      <c r="H136">
        <v>0</v>
      </c>
    </row>
    <row r="137" spans="1:8">
      <c r="A137" t="s">
        <v>266</v>
      </c>
      <c r="B137" t="e">
        <f>+МосЭнерго</f>
        <v>#NAME?</v>
      </c>
      <c r="C137" t="s">
        <v>12519</v>
      </c>
      <c r="D137" t="s">
        <v>12274</v>
      </c>
      <c r="E137" t="s">
        <v>265</v>
      </c>
      <c r="F137" t="s">
        <v>269</v>
      </c>
      <c r="G137" t="s">
        <v>12520</v>
      </c>
      <c r="H137">
        <v>1</v>
      </c>
    </row>
    <row r="138" spans="1:8">
      <c r="A138" t="s">
        <v>988</v>
      </c>
      <c r="B138" t="s">
        <v>989</v>
      </c>
      <c r="C138" t="s">
        <v>12521</v>
      </c>
      <c r="D138" t="s">
        <v>12274</v>
      </c>
      <c r="E138" t="s">
        <v>987</v>
      </c>
      <c r="F138" t="s">
        <v>269</v>
      </c>
      <c r="G138" t="s">
        <v>12522</v>
      </c>
      <c r="H138">
        <v>0</v>
      </c>
    </row>
    <row r="139" spans="1:8">
      <c r="A139" t="s">
        <v>838</v>
      </c>
      <c r="B139" t="s">
        <v>839</v>
      </c>
      <c r="C139" t="s">
        <v>12523</v>
      </c>
      <c r="D139" t="s">
        <v>12274</v>
      </c>
      <c r="E139" t="s">
        <v>837</v>
      </c>
      <c r="F139" t="s">
        <v>269</v>
      </c>
      <c r="G139" t="s">
        <v>12524</v>
      </c>
      <c r="H139">
        <v>0</v>
      </c>
    </row>
    <row r="140" spans="1:8">
      <c r="A140" t="s">
        <v>820</v>
      </c>
      <c r="B140" t="s">
        <v>821</v>
      </c>
      <c r="C140" t="s">
        <v>12525</v>
      </c>
      <c r="D140" t="s">
        <v>12274</v>
      </c>
      <c r="E140" t="s">
        <v>819</v>
      </c>
      <c r="F140" t="s">
        <v>269</v>
      </c>
      <c r="G140" t="s">
        <v>12526</v>
      </c>
      <c r="H140">
        <v>1</v>
      </c>
    </row>
    <row r="141" spans="1:8">
      <c r="A141" t="s">
        <v>825</v>
      </c>
      <c r="B141" t="s">
        <v>826</v>
      </c>
      <c r="C141" t="s">
        <v>12527</v>
      </c>
      <c r="D141" t="s">
        <v>12309</v>
      </c>
      <c r="E141" t="s">
        <v>824</v>
      </c>
      <c r="F141" t="s">
        <v>269</v>
      </c>
      <c r="G141" t="s">
        <v>12526</v>
      </c>
      <c r="H141">
        <v>1</v>
      </c>
    </row>
    <row r="142" spans="1:8">
      <c r="A142" t="s">
        <v>790</v>
      </c>
      <c r="B142" t="s">
        <v>791</v>
      </c>
      <c r="C142" t="s">
        <v>12528</v>
      </c>
      <c r="D142" t="s">
        <v>12274</v>
      </c>
      <c r="E142" t="s">
        <v>789</v>
      </c>
      <c r="F142" t="s">
        <v>269</v>
      </c>
      <c r="G142" t="s">
        <v>12529</v>
      </c>
      <c r="H142">
        <v>1</v>
      </c>
    </row>
    <row r="143" spans="1:8">
      <c r="A143" t="s">
        <v>745</v>
      </c>
      <c r="B143" t="s">
        <v>746</v>
      </c>
      <c r="C143" t="s">
        <v>12530</v>
      </c>
      <c r="D143" t="s">
        <v>12274</v>
      </c>
      <c r="E143" t="s">
        <v>744</v>
      </c>
      <c r="F143" t="s">
        <v>269</v>
      </c>
      <c r="G143" t="s">
        <v>12531</v>
      </c>
      <c r="H143">
        <v>0</v>
      </c>
    </row>
    <row r="144" spans="1:8">
      <c r="A144" t="s">
        <v>357</v>
      </c>
      <c r="B144" t="s">
        <v>358</v>
      </c>
      <c r="C144" t="s">
        <v>12532</v>
      </c>
      <c r="D144" t="s">
        <v>12274</v>
      </c>
      <c r="E144" t="s">
        <v>356</v>
      </c>
      <c r="F144" t="s">
        <v>269</v>
      </c>
      <c r="G144" t="s">
        <v>12533</v>
      </c>
      <c r="H144">
        <v>0</v>
      </c>
    </row>
    <row r="145" spans="1:8">
      <c r="A145" t="s">
        <v>843</v>
      </c>
      <c r="B145" t="s">
        <v>844</v>
      </c>
      <c r="C145" t="s">
        <v>12534</v>
      </c>
      <c r="D145" t="s">
        <v>12274</v>
      </c>
      <c r="E145" t="s">
        <v>842</v>
      </c>
      <c r="F145" t="s">
        <v>269</v>
      </c>
      <c r="G145" t="s">
        <v>12535</v>
      </c>
      <c r="H145">
        <v>0</v>
      </c>
    </row>
    <row r="146" spans="1:8">
      <c r="A146" t="s">
        <v>858</v>
      </c>
      <c r="B146" t="s">
        <v>859</v>
      </c>
      <c r="C146" t="s">
        <v>12536</v>
      </c>
      <c r="D146" t="s">
        <v>12274</v>
      </c>
      <c r="E146" t="s">
        <v>857</v>
      </c>
      <c r="F146" t="s">
        <v>269</v>
      </c>
      <c r="G146" t="s">
        <v>12537</v>
      </c>
      <c r="H146">
        <v>0</v>
      </c>
    </row>
    <row r="147" spans="1:8">
      <c r="A147" t="s">
        <v>848</v>
      </c>
      <c r="B147" t="s">
        <v>849</v>
      </c>
      <c r="C147" t="s">
        <v>12538</v>
      </c>
      <c r="D147" t="s">
        <v>12274</v>
      </c>
      <c r="E147" t="s">
        <v>847</v>
      </c>
      <c r="F147" t="s">
        <v>269</v>
      </c>
      <c r="G147" t="s">
        <v>12539</v>
      </c>
      <c r="H147">
        <v>0</v>
      </c>
    </row>
    <row r="148" spans="1:8">
      <c r="A148" t="s">
        <v>853</v>
      </c>
      <c r="B148" t="s">
        <v>854</v>
      </c>
      <c r="C148" t="s">
        <v>12540</v>
      </c>
      <c r="D148" t="s">
        <v>12309</v>
      </c>
      <c r="E148" t="s">
        <v>852</v>
      </c>
      <c r="F148" t="s">
        <v>269</v>
      </c>
      <c r="G148" t="s">
        <v>12539</v>
      </c>
      <c r="H148">
        <v>0</v>
      </c>
    </row>
    <row r="149" spans="1:8">
      <c r="A149" t="s">
        <v>873</v>
      </c>
      <c r="B149" t="s">
        <v>874</v>
      </c>
      <c r="C149" t="s">
        <v>12541</v>
      </c>
      <c r="D149" t="s">
        <v>12274</v>
      </c>
      <c r="E149" t="s">
        <v>872</v>
      </c>
      <c r="F149" t="s">
        <v>269</v>
      </c>
      <c r="G149" t="s">
        <v>12542</v>
      </c>
      <c r="H149">
        <v>0</v>
      </c>
    </row>
    <row r="150" spans="1:8">
      <c r="A150" t="s">
        <v>863</v>
      </c>
      <c r="B150" t="s">
        <v>864</v>
      </c>
      <c r="C150" t="s">
        <v>12543</v>
      </c>
      <c r="D150" t="s">
        <v>12274</v>
      </c>
      <c r="E150" t="s">
        <v>862</v>
      </c>
      <c r="F150" t="s">
        <v>269</v>
      </c>
      <c r="G150" t="s">
        <v>12544</v>
      </c>
      <c r="H150">
        <v>1</v>
      </c>
    </row>
    <row r="151" spans="1:8">
      <c r="A151" t="s">
        <v>868</v>
      </c>
      <c r="B151" t="s">
        <v>869</v>
      </c>
      <c r="C151" t="s">
        <v>12545</v>
      </c>
      <c r="D151" t="s">
        <v>12274</v>
      </c>
      <c r="E151" t="s">
        <v>867</v>
      </c>
      <c r="F151" t="s">
        <v>269</v>
      </c>
      <c r="G151" t="s">
        <v>12546</v>
      </c>
      <c r="H151">
        <v>0</v>
      </c>
    </row>
    <row r="152" spans="1:8">
      <c r="A152" t="s">
        <v>1291</v>
      </c>
      <c r="B152" t="s">
        <v>1292</v>
      </c>
      <c r="C152" t="s">
        <v>12547</v>
      </c>
      <c r="D152" t="s">
        <v>12274</v>
      </c>
      <c r="E152" t="s">
        <v>1290</v>
      </c>
      <c r="F152" t="s">
        <v>269</v>
      </c>
      <c r="G152" t="s">
        <v>12548</v>
      </c>
      <c r="H152">
        <v>0</v>
      </c>
    </row>
    <row r="153" spans="1:8">
      <c r="A153" t="s">
        <v>1296</v>
      </c>
      <c r="B153" t="s">
        <v>1297</v>
      </c>
      <c r="C153" t="s">
        <v>12549</v>
      </c>
      <c r="D153" t="s">
        <v>12309</v>
      </c>
      <c r="E153" t="s">
        <v>1295</v>
      </c>
      <c r="F153" t="s">
        <v>269</v>
      </c>
      <c r="G153" t="s">
        <v>12548</v>
      </c>
      <c r="H153">
        <v>0</v>
      </c>
    </row>
    <row r="154" spans="1:8">
      <c r="A154" t="s">
        <v>362</v>
      </c>
      <c r="B154" t="s">
        <v>363</v>
      </c>
      <c r="C154" t="s">
        <v>12550</v>
      </c>
      <c r="D154" t="s">
        <v>12274</v>
      </c>
      <c r="E154" t="s">
        <v>361</v>
      </c>
      <c r="F154" t="s">
        <v>269</v>
      </c>
      <c r="G154" t="s">
        <v>12551</v>
      </c>
      <c r="H154">
        <v>0</v>
      </c>
    </row>
    <row r="155" spans="1:8">
      <c r="A155" t="s">
        <v>883</v>
      </c>
      <c r="B155" t="s">
        <v>884</v>
      </c>
      <c r="C155" t="s">
        <v>12552</v>
      </c>
      <c r="D155" t="s">
        <v>12274</v>
      </c>
      <c r="E155" t="s">
        <v>882</v>
      </c>
      <c r="F155" t="s">
        <v>269</v>
      </c>
      <c r="G155" t="s">
        <v>12553</v>
      </c>
      <c r="H155">
        <v>1</v>
      </c>
    </row>
    <row r="156" spans="1:8">
      <c r="A156" t="s">
        <v>888</v>
      </c>
      <c r="B156" t="s">
        <v>889</v>
      </c>
      <c r="C156" t="s">
        <v>12554</v>
      </c>
      <c r="D156" t="s">
        <v>12274</v>
      </c>
      <c r="E156" t="s">
        <v>887</v>
      </c>
      <c r="F156" t="s">
        <v>269</v>
      </c>
      <c r="G156" t="s">
        <v>12555</v>
      </c>
      <c r="H156">
        <v>0</v>
      </c>
    </row>
    <row r="157" spans="1:8">
      <c r="A157" t="s">
        <v>296</v>
      </c>
      <c r="B157" t="s">
        <v>297</v>
      </c>
      <c r="C157" t="s">
        <v>12556</v>
      </c>
      <c r="D157" t="s">
        <v>12285</v>
      </c>
      <c r="E157" t="s">
        <v>295</v>
      </c>
      <c r="F157" t="s">
        <v>269</v>
      </c>
      <c r="G157" t="s">
        <v>12557</v>
      </c>
      <c r="H157">
        <v>0</v>
      </c>
    </row>
    <row r="158" spans="1:8">
      <c r="A158" t="s">
        <v>893</v>
      </c>
      <c r="B158" t="s">
        <v>894</v>
      </c>
      <c r="C158" t="s">
        <v>12558</v>
      </c>
      <c r="D158" t="s">
        <v>12309</v>
      </c>
      <c r="E158" t="s">
        <v>892</v>
      </c>
      <c r="F158" t="s">
        <v>269</v>
      </c>
      <c r="G158" t="s">
        <v>12559</v>
      </c>
      <c r="H158">
        <v>0</v>
      </c>
    </row>
    <row r="159" spans="1:8">
      <c r="A159" t="s">
        <v>104</v>
      </c>
      <c r="B159" t="s">
        <v>105</v>
      </c>
      <c r="C159" t="s">
        <v>12560</v>
      </c>
      <c r="D159" t="s">
        <v>12285</v>
      </c>
      <c r="E159" t="s">
        <v>299</v>
      </c>
      <c r="F159" t="s">
        <v>269</v>
      </c>
      <c r="G159" t="s">
        <v>12561</v>
      </c>
      <c r="H159">
        <v>0</v>
      </c>
    </row>
    <row r="160" spans="1:8">
      <c r="A160" t="s">
        <v>898</v>
      </c>
      <c r="B160" t="s">
        <v>899</v>
      </c>
      <c r="C160" t="s">
        <v>12562</v>
      </c>
      <c r="D160" t="s">
        <v>12274</v>
      </c>
      <c r="E160" t="s">
        <v>897</v>
      </c>
      <c r="F160" t="s">
        <v>269</v>
      </c>
      <c r="G160" t="s">
        <v>12563</v>
      </c>
      <c r="H160">
        <v>0</v>
      </c>
    </row>
    <row r="161" spans="1:8">
      <c r="A161" t="s">
        <v>1550</v>
      </c>
      <c r="B161" t="s">
        <v>1551</v>
      </c>
      <c r="C161" t="s">
        <v>12564</v>
      </c>
      <c r="D161" t="s">
        <v>12274</v>
      </c>
      <c r="E161" t="s">
        <v>1549</v>
      </c>
      <c r="F161" t="s">
        <v>269</v>
      </c>
      <c r="G161" t="s">
        <v>12565</v>
      </c>
      <c r="H161">
        <v>0</v>
      </c>
    </row>
    <row r="162" spans="1:8">
      <c r="A162" t="s">
        <v>1372</v>
      </c>
      <c r="B162" t="s">
        <v>1373</v>
      </c>
      <c r="C162" t="s">
        <v>12566</v>
      </c>
      <c r="D162" t="s">
        <v>12274</v>
      </c>
      <c r="E162" t="s">
        <v>1371</v>
      </c>
      <c r="F162" t="s">
        <v>269</v>
      </c>
      <c r="G162" t="s">
        <v>12567</v>
      </c>
      <c r="H162">
        <v>1</v>
      </c>
    </row>
    <row r="163" spans="1:8">
      <c r="A163" t="s">
        <v>913</v>
      </c>
      <c r="B163" t="s">
        <v>914</v>
      </c>
      <c r="C163" t="s">
        <v>12568</v>
      </c>
      <c r="D163" t="s">
        <v>12274</v>
      </c>
      <c r="E163" t="s">
        <v>912</v>
      </c>
      <c r="F163" t="s">
        <v>269</v>
      </c>
      <c r="G163" t="s">
        <v>12569</v>
      </c>
      <c r="H163">
        <v>1</v>
      </c>
    </row>
    <row r="164" spans="1:8">
      <c r="A164" t="s">
        <v>933</v>
      </c>
      <c r="B164" t="s">
        <v>934</v>
      </c>
      <c r="C164" t="s">
        <v>12570</v>
      </c>
      <c r="D164" t="s">
        <v>12274</v>
      </c>
      <c r="E164" t="s">
        <v>932</v>
      </c>
      <c r="F164" t="s">
        <v>269</v>
      </c>
      <c r="G164" t="s">
        <v>12571</v>
      </c>
      <c r="H164">
        <v>1</v>
      </c>
    </row>
    <row r="165" spans="1:8">
      <c r="A165" t="s">
        <v>928</v>
      </c>
      <c r="B165" t="s">
        <v>929</v>
      </c>
      <c r="C165" t="s">
        <v>12572</v>
      </c>
      <c r="D165" t="s">
        <v>12274</v>
      </c>
      <c r="E165" t="s">
        <v>927</v>
      </c>
      <c r="F165" t="s">
        <v>269</v>
      </c>
      <c r="G165" t="s">
        <v>12573</v>
      </c>
      <c r="H165">
        <v>0</v>
      </c>
    </row>
    <row r="166" spans="1:8">
      <c r="A166" t="s">
        <v>923</v>
      </c>
      <c r="B166" t="s">
        <v>924</v>
      </c>
      <c r="C166" t="s">
        <v>12574</v>
      </c>
      <c r="D166" t="s">
        <v>12309</v>
      </c>
      <c r="E166" t="s">
        <v>922</v>
      </c>
      <c r="F166" t="s">
        <v>269</v>
      </c>
      <c r="G166" t="s">
        <v>12573</v>
      </c>
      <c r="H166">
        <v>0</v>
      </c>
    </row>
    <row r="167" spans="1:8">
      <c r="A167" t="s">
        <v>107</v>
      </c>
      <c r="B167" t="s">
        <v>108</v>
      </c>
      <c r="C167" t="s">
        <v>12575</v>
      </c>
      <c r="D167" t="s">
        <v>12274</v>
      </c>
      <c r="E167" t="s">
        <v>366</v>
      </c>
      <c r="F167" t="s">
        <v>269</v>
      </c>
      <c r="G167" t="s">
        <v>12576</v>
      </c>
      <c r="H167">
        <v>1</v>
      </c>
    </row>
    <row r="168" spans="1:8">
      <c r="A168" t="s">
        <v>1400</v>
      </c>
      <c r="B168" t="s">
        <v>1401</v>
      </c>
      <c r="C168" t="s">
        <v>12577</v>
      </c>
      <c r="D168" t="s">
        <v>12274</v>
      </c>
      <c r="E168" t="s">
        <v>1399</v>
      </c>
      <c r="F168" t="s">
        <v>269</v>
      </c>
      <c r="G168" t="s">
        <v>12578</v>
      </c>
      <c r="H168">
        <v>0</v>
      </c>
    </row>
    <row r="169" spans="1:8">
      <c r="A169" t="s">
        <v>938</v>
      </c>
      <c r="B169" t="s">
        <v>939</v>
      </c>
      <c r="C169" t="s">
        <v>12579</v>
      </c>
      <c r="D169" t="s">
        <v>12274</v>
      </c>
      <c r="E169" t="s">
        <v>937</v>
      </c>
      <c r="F169" t="s">
        <v>269</v>
      </c>
      <c r="G169" t="s">
        <v>12580</v>
      </c>
      <c r="H169">
        <v>0</v>
      </c>
    </row>
    <row r="170" spans="1:8">
      <c r="A170" t="s">
        <v>918</v>
      </c>
      <c r="B170" t="s">
        <v>919</v>
      </c>
      <c r="C170" t="s">
        <v>919</v>
      </c>
      <c r="D170" t="s">
        <v>12274</v>
      </c>
      <c r="E170" t="s">
        <v>917</v>
      </c>
      <c r="F170" t="s">
        <v>269</v>
      </c>
      <c r="G170" t="s">
        <v>12581</v>
      </c>
      <c r="H170">
        <v>0</v>
      </c>
    </row>
    <row r="171" spans="1:8">
      <c r="A171" t="s">
        <v>307</v>
      </c>
      <c r="B171" t="s">
        <v>308</v>
      </c>
      <c r="C171" t="s">
        <v>12582</v>
      </c>
      <c r="D171" t="s">
        <v>12285</v>
      </c>
      <c r="E171" t="s">
        <v>306</v>
      </c>
      <c r="F171" t="s">
        <v>269</v>
      </c>
      <c r="G171" t="s">
        <v>12582</v>
      </c>
      <c r="H171">
        <v>0</v>
      </c>
    </row>
    <row r="172" spans="1:8">
      <c r="A172" t="s">
        <v>1008</v>
      </c>
      <c r="B172" t="s">
        <v>1009</v>
      </c>
      <c r="C172" t="s">
        <v>12583</v>
      </c>
      <c r="D172" t="s">
        <v>12274</v>
      </c>
      <c r="E172" t="s">
        <v>1007</v>
      </c>
      <c r="F172" t="s">
        <v>269</v>
      </c>
      <c r="G172" t="s">
        <v>12584</v>
      </c>
      <c r="H172">
        <v>0</v>
      </c>
    </row>
    <row r="173" spans="1:8">
      <c r="A173" t="s">
        <v>1510</v>
      </c>
      <c r="B173" t="s">
        <v>1511</v>
      </c>
      <c r="C173" t="s">
        <v>12585</v>
      </c>
      <c r="D173" t="s">
        <v>12274</v>
      </c>
      <c r="E173" t="s">
        <v>1509</v>
      </c>
      <c r="F173" t="s">
        <v>269</v>
      </c>
      <c r="G173" t="s">
        <v>12586</v>
      </c>
      <c r="H173">
        <v>0</v>
      </c>
    </row>
    <row r="174" spans="1:8">
      <c r="A174" t="s">
        <v>948</v>
      </c>
      <c r="B174" t="s">
        <v>949</v>
      </c>
      <c r="C174" t="s">
        <v>12587</v>
      </c>
      <c r="D174" t="s">
        <v>12274</v>
      </c>
      <c r="E174" t="s">
        <v>947</v>
      </c>
      <c r="F174" t="s">
        <v>269</v>
      </c>
      <c r="G174" t="s">
        <v>12588</v>
      </c>
      <c r="H174">
        <v>0</v>
      </c>
    </row>
    <row r="175" spans="1:8">
      <c r="A175" t="s">
        <v>1013</v>
      </c>
      <c r="B175" t="s">
        <v>1014</v>
      </c>
      <c r="C175" t="s">
        <v>12589</v>
      </c>
      <c r="D175" t="s">
        <v>12274</v>
      </c>
      <c r="E175" t="s">
        <v>1012</v>
      </c>
      <c r="F175" t="s">
        <v>269</v>
      </c>
      <c r="G175" t="s">
        <v>12590</v>
      </c>
      <c r="H175">
        <v>0</v>
      </c>
    </row>
    <row r="176" spans="1:8">
      <c r="A176" t="s">
        <v>943</v>
      </c>
      <c r="B176" t="s">
        <v>944</v>
      </c>
      <c r="C176" t="s">
        <v>12591</v>
      </c>
      <c r="D176" t="s">
        <v>12274</v>
      </c>
      <c r="E176" t="s">
        <v>942</v>
      </c>
      <c r="F176" t="s">
        <v>269</v>
      </c>
      <c r="G176" t="s">
        <v>12592</v>
      </c>
      <c r="H176">
        <v>0</v>
      </c>
    </row>
    <row r="177" spans="1:8">
      <c r="A177" t="s">
        <v>1435</v>
      </c>
      <c r="B177" t="s">
        <v>1436</v>
      </c>
      <c r="C177" t="s">
        <v>12593</v>
      </c>
      <c r="D177" t="s">
        <v>12274</v>
      </c>
      <c r="E177" t="s">
        <v>1434</v>
      </c>
      <c r="F177" t="s">
        <v>269</v>
      </c>
      <c r="G177" t="s">
        <v>12594</v>
      </c>
      <c r="H177">
        <v>0</v>
      </c>
    </row>
    <row r="178" spans="1:8">
      <c r="A178" t="s">
        <v>1082</v>
      </c>
      <c r="B178" t="s">
        <v>1083</v>
      </c>
      <c r="C178" t="s">
        <v>12595</v>
      </c>
      <c r="D178" t="s">
        <v>12274</v>
      </c>
      <c r="E178" t="s">
        <v>1081</v>
      </c>
      <c r="F178" t="s">
        <v>269</v>
      </c>
      <c r="G178" t="s">
        <v>12596</v>
      </c>
      <c r="H178">
        <v>0</v>
      </c>
    </row>
    <row r="179" spans="1:8">
      <c r="A179" t="s">
        <v>1077</v>
      </c>
      <c r="B179" t="s">
        <v>1078</v>
      </c>
      <c r="C179" t="s">
        <v>12597</v>
      </c>
      <c r="D179" t="s">
        <v>12274</v>
      </c>
      <c r="E179" t="s">
        <v>1076</v>
      </c>
      <c r="F179" t="s">
        <v>269</v>
      </c>
      <c r="G179" t="s">
        <v>12598</v>
      </c>
      <c r="H179">
        <v>0</v>
      </c>
    </row>
    <row r="180" spans="1:8">
      <c r="A180" t="s">
        <v>1024</v>
      </c>
      <c r="B180" t="s">
        <v>1025</v>
      </c>
      <c r="C180" t="s">
        <v>12599</v>
      </c>
      <c r="D180" t="s">
        <v>12274</v>
      </c>
      <c r="E180" t="s">
        <v>1023</v>
      </c>
      <c r="F180" t="s">
        <v>269</v>
      </c>
      <c r="G180" t="s">
        <v>12600</v>
      </c>
      <c r="H180">
        <v>1</v>
      </c>
    </row>
    <row r="181" spans="1:8">
      <c r="A181" t="s">
        <v>958</v>
      </c>
      <c r="B181" t="s">
        <v>959</v>
      </c>
      <c r="C181" t="s">
        <v>12601</v>
      </c>
      <c r="D181" t="s">
        <v>12274</v>
      </c>
      <c r="E181" t="s">
        <v>957</v>
      </c>
      <c r="F181" t="s">
        <v>269</v>
      </c>
      <c r="G181" t="s">
        <v>12602</v>
      </c>
      <c r="H181">
        <v>0</v>
      </c>
    </row>
    <row r="182" spans="1:8">
      <c r="A182" t="s">
        <v>538</v>
      </c>
      <c r="B182" t="s">
        <v>539</v>
      </c>
      <c r="C182" t="s">
        <v>12603</v>
      </c>
      <c r="D182" t="s">
        <v>12274</v>
      </c>
      <c r="E182" t="s">
        <v>537</v>
      </c>
      <c r="F182" t="s">
        <v>269</v>
      </c>
      <c r="G182" t="s">
        <v>12604</v>
      </c>
      <c r="H182">
        <v>0</v>
      </c>
    </row>
    <row r="183" spans="1:8">
      <c r="A183" t="s">
        <v>109</v>
      </c>
      <c r="B183" t="s">
        <v>110</v>
      </c>
      <c r="C183" t="s">
        <v>12605</v>
      </c>
      <c r="D183" t="s">
        <v>12274</v>
      </c>
      <c r="E183" t="s">
        <v>1053</v>
      </c>
      <c r="F183" t="s">
        <v>269</v>
      </c>
      <c r="G183" t="s">
        <v>12606</v>
      </c>
      <c r="H183">
        <v>1</v>
      </c>
    </row>
    <row r="184" spans="1:8">
      <c r="A184" t="s">
        <v>1057</v>
      </c>
      <c r="B184" t="s">
        <v>1058</v>
      </c>
      <c r="C184" t="s">
        <v>12607</v>
      </c>
      <c r="D184" t="s">
        <v>12309</v>
      </c>
      <c r="E184" t="s">
        <v>1056</v>
      </c>
      <c r="F184" t="s">
        <v>269</v>
      </c>
      <c r="G184" t="s">
        <v>12606</v>
      </c>
      <c r="H184">
        <v>0</v>
      </c>
    </row>
    <row r="185" spans="1:8">
      <c r="A185" t="s">
        <v>1301</v>
      </c>
      <c r="B185" t="s">
        <v>1302</v>
      </c>
      <c r="C185" t="s">
        <v>12608</v>
      </c>
      <c r="D185" t="s">
        <v>12274</v>
      </c>
      <c r="E185" t="s">
        <v>1300</v>
      </c>
      <c r="F185" t="s">
        <v>269</v>
      </c>
      <c r="G185" t="s">
        <v>12609</v>
      </c>
      <c r="H185">
        <v>0</v>
      </c>
    </row>
    <row r="186" spans="1:8">
      <c r="A186" t="s">
        <v>1306</v>
      </c>
      <c r="B186" t="s">
        <v>1307</v>
      </c>
      <c r="C186" t="s">
        <v>12610</v>
      </c>
      <c r="D186" t="s">
        <v>12309</v>
      </c>
      <c r="E186" t="s">
        <v>1305</v>
      </c>
      <c r="F186" t="s">
        <v>269</v>
      </c>
      <c r="G186" t="s">
        <v>12609</v>
      </c>
      <c r="H186">
        <v>0</v>
      </c>
    </row>
    <row r="187" spans="1:8">
      <c r="A187" t="s">
        <v>1003</v>
      </c>
      <c r="B187" t="s">
        <v>1004</v>
      </c>
      <c r="C187" t="s">
        <v>12611</v>
      </c>
      <c r="D187" t="s">
        <v>12274</v>
      </c>
      <c r="E187" t="s">
        <v>1002</v>
      </c>
      <c r="F187" t="s">
        <v>269</v>
      </c>
      <c r="G187" t="s">
        <v>12612</v>
      </c>
      <c r="H187">
        <v>1</v>
      </c>
    </row>
    <row r="188" spans="1:8">
      <c r="A188" t="s">
        <v>606</v>
      </c>
      <c r="B188" t="s">
        <v>607</v>
      </c>
      <c r="C188" t="s">
        <v>12613</v>
      </c>
      <c r="D188" t="s">
        <v>12274</v>
      </c>
      <c r="E188" t="s">
        <v>605</v>
      </c>
      <c r="F188" t="s">
        <v>269</v>
      </c>
      <c r="G188" t="s">
        <v>12614</v>
      </c>
      <c r="H188">
        <v>0</v>
      </c>
    </row>
    <row r="189" spans="1:8">
      <c r="A189" t="s">
        <v>1087</v>
      </c>
      <c r="B189" t="s">
        <v>1088</v>
      </c>
      <c r="C189" t="s">
        <v>12615</v>
      </c>
      <c r="D189" t="s">
        <v>12274</v>
      </c>
      <c r="E189" t="s">
        <v>1086</v>
      </c>
      <c r="F189" t="s">
        <v>269</v>
      </c>
      <c r="G189" t="s">
        <v>12616</v>
      </c>
      <c r="H189">
        <v>0</v>
      </c>
    </row>
    <row r="190" spans="1:8">
      <c r="A190" t="s">
        <v>1112</v>
      </c>
      <c r="B190" t="s">
        <v>1113</v>
      </c>
      <c r="C190" t="s">
        <v>12617</v>
      </c>
      <c r="D190" t="s">
        <v>12274</v>
      </c>
      <c r="E190" t="s">
        <v>1111</v>
      </c>
      <c r="F190" t="s">
        <v>269</v>
      </c>
      <c r="G190" t="s">
        <v>12618</v>
      </c>
      <c r="H190">
        <v>0</v>
      </c>
    </row>
    <row r="191" spans="1:8">
      <c r="A191" t="s">
        <v>1117</v>
      </c>
      <c r="B191" t="s">
        <v>1118</v>
      </c>
      <c r="C191" t="s">
        <v>12619</v>
      </c>
      <c r="D191" t="s">
        <v>12309</v>
      </c>
      <c r="E191" t="s">
        <v>1116</v>
      </c>
      <c r="F191" t="s">
        <v>269</v>
      </c>
      <c r="G191" t="s">
        <v>12618</v>
      </c>
      <c r="H191">
        <v>0</v>
      </c>
    </row>
    <row r="192" spans="1:8">
      <c r="A192" t="s">
        <v>1137</v>
      </c>
      <c r="B192" t="s">
        <v>1138</v>
      </c>
      <c r="C192" t="s">
        <v>12620</v>
      </c>
      <c r="D192" t="s">
        <v>12274</v>
      </c>
      <c r="E192" t="s">
        <v>1136</v>
      </c>
      <c r="F192" t="s">
        <v>269</v>
      </c>
      <c r="G192" t="s">
        <v>12621</v>
      </c>
      <c r="H192">
        <v>0</v>
      </c>
    </row>
    <row r="193" spans="1:8">
      <c r="A193" t="s">
        <v>1142</v>
      </c>
      <c r="B193" t="s">
        <v>1143</v>
      </c>
      <c r="C193" t="s">
        <v>12622</v>
      </c>
      <c r="D193" t="s">
        <v>12309</v>
      </c>
      <c r="E193" t="s">
        <v>1141</v>
      </c>
      <c r="F193" t="s">
        <v>269</v>
      </c>
      <c r="G193" t="s">
        <v>12621</v>
      </c>
      <c r="H193">
        <v>0</v>
      </c>
    </row>
    <row r="194" spans="1:8">
      <c r="A194" t="s">
        <v>1152</v>
      </c>
      <c r="B194" t="s">
        <v>1153</v>
      </c>
      <c r="C194" t="s">
        <v>12623</v>
      </c>
      <c r="D194" t="s">
        <v>12274</v>
      </c>
      <c r="E194" t="s">
        <v>1151</v>
      </c>
      <c r="F194" t="s">
        <v>269</v>
      </c>
      <c r="G194" t="s">
        <v>12624</v>
      </c>
      <c r="H194">
        <v>1</v>
      </c>
    </row>
    <row r="195" spans="1:8">
      <c r="A195" t="s">
        <v>1157</v>
      </c>
      <c r="B195" t="s">
        <v>1158</v>
      </c>
      <c r="C195" t="s">
        <v>12625</v>
      </c>
      <c r="D195" t="s">
        <v>12309</v>
      </c>
      <c r="E195" t="s">
        <v>1156</v>
      </c>
      <c r="F195" t="s">
        <v>269</v>
      </c>
      <c r="G195" t="s">
        <v>12624</v>
      </c>
      <c r="H195">
        <v>1</v>
      </c>
    </row>
    <row r="196" spans="1:8">
      <c r="A196" t="s">
        <v>1182</v>
      </c>
      <c r="B196" t="s">
        <v>1183</v>
      </c>
      <c r="C196" t="s">
        <v>12626</v>
      </c>
      <c r="D196" t="s">
        <v>12274</v>
      </c>
      <c r="E196" t="s">
        <v>1181</v>
      </c>
      <c r="F196" t="s">
        <v>269</v>
      </c>
      <c r="G196" t="s">
        <v>12627</v>
      </c>
      <c r="H196">
        <v>1</v>
      </c>
    </row>
    <row r="197" spans="1:8">
      <c r="A197" t="s">
        <v>1440</v>
      </c>
      <c r="B197" t="s">
        <v>1441</v>
      </c>
      <c r="C197" t="s">
        <v>12628</v>
      </c>
      <c r="D197" t="s">
        <v>12274</v>
      </c>
      <c r="E197" t="s">
        <v>1439</v>
      </c>
      <c r="F197" t="s">
        <v>269</v>
      </c>
      <c r="G197" t="s">
        <v>12629</v>
      </c>
      <c r="H197">
        <v>0</v>
      </c>
    </row>
    <row r="198" spans="1:8">
      <c r="A198" t="s">
        <v>1177</v>
      </c>
      <c r="B198" t="s">
        <v>1178</v>
      </c>
      <c r="C198" t="s">
        <v>12630</v>
      </c>
      <c r="D198" t="s">
        <v>12274</v>
      </c>
      <c r="E198" t="s">
        <v>1176</v>
      </c>
      <c r="F198" t="s">
        <v>269</v>
      </c>
      <c r="G198" t="s">
        <v>12631</v>
      </c>
      <c r="H198">
        <v>0</v>
      </c>
    </row>
    <row r="199" spans="1:8">
      <c r="A199" t="s">
        <v>130</v>
      </c>
      <c r="B199" t="s">
        <v>131</v>
      </c>
      <c r="C199" t="s">
        <v>12632</v>
      </c>
      <c r="D199" t="s">
        <v>12274</v>
      </c>
      <c r="E199" t="s">
        <v>547</v>
      </c>
      <c r="F199" t="s">
        <v>269</v>
      </c>
      <c r="G199" t="s">
        <v>12633</v>
      </c>
      <c r="H199">
        <v>0</v>
      </c>
    </row>
    <row r="200" spans="1:8">
      <c r="A200" t="s">
        <v>1147</v>
      </c>
      <c r="B200" t="s">
        <v>1148</v>
      </c>
      <c r="C200" t="s">
        <v>12634</v>
      </c>
      <c r="D200" t="s">
        <v>12274</v>
      </c>
      <c r="E200" t="s">
        <v>1146</v>
      </c>
      <c r="F200" t="s">
        <v>269</v>
      </c>
      <c r="G200" t="s">
        <v>12635</v>
      </c>
      <c r="H200">
        <v>0</v>
      </c>
    </row>
    <row r="201" spans="1:8">
      <c r="A201" t="s">
        <v>1122</v>
      </c>
      <c r="B201" t="s">
        <v>1123</v>
      </c>
      <c r="C201" t="s">
        <v>12636</v>
      </c>
      <c r="D201" t="s">
        <v>12274</v>
      </c>
      <c r="E201" t="s">
        <v>1121</v>
      </c>
      <c r="F201" t="s">
        <v>269</v>
      </c>
      <c r="G201" t="s">
        <v>12637</v>
      </c>
      <c r="H201">
        <v>1</v>
      </c>
    </row>
    <row r="202" spans="1:8">
      <c r="A202" t="s">
        <v>1220</v>
      </c>
      <c r="B202" t="s">
        <v>1221</v>
      </c>
      <c r="C202" t="s">
        <v>12638</v>
      </c>
      <c r="D202" t="s">
        <v>12274</v>
      </c>
      <c r="E202" t="s">
        <v>1219</v>
      </c>
      <c r="F202" t="s">
        <v>269</v>
      </c>
      <c r="G202" t="s">
        <v>12639</v>
      </c>
      <c r="H202">
        <v>1</v>
      </c>
    </row>
    <row r="203" spans="1:8">
      <c r="A203" t="s">
        <v>112</v>
      </c>
      <c r="B203" t="s">
        <v>113</v>
      </c>
      <c r="C203" t="s">
        <v>12640</v>
      </c>
      <c r="D203" t="s">
        <v>12309</v>
      </c>
      <c r="E203" t="s">
        <v>1224</v>
      </c>
      <c r="F203" t="s">
        <v>269</v>
      </c>
      <c r="G203" t="s">
        <v>12639</v>
      </c>
      <c r="H203">
        <v>1</v>
      </c>
    </row>
    <row r="204" spans="1:8">
      <c r="A204" t="s">
        <v>370</v>
      </c>
      <c r="B204" t="s">
        <v>371</v>
      </c>
      <c r="C204" t="s">
        <v>12641</v>
      </c>
      <c r="D204" t="s">
        <v>12274</v>
      </c>
      <c r="E204" t="s">
        <v>369</v>
      </c>
      <c r="F204" t="s">
        <v>269</v>
      </c>
      <c r="G204" t="s">
        <v>12642</v>
      </c>
      <c r="H204">
        <v>0</v>
      </c>
    </row>
    <row r="205" spans="1:8">
      <c r="A205" t="s">
        <v>1102</v>
      </c>
      <c r="B205" t="s">
        <v>1103</v>
      </c>
      <c r="C205" t="s">
        <v>12643</v>
      </c>
      <c r="D205" t="s">
        <v>12274</v>
      </c>
      <c r="E205" t="s">
        <v>1101</v>
      </c>
      <c r="F205" t="s">
        <v>269</v>
      </c>
      <c r="G205" t="s">
        <v>12644</v>
      </c>
      <c r="H205">
        <v>0</v>
      </c>
    </row>
    <row r="206" spans="1:8">
      <c r="A206" t="s">
        <v>1210</v>
      </c>
      <c r="B206" t="s">
        <v>1211</v>
      </c>
      <c r="C206" t="s">
        <v>12645</v>
      </c>
      <c r="D206" t="s">
        <v>12274</v>
      </c>
      <c r="E206" t="s">
        <v>1209</v>
      </c>
      <c r="F206" t="s">
        <v>269</v>
      </c>
      <c r="G206" t="s">
        <v>12646</v>
      </c>
      <c r="H206">
        <v>0</v>
      </c>
    </row>
    <row r="207" spans="1:8">
      <c r="A207" t="s">
        <v>1215</v>
      </c>
      <c r="B207" t="s">
        <v>1216</v>
      </c>
      <c r="C207" t="s">
        <v>12647</v>
      </c>
      <c r="D207" t="s">
        <v>12309</v>
      </c>
      <c r="E207" t="s">
        <v>1214</v>
      </c>
      <c r="F207" t="s">
        <v>269</v>
      </c>
      <c r="G207" t="s">
        <v>12646</v>
      </c>
      <c r="H207">
        <v>0</v>
      </c>
    </row>
    <row r="208" spans="1:8">
      <c r="A208" t="s">
        <v>1097</v>
      </c>
      <c r="B208" t="s">
        <v>1098</v>
      </c>
      <c r="C208" t="s">
        <v>12648</v>
      </c>
      <c r="D208" t="s">
        <v>12274</v>
      </c>
      <c r="E208" t="s">
        <v>1096</v>
      </c>
      <c r="F208" t="s">
        <v>269</v>
      </c>
      <c r="G208" t="s">
        <v>12649</v>
      </c>
      <c r="H208">
        <v>0</v>
      </c>
    </row>
    <row r="209" spans="1:8">
      <c r="A209" t="s">
        <v>122</v>
      </c>
      <c r="B209" t="s">
        <v>123</v>
      </c>
      <c r="C209" t="s">
        <v>12650</v>
      </c>
      <c r="D209" t="s">
        <v>12274</v>
      </c>
      <c r="E209" t="s">
        <v>1201</v>
      </c>
      <c r="F209" t="s">
        <v>269</v>
      </c>
      <c r="G209" t="s">
        <v>12651</v>
      </c>
      <c r="H209">
        <v>1</v>
      </c>
    </row>
    <row r="210" spans="1:8">
      <c r="A210" t="s">
        <v>1162</v>
      </c>
      <c r="B210" t="s">
        <v>1163</v>
      </c>
      <c r="C210" t="s">
        <v>12652</v>
      </c>
      <c r="D210" t="s">
        <v>12274</v>
      </c>
      <c r="E210" t="s">
        <v>1161</v>
      </c>
      <c r="F210" t="s">
        <v>269</v>
      </c>
      <c r="G210" t="s">
        <v>12653</v>
      </c>
      <c r="H210">
        <v>0</v>
      </c>
    </row>
    <row r="211" spans="1:8">
      <c r="A211" t="s">
        <v>1167</v>
      </c>
      <c r="B211" t="s">
        <v>1168</v>
      </c>
      <c r="C211" t="s">
        <v>12654</v>
      </c>
      <c r="D211" t="s">
        <v>12309</v>
      </c>
      <c r="E211" t="s">
        <v>1166</v>
      </c>
      <c r="F211" t="s">
        <v>269</v>
      </c>
      <c r="G211" t="s">
        <v>12653</v>
      </c>
      <c r="H211">
        <v>0</v>
      </c>
    </row>
    <row r="212" spans="1:8">
      <c r="A212" t="s">
        <v>114</v>
      </c>
      <c r="B212" t="s">
        <v>12655</v>
      </c>
      <c r="C212" t="s">
        <v>12656</v>
      </c>
      <c r="D212" t="s">
        <v>12274</v>
      </c>
      <c r="E212" t="s">
        <v>1257</v>
      </c>
      <c r="F212" t="s">
        <v>269</v>
      </c>
      <c r="G212" t="s">
        <v>12657</v>
      </c>
      <c r="H212">
        <v>1</v>
      </c>
    </row>
    <row r="213" spans="1:8">
      <c r="A213" t="s">
        <v>1326</v>
      </c>
      <c r="B213" t="s">
        <v>1327</v>
      </c>
      <c r="C213" t="s">
        <v>12658</v>
      </c>
      <c r="D213" t="s">
        <v>12274</v>
      </c>
      <c r="E213" t="s">
        <v>1325</v>
      </c>
      <c r="F213" t="s">
        <v>269</v>
      </c>
      <c r="G213" t="s">
        <v>12659</v>
      </c>
      <c r="H213">
        <v>0</v>
      </c>
    </row>
    <row r="214" spans="1:8">
      <c r="A214" t="s">
        <v>1331</v>
      </c>
      <c r="B214" t="s">
        <v>1332</v>
      </c>
      <c r="C214" t="s">
        <v>12660</v>
      </c>
      <c r="D214" t="s">
        <v>12309</v>
      </c>
      <c r="E214" t="s">
        <v>1330</v>
      </c>
      <c r="F214" t="s">
        <v>269</v>
      </c>
      <c r="G214" t="s">
        <v>12659</v>
      </c>
      <c r="H214">
        <v>0</v>
      </c>
    </row>
    <row r="215" spans="1:8">
      <c r="A215" t="s">
        <v>1336</v>
      </c>
      <c r="B215" t="s">
        <v>1337</v>
      </c>
      <c r="C215" t="s">
        <v>12661</v>
      </c>
      <c r="D215" t="s">
        <v>12274</v>
      </c>
      <c r="E215" t="s">
        <v>1335</v>
      </c>
      <c r="F215" t="s">
        <v>269</v>
      </c>
      <c r="G215" t="s">
        <v>12662</v>
      </c>
      <c r="H215">
        <v>1</v>
      </c>
    </row>
    <row r="216" spans="1:8">
      <c r="A216" t="s">
        <v>126</v>
      </c>
      <c r="B216" t="s">
        <v>127</v>
      </c>
      <c r="C216" t="s">
        <v>12663</v>
      </c>
      <c r="D216" t="s">
        <v>12309</v>
      </c>
      <c r="E216" t="s">
        <v>1340</v>
      </c>
      <c r="F216" t="s">
        <v>269</v>
      </c>
      <c r="G216" t="s">
        <v>12662</v>
      </c>
      <c r="H216">
        <v>1</v>
      </c>
    </row>
    <row r="217" spans="1:8">
      <c r="A217" t="s">
        <v>1228</v>
      </c>
      <c r="B217" t="s">
        <v>1229</v>
      </c>
      <c r="C217" t="s">
        <v>12664</v>
      </c>
      <c r="D217" t="s">
        <v>12274</v>
      </c>
      <c r="E217" t="s">
        <v>1227</v>
      </c>
      <c r="F217" t="s">
        <v>269</v>
      </c>
      <c r="G217" t="s">
        <v>12665</v>
      </c>
      <c r="H217">
        <v>0</v>
      </c>
    </row>
    <row r="218" spans="1:8">
      <c r="A218" t="s">
        <v>1238</v>
      </c>
      <c r="B218" t="s">
        <v>1239</v>
      </c>
      <c r="C218" t="s">
        <v>12666</v>
      </c>
      <c r="D218" t="s">
        <v>12274</v>
      </c>
      <c r="E218" t="s">
        <v>1237</v>
      </c>
      <c r="F218" t="s">
        <v>269</v>
      </c>
      <c r="G218" t="s">
        <v>12667</v>
      </c>
      <c r="H218">
        <v>0</v>
      </c>
    </row>
    <row r="219" spans="1:8">
      <c r="A219" t="s">
        <v>1243</v>
      </c>
      <c r="B219" t="s">
        <v>1244</v>
      </c>
      <c r="C219" t="s">
        <v>12668</v>
      </c>
      <c r="D219" t="s">
        <v>12309</v>
      </c>
      <c r="E219" t="s">
        <v>1242</v>
      </c>
      <c r="F219" t="s">
        <v>269</v>
      </c>
      <c r="G219" t="s">
        <v>12667</v>
      </c>
      <c r="H219">
        <v>0</v>
      </c>
    </row>
    <row r="220" spans="1:8">
      <c r="A220" t="s">
        <v>1233</v>
      </c>
      <c r="B220" t="s">
        <v>1234</v>
      </c>
      <c r="C220" t="s">
        <v>12669</v>
      </c>
      <c r="D220" t="s">
        <v>12274</v>
      </c>
      <c r="E220" t="s">
        <v>1232</v>
      </c>
      <c r="F220" t="s">
        <v>269</v>
      </c>
      <c r="G220" t="s">
        <v>12670</v>
      </c>
      <c r="H220">
        <v>0</v>
      </c>
    </row>
    <row r="221" spans="1:8">
      <c r="A221" t="s">
        <v>1321</v>
      </c>
      <c r="B221" t="s">
        <v>1322</v>
      </c>
      <c r="C221" t="s">
        <v>12671</v>
      </c>
      <c r="D221" t="s">
        <v>12274</v>
      </c>
      <c r="E221" t="s">
        <v>1320</v>
      </c>
      <c r="F221" t="s">
        <v>269</v>
      </c>
      <c r="G221" t="s">
        <v>12672</v>
      </c>
      <c r="H221">
        <v>0</v>
      </c>
    </row>
    <row r="222" spans="1:8">
      <c r="A222" t="s">
        <v>963</v>
      </c>
      <c r="B222" t="s">
        <v>964</v>
      </c>
      <c r="C222" t="s">
        <v>12673</v>
      </c>
      <c r="D222" t="s">
        <v>12274</v>
      </c>
      <c r="E222" t="s">
        <v>962</v>
      </c>
      <c r="F222" t="s">
        <v>269</v>
      </c>
      <c r="G222" t="s">
        <v>12674</v>
      </c>
      <c r="H222">
        <v>0</v>
      </c>
    </row>
    <row r="223" spans="1:8">
      <c r="A223" t="s">
        <v>968</v>
      </c>
      <c r="B223" t="s">
        <v>969</v>
      </c>
      <c r="C223" t="s">
        <v>12675</v>
      </c>
      <c r="D223" t="s">
        <v>12309</v>
      </c>
      <c r="E223" t="s">
        <v>967</v>
      </c>
      <c r="F223" t="s">
        <v>269</v>
      </c>
      <c r="G223" t="s">
        <v>12674</v>
      </c>
      <c r="H223">
        <v>0</v>
      </c>
    </row>
    <row r="224" spans="1:8">
      <c r="A224" t="s">
        <v>1261</v>
      </c>
      <c r="B224" t="s">
        <v>1262</v>
      </c>
      <c r="C224" t="s">
        <v>12676</v>
      </c>
      <c r="D224" t="s">
        <v>12274</v>
      </c>
      <c r="E224" t="s">
        <v>1260</v>
      </c>
      <c r="F224" t="s">
        <v>269</v>
      </c>
      <c r="G224" t="s">
        <v>12677</v>
      </c>
      <c r="H224">
        <v>0</v>
      </c>
    </row>
    <row r="225" spans="1:8">
      <c r="A225" t="s">
        <v>116</v>
      </c>
      <c r="B225" t="s">
        <v>117</v>
      </c>
      <c r="C225" t="s">
        <v>12678</v>
      </c>
      <c r="D225" t="s">
        <v>12309</v>
      </c>
      <c r="E225" t="s">
        <v>1358</v>
      </c>
      <c r="F225" t="s">
        <v>269</v>
      </c>
      <c r="G225" t="s">
        <v>12679</v>
      </c>
      <c r="H225">
        <v>1</v>
      </c>
    </row>
    <row r="226" spans="1:8">
      <c r="A226" t="s">
        <v>1344</v>
      </c>
      <c r="B226" t="s">
        <v>1345</v>
      </c>
      <c r="C226" t="s">
        <v>12680</v>
      </c>
      <c r="D226" t="s">
        <v>12274</v>
      </c>
      <c r="E226" t="s">
        <v>1343</v>
      </c>
      <c r="F226" t="s">
        <v>269</v>
      </c>
      <c r="G226" t="s">
        <v>12681</v>
      </c>
      <c r="H226">
        <v>0</v>
      </c>
    </row>
    <row r="227" spans="1:8">
      <c r="A227" t="s">
        <v>1248</v>
      </c>
      <c r="B227" t="s">
        <v>1249</v>
      </c>
      <c r="C227" t="s">
        <v>12682</v>
      </c>
      <c r="D227" t="s">
        <v>12274</v>
      </c>
      <c r="E227" t="s">
        <v>1247</v>
      </c>
      <c r="F227" t="s">
        <v>269</v>
      </c>
      <c r="G227" t="s">
        <v>12683</v>
      </c>
      <c r="H227">
        <v>0</v>
      </c>
    </row>
    <row r="228" spans="1:8">
      <c r="A228" t="s">
        <v>1445</v>
      </c>
      <c r="B228" t="s">
        <v>1446</v>
      </c>
      <c r="C228" t="s">
        <v>1446</v>
      </c>
      <c r="D228" t="s">
        <v>12274</v>
      </c>
      <c r="E228" t="s">
        <v>1444</v>
      </c>
      <c r="F228" t="s">
        <v>269</v>
      </c>
      <c r="G228" t="s">
        <v>12684</v>
      </c>
      <c r="H228">
        <v>1</v>
      </c>
    </row>
    <row r="229" spans="1:8">
      <c r="A229" t="s">
        <v>1460</v>
      </c>
      <c r="B229" t="s">
        <v>1461</v>
      </c>
      <c r="C229" t="s">
        <v>12685</v>
      </c>
      <c r="D229" t="s">
        <v>12274</v>
      </c>
      <c r="E229" t="s">
        <v>1459</v>
      </c>
      <c r="F229" t="s">
        <v>269</v>
      </c>
      <c r="G229" t="s">
        <v>12686</v>
      </c>
      <c r="H229">
        <v>0</v>
      </c>
    </row>
    <row r="230" spans="1:8">
      <c r="A230" t="s">
        <v>317</v>
      </c>
      <c r="B230" t="s">
        <v>318</v>
      </c>
      <c r="C230" t="s">
        <v>12687</v>
      </c>
      <c r="D230" t="s">
        <v>12274</v>
      </c>
      <c r="E230" t="s">
        <v>316</v>
      </c>
      <c r="F230" t="s">
        <v>269</v>
      </c>
      <c r="G230" t="s">
        <v>12688</v>
      </c>
      <c r="H230">
        <v>0</v>
      </c>
    </row>
    <row r="231" spans="1:8">
      <c r="A231" t="s">
        <v>1455</v>
      </c>
      <c r="B231" t="s">
        <v>1456</v>
      </c>
      <c r="C231" t="s">
        <v>12689</v>
      </c>
      <c r="D231" t="s">
        <v>12274</v>
      </c>
      <c r="E231" t="s">
        <v>1454</v>
      </c>
      <c r="F231" t="s">
        <v>269</v>
      </c>
      <c r="G231" t="s">
        <v>12690</v>
      </c>
      <c r="H231">
        <v>0</v>
      </c>
    </row>
    <row r="232" spans="1:8">
      <c r="A232" t="s">
        <v>40</v>
      </c>
      <c r="B232" t="s">
        <v>1465</v>
      </c>
      <c r="C232" t="s">
        <v>12691</v>
      </c>
      <c r="D232" t="s">
        <v>12274</v>
      </c>
      <c r="E232" t="s">
        <v>1464</v>
      </c>
      <c r="F232" t="s">
        <v>269</v>
      </c>
      <c r="G232" t="s">
        <v>12692</v>
      </c>
      <c r="H232">
        <v>1</v>
      </c>
    </row>
    <row r="233" spans="1:8">
      <c r="A233" t="s">
        <v>1362</v>
      </c>
      <c r="B233" t="s">
        <v>1363</v>
      </c>
      <c r="C233" t="s">
        <v>12693</v>
      </c>
      <c r="D233" t="s">
        <v>12274</v>
      </c>
      <c r="E233" t="s">
        <v>1361</v>
      </c>
      <c r="F233" t="s">
        <v>269</v>
      </c>
      <c r="G233" t="s">
        <v>12694</v>
      </c>
      <c r="H233">
        <v>0</v>
      </c>
    </row>
    <row r="234" spans="1:8">
      <c r="A234" t="s">
        <v>1367</v>
      </c>
      <c r="B234" t="s">
        <v>1368</v>
      </c>
      <c r="C234" t="s">
        <v>12695</v>
      </c>
      <c r="D234" t="s">
        <v>12274</v>
      </c>
      <c r="E234" t="s">
        <v>1366</v>
      </c>
      <c r="F234" t="s">
        <v>269</v>
      </c>
      <c r="G234" t="s">
        <v>12696</v>
      </c>
      <c r="H234">
        <v>0</v>
      </c>
    </row>
    <row r="235" spans="1:8">
      <c r="A235" t="s">
        <v>1450</v>
      </c>
      <c r="B235" t="s">
        <v>1451</v>
      </c>
      <c r="C235" t="s">
        <v>12697</v>
      </c>
      <c r="D235" t="s">
        <v>12274</v>
      </c>
      <c r="E235" t="s">
        <v>1449</v>
      </c>
      <c r="F235" t="s">
        <v>269</v>
      </c>
      <c r="G235" t="s">
        <v>12698</v>
      </c>
      <c r="H235">
        <v>0</v>
      </c>
    </row>
    <row r="236" spans="1:8">
      <c r="A236" t="s">
        <v>1541</v>
      </c>
      <c r="B236" t="s">
        <v>1542</v>
      </c>
      <c r="C236" t="s">
        <v>12699</v>
      </c>
      <c r="D236" t="s">
        <v>12274</v>
      </c>
      <c r="E236" t="s">
        <v>1540</v>
      </c>
      <c r="F236" t="s">
        <v>269</v>
      </c>
      <c r="G236" t="s">
        <v>12700</v>
      </c>
      <c r="H236">
        <v>0</v>
      </c>
    </row>
    <row r="237" spans="1:8">
      <c r="A237" t="s">
        <v>302</v>
      </c>
      <c r="B237" t="s">
        <v>303</v>
      </c>
      <c r="C237" t="s">
        <v>12701</v>
      </c>
      <c r="D237" t="s">
        <v>12702</v>
      </c>
      <c r="E237" t="s">
        <v>301</v>
      </c>
      <c r="F237" t="s">
        <v>269</v>
      </c>
      <c r="G237" t="s">
        <v>12703</v>
      </c>
      <c r="H237">
        <v>0</v>
      </c>
    </row>
    <row r="238" spans="1:8">
      <c r="A238" t="s">
        <v>493</v>
      </c>
      <c r="B238" t="s">
        <v>494</v>
      </c>
      <c r="C238" t="s">
        <v>12704</v>
      </c>
      <c r="D238" t="s">
        <v>12274</v>
      </c>
      <c r="E238" t="s">
        <v>492</v>
      </c>
      <c r="F238" t="s">
        <v>269</v>
      </c>
      <c r="G238" t="s">
        <v>12705</v>
      </c>
      <c r="H238">
        <v>0</v>
      </c>
    </row>
    <row r="239" spans="1:8">
      <c r="A239" t="s">
        <v>498</v>
      </c>
      <c r="B239" t="s">
        <v>499</v>
      </c>
      <c r="C239" t="s">
        <v>12704</v>
      </c>
      <c r="D239" t="s">
        <v>12309</v>
      </c>
      <c r="E239" t="s">
        <v>497</v>
      </c>
      <c r="F239" t="s">
        <v>269</v>
      </c>
      <c r="G239" t="s">
        <v>12705</v>
      </c>
      <c r="H239">
        <v>0</v>
      </c>
    </row>
    <row r="240" spans="1:8">
      <c r="A240" t="s">
        <v>483</v>
      </c>
      <c r="B240" t="s">
        <v>484</v>
      </c>
      <c r="C240" t="s">
        <v>12706</v>
      </c>
      <c r="D240" t="s">
        <v>12274</v>
      </c>
      <c r="E240" t="s">
        <v>482</v>
      </c>
      <c r="F240" t="s">
        <v>269</v>
      </c>
      <c r="G240" t="s">
        <v>12707</v>
      </c>
      <c r="H240">
        <v>0</v>
      </c>
    </row>
    <row r="241" spans="1:8">
      <c r="A241" t="s">
        <v>488</v>
      </c>
      <c r="B241" t="s">
        <v>489</v>
      </c>
      <c r="C241" t="s">
        <v>12708</v>
      </c>
      <c r="D241" t="s">
        <v>12309</v>
      </c>
      <c r="E241" t="s">
        <v>487</v>
      </c>
      <c r="F241" t="s">
        <v>269</v>
      </c>
      <c r="G241" t="s">
        <v>12707</v>
      </c>
      <c r="H241">
        <v>0</v>
      </c>
    </row>
    <row r="242" spans="1:8">
      <c r="A242" t="s">
        <v>770</v>
      </c>
      <c r="B242" t="s">
        <v>771</v>
      </c>
      <c r="C242" t="s">
        <v>12709</v>
      </c>
      <c r="D242" t="s">
        <v>12274</v>
      </c>
      <c r="E242" t="s">
        <v>769</v>
      </c>
      <c r="F242" t="s">
        <v>269</v>
      </c>
      <c r="G242" t="s">
        <v>12710</v>
      </c>
      <c r="H242">
        <v>1</v>
      </c>
    </row>
    <row r="243" spans="1:8">
      <c r="A243" t="s">
        <v>478</v>
      </c>
      <c r="B243" t="s">
        <v>479</v>
      </c>
      <c r="C243" t="s">
        <v>12711</v>
      </c>
      <c r="D243" t="s">
        <v>12274</v>
      </c>
      <c r="E243" t="s">
        <v>477</v>
      </c>
      <c r="F243" t="s">
        <v>269</v>
      </c>
      <c r="G243" t="s">
        <v>12712</v>
      </c>
      <c r="H243">
        <v>0</v>
      </c>
    </row>
    <row r="244" spans="1:8">
      <c r="A244" t="s">
        <v>1281</v>
      </c>
      <c r="B244" t="s">
        <v>1282</v>
      </c>
      <c r="C244" t="s">
        <v>12713</v>
      </c>
      <c r="D244" t="s">
        <v>12274</v>
      </c>
      <c r="E244" t="s">
        <v>1280</v>
      </c>
      <c r="F244" t="s">
        <v>269</v>
      </c>
      <c r="G244" t="s">
        <v>12714</v>
      </c>
      <c r="H244">
        <v>0</v>
      </c>
    </row>
    <row r="245" spans="1:8">
      <c r="A245" t="s">
        <v>1276</v>
      </c>
      <c r="B245" t="s">
        <v>1277</v>
      </c>
      <c r="C245" t="s">
        <v>12715</v>
      </c>
      <c r="D245" t="s">
        <v>12309</v>
      </c>
      <c r="E245" t="s">
        <v>1275</v>
      </c>
      <c r="F245" t="s">
        <v>269</v>
      </c>
      <c r="G245" t="s">
        <v>12714</v>
      </c>
      <c r="H245">
        <v>0</v>
      </c>
    </row>
    <row r="246" spans="1:8">
      <c r="A246" t="s">
        <v>463</v>
      </c>
      <c r="B246" t="s">
        <v>464</v>
      </c>
      <c r="C246" t="s">
        <v>464</v>
      </c>
      <c r="D246" t="s">
        <v>12274</v>
      </c>
      <c r="E246" t="s">
        <v>462</v>
      </c>
      <c r="F246" t="s">
        <v>269</v>
      </c>
      <c r="G246" t="s">
        <v>12716</v>
      </c>
      <c r="H246">
        <v>0</v>
      </c>
    </row>
    <row r="247" spans="1:8">
      <c r="A247" t="s">
        <v>468</v>
      </c>
      <c r="B247" t="s">
        <v>469</v>
      </c>
      <c r="C247" t="s">
        <v>12717</v>
      </c>
      <c r="D247" t="s">
        <v>12274</v>
      </c>
      <c r="E247" t="s">
        <v>467</v>
      </c>
      <c r="F247" t="s">
        <v>269</v>
      </c>
      <c r="G247" t="s">
        <v>12718</v>
      </c>
      <c r="H247">
        <v>0</v>
      </c>
    </row>
    <row r="248" spans="1:8">
      <c r="A248" t="s">
        <v>503</v>
      </c>
      <c r="B248" t="s">
        <v>504</v>
      </c>
      <c r="C248" t="s">
        <v>12719</v>
      </c>
      <c r="D248" t="s">
        <v>12274</v>
      </c>
      <c r="E248" t="s">
        <v>502</v>
      </c>
      <c r="F248" t="s">
        <v>269</v>
      </c>
      <c r="G248" t="s">
        <v>12720</v>
      </c>
      <c r="H248">
        <v>0</v>
      </c>
    </row>
    <row r="249" spans="1:8">
      <c r="A249" t="s">
        <v>508</v>
      </c>
      <c r="B249" t="s">
        <v>509</v>
      </c>
      <c r="C249" t="s">
        <v>12721</v>
      </c>
      <c r="D249" t="s">
        <v>12309</v>
      </c>
      <c r="E249" t="s">
        <v>507</v>
      </c>
      <c r="F249" t="s">
        <v>269</v>
      </c>
      <c r="G249" t="s">
        <v>12720</v>
      </c>
      <c r="H249">
        <v>0</v>
      </c>
    </row>
    <row r="250" spans="1:8">
      <c r="A250" t="s">
        <v>473</v>
      </c>
      <c r="B250" t="s">
        <v>474</v>
      </c>
      <c r="C250" t="s">
        <v>12722</v>
      </c>
      <c r="D250" t="s">
        <v>12274</v>
      </c>
      <c r="E250" t="s">
        <v>472</v>
      </c>
      <c r="F250" t="s">
        <v>269</v>
      </c>
      <c r="G250" t="s">
        <v>12723</v>
      </c>
      <c r="H250">
        <v>1</v>
      </c>
    </row>
    <row r="251" spans="1:8">
      <c r="A251" t="s">
        <v>1390</v>
      </c>
      <c r="B251" t="s">
        <v>1391</v>
      </c>
      <c r="C251" t="s">
        <v>12724</v>
      </c>
      <c r="D251" t="s">
        <v>12274</v>
      </c>
      <c r="E251" t="s">
        <v>1389</v>
      </c>
      <c r="F251" t="s">
        <v>269</v>
      </c>
      <c r="G251" t="s">
        <v>12725</v>
      </c>
      <c r="H251">
        <v>0</v>
      </c>
    </row>
    <row r="252" spans="1:8">
      <c r="A252" t="s">
        <v>1395</v>
      </c>
      <c r="B252" t="s">
        <v>1396</v>
      </c>
      <c r="C252" t="s">
        <v>12726</v>
      </c>
      <c r="D252" t="s">
        <v>12309</v>
      </c>
      <c r="E252" t="s">
        <v>1394</v>
      </c>
      <c r="F252" t="s">
        <v>269</v>
      </c>
      <c r="G252" t="s">
        <v>12725</v>
      </c>
      <c r="H252">
        <v>0</v>
      </c>
    </row>
    <row r="253" spans="1:8">
      <c r="A253" t="s">
        <v>327</v>
      </c>
      <c r="B253" t="s">
        <v>328</v>
      </c>
      <c r="C253" t="s">
        <v>12727</v>
      </c>
      <c r="D253" t="s">
        <v>12274</v>
      </c>
      <c r="E253" t="s">
        <v>326</v>
      </c>
      <c r="F253" t="s">
        <v>269</v>
      </c>
      <c r="G253" t="s">
        <v>12728</v>
      </c>
      <c r="H253">
        <v>0</v>
      </c>
    </row>
    <row r="254" spans="1:8">
      <c r="A254" t="s">
        <v>12729</v>
      </c>
      <c r="B254" t="s">
        <v>12730</v>
      </c>
      <c r="C254" t="s">
        <v>12731</v>
      </c>
      <c r="D254" t="s">
        <v>12274</v>
      </c>
      <c r="E254" t="s">
        <v>12732</v>
      </c>
      <c r="F254" t="s">
        <v>269</v>
      </c>
      <c r="G254" t="s">
        <v>12733</v>
      </c>
      <c r="H254">
        <v>0</v>
      </c>
    </row>
    <row r="255" spans="1:8">
      <c r="A255" t="s">
        <v>1472</v>
      </c>
      <c r="B255" t="s">
        <v>1473</v>
      </c>
      <c r="C255" t="s">
        <v>12734</v>
      </c>
      <c r="D255" t="s">
        <v>12274</v>
      </c>
      <c r="E255" t="s">
        <v>1471</v>
      </c>
      <c r="F255" t="s">
        <v>269</v>
      </c>
      <c r="G255" t="s">
        <v>12735</v>
      </c>
      <c r="H255">
        <v>0</v>
      </c>
    </row>
    <row r="256" spans="1:8">
      <c r="A256" t="s">
        <v>118</v>
      </c>
      <c r="B256" t="s">
        <v>119</v>
      </c>
      <c r="C256" t="s">
        <v>12736</v>
      </c>
      <c r="D256" t="s">
        <v>12274</v>
      </c>
      <c r="E256" t="s">
        <v>1468</v>
      </c>
      <c r="F256" t="s">
        <v>269</v>
      </c>
      <c r="G256" t="s">
        <v>12737</v>
      </c>
      <c r="H256">
        <v>1</v>
      </c>
    </row>
    <row r="257" spans="1:8">
      <c r="A257" t="s">
        <v>1487</v>
      </c>
      <c r="B257" t="s">
        <v>1488</v>
      </c>
      <c r="C257" t="s">
        <v>12738</v>
      </c>
      <c r="D257" t="s">
        <v>12274</v>
      </c>
      <c r="E257" t="s">
        <v>1486</v>
      </c>
      <c r="F257" t="s">
        <v>269</v>
      </c>
      <c r="G257" t="s">
        <v>12739</v>
      </c>
      <c r="H257">
        <v>0</v>
      </c>
    </row>
    <row r="258" spans="1:8">
      <c r="A258" t="s">
        <v>1482</v>
      </c>
      <c r="B258" t="s">
        <v>1483</v>
      </c>
      <c r="C258" t="s">
        <v>12740</v>
      </c>
      <c r="D258" t="s">
        <v>12309</v>
      </c>
      <c r="E258" t="s">
        <v>1481</v>
      </c>
      <c r="F258" t="s">
        <v>269</v>
      </c>
      <c r="G258" t="s">
        <v>12739</v>
      </c>
      <c r="H258">
        <v>0</v>
      </c>
    </row>
    <row r="259" spans="1:8">
      <c r="A259" t="s">
        <v>1311</v>
      </c>
      <c r="B259" t="s">
        <v>1312</v>
      </c>
      <c r="C259" t="s">
        <v>12741</v>
      </c>
      <c r="D259" t="s">
        <v>12274</v>
      </c>
      <c r="E259" t="s">
        <v>1310</v>
      </c>
      <c r="F259" t="s">
        <v>269</v>
      </c>
      <c r="G259" t="s">
        <v>12742</v>
      </c>
      <c r="H259">
        <v>0</v>
      </c>
    </row>
    <row r="260" spans="1:8">
      <c r="A260" t="s">
        <v>1316</v>
      </c>
      <c r="B260" t="s">
        <v>1317</v>
      </c>
      <c r="C260" t="s">
        <v>12743</v>
      </c>
      <c r="D260" t="s">
        <v>12309</v>
      </c>
      <c r="E260" t="s">
        <v>1315</v>
      </c>
      <c r="F260" t="s">
        <v>269</v>
      </c>
      <c r="G260" t="s">
        <v>12742</v>
      </c>
      <c r="H260">
        <v>0</v>
      </c>
    </row>
    <row r="261" spans="1:8">
      <c r="A261" t="s">
        <v>601</v>
      </c>
      <c r="B261" t="s">
        <v>602</v>
      </c>
      <c r="C261" t="s">
        <v>602</v>
      </c>
      <c r="D261" t="s">
        <v>12274</v>
      </c>
      <c r="E261" t="s">
        <v>600</v>
      </c>
      <c r="F261" t="s">
        <v>269</v>
      </c>
      <c r="G261" t="s">
        <v>12744</v>
      </c>
      <c r="H261">
        <v>0</v>
      </c>
    </row>
    <row r="262" spans="1:8">
      <c r="A262" t="s">
        <v>591</v>
      </c>
      <c r="B262" t="s">
        <v>592</v>
      </c>
      <c r="C262" t="s">
        <v>12745</v>
      </c>
      <c r="D262" t="s">
        <v>12274</v>
      </c>
      <c r="E262" t="s">
        <v>590</v>
      </c>
      <c r="F262" t="s">
        <v>269</v>
      </c>
      <c r="G262" t="s">
        <v>12746</v>
      </c>
      <c r="H262">
        <v>0</v>
      </c>
    </row>
    <row r="263" spans="1:8">
      <c r="A263" t="s">
        <v>586</v>
      </c>
      <c r="B263" t="s">
        <v>587</v>
      </c>
      <c r="C263" t="s">
        <v>12747</v>
      </c>
      <c r="D263" t="s">
        <v>12274</v>
      </c>
      <c r="E263" t="s">
        <v>585</v>
      </c>
      <c r="F263" t="s">
        <v>269</v>
      </c>
      <c r="G263" t="s">
        <v>12748</v>
      </c>
      <c r="H26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E0540-9CCC-4ADD-A9E2-5E5414CE06C0}">
  <sheetPr codeName="Лист9"/>
  <dimension ref="A1"/>
  <sheetViews>
    <sheetView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BAEC0-F00C-4A92-9ECF-DF58C8045B43}">
  <sheetPr codeName="Лист10"/>
  <dimension ref="A1:L22"/>
  <sheetViews>
    <sheetView workbookViewId="0">
      <selection activeCell="J18" sqref="J18"/>
    </sheetView>
  </sheetViews>
  <sheetFormatPr defaultRowHeight="15"/>
  <cols>
    <col min="3" max="3" width="13" customWidth="1"/>
  </cols>
  <sheetData>
    <row r="1" spans="1:12" ht="64.5" thickBot="1">
      <c r="A1" s="101"/>
      <c r="B1" s="102" t="s">
        <v>0</v>
      </c>
      <c r="C1" s="102" t="s">
        <v>1</v>
      </c>
      <c r="D1" s="102" t="s">
        <v>141</v>
      </c>
      <c r="E1" s="102" t="s">
        <v>142</v>
      </c>
      <c r="F1" s="103" t="s">
        <v>143</v>
      </c>
      <c r="G1" s="102" t="s">
        <v>144</v>
      </c>
      <c r="H1" s="102" t="s">
        <v>145</v>
      </c>
      <c r="I1" s="102" t="s">
        <v>146</v>
      </c>
      <c r="J1" s="103" t="s">
        <v>147</v>
      </c>
      <c r="K1" s="102" t="s">
        <v>148</v>
      </c>
      <c r="L1" s="102" t="s">
        <v>149</v>
      </c>
    </row>
    <row r="2" spans="1:12" ht="15.75" thickBot="1">
      <c r="A2" s="104">
        <v>1</v>
      </c>
      <c r="B2" s="84" t="s">
        <v>2</v>
      </c>
      <c r="C2" s="84" t="s">
        <v>96</v>
      </c>
      <c r="D2" s="104">
        <v>0</v>
      </c>
      <c r="E2" s="84" t="s">
        <v>62</v>
      </c>
      <c r="F2" s="84" t="s">
        <v>62</v>
      </c>
      <c r="G2" s="84" t="s">
        <v>62</v>
      </c>
      <c r="H2" s="104">
        <v>0</v>
      </c>
      <c r="I2" s="84" t="s">
        <v>62</v>
      </c>
      <c r="J2" s="84" t="s">
        <v>62</v>
      </c>
      <c r="K2" s="84" t="s">
        <v>62</v>
      </c>
      <c r="L2" s="84"/>
    </row>
    <row r="3" spans="1:12" ht="15.75" thickBot="1">
      <c r="A3" s="104">
        <v>2</v>
      </c>
      <c r="B3" s="84" t="s">
        <v>94</v>
      </c>
      <c r="C3" s="84" t="s">
        <v>95</v>
      </c>
      <c r="D3" s="104">
        <v>807.06</v>
      </c>
      <c r="E3" s="84" t="s">
        <v>62</v>
      </c>
      <c r="F3" s="84" t="s">
        <v>62</v>
      </c>
      <c r="G3" s="84" t="s">
        <v>62</v>
      </c>
      <c r="H3" s="104">
        <v>807.06</v>
      </c>
      <c r="I3" s="84" t="s">
        <v>62</v>
      </c>
      <c r="J3" s="84" t="s">
        <v>62</v>
      </c>
      <c r="K3" s="84" t="s">
        <v>62</v>
      </c>
      <c r="L3" s="105">
        <v>0</v>
      </c>
    </row>
    <row r="4" spans="1:12" ht="27" thickBot="1">
      <c r="A4" s="104">
        <v>3</v>
      </c>
      <c r="B4" s="84" t="s">
        <v>150</v>
      </c>
      <c r="C4" s="84" t="s">
        <v>151</v>
      </c>
      <c r="D4" s="104">
        <v>6</v>
      </c>
      <c r="E4" s="104">
        <v>78.78</v>
      </c>
      <c r="F4" s="106">
        <v>2798</v>
      </c>
      <c r="G4" s="106" t="s">
        <v>152</v>
      </c>
      <c r="H4" s="104" t="s">
        <v>153</v>
      </c>
      <c r="I4" s="84" t="s">
        <v>62</v>
      </c>
      <c r="J4" s="84" t="s">
        <v>62</v>
      </c>
      <c r="K4" s="84" t="s">
        <v>62</v>
      </c>
      <c r="L4" s="105">
        <v>1.8100000000000002E-2</v>
      </c>
    </row>
    <row r="5" spans="1:12" ht="27" thickBot="1">
      <c r="A5" s="104">
        <v>4</v>
      </c>
      <c r="B5" s="84" t="s">
        <v>132</v>
      </c>
      <c r="C5" s="84" t="s">
        <v>133</v>
      </c>
      <c r="D5" s="104" t="s">
        <v>154</v>
      </c>
      <c r="E5" s="104">
        <v>846.7</v>
      </c>
      <c r="F5" s="107" t="s">
        <v>62</v>
      </c>
      <c r="G5" s="104">
        <v>853.9</v>
      </c>
      <c r="H5" s="104" t="s">
        <v>155</v>
      </c>
      <c r="I5" s="108">
        <v>8.5000000000000006E-3</v>
      </c>
      <c r="J5" s="107" t="s">
        <v>156</v>
      </c>
      <c r="K5" s="104" t="s">
        <v>157</v>
      </c>
      <c r="L5" s="105">
        <v>3.1699999999999999E-2</v>
      </c>
    </row>
    <row r="6" spans="1:12" ht="27" thickBot="1">
      <c r="A6" s="104">
        <v>5</v>
      </c>
      <c r="B6" s="84" t="s">
        <v>138</v>
      </c>
      <c r="C6" s="84" t="s">
        <v>139</v>
      </c>
      <c r="D6" s="104">
        <v>940</v>
      </c>
      <c r="E6" s="104" t="s">
        <v>158</v>
      </c>
      <c r="F6" s="104" t="s">
        <v>159</v>
      </c>
      <c r="G6" s="104" t="s">
        <v>160</v>
      </c>
      <c r="H6" s="104" t="s">
        <v>161</v>
      </c>
      <c r="I6" s="108">
        <v>-4.07E-2</v>
      </c>
      <c r="J6" s="108">
        <v>2E-3</v>
      </c>
      <c r="K6" s="104" t="s">
        <v>162</v>
      </c>
      <c r="L6" s="105">
        <v>3.2000000000000001E-2</v>
      </c>
    </row>
    <row r="7" spans="1:12" ht="27" thickBot="1">
      <c r="A7" s="104">
        <v>6</v>
      </c>
      <c r="B7" s="84" t="s">
        <v>107</v>
      </c>
      <c r="C7" s="84" t="s">
        <v>108</v>
      </c>
      <c r="D7" s="104">
        <v>582</v>
      </c>
      <c r="E7" s="104" t="s">
        <v>163</v>
      </c>
      <c r="F7" s="104" t="s">
        <v>164</v>
      </c>
      <c r="G7" s="104" t="s">
        <v>165</v>
      </c>
      <c r="H7" s="104" t="s">
        <v>166</v>
      </c>
      <c r="I7" s="109">
        <v>-0.29060000000000002</v>
      </c>
      <c r="J7" s="109">
        <v>-0.18490000000000001</v>
      </c>
      <c r="K7" s="104" t="s">
        <v>167</v>
      </c>
      <c r="L7" s="105">
        <v>3.6900000000000002E-2</v>
      </c>
    </row>
    <row r="8" spans="1:12" ht="27" thickBot="1">
      <c r="A8" s="104">
        <v>7</v>
      </c>
      <c r="B8" s="84" t="s">
        <v>116</v>
      </c>
      <c r="C8" s="84" t="s">
        <v>117</v>
      </c>
      <c r="D8" s="104" t="s">
        <v>168</v>
      </c>
      <c r="E8" s="104" t="s">
        <v>169</v>
      </c>
      <c r="F8" s="104" t="s">
        <v>170</v>
      </c>
      <c r="G8" s="104" t="s">
        <v>171</v>
      </c>
      <c r="H8" s="104" t="s">
        <v>172</v>
      </c>
      <c r="I8" s="109">
        <v>-0.32129999999999997</v>
      </c>
      <c r="J8" s="109">
        <v>-0.19650000000000001</v>
      </c>
      <c r="K8" s="104" t="s">
        <v>173</v>
      </c>
      <c r="L8" s="105">
        <v>3.8600000000000002E-2</v>
      </c>
    </row>
    <row r="9" spans="1:12" ht="27" thickBot="1">
      <c r="A9" s="104">
        <v>8</v>
      </c>
      <c r="B9" s="84" t="s">
        <v>130</v>
      </c>
      <c r="C9" s="84" t="s">
        <v>131</v>
      </c>
      <c r="D9" s="104" t="s">
        <v>174</v>
      </c>
      <c r="E9" s="104">
        <v>710.36</v>
      </c>
      <c r="F9" s="104">
        <v>549.4</v>
      </c>
      <c r="G9" s="104">
        <v>556.20000000000005</v>
      </c>
      <c r="H9" s="104" t="s">
        <v>175</v>
      </c>
      <c r="I9" s="109">
        <v>-0.217</v>
      </c>
      <c r="J9" s="108">
        <v>1.24E-2</v>
      </c>
      <c r="K9" s="104" t="s">
        <v>176</v>
      </c>
      <c r="L9" s="105">
        <v>4.3099999999999999E-2</v>
      </c>
    </row>
    <row r="10" spans="1:12" ht="27" thickBot="1">
      <c r="A10" s="104">
        <v>9</v>
      </c>
      <c r="B10" s="84" t="s">
        <v>104</v>
      </c>
      <c r="C10" s="84" t="s">
        <v>105</v>
      </c>
      <c r="D10" s="104">
        <v>466</v>
      </c>
      <c r="E10" s="104" t="s">
        <v>177</v>
      </c>
      <c r="F10" s="104" t="s">
        <v>178</v>
      </c>
      <c r="G10" s="104" t="s">
        <v>179</v>
      </c>
      <c r="H10" s="104" t="s">
        <v>180</v>
      </c>
      <c r="I10" s="108">
        <v>-8.09E-2</v>
      </c>
      <c r="J10" s="108">
        <v>9.6600000000000005E-2</v>
      </c>
      <c r="K10" s="104" t="s">
        <v>181</v>
      </c>
      <c r="L10" s="105">
        <v>4.6100000000000002E-2</v>
      </c>
    </row>
    <row r="11" spans="1:12" ht="27" thickBot="1">
      <c r="A11" s="104">
        <v>10</v>
      </c>
      <c r="B11" s="84" t="s">
        <v>126</v>
      </c>
      <c r="C11" s="84" t="s">
        <v>127</v>
      </c>
      <c r="D11" s="104" t="s">
        <v>182</v>
      </c>
      <c r="E11" s="104">
        <v>667.9</v>
      </c>
      <c r="F11" s="104">
        <v>535.1</v>
      </c>
      <c r="G11" s="104">
        <v>542.70000000000005</v>
      </c>
      <c r="H11" s="104" t="s">
        <v>183</v>
      </c>
      <c r="I11" s="109">
        <v>-0.1875</v>
      </c>
      <c r="J11" s="108">
        <v>1.4200000000000001E-2</v>
      </c>
      <c r="K11" s="104" t="s">
        <v>184</v>
      </c>
      <c r="L11" s="105">
        <v>4.6100000000000002E-2</v>
      </c>
    </row>
    <row r="12" spans="1:12" ht="27" thickBot="1">
      <c r="A12" s="104">
        <v>11</v>
      </c>
      <c r="B12" s="84" t="s">
        <v>122</v>
      </c>
      <c r="C12" s="84" t="s">
        <v>123</v>
      </c>
      <c r="D12" s="104" t="s">
        <v>185</v>
      </c>
      <c r="E12" s="104">
        <v>16.93</v>
      </c>
      <c r="F12" s="104">
        <v>12.31</v>
      </c>
      <c r="G12" s="104">
        <v>12.76</v>
      </c>
      <c r="H12" s="104" t="s">
        <v>186</v>
      </c>
      <c r="I12" s="109">
        <v>-0.24640000000000001</v>
      </c>
      <c r="J12" s="108">
        <v>3.61E-2</v>
      </c>
      <c r="K12" s="104" t="s">
        <v>187</v>
      </c>
      <c r="L12" s="105">
        <v>4.7E-2</v>
      </c>
    </row>
    <row r="13" spans="1:12" ht="27" thickBot="1">
      <c r="A13" s="104">
        <v>12</v>
      </c>
      <c r="B13" s="84" t="s">
        <v>99</v>
      </c>
      <c r="C13" s="84" t="s">
        <v>188</v>
      </c>
      <c r="D13" s="104" t="s">
        <v>189</v>
      </c>
      <c r="E13" s="104">
        <v>1.48</v>
      </c>
      <c r="F13" s="104">
        <v>1.51</v>
      </c>
      <c r="G13" s="104">
        <v>1.54</v>
      </c>
      <c r="H13" s="104" t="s">
        <v>190</v>
      </c>
      <c r="I13" s="108">
        <v>3.8100000000000002E-2</v>
      </c>
      <c r="J13" s="108">
        <v>1.6899999999999998E-2</v>
      </c>
      <c r="K13" s="104" t="s">
        <v>191</v>
      </c>
      <c r="L13" s="105">
        <v>4.7300000000000002E-2</v>
      </c>
    </row>
    <row r="14" spans="1:12" ht="27" thickBot="1">
      <c r="A14" s="104">
        <v>13</v>
      </c>
      <c r="B14" s="84" t="s">
        <v>120</v>
      </c>
      <c r="C14" s="84" t="s">
        <v>121</v>
      </c>
      <c r="D14" s="104" t="s">
        <v>192</v>
      </c>
      <c r="E14" s="104">
        <v>210.59</v>
      </c>
      <c r="F14" s="104">
        <v>187.18</v>
      </c>
      <c r="G14" s="104">
        <v>184.88</v>
      </c>
      <c r="H14" s="104" t="s">
        <v>193</v>
      </c>
      <c r="I14" s="109">
        <v>-0.1221</v>
      </c>
      <c r="J14" s="108">
        <v>-1.23E-2</v>
      </c>
      <c r="K14" s="104" t="s">
        <v>194</v>
      </c>
      <c r="L14" s="105">
        <v>4.8399999999999999E-2</v>
      </c>
    </row>
    <row r="15" spans="1:12" ht="27" thickBot="1">
      <c r="A15" s="104">
        <v>14</v>
      </c>
      <c r="B15" s="84" t="s">
        <v>114</v>
      </c>
      <c r="C15" s="84" t="s">
        <v>115</v>
      </c>
      <c r="D15" s="104">
        <v>619</v>
      </c>
      <c r="E15" s="104" t="s">
        <v>195</v>
      </c>
      <c r="F15" s="104" t="s">
        <v>156</v>
      </c>
      <c r="G15" s="104" t="s">
        <v>196</v>
      </c>
      <c r="H15" s="104" t="s">
        <v>197</v>
      </c>
      <c r="I15" s="109">
        <v>-0.1832</v>
      </c>
      <c r="J15" s="107" t="s">
        <v>156</v>
      </c>
      <c r="K15" s="104" t="s">
        <v>198</v>
      </c>
      <c r="L15" s="105">
        <v>4.9799999999999997E-2</v>
      </c>
    </row>
    <row r="16" spans="1:12" ht="27" thickBot="1">
      <c r="A16" s="104">
        <v>15</v>
      </c>
      <c r="B16" s="84" t="s">
        <v>124</v>
      </c>
      <c r="C16" s="84" t="s">
        <v>125</v>
      </c>
      <c r="D16" s="104">
        <v>392</v>
      </c>
      <c r="E16" s="104" t="s">
        <v>199</v>
      </c>
      <c r="F16" s="104" t="s">
        <v>200</v>
      </c>
      <c r="G16" s="104" t="s">
        <v>201</v>
      </c>
      <c r="H16" s="104" t="s">
        <v>202</v>
      </c>
      <c r="I16" s="109">
        <v>-0.20030000000000001</v>
      </c>
      <c r="J16" s="108">
        <v>-1.6299999999999999E-2</v>
      </c>
      <c r="K16" s="104" t="s">
        <v>203</v>
      </c>
      <c r="L16" s="105">
        <v>5.4899999999999997E-2</v>
      </c>
    </row>
    <row r="17" spans="1:12" ht="27" thickBot="1">
      <c r="A17" s="104">
        <v>16</v>
      </c>
      <c r="B17" s="84" t="s">
        <v>136</v>
      </c>
      <c r="C17" s="84" t="s">
        <v>137</v>
      </c>
      <c r="D17" s="104" t="s">
        <v>204</v>
      </c>
      <c r="E17" s="104">
        <v>3.76</v>
      </c>
      <c r="F17" s="104">
        <v>3.84</v>
      </c>
      <c r="G17" s="104">
        <v>3.82</v>
      </c>
      <c r="H17" s="104" t="s">
        <v>205</v>
      </c>
      <c r="I17" s="108">
        <v>1.52E-2</v>
      </c>
      <c r="J17" s="108">
        <v>-4.1999999999999997E-3</v>
      </c>
      <c r="K17" s="104" t="s">
        <v>206</v>
      </c>
      <c r="L17" s="105">
        <v>5.7200000000000001E-2</v>
      </c>
    </row>
    <row r="18" spans="1:12" ht="27" thickBot="1">
      <c r="A18" s="104">
        <v>17</v>
      </c>
      <c r="B18" s="84" t="s">
        <v>101</v>
      </c>
      <c r="C18" s="84" t="s">
        <v>102</v>
      </c>
      <c r="D18" s="104">
        <v>252</v>
      </c>
      <c r="E18" s="104" t="s">
        <v>207</v>
      </c>
      <c r="F18" s="104" t="s">
        <v>208</v>
      </c>
      <c r="G18" s="104" t="s">
        <v>209</v>
      </c>
      <c r="H18" s="104" t="s">
        <v>210</v>
      </c>
      <c r="I18" s="108">
        <v>9.98E-2</v>
      </c>
      <c r="J18" s="108">
        <v>2.3E-3</v>
      </c>
      <c r="K18" s="104" t="s">
        <v>211</v>
      </c>
      <c r="L18" s="105">
        <v>5.8299999999999998E-2</v>
      </c>
    </row>
    <row r="19" spans="1:12" ht="27" thickBot="1">
      <c r="A19" s="104">
        <v>18</v>
      </c>
      <c r="B19" s="84" t="s">
        <v>128</v>
      </c>
      <c r="C19" s="84" t="s">
        <v>129</v>
      </c>
      <c r="D19" s="104" t="s">
        <v>212</v>
      </c>
      <c r="E19" s="104">
        <v>574.53</v>
      </c>
      <c r="F19" s="104">
        <v>499.55</v>
      </c>
      <c r="G19" s="104">
        <v>448.4</v>
      </c>
      <c r="H19" s="104" t="s">
        <v>213</v>
      </c>
      <c r="I19" s="109">
        <v>-0.2195</v>
      </c>
      <c r="J19" s="109">
        <v>-0.1024</v>
      </c>
      <c r="K19" s="104" t="s">
        <v>214</v>
      </c>
      <c r="L19" s="105">
        <v>8.0100000000000005E-2</v>
      </c>
    </row>
    <row r="20" spans="1:12" ht="27" thickBot="1">
      <c r="A20" s="104">
        <v>19</v>
      </c>
      <c r="B20" s="84" t="s">
        <v>118</v>
      </c>
      <c r="C20" s="84" t="s">
        <v>119</v>
      </c>
      <c r="D20" s="104">
        <v>748</v>
      </c>
      <c r="E20" s="104" t="s">
        <v>215</v>
      </c>
      <c r="F20" s="104" t="s">
        <v>216</v>
      </c>
      <c r="G20" s="104" t="s">
        <v>217</v>
      </c>
      <c r="H20" s="104" t="s">
        <v>218</v>
      </c>
      <c r="I20" s="109">
        <v>-0.15529999999999999</v>
      </c>
      <c r="J20" s="108">
        <v>-9.64E-2</v>
      </c>
      <c r="K20" s="104" t="s">
        <v>219</v>
      </c>
      <c r="L20" s="105">
        <v>8.3699999999999997E-2</v>
      </c>
    </row>
    <row r="21" spans="1:12" ht="27" thickBot="1">
      <c r="A21" s="104">
        <v>20</v>
      </c>
      <c r="B21" s="84" t="s">
        <v>112</v>
      </c>
      <c r="C21" s="84" t="s">
        <v>113</v>
      </c>
      <c r="D21" s="104" t="s">
        <v>220</v>
      </c>
      <c r="E21" s="104">
        <v>59.33</v>
      </c>
      <c r="F21" s="104">
        <v>55.27</v>
      </c>
      <c r="G21" s="104">
        <v>57.17</v>
      </c>
      <c r="H21" s="104" t="s">
        <v>221</v>
      </c>
      <c r="I21" s="108">
        <v>-3.6400000000000002E-2</v>
      </c>
      <c r="J21" s="108">
        <v>3.44E-2</v>
      </c>
      <c r="K21" s="104" t="s">
        <v>222</v>
      </c>
      <c r="L21" s="105">
        <v>8.6300000000000002E-2</v>
      </c>
    </row>
    <row r="22" spans="1:12" ht="27" thickBot="1">
      <c r="A22" s="104">
        <v>21</v>
      </c>
      <c r="B22" s="84" t="s">
        <v>134</v>
      </c>
      <c r="C22" s="84" t="s">
        <v>135</v>
      </c>
      <c r="D22" s="104" t="s">
        <v>223</v>
      </c>
      <c r="E22" s="104">
        <v>366.06</v>
      </c>
      <c r="F22" s="104">
        <v>334.4</v>
      </c>
      <c r="G22" s="104">
        <v>318.31</v>
      </c>
      <c r="H22" s="104" t="s">
        <v>224</v>
      </c>
      <c r="I22" s="109">
        <v>-0.13039999999999999</v>
      </c>
      <c r="J22" s="108">
        <v>-4.8099999999999997E-2</v>
      </c>
      <c r="K22" s="104" t="s">
        <v>225</v>
      </c>
      <c r="L22" s="105">
        <v>9.4299999999999995E-2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326C-D4CD-45A8-ACB7-157F2D0AFF70}">
  <sheetPr codeName="Лист11"/>
  <dimension ref="A1:A27"/>
  <sheetViews>
    <sheetView workbookViewId="0">
      <selection activeCell="J18" sqref="J18"/>
    </sheetView>
  </sheetViews>
  <sheetFormatPr defaultRowHeight="15"/>
  <sheetData>
    <row r="1" spans="1:1">
      <c r="A1" s="110" t="s">
        <v>2077</v>
      </c>
    </row>
    <row r="2" spans="1:1">
      <c r="A2" s="111" t="s">
        <v>2078</v>
      </c>
    </row>
    <row r="3" spans="1:1">
      <c r="A3" s="111" t="s">
        <v>2079</v>
      </c>
    </row>
    <row r="4" spans="1:1">
      <c r="A4" s="111" t="s">
        <v>2080</v>
      </c>
    </row>
    <row r="5" spans="1:1">
      <c r="A5" s="111" t="s">
        <v>2081</v>
      </c>
    </row>
    <row r="6" spans="1:1">
      <c r="A6" s="111" t="s">
        <v>2082</v>
      </c>
    </row>
    <row r="7" spans="1:1">
      <c r="A7" s="111" t="s">
        <v>2083</v>
      </c>
    </row>
    <row r="8" spans="1:1">
      <c r="A8" s="111" t="s">
        <v>2084</v>
      </c>
    </row>
    <row r="9" spans="1:1">
      <c r="A9" s="111" t="s">
        <v>2085</v>
      </c>
    </row>
    <row r="10" spans="1:1">
      <c r="A10" s="111" t="s">
        <v>2086</v>
      </c>
    </row>
    <row r="11" spans="1:1">
      <c r="A11" s="111" t="s">
        <v>2087</v>
      </c>
    </row>
    <row r="12" spans="1:1">
      <c r="A12" s="111" t="s">
        <v>2088</v>
      </c>
    </row>
    <row r="13" spans="1:1">
      <c r="A13" s="111" t="s">
        <v>2089</v>
      </c>
    </row>
    <row r="23" spans="1:1">
      <c r="A23" t="s">
        <v>12241</v>
      </c>
    </row>
    <row r="24" spans="1:1">
      <c r="A24" t="s">
        <v>2413</v>
      </c>
    </row>
    <row r="25" spans="1:1">
      <c r="A25" t="s">
        <v>2425</v>
      </c>
    </row>
    <row r="26" spans="1:1">
      <c r="A26" t="s">
        <v>3754</v>
      </c>
    </row>
    <row r="27" spans="1:1">
      <c r="A27" t="s">
        <v>2125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B987D-ECEE-4E92-94A7-BC5CE04614D5}">
  <sheetPr codeName="Лист12"/>
  <dimension ref="A1:F12"/>
  <sheetViews>
    <sheetView workbookViewId="0">
      <selection sqref="A1:F12"/>
    </sheetView>
  </sheetViews>
  <sheetFormatPr defaultRowHeight="15"/>
  <cols>
    <col min="2" max="2" width="13.5703125" bestFit="1" customWidth="1"/>
    <col min="3" max="3" width="24.5703125" bestFit="1" customWidth="1"/>
    <col min="4" max="4" width="16.5703125" bestFit="1" customWidth="1"/>
  </cols>
  <sheetData>
    <row r="1" spans="1:6">
      <c r="A1" t="s">
        <v>12225</v>
      </c>
      <c r="B1" t="s">
        <v>228</v>
      </c>
      <c r="C1" t="s">
        <v>12227</v>
      </c>
      <c r="D1" s="144" t="s">
        <v>12228</v>
      </c>
      <c r="E1" t="s">
        <v>12229</v>
      </c>
      <c r="F1" t="s">
        <v>52</v>
      </c>
    </row>
    <row r="2" spans="1:6">
      <c r="A2" s="138" t="s">
        <v>1707</v>
      </c>
      <c r="B2" s="138"/>
      <c r="C2" s="139" t="s">
        <v>12205</v>
      </c>
      <c r="D2" s="140">
        <v>31464694</v>
      </c>
      <c r="E2" s="141" t="s">
        <v>12206</v>
      </c>
      <c r="F2" s="139" t="s">
        <v>12207</v>
      </c>
    </row>
    <row r="3" spans="1:6">
      <c r="A3" s="138" t="s">
        <v>1887</v>
      </c>
      <c r="B3" s="138"/>
      <c r="C3" s="139" t="s">
        <v>12209</v>
      </c>
      <c r="D3" s="140">
        <v>53373856</v>
      </c>
      <c r="E3" s="141" t="s">
        <v>12211</v>
      </c>
      <c r="F3" s="139" t="s">
        <v>12207</v>
      </c>
    </row>
    <row r="4" spans="1:6">
      <c r="A4" s="138" t="s">
        <v>1601</v>
      </c>
      <c r="B4" s="138"/>
      <c r="C4" s="139" t="s">
        <v>12213</v>
      </c>
      <c r="D4" s="140">
        <v>154081180000</v>
      </c>
      <c r="E4" s="141" t="s">
        <v>12214</v>
      </c>
      <c r="F4" s="139" t="s">
        <v>12207</v>
      </c>
    </row>
    <row r="5" spans="1:6">
      <c r="A5" s="138" t="s">
        <v>1842</v>
      </c>
      <c r="B5" s="138"/>
      <c r="C5" s="139" t="s">
        <v>12215</v>
      </c>
      <c r="D5" s="140">
        <v>219400100000</v>
      </c>
      <c r="E5" s="141" t="s">
        <v>12217</v>
      </c>
      <c r="F5" s="139" t="s">
        <v>12207</v>
      </c>
    </row>
    <row r="6" spans="1:6">
      <c r="A6" s="138" t="s">
        <v>99</v>
      </c>
      <c r="B6" s="138" t="s">
        <v>1571</v>
      </c>
      <c r="C6" s="139" t="s">
        <v>12212</v>
      </c>
      <c r="D6" s="140">
        <v>317139350000</v>
      </c>
      <c r="E6" s="141" t="s">
        <v>12216</v>
      </c>
      <c r="F6" s="139" t="s">
        <v>12207</v>
      </c>
    </row>
    <row r="7" spans="1:6">
      <c r="A7" s="138" t="s">
        <v>1656</v>
      </c>
      <c r="B7" s="138"/>
      <c r="C7" s="139" t="s">
        <v>12218</v>
      </c>
      <c r="D7" s="140">
        <v>707464000</v>
      </c>
      <c r="E7" s="141" t="s">
        <v>12219</v>
      </c>
      <c r="F7" s="139" t="s">
        <v>12207</v>
      </c>
    </row>
    <row r="8" spans="1:6">
      <c r="A8" s="138" t="s">
        <v>1757</v>
      </c>
      <c r="B8" s="138"/>
      <c r="C8" s="139" t="s">
        <v>12220</v>
      </c>
      <c r="D8" s="140">
        <v>217026190</v>
      </c>
      <c r="E8" s="141" t="s">
        <v>12221</v>
      </c>
      <c r="F8" s="139" t="s">
        <v>12207</v>
      </c>
    </row>
    <row r="9" spans="1:6">
      <c r="A9" s="138" t="s">
        <v>1937</v>
      </c>
      <c r="B9" s="138"/>
      <c r="C9" s="139" t="s">
        <v>12222</v>
      </c>
      <c r="D9" s="140">
        <v>49810403000</v>
      </c>
      <c r="E9" s="141" t="s">
        <v>12223</v>
      </c>
      <c r="F9" s="139" t="s">
        <v>12207</v>
      </c>
    </row>
    <row r="10" spans="1:6">
      <c r="A10" s="138" t="s">
        <v>1616</v>
      </c>
      <c r="B10" s="138"/>
      <c r="C10" s="139" t="s">
        <v>12208</v>
      </c>
      <c r="D10" s="140">
        <v>29916094000</v>
      </c>
      <c r="E10" s="141" t="s">
        <v>12206</v>
      </c>
      <c r="F10" s="139" t="s">
        <v>12207</v>
      </c>
    </row>
    <row r="11" spans="1:6">
      <c r="A11" s="138" t="s">
        <v>1712</v>
      </c>
      <c r="B11" s="138"/>
      <c r="C11" s="139" t="s">
        <v>12224</v>
      </c>
      <c r="D11" s="140">
        <v>864559000</v>
      </c>
      <c r="E11" s="141" t="s">
        <v>12221</v>
      </c>
      <c r="F11" s="139" t="s">
        <v>12207</v>
      </c>
    </row>
    <row r="12" spans="1:6">
      <c r="A12" s="138" t="s">
        <v>1641</v>
      </c>
      <c r="B12" s="138"/>
      <c r="C12" s="142" t="s">
        <v>12226</v>
      </c>
      <c r="D12" s="143">
        <v>14031115000</v>
      </c>
      <c r="E12" s="142" t="s">
        <v>12210</v>
      </c>
      <c r="F12" s="142" t="s">
        <v>12207</v>
      </c>
    </row>
  </sheetData>
  <hyperlinks>
    <hyperlink ref="A2" r:id="rId1" display="https://rusetfs.com/etf/FINC/overview" xr:uid="{BDB73C1E-5BEA-4D1B-B521-AC33743571F5}"/>
    <hyperlink ref="A3" r:id="rId2" display="https://rusetfs.com/etf/SCLI/overview" xr:uid="{FA756911-042F-4D36-99CB-7A61E051191C}"/>
    <hyperlink ref="A4" r:id="rId3" display="https://rusetfs.com/etf/AKMM/overview" xr:uid="{4BEF5513-35B7-4A15-839D-BBDFA5A76CF9}"/>
    <hyperlink ref="A5" r:id="rId4" display="https://rusetfs.com/etf/SBMM/overview" xr:uid="{9FDF5432-C6FD-4AB0-B766-18A015740B53}"/>
    <hyperlink ref="A6" r:id="rId5" display="https://rusetfs.com/etf/LQDT/overview" xr:uid="{155D018E-CB3A-452A-950D-9251BBDBF88C}"/>
    <hyperlink ref="A7" r:id="rId6" display="https://rusetfs.com/etf/CASH/overview" xr:uid="{6304BFA2-7D06-43FC-A55E-8EB88C223464}"/>
    <hyperlink ref="A8" r:id="rId7" display="https://rusetfs.com/etf/PSMM/overview" xr:uid="{D49ECC9C-85F8-4790-9E63-105225B1476B}"/>
    <hyperlink ref="A9" r:id="rId8" display="https://rusetfs.com/etf/TMON/overview" xr:uid="{007689CF-CCA5-45BF-A33F-A0B75926D8BE}"/>
    <hyperlink ref="A10" r:id="rId9" display="https://rusetfs.com/etf/AMNR/overview" xr:uid="{7FCBC359-EAA7-4B6F-881E-9761964DC531}"/>
    <hyperlink ref="A11" r:id="rId10" display="https://rusetfs.com/etf/FMMM/overview" xr:uid="{57BFB022-65E3-4023-8F66-4FB7E4725904}"/>
    <hyperlink ref="A12" r:id="rId11" display="https://rusetfs.com/etf/BCSD/overview" xr:uid="{4A0FE206-D316-4070-B4FA-E351CD8851FD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664C9-97F7-41E7-9F20-DF0732966F1D}">
  <sheetPr codeName="Лист3"/>
  <dimension ref="A1:G13"/>
  <sheetViews>
    <sheetView tabSelected="1" workbookViewId="0">
      <selection activeCell="C29" sqref="C29"/>
    </sheetView>
  </sheetViews>
  <sheetFormatPr defaultRowHeight="15"/>
  <cols>
    <col min="1" max="1" width="16.28515625" bestFit="1" customWidth="1"/>
    <col min="3" max="3" width="34.5703125" customWidth="1"/>
    <col min="7" max="7" width="30" bestFit="1" customWidth="1"/>
  </cols>
  <sheetData>
    <row r="1" spans="1:7">
      <c r="A1" t="s">
        <v>85</v>
      </c>
      <c r="C1" t="s">
        <v>86</v>
      </c>
      <c r="E1" t="s">
        <v>12926</v>
      </c>
      <c r="G1" t="s">
        <v>12947</v>
      </c>
    </row>
    <row r="2" spans="1:7">
      <c r="A2" t="s">
        <v>83</v>
      </c>
      <c r="C2" t="s">
        <v>87</v>
      </c>
      <c r="E2" t="s">
        <v>2125</v>
      </c>
      <c r="G2" t="s">
        <v>12961</v>
      </c>
    </row>
    <row r="3" spans="1:7">
      <c r="A3" t="s">
        <v>82</v>
      </c>
      <c r="C3" t="s">
        <v>88</v>
      </c>
      <c r="E3" t="s">
        <v>12807</v>
      </c>
      <c r="G3" t="s">
        <v>12962</v>
      </c>
    </row>
    <row r="4" spans="1:7">
      <c r="A4" t="s">
        <v>84</v>
      </c>
      <c r="C4" t="s">
        <v>89</v>
      </c>
      <c r="G4" t="s">
        <v>12963</v>
      </c>
    </row>
    <row r="5" spans="1:7">
      <c r="C5" t="s">
        <v>90</v>
      </c>
      <c r="G5" t="s">
        <v>12964</v>
      </c>
    </row>
    <row r="6" spans="1:7">
      <c r="G6" t="s">
        <v>12965</v>
      </c>
    </row>
    <row r="7" spans="1:7">
      <c r="G7" t="s">
        <v>12966</v>
      </c>
    </row>
    <row r="8" spans="1:7">
      <c r="G8" t="s">
        <v>12967</v>
      </c>
    </row>
    <row r="9" spans="1:7">
      <c r="G9" t="s">
        <v>12968</v>
      </c>
    </row>
    <row r="10" spans="1:7">
      <c r="G10" t="s">
        <v>12969</v>
      </c>
    </row>
    <row r="11" spans="1:7">
      <c r="G11" t="s">
        <v>12970</v>
      </c>
    </row>
    <row r="12" spans="1:7">
      <c r="G12" t="s">
        <v>12971</v>
      </c>
    </row>
    <row r="13" spans="1:7">
      <c r="G13" t="s">
        <v>12972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500B-9078-4DD5-AB11-B9B771CC8213}">
  <sheetPr codeName="Лист13">
    <tabColor theme="5"/>
  </sheetPr>
  <dimension ref="A1:AL2914"/>
  <sheetViews>
    <sheetView topLeftCell="B1" zoomScaleNormal="100" workbookViewId="0">
      <pane xSplit="5" ySplit="1" topLeftCell="G2" activePane="bottomRight" state="frozen"/>
      <selection activeCell="B1" sqref="B1"/>
      <selection pane="topRight" activeCell="G1" sqref="G1"/>
      <selection pane="bottomLeft" activeCell="B2" sqref="B2"/>
      <selection pane="bottomRight" activeCell="AJ9" sqref="AJ9"/>
    </sheetView>
  </sheetViews>
  <sheetFormatPr defaultRowHeight="15"/>
  <cols>
    <col min="1" max="1" width="26.28515625" customWidth="1"/>
    <col min="27" max="27" width="10.5703125" customWidth="1"/>
    <col min="28" max="28" width="10.140625" customWidth="1"/>
  </cols>
  <sheetData>
    <row r="1" spans="1:38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  <c r="N1" t="s">
        <v>239</v>
      </c>
      <c r="O1" t="s">
        <v>240</v>
      </c>
      <c r="P1" t="s">
        <v>241</v>
      </c>
      <c r="Q1" t="s">
        <v>242</v>
      </c>
      <c r="R1" t="s">
        <v>243</v>
      </c>
      <c r="S1" t="s">
        <v>244</v>
      </c>
      <c r="T1" t="s">
        <v>245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252</v>
      </c>
      <c r="AB1" t="s">
        <v>253</v>
      </c>
      <c r="AC1" t="s">
        <v>254</v>
      </c>
      <c r="AD1" t="s">
        <v>52</v>
      </c>
      <c r="AE1" t="s">
        <v>255</v>
      </c>
      <c r="AF1" t="s">
        <v>256</v>
      </c>
      <c r="AG1" t="s">
        <v>257</v>
      </c>
      <c r="AH1" t="s">
        <v>258</v>
      </c>
      <c r="AI1" t="s">
        <v>259</v>
      </c>
      <c r="AJ1" t="s">
        <v>260</v>
      </c>
      <c r="AK1" t="s">
        <v>261</v>
      </c>
      <c r="AL1" t="s">
        <v>262</v>
      </c>
    </row>
    <row r="2" spans="1:38">
      <c r="A2" t="s">
        <v>263</v>
      </c>
      <c r="B2" t="s">
        <v>264</v>
      </c>
      <c r="C2" t="s">
        <v>265</v>
      </c>
      <c r="D2" t="s">
        <v>266</v>
      </c>
      <c r="E2" t="s">
        <v>267</v>
      </c>
      <c r="F2" t="s">
        <v>268</v>
      </c>
      <c r="G2">
        <v>1</v>
      </c>
      <c r="H2">
        <v>1000</v>
      </c>
      <c r="I2">
        <v>5.0000000000000001E-4</v>
      </c>
      <c r="J2">
        <v>1</v>
      </c>
      <c r="K2">
        <v>-0.48</v>
      </c>
      <c r="L2">
        <v>2.0775000000000001</v>
      </c>
      <c r="M2">
        <v>2.0910000000000002</v>
      </c>
      <c r="N2">
        <v>2.1080000000000001</v>
      </c>
      <c r="O2">
        <v>2.0760000000000001</v>
      </c>
      <c r="P2">
        <v>0</v>
      </c>
      <c r="Q2">
        <v>0</v>
      </c>
      <c r="R2">
        <v>0</v>
      </c>
      <c r="S2">
        <v>2.1034999999999999</v>
      </c>
      <c r="T2">
        <v>2.0920000000000001</v>
      </c>
      <c r="U2">
        <v>2.0750000000000002</v>
      </c>
      <c r="V2">
        <v>2.1274999999999999</v>
      </c>
      <c r="W2">
        <v>13888624</v>
      </c>
      <c r="X2">
        <v>2.0764999999999998</v>
      </c>
      <c r="Y2">
        <v>2.0785</v>
      </c>
      <c r="Z2">
        <v>1063</v>
      </c>
      <c r="AA2">
        <v>39749359700</v>
      </c>
      <c r="AB2">
        <v>4155</v>
      </c>
      <c r="AC2">
        <v>0</v>
      </c>
      <c r="AD2" t="s">
        <v>94</v>
      </c>
      <c r="AE2" t="s">
        <v>94</v>
      </c>
      <c r="AF2" t="s">
        <v>226</v>
      </c>
      <c r="AG2" t="s">
        <v>226</v>
      </c>
      <c r="AH2">
        <v>-100</v>
      </c>
      <c r="AI2" t="s">
        <v>269</v>
      </c>
      <c r="AJ2" t="s">
        <v>270</v>
      </c>
      <c r="AK2" t="s">
        <v>271</v>
      </c>
      <c r="AL2" t="s">
        <v>272</v>
      </c>
    </row>
    <row r="3" spans="1:38">
      <c r="A3" t="s">
        <v>273</v>
      </c>
      <c r="B3" t="s">
        <v>226</v>
      </c>
      <c r="C3" t="s">
        <v>274</v>
      </c>
      <c r="D3" t="s">
        <v>275</v>
      </c>
      <c r="E3" t="s">
        <v>276</v>
      </c>
      <c r="F3" t="s">
        <v>277</v>
      </c>
      <c r="G3">
        <v>1</v>
      </c>
      <c r="H3">
        <v>1</v>
      </c>
      <c r="I3">
        <v>0.2</v>
      </c>
      <c r="J3" t="s">
        <v>226</v>
      </c>
      <c r="K3">
        <v>0</v>
      </c>
      <c r="L3">
        <v>0</v>
      </c>
      <c r="M3">
        <v>1085.2</v>
      </c>
      <c r="N3">
        <v>1087</v>
      </c>
      <c r="O3">
        <v>1085.2</v>
      </c>
      <c r="P3">
        <v>0</v>
      </c>
      <c r="Q3">
        <v>0</v>
      </c>
      <c r="R3">
        <v>0</v>
      </c>
      <c r="S3">
        <v>1083.8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 t="s">
        <v>2</v>
      </c>
      <c r="AE3" t="s">
        <v>94</v>
      </c>
      <c r="AF3" t="s">
        <v>226</v>
      </c>
      <c r="AG3" t="s">
        <v>226</v>
      </c>
      <c r="AH3">
        <v>-100</v>
      </c>
      <c r="AI3" t="s">
        <v>269</v>
      </c>
      <c r="AJ3" t="s">
        <v>270</v>
      </c>
      <c r="AK3" t="s">
        <v>278</v>
      </c>
      <c r="AL3" t="s">
        <v>272</v>
      </c>
    </row>
    <row r="4" spans="1:38">
      <c r="A4" t="s">
        <v>279</v>
      </c>
      <c r="B4" t="s">
        <v>226</v>
      </c>
      <c r="C4" t="s">
        <v>280</v>
      </c>
      <c r="D4" t="s">
        <v>281</v>
      </c>
      <c r="E4" t="s">
        <v>282</v>
      </c>
      <c r="F4" t="s">
        <v>277</v>
      </c>
      <c r="G4">
        <v>1</v>
      </c>
      <c r="H4">
        <v>1</v>
      </c>
      <c r="I4">
        <v>0.2</v>
      </c>
      <c r="J4" t="s">
        <v>226</v>
      </c>
      <c r="K4">
        <v>-3.5</v>
      </c>
      <c r="L4">
        <v>535.20000000000005</v>
      </c>
      <c r="M4">
        <v>554.6</v>
      </c>
      <c r="N4">
        <v>556.4</v>
      </c>
      <c r="O4">
        <v>534</v>
      </c>
      <c r="P4">
        <v>0</v>
      </c>
      <c r="Q4">
        <v>0</v>
      </c>
      <c r="R4">
        <v>0</v>
      </c>
      <c r="S4">
        <v>539.79999999999995</v>
      </c>
      <c r="T4">
        <v>549.79999999999995</v>
      </c>
      <c r="U4">
        <v>529</v>
      </c>
      <c r="V4">
        <v>551.79999999999995</v>
      </c>
      <c r="W4">
        <v>44275995</v>
      </c>
      <c r="X4">
        <v>533.4</v>
      </c>
      <c r="Y4">
        <v>535.20000000000005</v>
      </c>
      <c r="Z4">
        <v>2308</v>
      </c>
      <c r="AA4">
        <v>0</v>
      </c>
      <c r="AB4">
        <v>3211.2</v>
      </c>
      <c r="AC4">
        <v>0</v>
      </c>
      <c r="AD4" t="s">
        <v>94</v>
      </c>
      <c r="AE4" t="s">
        <v>94</v>
      </c>
      <c r="AF4" t="s">
        <v>226</v>
      </c>
      <c r="AG4" t="s">
        <v>226</v>
      </c>
      <c r="AH4">
        <v>-100</v>
      </c>
      <c r="AI4" t="s">
        <v>269</v>
      </c>
      <c r="AJ4" t="s">
        <v>270</v>
      </c>
      <c r="AK4" t="s">
        <v>278</v>
      </c>
      <c r="AL4" t="s">
        <v>272</v>
      </c>
    </row>
    <row r="5" spans="1:38">
      <c r="A5" t="s">
        <v>283</v>
      </c>
      <c r="B5" t="s">
        <v>226</v>
      </c>
      <c r="C5" t="s">
        <v>284</v>
      </c>
      <c r="D5" t="s">
        <v>285</v>
      </c>
      <c r="E5" t="s">
        <v>286</v>
      </c>
      <c r="F5" t="s">
        <v>277</v>
      </c>
      <c r="G5">
        <v>1</v>
      </c>
      <c r="H5">
        <v>1</v>
      </c>
      <c r="I5">
        <v>0.02</v>
      </c>
      <c r="J5" t="s">
        <v>226</v>
      </c>
      <c r="K5">
        <v>-0.94</v>
      </c>
      <c r="L5">
        <v>50.38</v>
      </c>
      <c r="M5">
        <v>50.86</v>
      </c>
      <c r="N5">
        <v>51.8</v>
      </c>
      <c r="O5">
        <v>50.26</v>
      </c>
      <c r="P5">
        <v>0</v>
      </c>
      <c r="Q5">
        <v>0</v>
      </c>
      <c r="R5">
        <v>0</v>
      </c>
      <c r="S5">
        <v>50.74</v>
      </c>
      <c r="T5">
        <v>51.02</v>
      </c>
      <c r="U5">
        <v>49.84</v>
      </c>
      <c r="V5">
        <v>51.54</v>
      </c>
      <c r="W5">
        <v>21909847</v>
      </c>
      <c r="X5">
        <v>50.3</v>
      </c>
      <c r="Y5">
        <v>50.38</v>
      </c>
      <c r="Z5">
        <v>3322</v>
      </c>
      <c r="AA5">
        <v>0</v>
      </c>
      <c r="AB5">
        <v>50.38</v>
      </c>
      <c r="AC5">
        <v>0</v>
      </c>
      <c r="AD5" t="s">
        <v>2</v>
      </c>
      <c r="AE5" t="s">
        <v>94</v>
      </c>
      <c r="AF5" t="s">
        <v>226</v>
      </c>
      <c r="AG5" t="s">
        <v>226</v>
      </c>
      <c r="AH5">
        <v>-100</v>
      </c>
      <c r="AI5" t="s">
        <v>269</v>
      </c>
      <c r="AJ5" t="s">
        <v>270</v>
      </c>
      <c r="AK5" t="s">
        <v>278</v>
      </c>
      <c r="AL5" t="s">
        <v>272</v>
      </c>
    </row>
    <row r="6" spans="1:38">
      <c r="A6" t="s">
        <v>287</v>
      </c>
      <c r="B6" t="s">
        <v>226</v>
      </c>
      <c r="C6" t="s">
        <v>288</v>
      </c>
      <c r="D6" t="s">
        <v>289</v>
      </c>
      <c r="E6" t="s">
        <v>290</v>
      </c>
      <c r="F6" t="s">
        <v>277</v>
      </c>
      <c r="G6">
        <v>1</v>
      </c>
      <c r="H6">
        <v>1</v>
      </c>
      <c r="I6">
        <v>0.1</v>
      </c>
      <c r="J6" t="s">
        <v>226</v>
      </c>
      <c r="K6">
        <v>0.28999999999999998</v>
      </c>
      <c r="L6">
        <v>174</v>
      </c>
      <c r="M6">
        <v>174.5</v>
      </c>
      <c r="N6">
        <v>175</v>
      </c>
      <c r="O6">
        <v>173.9</v>
      </c>
      <c r="P6">
        <v>0</v>
      </c>
      <c r="Q6">
        <v>0</v>
      </c>
      <c r="R6">
        <v>0</v>
      </c>
      <c r="S6">
        <v>175.5</v>
      </c>
      <c r="T6">
        <v>172.1</v>
      </c>
      <c r="U6">
        <v>172.1</v>
      </c>
      <c r="V6">
        <v>179.9</v>
      </c>
      <c r="W6">
        <v>11606001</v>
      </c>
      <c r="X6">
        <v>174</v>
      </c>
      <c r="Y6">
        <v>174.3</v>
      </c>
      <c r="Z6">
        <v>1141</v>
      </c>
      <c r="AA6">
        <v>0</v>
      </c>
      <c r="AB6">
        <v>17922</v>
      </c>
      <c r="AC6">
        <v>0</v>
      </c>
      <c r="AD6" t="s">
        <v>2</v>
      </c>
      <c r="AE6" t="s">
        <v>94</v>
      </c>
      <c r="AF6" t="s">
        <v>226</v>
      </c>
      <c r="AG6" t="s">
        <v>226</v>
      </c>
      <c r="AH6">
        <v>-100</v>
      </c>
      <c r="AI6" t="s">
        <v>269</v>
      </c>
      <c r="AJ6" t="s">
        <v>270</v>
      </c>
      <c r="AK6" t="s">
        <v>278</v>
      </c>
      <c r="AL6" t="s">
        <v>272</v>
      </c>
    </row>
    <row r="7" spans="1:38">
      <c r="A7" t="s">
        <v>291</v>
      </c>
      <c r="B7" t="s">
        <v>292</v>
      </c>
      <c r="C7" t="s">
        <v>293</v>
      </c>
      <c r="D7" t="s">
        <v>132</v>
      </c>
      <c r="E7" t="s">
        <v>133</v>
      </c>
      <c r="F7" t="s">
        <v>268</v>
      </c>
      <c r="G7">
        <v>1</v>
      </c>
      <c r="H7">
        <v>1</v>
      </c>
      <c r="I7">
        <v>0.1</v>
      </c>
      <c r="J7">
        <v>7.1687200000000004</v>
      </c>
      <c r="K7">
        <v>-1.03</v>
      </c>
      <c r="L7">
        <v>845.2</v>
      </c>
      <c r="M7">
        <v>854</v>
      </c>
      <c r="N7">
        <v>852.3</v>
      </c>
      <c r="O7">
        <v>843.8</v>
      </c>
      <c r="P7">
        <v>0</v>
      </c>
      <c r="Q7">
        <v>0</v>
      </c>
      <c r="R7">
        <v>0</v>
      </c>
      <c r="S7">
        <v>850.6</v>
      </c>
      <c r="T7">
        <v>857</v>
      </c>
      <c r="U7">
        <v>841</v>
      </c>
      <c r="V7">
        <v>859.5</v>
      </c>
      <c r="W7">
        <v>54188731</v>
      </c>
      <c r="X7">
        <v>845</v>
      </c>
      <c r="Y7">
        <v>845.2</v>
      </c>
      <c r="Z7">
        <v>4609</v>
      </c>
      <c r="AA7">
        <v>75125010</v>
      </c>
      <c r="AB7">
        <v>2535.6</v>
      </c>
      <c r="AC7">
        <v>0</v>
      </c>
      <c r="AD7" t="s">
        <v>94</v>
      </c>
      <c r="AE7" t="s">
        <v>94</v>
      </c>
      <c r="AF7" t="s">
        <v>226</v>
      </c>
      <c r="AG7" t="s">
        <v>226</v>
      </c>
      <c r="AH7">
        <v>-100</v>
      </c>
      <c r="AI7" t="s">
        <v>269</v>
      </c>
      <c r="AJ7" t="s">
        <v>270</v>
      </c>
      <c r="AK7" t="s">
        <v>271</v>
      </c>
      <c r="AL7" t="s">
        <v>272</v>
      </c>
    </row>
    <row r="8" spans="1:38">
      <c r="A8" t="s">
        <v>294</v>
      </c>
      <c r="B8" t="s">
        <v>226</v>
      </c>
      <c r="C8" t="s">
        <v>295</v>
      </c>
      <c r="D8" t="s">
        <v>296</v>
      </c>
      <c r="E8" t="s">
        <v>297</v>
      </c>
      <c r="F8" t="s">
        <v>277</v>
      </c>
      <c r="G8">
        <v>2</v>
      </c>
      <c r="H8">
        <v>10</v>
      </c>
      <c r="I8">
        <v>0.01</v>
      </c>
      <c r="J8" t="s">
        <v>226</v>
      </c>
      <c r="K8">
        <v>-2.36</v>
      </c>
      <c r="L8">
        <v>21.96</v>
      </c>
      <c r="M8">
        <v>22.49</v>
      </c>
      <c r="N8">
        <v>22.62</v>
      </c>
      <c r="O8">
        <v>22</v>
      </c>
      <c r="P8">
        <v>0</v>
      </c>
      <c r="Q8">
        <v>0</v>
      </c>
      <c r="R8">
        <v>0</v>
      </c>
      <c r="S8">
        <v>22.45</v>
      </c>
      <c r="T8">
        <v>22.49</v>
      </c>
      <c r="U8">
        <v>21.83</v>
      </c>
      <c r="V8">
        <v>23.29</v>
      </c>
      <c r="W8">
        <v>2147315</v>
      </c>
      <c r="X8">
        <v>21.96</v>
      </c>
      <c r="Y8">
        <v>22</v>
      </c>
      <c r="Z8">
        <v>570</v>
      </c>
      <c r="AA8">
        <v>0</v>
      </c>
      <c r="AB8">
        <v>219.6</v>
      </c>
      <c r="AC8">
        <v>0</v>
      </c>
      <c r="AD8" t="s">
        <v>2</v>
      </c>
      <c r="AE8" t="s">
        <v>94</v>
      </c>
      <c r="AF8" t="s">
        <v>226</v>
      </c>
      <c r="AG8" t="s">
        <v>226</v>
      </c>
      <c r="AH8">
        <v>-100</v>
      </c>
      <c r="AI8" t="s">
        <v>269</v>
      </c>
      <c r="AJ8" t="s">
        <v>270</v>
      </c>
      <c r="AK8" t="s">
        <v>278</v>
      </c>
      <c r="AL8" t="s">
        <v>272</v>
      </c>
    </row>
    <row r="9" spans="1:38">
      <c r="A9" t="s">
        <v>298</v>
      </c>
      <c r="B9" t="s">
        <v>226</v>
      </c>
      <c r="C9" t="s">
        <v>299</v>
      </c>
      <c r="D9" t="s">
        <v>104</v>
      </c>
      <c r="E9" t="s">
        <v>105</v>
      </c>
      <c r="F9" t="s">
        <v>277</v>
      </c>
      <c r="G9">
        <v>1</v>
      </c>
      <c r="H9">
        <v>1</v>
      </c>
      <c r="I9">
        <v>0.5</v>
      </c>
      <c r="J9" t="s">
        <v>226</v>
      </c>
      <c r="K9">
        <v>-0.4</v>
      </c>
      <c r="L9">
        <v>2719.5</v>
      </c>
      <c r="M9">
        <v>2731</v>
      </c>
      <c r="N9">
        <v>2784.5</v>
      </c>
      <c r="O9">
        <v>2713</v>
      </c>
      <c r="P9">
        <v>0</v>
      </c>
      <c r="Q9">
        <v>0</v>
      </c>
      <c r="R9">
        <v>0</v>
      </c>
      <c r="S9">
        <v>2738.5</v>
      </c>
      <c r="T9">
        <v>2730</v>
      </c>
      <c r="U9">
        <v>2700</v>
      </c>
      <c r="V9">
        <v>2786.5</v>
      </c>
      <c r="W9">
        <v>2619198377</v>
      </c>
      <c r="X9">
        <v>2718</v>
      </c>
      <c r="Y9">
        <v>2719.5</v>
      </c>
      <c r="Z9">
        <v>31537</v>
      </c>
      <c r="AA9">
        <v>0</v>
      </c>
      <c r="AB9">
        <v>2719.5</v>
      </c>
      <c r="AC9">
        <v>0</v>
      </c>
      <c r="AD9" t="s">
        <v>2</v>
      </c>
      <c r="AE9" t="s">
        <v>94</v>
      </c>
      <c r="AF9" t="s">
        <v>226</v>
      </c>
      <c r="AG9" t="s">
        <v>226</v>
      </c>
      <c r="AH9">
        <v>-100</v>
      </c>
      <c r="AI9" t="s">
        <v>269</v>
      </c>
      <c r="AJ9" t="s">
        <v>270</v>
      </c>
      <c r="AK9" t="s">
        <v>278</v>
      </c>
      <c r="AL9" t="s">
        <v>272</v>
      </c>
    </row>
    <row r="10" spans="1:38">
      <c r="A10" t="s">
        <v>300</v>
      </c>
      <c r="B10" t="s">
        <v>226</v>
      </c>
      <c r="C10" t="s">
        <v>301</v>
      </c>
      <c r="D10" t="s">
        <v>302</v>
      </c>
      <c r="E10" t="s">
        <v>303</v>
      </c>
      <c r="F10" t="s">
        <v>268</v>
      </c>
      <c r="G10">
        <v>3</v>
      </c>
      <c r="H10">
        <v>10</v>
      </c>
      <c r="I10">
        <v>0.05</v>
      </c>
      <c r="J10">
        <v>1E-3</v>
      </c>
      <c r="K10">
        <v>0.55000000000000004</v>
      </c>
      <c r="L10">
        <v>27.55</v>
      </c>
      <c r="M10">
        <v>27.4</v>
      </c>
      <c r="N10">
        <v>28</v>
      </c>
      <c r="O10">
        <v>27.55</v>
      </c>
      <c r="P10">
        <v>0</v>
      </c>
      <c r="Q10">
        <v>0</v>
      </c>
      <c r="R10">
        <v>0</v>
      </c>
      <c r="S10">
        <v>27.55</v>
      </c>
      <c r="T10">
        <v>27.6</v>
      </c>
      <c r="U10">
        <v>27.45</v>
      </c>
      <c r="V10">
        <v>27.75</v>
      </c>
      <c r="W10">
        <v>32522</v>
      </c>
      <c r="X10">
        <v>27.5</v>
      </c>
      <c r="Y10">
        <v>27.6</v>
      </c>
      <c r="Z10">
        <v>13</v>
      </c>
      <c r="AA10">
        <v>1749127404</v>
      </c>
      <c r="AB10">
        <v>15703.5</v>
      </c>
      <c r="AC10">
        <v>0</v>
      </c>
      <c r="AD10" t="s">
        <v>2</v>
      </c>
      <c r="AE10" t="s">
        <v>94</v>
      </c>
      <c r="AF10" t="s">
        <v>304</v>
      </c>
      <c r="AG10" t="s">
        <v>226</v>
      </c>
      <c r="AH10">
        <v>0</v>
      </c>
      <c r="AI10" t="s">
        <v>269</v>
      </c>
      <c r="AJ10" t="s">
        <v>270</v>
      </c>
      <c r="AK10" t="s">
        <v>271</v>
      </c>
      <c r="AL10" t="s">
        <v>272</v>
      </c>
    </row>
    <row r="11" spans="1:38">
      <c r="A11" t="s">
        <v>305</v>
      </c>
      <c r="B11" t="s">
        <v>226</v>
      </c>
      <c r="C11" t="s">
        <v>306</v>
      </c>
      <c r="D11" t="s">
        <v>307</v>
      </c>
      <c r="E11" t="s">
        <v>308</v>
      </c>
      <c r="F11" t="s">
        <v>277</v>
      </c>
      <c r="G11">
        <v>3</v>
      </c>
      <c r="H11">
        <v>1</v>
      </c>
      <c r="I11">
        <v>0.2</v>
      </c>
      <c r="J11" t="s">
        <v>226</v>
      </c>
      <c r="K11">
        <v>0.34</v>
      </c>
      <c r="L11">
        <v>174.8</v>
      </c>
      <c r="M11">
        <v>177</v>
      </c>
      <c r="N11">
        <v>179.6</v>
      </c>
      <c r="O11">
        <v>175</v>
      </c>
      <c r="P11">
        <v>0</v>
      </c>
      <c r="Q11">
        <v>0</v>
      </c>
      <c r="R11">
        <v>0</v>
      </c>
      <c r="S11">
        <v>176.4</v>
      </c>
      <c r="T11">
        <v>174.6</v>
      </c>
      <c r="U11">
        <v>173</v>
      </c>
      <c r="V11">
        <v>180.8</v>
      </c>
      <c r="W11">
        <v>21700978</v>
      </c>
      <c r="X11">
        <v>174.8</v>
      </c>
      <c r="Y11">
        <v>175.2</v>
      </c>
      <c r="Z11">
        <v>1488</v>
      </c>
      <c r="AA11">
        <v>0</v>
      </c>
      <c r="AB11">
        <v>874</v>
      </c>
      <c r="AC11">
        <v>0</v>
      </c>
      <c r="AD11" t="s">
        <v>2</v>
      </c>
      <c r="AE11" t="s">
        <v>94</v>
      </c>
      <c r="AF11" t="s">
        <v>226</v>
      </c>
      <c r="AG11" t="s">
        <v>226</v>
      </c>
      <c r="AH11">
        <v>10</v>
      </c>
      <c r="AI11" t="s">
        <v>269</v>
      </c>
      <c r="AJ11" t="s">
        <v>270</v>
      </c>
      <c r="AK11" t="s">
        <v>278</v>
      </c>
      <c r="AL11" t="s">
        <v>272</v>
      </c>
    </row>
    <row r="12" spans="1:38">
      <c r="A12" t="s">
        <v>309</v>
      </c>
      <c r="B12" t="s">
        <v>310</v>
      </c>
      <c r="C12" t="s">
        <v>311</v>
      </c>
      <c r="D12" t="s">
        <v>312</v>
      </c>
      <c r="E12" t="s">
        <v>313</v>
      </c>
      <c r="F12" t="s">
        <v>268</v>
      </c>
      <c r="G12">
        <v>2</v>
      </c>
      <c r="H12">
        <v>10</v>
      </c>
      <c r="I12">
        <v>0.02</v>
      </c>
      <c r="J12">
        <v>0.1</v>
      </c>
      <c r="K12">
        <v>0.11</v>
      </c>
      <c r="L12">
        <v>75.48</v>
      </c>
      <c r="M12">
        <v>75.42</v>
      </c>
      <c r="N12">
        <v>76.760000000000005</v>
      </c>
      <c r="O12">
        <v>75.819999999999993</v>
      </c>
      <c r="P12">
        <v>0</v>
      </c>
      <c r="Q12">
        <v>0</v>
      </c>
      <c r="R12">
        <v>0</v>
      </c>
      <c r="S12">
        <v>75.819999999999993</v>
      </c>
      <c r="T12">
        <v>75.400000000000006</v>
      </c>
      <c r="U12">
        <v>74.64</v>
      </c>
      <c r="V12">
        <v>77</v>
      </c>
      <c r="W12">
        <v>16049018</v>
      </c>
      <c r="X12">
        <v>75.36</v>
      </c>
      <c r="Y12">
        <v>75.7</v>
      </c>
      <c r="Z12">
        <v>1437</v>
      </c>
      <c r="AA12">
        <v>110000000</v>
      </c>
      <c r="AB12">
        <v>1509.6</v>
      </c>
      <c r="AC12">
        <v>0</v>
      </c>
      <c r="AD12" t="s">
        <v>94</v>
      </c>
      <c r="AE12" t="s">
        <v>94</v>
      </c>
      <c r="AF12" t="s">
        <v>226</v>
      </c>
      <c r="AG12" t="s">
        <v>226</v>
      </c>
      <c r="AH12">
        <v>-100</v>
      </c>
      <c r="AI12" t="s">
        <v>269</v>
      </c>
      <c r="AJ12" t="s">
        <v>270</v>
      </c>
      <c r="AK12" t="s">
        <v>271</v>
      </c>
      <c r="AL12" t="s">
        <v>272</v>
      </c>
    </row>
    <row r="13" spans="1:38">
      <c r="A13" t="s">
        <v>314</v>
      </c>
      <c r="B13" t="s">
        <v>315</v>
      </c>
      <c r="C13" t="s">
        <v>316</v>
      </c>
      <c r="D13" t="s">
        <v>317</v>
      </c>
      <c r="E13" t="s">
        <v>318</v>
      </c>
      <c r="F13" t="s">
        <v>268</v>
      </c>
      <c r="G13">
        <v>3</v>
      </c>
      <c r="H13">
        <v>1000</v>
      </c>
      <c r="I13">
        <v>5.0000000000000001E-4</v>
      </c>
      <c r="J13">
        <v>0.27</v>
      </c>
      <c r="K13">
        <v>-0.42</v>
      </c>
      <c r="L13">
        <v>0.59450000000000003</v>
      </c>
      <c r="M13">
        <v>0.59950000000000003</v>
      </c>
      <c r="N13">
        <v>0.59950000000000003</v>
      </c>
      <c r="O13">
        <v>0.59199999999999997</v>
      </c>
      <c r="P13">
        <v>0</v>
      </c>
      <c r="Q13">
        <v>0</v>
      </c>
      <c r="R13">
        <v>0</v>
      </c>
      <c r="S13">
        <v>0.60499999999999998</v>
      </c>
      <c r="T13">
        <v>0.60099999999999998</v>
      </c>
      <c r="U13">
        <v>0.59050000000000002</v>
      </c>
      <c r="V13">
        <v>0.61350000000000005</v>
      </c>
      <c r="W13">
        <v>29529716</v>
      </c>
      <c r="X13">
        <v>0.59350000000000003</v>
      </c>
      <c r="Y13">
        <v>0.59499999999999997</v>
      </c>
      <c r="Z13">
        <v>1606</v>
      </c>
      <c r="AA13">
        <v>994436434417</v>
      </c>
      <c r="AB13">
        <v>3567</v>
      </c>
      <c r="AC13">
        <v>0</v>
      </c>
      <c r="AD13" t="s">
        <v>94</v>
      </c>
      <c r="AE13" t="s">
        <v>94</v>
      </c>
      <c r="AF13" t="s">
        <v>226</v>
      </c>
      <c r="AG13" t="s">
        <v>226</v>
      </c>
      <c r="AH13">
        <v>9</v>
      </c>
      <c r="AI13" t="s">
        <v>269</v>
      </c>
      <c r="AJ13" t="s">
        <v>270</v>
      </c>
      <c r="AK13" t="s">
        <v>271</v>
      </c>
      <c r="AL13" t="s">
        <v>272</v>
      </c>
    </row>
    <row r="14" spans="1:38">
      <c r="A14" t="s">
        <v>319</v>
      </c>
      <c r="B14" t="s">
        <v>320</v>
      </c>
      <c r="C14" t="s">
        <v>321</v>
      </c>
      <c r="D14" t="s">
        <v>322</v>
      </c>
      <c r="E14" t="s">
        <v>323</v>
      </c>
      <c r="F14" t="s">
        <v>268</v>
      </c>
      <c r="G14">
        <v>2</v>
      </c>
      <c r="H14">
        <v>1</v>
      </c>
      <c r="I14">
        <v>0.02</v>
      </c>
      <c r="J14">
        <v>0.05</v>
      </c>
      <c r="K14">
        <v>0.4</v>
      </c>
      <c r="L14">
        <v>114.92</v>
      </c>
      <c r="M14">
        <v>114.46</v>
      </c>
      <c r="N14">
        <v>114.78</v>
      </c>
      <c r="O14">
        <v>114.68</v>
      </c>
      <c r="P14">
        <v>0</v>
      </c>
      <c r="Q14">
        <v>0</v>
      </c>
      <c r="R14">
        <v>0</v>
      </c>
      <c r="S14">
        <v>114.68</v>
      </c>
      <c r="T14">
        <v>115</v>
      </c>
      <c r="U14">
        <v>114</v>
      </c>
      <c r="V14">
        <v>115.38</v>
      </c>
      <c r="W14">
        <v>11975688</v>
      </c>
      <c r="X14">
        <v>114.84</v>
      </c>
      <c r="Y14">
        <v>114.92</v>
      </c>
      <c r="Z14">
        <v>1745</v>
      </c>
      <c r="AA14">
        <v>209160464</v>
      </c>
      <c r="AB14">
        <v>82512.56</v>
      </c>
      <c r="AC14">
        <v>0</v>
      </c>
      <c r="AD14" t="s">
        <v>94</v>
      </c>
      <c r="AE14" t="s">
        <v>94</v>
      </c>
      <c r="AF14" t="s">
        <v>226</v>
      </c>
      <c r="AG14" t="s">
        <v>226</v>
      </c>
      <c r="AH14">
        <v>-100</v>
      </c>
      <c r="AI14" t="s">
        <v>269</v>
      </c>
      <c r="AJ14" t="s">
        <v>270</v>
      </c>
      <c r="AK14" t="s">
        <v>271</v>
      </c>
      <c r="AL14" t="s">
        <v>272</v>
      </c>
    </row>
    <row r="15" spans="1:38">
      <c r="A15" t="s">
        <v>324</v>
      </c>
      <c r="B15" t="s">
        <v>325</v>
      </c>
      <c r="C15" t="s">
        <v>326</v>
      </c>
      <c r="D15" t="s">
        <v>327</v>
      </c>
      <c r="E15" t="s">
        <v>328</v>
      </c>
      <c r="F15" t="s">
        <v>268</v>
      </c>
      <c r="G15">
        <v>2</v>
      </c>
      <c r="H15">
        <v>1</v>
      </c>
      <c r="I15">
        <v>0.01</v>
      </c>
      <c r="J15">
        <v>0.01</v>
      </c>
      <c r="K15">
        <v>-1.23</v>
      </c>
      <c r="L15">
        <v>145.69</v>
      </c>
      <c r="M15">
        <v>146.74</v>
      </c>
      <c r="N15">
        <v>146.33000000000001</v>
      </c>
      <c r="O15">
        <v>145.88</v>
      </c>
      <c r="P15">
        <v>0</v>
      </c>
      <c r="Q15">
        <v>0</v>
      </c>
      <c r="R15">
        <v>0</v>
      </c>
      <c r="S15">
        <v>149.63</v>
      </c>
      <c r="T15">
        <v>147.6</v>
      </c>
      <c r="U15">
        <v>145.6</v>
      </c>
      <c r="V15">
        <v>152</v>
      </c>
      <c r="W15">
        <v>80713571</v>
      </c>
      <c r="X15">
        <v>145.69</v>
      </c>
      <c r="Y15">
        <v>145.87</v>
      </c>
      <c r="Z15">
        <v>7810</v>
      </c>
      <c r="AA15">
        <v>111382432</v>
      </c>
      <c r="AB15">
        <v>6701.74</v>
      </c>
      <c r="AC15">
        <v>0</v>
      </c>
      <c r="AD15" t="s">
        <v>94</v>
      </c>
      <c r="AE15" t="s">
        <v>94</v>
      </c>
      <c r="AF15" t="s">
        <v>226</v>
      </c>
      <c r="AG15" t="s">
        <v>226</v>
      </c>
      <c r="AH15">
        <v>-100</v>
      </c>
      <c r="AI15" t="s">
        <v>269</v>
      </c>
      <c r="AJ15" t="s">
        <v>270</v>
      </c>
      <c r="AK15" t="s">
        <v>271</v>
      </c>
      <c r="AL15" t="s">
        <v>272</v>
      </c>
    </row>
    <row r="16" spans="1:38">
      <c r="A16" t="s">
        <v>329</v>
      </c>
      <c r="B16" t="s">
        <v>330</v>
      </c>
      <c r="C16" t="s">
        <v>331</v>
      </c>
      <c r="D16" t="s">
        <v>332</v>
      </c>
      <c r="E16" t="s">
        <v>333</v>
      </c>
      <c r="F16" t="s">
        <v>268</v>
      </c>
      <c r="G16">
        <v>3</v>
      </c>
      <c r="H16">
        <v>10</v>
      </c>
      <c r="I16">
        <v>0.01</v>
      </c>
      <c r="J16">
        <v>0.01</v>
      </c>
      <c r="K16">
        <v>0.04</v>
      </c>
      <c r="L16">
        <v>26.14</v>
      </c>
      <c r="M16">
        <v>26.13</v>
      </c>
      <c r="N16">
        <v>26.27</v>
      </c>
      <c r="O16">
        <v>26.05</v>
      </c>
      <c r="P16">
        <v>0</v>
      </c>
      <c r="Q16">
        <v>0</v>
      </c>
      <c r="R16">
        <v>0</v>
      </c>
      <c r="S16">
        <v>26.16</v>
      </c>
      <c r="T16">
        <v>26.13</v>
      </c>
      <c r="U16">
        <v>25.59</v>
      </c>
      <c r="V16">
        <v>26.58</v>
      </c>
      <c r="W16">
        <v>5079858</v>
      </c>
      <c r="X16">
        <v>26.04</v>
      </c>
      <c r="Y16">
        <v>26.14</v>
      </c>
      <c r="Z16">
        <v>833</v>
      </c>
      <c r="AA16">
        <v>83000000</v>
      </c>
      <c r="AB16">
        <v>261.39999999999998</v>
      </c>
      <c r="AC16">
        <v>0</v>
      </c>
      <c r="AD16" t="s">
        <v>94</v>
      </c>
      <c r="AE16" t="s">
        <v>94</v>
      </c>
      <c r="AF16" t="s">
        <v>226</v>
      </c>
      <c r="AG16" t="s">
        <v>226</v>
      </c>
      <c r="AH16">
        <v>9</v>
      </c>
      <c r="AI16" t="s">
        <v>269</v>
      </c>
      <c r="AJ16" t="s">
        <v>270</v>
      </c>
      <c r="AK16" t="s">
        <v>271</v>
      </c>
      <c r="AL16" t="s">
        <v>272</v>
      </c>
    </row>
    <row r="17" spans="1:38">
      <c r="A17" t="s">
        <v>334</v>
      </c>
      <c r="B17" t="s">
        <v>335</v>
      </c>
      <c r="C17" t="s">
        <v>336</v>
      </c>
      <c r="D17" t="s">
        <v>337</v>
      </c>
      <c r="E17" t="s">
        <v>338</v>
      </c>
      <c r="F17" t="s">
        <v>268</v>
      </c>
      <c r="G17">
        <v>2</v>
      </c>
      <c r="H17">
        <v>1</v>
      </c>
      <c r="I17">
        <v>0.5</v>
      </c>
      <c r="J17">
        <v>0.01</v>
      </c>
      <c r="K17">
        <v>-1.33</v>
      </c>
      <c r="L17">
        <v>3611.5</v>
      </c>
      <c r="M17">
        <v>3660</v>
      </c>
      <c r="N17">
        <v>3706</v>
      </c>
      <c r="O17">
        <v>3607.5</v>
      </c>
      <c r="P17">
        <v>0</v>
      </c>
      <c r="Q17">
        <v>0</v>
      </c>
      <c r="R17">
        <v>0</v>
      </c>
      <c r="S17">
        <v>3637</v>
      </c>
      <c r="T17">
        <v>3661</v>
      </c>
      <c r="U17">
        <v>3594.5</v>
      </c>
      <c r="V17">
        <v>3700</v>
      </c>
      <c r="W17">
        <v>86285537</v>
      </c>
      <c r="X17">
        <v>3612</v>
      </c>
      <c r="Y17">
        <v>3615</v>
      </c>
      <c r="Z17">
        <v>2510</v>
      </c>
      <c r="AA17">
        <v>10500000</v>
      </c>
      <c r="AB17">
        <v>180575</v>
      </c>
      <c r="AC17">
        <v>0</v>
      </c>
      <c r="AD17" t="s">
        <v>94</v>
      </c>
      <c r="AE17" t="s">
        <v>94</v>
      </c>
      <c r="AF17" t="s">
        <v>226</v>
      </c>
      <c r="AG17" t="s">
        <v>226</v>
      </c>
      <c r="AH17">
        <v>-100</v>
      </c>
      <c r="AI17" t="s">
        <v>269</v>
      </c>
      <c r="AJ17" t="s">
        <v>270</v>
      </c>
      <c r="AK17" t="s">
        <v>271</v>
      </c>
      <c r="AL17" t="s">
        <v>272</v>
      </c>
    </row>
    <row r="18" spans="1:38">
      <c r="A18" t="s">
        <v>339</v>
      </c>
      <c r="B18" t="s">
        <v>340</v>
      </c>
      <c r="C18" t="s">
        <v>341</v>
      </c>
      <c r="D18" t="s">
        <v>342</v>
      </c>
      <c r="E18" t="s">
        <v>343</v>
      </c>
      <c r="F18" t="s">
        <v>268</v>
      </c>
      <c r="G18">
        <v>2</v>
      </c>
      <c r="H18">
        <v>1</v>
      </c>
      <c r="I18">
        <v>0.05</v>
      </c>
      <c r="J18">
        <v>0.1</v>
      </c>
      <c r="K18">
        <v>-0.26</v>
      </c>
      <c r="L18">
        <v>191.9</v>
      </c>
      <c r="M18">
        <v>192.4</v>
      </c>
      <c r="N18">
        <v>192.3</v>
      </c>
      <c r="O18">
        <v>192.05</v>
      </c>
      <c r="P18">
        <v>0</v>
      </c>
      <c r="Q18">
        <v>0</v>
      </c>
      <c r="R18">
        <v>0</v>
      </c>
      <c r="S18">
        <v>192.1</v>
      </c>
      <c r="T18">
        <v>192.4</v>
      </c>
      <c r="U18">
        <v>191.5</v>
      </c>
      <c r="V18">
        <v>192.4</v>
      </c>
      <c r="W18">
        <v>2288729</v>
      </c>
      <c r="X18">
        <v>191.9</v>
      </c>
      <c r="Y18">
        <v>192.3</v>
      </c>
      <c r="Z18">
        <v>540</v>
      </c>
      <c r="AA18">
        <v>100000000</v>
      </c>
      <c r="AB18">
        <v>1151.4000000000001</v>
      </c>
      <c r="AC18">
        <v>0</v>
      </c>
      <c r="AD18" t="s">
        <v>94</v>
      </c>
      <c r="AE18" t="s">
        <v>94</v>
      </c>
      <c r="AF18" t="s">
        <v>226</v>
      </c>
      <c r="AG18" t="s">
        <v>226</v>
      </c>
      <c r="AH18">
        <v>-100</v>
      </c>
      <c r="AI18" t="s">
        <v>269</v>
      </c>
      <c r="AJ18" t="s">
        <v>270</v>
      </c>
      <c r="AK18" t="s">
        <v>271</v>
      </c>
      <c r="AL18" t="s">
        <v>272</v>
      </c>
    </row>
    <row r="19" spans="1:38">
      <c r="A19" t="s">
        <v>344</v>
      </c>
      <c r="B19" t="s">
        <v>345</v>
      </c>
      <c r="C19" t="s">
        <v>346</v>
      </c>
      <c r="D19" t="s">
        <v>347</v>
      </c>
      <c r="E19" t="s">
        <v>348</v>
      </c>
      <c r="F19" t="s">
        <v>268</v>
      </c>
      <c r="G19">
        <v>2</v>
      </c>
      <c r="H19">
        <v>1</v>
      </c>
      <c r="I19">
        <v>0.05</v>
      </c>
      <c r="J19">
        <v>6.2500000000000001E-4</v>
      </c>
      <c r="K19">
        <v>-1.84</v>
      </c>
      <c r="L19">
        <v>165.8</v>
      </c>
      <c r="M19">
        <v>168.9</v>
      </c>
      <c r="N19">
        <v>168.9</v>
      </c>
      <c r="O19">
        <v>165.8</v>
      </c>
      <c r="P19">
        <v>0</v>
      </c>
      <c r="Q19">
        <v>0</v>
      </c>
      <c r="R19">
        <v>0</v>
      </c>
      <c r="S19">
        <v>166.2</v>
      </c>
      <c r="T19">
        <v>168.85</v>
      </c>
      <c r="U19">
        <v>163.05000000000001</v>
      </c>
      <c r="V19">
        <v>169.6</v>
      </c>
      <c r="W19">
        <v>30582679</v>
      </c>
      <c r="X19">
        <v>165.5</v>
      </c>
      <c r="Y19">
        <v>165.8</v>
      </c>
      <c r="Z19">
        <v>3685</v>
      </c>
      <c r="AA19">
        <v>175849057</v>
      </c>
      <c r="AB19">
        <v>165.8</v>
      </c>
      <c r="AC19">
        <v>0</v>
      </c>
      <c r="AD19" t="s">
        <v>94</v>
      </c>
      <c r="AE19" t="s">
        <v>94</v>
      </c>
      <c r="AF19" t="s">
        <v>226</v>
      </c>
      <c r="AG19" t="s">
        <v>226</v>
      </c>
      <c r="AH19">
        <v>-100</v>
      </c>
      <c r="AI19" t="s">
        <v>269</v>
      </c>
      <c r="AJ19" t="s">
        <v>270</v>
      </c>
      <c r="AK19" t="s">
        <v>271</v>
      </c>
      <c r="AL19" t="s">
        <v>272</v>
      </c>
    </row>
    <row r="20" spans="1:38">
      <c r="A20" t="s">
        <v>349</v>
      </c>
      <c r="B20" t="s">
        <v>350</v>
      </c>
      <c r="C20" t="s">
        <v>351</v>
      </c>
      <c r="D20" t="s">
        <v>352</v>
      </c>
      <c r="E20" t="s">
        <v>353</v>
      </c>
      <c r="F20" t="s">
        <v>268</v>
      </c>
      <c r="G20">
        <v>3</v>
      </c>
      <c r="H20">
        <v>10</v>
      </c>
      <c r="I20">
        <v>0.1</v>
      </c>
      <c r="J20">
        <v>0.01</v>
      </c>
      <c r="K20">
        <v>-1.36</v>
      </c>
      <c r="L20">
        <v>123.6</v>
      </c>
      <c r="M20">
        <v>125.3</v>
      </c>
      <c r="N20">
        <v>127.1</v>
      </c>
      <c r="O20">
        <v>123.5</v>
      </c>
      <c r="P20">
        <v>0</v>
      </c>
      <c r="Q20">
        <v>0</v>
      </c>
      <c r="R20">
        <v>0</v>
      </c>
      <c r="S20">
        <v>123.2</v>
      </c>
      <c r="T20">
        <v>128.1</v>
      </c>
      <c r="U20">
        <v>122</v>
      </c>
      <c r="V20">
        <v>128.1</v>
      </c>
      <c r="W20">
        <v>1475964</v>
      </c>
      <c r="X20">
        <v>123.6</v>
      </c>
      <c r="Y20">
        <v>123.9</v>
      </c>
      <c r="Z20">
        <v>150</v>
      </c>
      <c r="AA20">
        <v>14929920</v>
      </c>
      <c r="AB20">
        <v>3708</v>
      </c>
      <c r="AC20">
        <v>0</v>
      </c>
      <c r="AD20" t="s">
        <v>94</v>
      </c>
      <c r="AE20" t="s">
        <v>94</v>
      </c>
      <c r="AF20" t="s">
        <v>226</v>
      </c>
      <c r="AG20" t="s">
        <v>226</v>
      </c>
      <c r="AH20">
        <v>9</v>
      </c>
      <c r="AI20" t="s">
        <v>269</v>
      </c>
      <c r="AJ20" t="s">
        <v>270</v>
      </c>
      <c r="AK20" t="s">
        <v>271</v>
      </c>
      <c r="AL20" t="s">
        <v>272</v>
      </c>
    </row>
    <row r="21" spans="1:38">
      <c r="A21" t="s">
        <v>354</v>
      </c>
      <c r="B21" t="s">
        <v>355</v>
      </c>
      <c r="C21" t="s">
        <v>356</v>
      </c>
      <c r="D21" t="s">
        <v>357</v>
      </c>
      <c r="E21" t="s">
        <v>358</v>
      </c>
      <c r="F21" t="s">
        <v>268</v>
      </c>
      <c r="G21">
        <v>3</v>
      </c>
      <c r="H21">
        <v>10</v>
      </c>
      <c r="I21">
        <v>0.5</v>
      </c>
      <c r="J21">
        <v>0.2</v>
      </c>
      <c r="K21">
        <v>0.37</v>
      </c>
      <c r="L21">
        <v>406.5</v>
      </c>
      <c r="M21">
        <v>405</v>
      </c>
      <c r="N21">
        <v>405</v>
      </c>
      <c r="O21">
        <v>404</v>
      </c>
      <c r="P21">
        <v>0</v>
      </c>
      <c r="Q21">
        <v>0</v>
      </c>
      <c r="R21">
        <v>0</v>
      </c>
      <c r="S21">
        <v>402</v>
      </c>
      <c r="T21">
        <v>400.5</v>
      </c>
      <c r="U21">
        <v>395</v>
      </c>
      <c r="V21">
        <v>410.5</v>
      </c>
      <c r="W21">
        <v>570820</v>
      </c>
      <c r="X21">
        <v>402.5</v>
      </c>
      <c r="Y21">
        <v>405.5</v>
      </c>
      <c r="Z21">
        <v>73</v>
      </c>
      <c r="AA21">
        <v>11789500</v>
      </c>
      <c r="AB21">
        <v>4065</v>
      </c>
      <c r="AC21">
        <v>0</v>
      </c>
      <c r="AD21" t="s">
        <v>94</v>
      </c>
      <c r="AE21" t="s">
        <v>94</v>
      </c>
      <c r="AF21" t="s">
        <v>226</v>
      </c>
      <c r="AG21" t="s">
        <v>226</v>
      </c>
      <c r="AH21">
        <v>9</v>
      </c>
      <c r="AI21" t="s">
        <v>269</v>
      </c>
      <c r="AJ21" t="s">
        <v>270</v>
      </c>
      <c r="AK21" t="s">
        <v>271</v>
      </c>
      <c r="AL21" t="s">
        <v>272</v>
      </c>
    </row>
    <row r="22" spans="1:38">
      <c r="A22" t="s">
        <v>359</v>
      </c>
      <c r="B22" t="s">
        <v>360</v>
      </c>
      <c r="C22" t="s">
        <v>361</v>
      </c>
      <c r="D22" t="s">
        <v>362</v>
      </c>
      <c r="E22" t="s">
        <v>363</v>
      </c>
      <c r="F22" t="s">
        <v>268</v>
      </c>
      <c r="G22">
        <v>3</v>
      </c>
      <c r="H22">
        <v>10</v>
      </c>
      <c r="I22">
        <v>0.5</v>
      </c>
      <c r="J22">
        <v>1</v>
      </c>
      <c r="K22">
        <v>1.96</v>
      </c>
      <c r="L22">
        <v>285.5</v>
      </c>
      <c r="M22">
        <v>280</v>
      </c>
      <c r="N22">
        <v>284</v>
      </c>
      <c r="O22">
        <v>286</v>
      </c>
      <c r="P22">
        <v>0</v>
      </c>
      <c r="Q22">
        <v>0</v>
      </c>
      <c r="R22">
        <v>0</v>
      </c>
      <c r="S22">
        <v>288.5</v>
      </c>
      <c r="T22">
        <v>280.5</v>
      </c>
      <c r="U22">
        <v>277.5</v>
      </c>
      <c r="V22">
        <v>296</v>
      </c>
      <c r="W22">
        <v>3845060</v>
      </c>
      <c r="X22">
        <v>283.5</v>
      </c>
      <c r="Y22">
        <v>285</v>
      </c>
      <c r="Z22">
        <v>313</v>
      </c>
      <c r="AA22">
        <v>15701562</v>
      </c>
      <c r="AB22">
        <v>2855</v>
      </c>
      <c r="AC22">
        <v>0</v>
      </c>
      <c r="AD22" t="s">
        <v>94</v>
      </c>
      <c r="AE22" t="s">
        <v>94</v>
      </c>
      <c r="AF22" t="s">
        <v>226</v>
      </c>
      <c r="AG22" t="s">
        <v>226</v>
      </c>
      <c r="AH22">
        <v>9</v>
      </c>
      <c r="AI22" t="s">
        <v>269</v>
      </c>
      <c r="AJ22" t="s">
        <v>270</v>
      </c>
      <c r="AK22" t="s">
        <v>271</v>
      </c>
      <c r="AL22" t="s">
        <v>272</v>
      </c>
    </row>
    <row r="23" spans="1:38">
      <c r="A23" t="s">
        <v>364</v>
      </c>
      <c r="B23" t="s">
        <v>365</v>
      </c>
      <c r="C23" t="s">
        <v>366</v>
      </c>
      <c r="D23" t="s">
        <v>107</v>
      </c>
      <c r="E23" t="s">
        <v>108</v>
      </c>
      <c r="F23" t="s">
        <v>268</v>
      </c>
      <c r="G23">
        <v>1</v>
      </c>
      <c r="H23">
        <v>1</v>
      </c>
      <c r="I23">
        <v>0.2</v>
      </c>
      <c r="J23">
        <v>0.5</v>
      </c>
      <c r="K23">
        <v>-0.61</v>
      </c>
      <c r="L23">
        <v>1798.6</v>
      </c>
      <c r="M23">
        <v>1816.8</v>
      </c>
      <c r="N23">
        <v>1833.6</v>
      </c>
      <c r="O23">
        <v>1794.8</v>
      </c>
      <c r="P23">
        <v>0</v>
      </c>
      <c r="Q23">
        <v>0</v>
      </c>
      <c r="R23">
        <v>0</v>
      </c>
      <c r="S23">
        <v>1815.6</v>
      </c>
      <c r="T23">
        <v>1820</v>
      </c>
      <c r="U23">
        <v>1777</v>
      </c>
      <c r="V23">
        <v>1843</v>
      </c>
      <c r="W23">
        <v>352238451</v>
      </c>
      <c r="X23">
        <v>1796.8</v>
      </c>
      <c r="Y23">
        <v>1798.6</v>
      </c>
      <c r="Z23">
        <v>9208</v>
      </c>
      <c r="AA23">
        <v>66000000</v>
      </c>
      <c r="AB23">
        <v>1798.6</v>
      </c>
      <c r="AC23">
        <v>0</v>
      </c>
      <c r="AD23" t="s">
        <v>94</v>
      </c>
      <c r="AE23" t="s">
        <v>94</v>
      </c>
      <c r="AF23" t="s">
        <v>226</v>
      </c>
      <c r="AG23" t="s">
        <v>226</v>
      </c>
      <c r="AH23">
        <v>-100</v>
      </c>
      <c r="AI23" t="s">
        <v>269</v>
      </c>
      <c r="AJ23" t="s">
        <v>270</v>
      </c>
      <c r="AK23" t="s">
        <v>271</v>
      </c>
      <c r="AL23" t="s">
        <v>272</v>
      </c>
    </row>
    <row r="24" spans="1:38">
      <c r="A24" t="s">
        <v>367</v>
      </c>
      <c r="B24" t="s">
        <v>368</v>
      </c>
      <c r="C24" t="s">
        <v>369</v>
      </c>
      <c r="D24" t="s">
        <v>370</v>
      </c>
      <c r="E24" t="s">
        <v>371</v>
      </c>
      <c r="F24" t="s">
        <v>268</v>
      </c>
      <c r="G24">
        <v>2</v>
      </c>
      <c r="H24">
        <v>10</v>
      </c>
      <c r="I24">
        <v>0.02</v>
      </c>
      <c r="J24">
        <v>1.499992500037E-3</v>
      </c>
      <c r="K24">
        <v>-0.09</v>
      </c>
      <c r="L24">
        <v>108.1</v>
      </c>
      <c r="M24">
        <v>108.66</v>
      </c>
      <c r="N24">
        <v>111.52</v>
      </c>
      <c r="O24">
        <v>108.02</v>
      </c>
      <c r="P24">
        <v>0</v>
      </c>
      <c r="Q24">
        <v>0</v>
      </c>
      <c r="R24">
        <v>0</v>
      </c>
      <c r="S24">
        <v>108.68</v>
      </c>
      <c r="T24">
        <v>108.5</v>
      </c>
      <c r="U24">
        <v>108</v>
      </c>
      <c r="V24">
        <v>110</v>
      </c>
      <c r="W24">
        <v>82588682</v>
      </c>
      <c r="X24">
        <v>108.06</v>
      </c>
      <c r="Y24">
        <v>108.1</v>
      </c>
      <c r="Z24">
        <v>3853</v>
      </c>
      <c r="AA24">
        <v>400002000</v>
      </c>
      <c r="AB24">
        <v>1081</v>
      </c>
      <c r="AC24">
        <v>0</v>
      </c>
      <c r="AD24" t="s">
        <v>94</v>
      </c>
      <c r="AE24" t="s">
        <v>94</v>
      </c>
      <c r="AF24" t="s">
        <v>226</v>
      </c>
      <c r="AG24" t="s">
        <v>226</v>
      </c>
      <c r="AH24">
        <v>-100</v>
      </c>
      <c r="AI24" t="s">
        <v>269</v>
      </c>
      <c r="AJ24" t="s">
        <v>270</v>
      </c>
      <c r="AK24" t="s">
        <v>271</v>
      </c>
      <c r="AL24" t="s">
        <v>272</v>
      </c>
    </row>
    <row r="25" spans="1:38">
      <c r="A25" t="s">
        <v>372</v>
      </c>
      <c r="B25" t="s">
        <v>373</v>
      </c>
      <c r="C25" t="s">
        <v>374</v>
      </c>
      <c r="D25" t="s">
        <v>375</v>
      </c>
      <c r="E25" t="s">
        <v>376</v>
      </c>
      <c r="F25" t="s">
        <v>268</v>
      </c>
      <c r="G25">
        <v>1</v>
      </c>
      <c r="H25">
        <v>10</v>
      </c>
      <c r="I25">
        <v>0.01</v>
      </c>
      <c r="J25">
        <v>0.5</v>
      </c>
      <c r="K25">
        <v>0.36</v>
      </c>
      <c r="L25">
        <v>47.67</v>
      </c>
      <c r="M25">
        <v>47.73</v>
      </c>
      <c r="N25">
        <v>47.87</v>
      </c>
      <c r="O25">
        <v>47.62</v>
      </c>
      <c r="P25">
        <v>0</v>
      </c>
      <c r="Q25">
        <v>0</v>
      </c>
      <c r="R25">
        <v>0</v>
      </c>
      <c r="S25">
        <v>48.05</v>
      </c>
      <c r="T25">
        <v>47.45</v>
      </c>
      <c r="U25">
        <v>46.95</v>
      </c>
      <c r="V25">
        <v>49.1</v>
      </c>
      <c r="W25">
        <v>859947422</v>
      </c>
      <c r="X25">
        <v>47.65</v>
      </c>
      <c r="Y25">
        <v>47.67</v>
      </c>
      <c r="Z25">
        <v>35250</v>
      </c>
      <c r="AA25">
        <v>7364965630</v>
      </c>
      <c r="AB25">
        <v>23835</v>
      </c>
      <c r="AC25">
        <v>0</v>
      </c>
      <c r="AD25" t="s">
        <v>94</v>
      </c>
      <c r="AE25" t="s">
        <v>94</v>
      </c>
      <c r="AF25" t="s">
        <v>226</v>
      </c>
      <c r="AG25" t="s">
        <v>226</v>
      </c>
      <c r="AH25">
        <v>-100</v>
      </c>
      <c r="AI25" t="s">
        <v>269</v>
      </c>
      <c r="AJ25" t="s">
        <v>270</v>
      </c>
      <c r="AK25" t="s">
        <v>271</v>
      </c>
      <c r="AL25" t="s">
        <v>272</v>
      </c>
    </row>
    <row r="26" spans="1:38">
      <c r="A26" t="s">
        <v>377</v>
      </c>
      <c r="B26" t="s">
        <v>378</v>
      </c>
      <c r="C26" t="s">
        <v>379</v>
      </c>
      <c r="D26" t="s">
        <v>380</v>
      </c>
      <c r="E26" t="s">
        <v>381</v>
      </c>
      <c r="F26" t="s">
        <v>268</v>
      </c>
      <c r="G26">
        <v>3</v>
      </c>
      <c r="H26">
        <v>10</v>
      </c>
      <c r="I26">
        <v>2E-3</v>
      </c>
      <c r="J26">
        <v>1</v>
      </c>
      <c r="K26">
        <v>-0.4</v>
      </c>
      <c r="L26">
        <v>9.9580000000000002</v>
      </c>
      <c r="M26">
        <v>10.002000000000001</v>
      </c>
      <c r="N26">
        <v>10.018000000000001</v>
      </c>
      <c r="O26">
        <v>9.9580000000000002</v>
      </c>
      <c r="P26">
        <v>0</v>
      </c>
      <c r="Q26">
        <v>0</v>
      </c>
      <c r="R26">
        <v>0</v>
      </c>
      <c r="S26">
        <v>9.9740000000000002</v>
      </c>
      <c r="T26">
        <v>9.9979999999999993</v>
      </c>
      <c r="U26">
        <v>9.9580000000000002</v>
      </c>
      <c r="V26">
        <v>9.9979999999999993</v>
      </c>
      <c r="W26">
        <v>71312</v>
      </c>
      <c r="X26">
        <v>9.9499999999999993</v>
      </c>
      <c r="Y26">
        <v>9.9580000000000002</v>
      </c>
      <c r="Z26">
        <v>36</v>
      </c>
      <c r="AA26">
        <v>1115439217</v>
      </c>
      <c r="AB26">
        <v>99.58</v>
      </c>
      <c r="AC26">
        <v>0</v>
      </c>
      <c r="AD26" t="s">
        <v>94</v>
      </c>
      <c r="AE26" t="s">
        <v>94</v>
      </c>
      <c r="AF26" t="s">
        <v>226</v>
      </c>
      <c r="AG26" t="s">
        <v>226</v>
      </c>
      <c r="AH26">
        <v>9</v>
      </c>
      <c r="AI26" t="s">
        <v>269</v>
      </c>
      <c r="AJ26" t="s">
        <v>270</v>
      </c>
      <c r="AK26" t="s">
        <v>271</v>
      </c>
      <c r="AL26" t="s">
        <v>272</v>
      </c>
    </row>
    <row r="27" spans="1:38">
      <c r="A27" t="s">
        <v>382</v>
      </c>
      <c r="B27" t="s">
        <v>383</v>
      </c>
      <c r="C27" t="s">
        <v>384</v>
      </c>
      <c r="D27" t="s">
        <v>385</v>
      </c>
      <c r="E27" t="s">
        <v>386</v>
      </c>
      <c r="F27" t="s">
        <v>268</v>
      </c>
      <c r="G27">
        <v>3</v>
      </c>
      <c r="H27">
        <v>100</v>
      </c>
      <c r="I27">
        <v>0.02</v>
      </c>
      <c r="J27">
        <v>1</v>
      </c>
      <c r="K27">
        <v>0</v>
      </c>
      <c r="L27">
        <v>0</v>
      </c>
      <c r="M27">
        <v>3.58</v>
      </c>
      <c r="N27">
        <v>0</v>
      </c>
      <c r="O27">
        <v>3.58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536000000</v>
      </c>
      <c r="AB27">
        <v>0</v>
      </c>
      <c r="AC27">
        <v>0</v>
      </c>
      <c r="AD27" t="s">
        <v>94</v>
      </c>
      <c r="AE27" t="s">
        <v>94</v>
      </c>
      <c r="AF27" t="s">
        <v>226</v>
      </c>
      <c r="AG27" t="s">
        <v>226</v>
      </c>
      <c r="AH27">
        <v>9</v>
      </c>
      <c r="AI27" t="s">
        <v>269</v>
      </c>
      <c r="AJ27" t="s">
        <v>270</v>
      </c>
      <c r="AK27" t="s">
        <v>271</v>
      </c>
      <c r="AL27" t="s">
        <v>272</v>
      </c>
    </row>
    <row r="28" spans="1:38">
      <c r="A28" t="s">
        <v>387</v>
      </c>
      <c r="B28" t="s">
        <v>388</v>
      </c>
      <c r="C28" t="s">
        <v>389</v>
      </c>
      <c r="D28" t="s">
        <v>390</v>
      </c>
      <c r="E28" t="s">
        <v>391</v>
      </c>
      <c r="F28" t="s">
        <v>268</v>
      </c>
      <c r="G28">
        <v>3</v>
      </c>
      <c r="H28">
        <v>10</v>
      </c>
      <c r="I28">
        <v>0.2</v>
      </c>
      <c r="J28">
        <v>1</v>
      </c>
      <c r="K28">
        <v>0.35</v>
      </c>
      <c r="L28">
        <v>170.6</v>
      </c>
      <c r="M28">
        <v>170</v>
      </c>
      <c r="N28">
        <v>172.2</v>
      </c>
      <c r="O28">
        <v>170.8</v>
      </c>
      <c r="P28">
        <v>0</v>
      </c>
      <c r="Q28">
        <v>0</v>
      </c>
      <c r="R28">
        <v>0</v>
      </c>
      <c r="S28">
        <v>172.6</v>
      </c>
      <c r="T28">
        <v>172</v>
      </c>
      <c r="U28">
        <v>170</v>
      </c>
      <c r="V28">
        <v>174.6</v>
      </c>
      <c r="W28">
        <v>3894690</v>
      </c>
      <c r="X28">
        <v>170.2</v>
      </c>
      <c r="Y28">
        <v>170.6</v>
      </c>
      <c r="Z28">
        <v>348</v>
      </c>
      <c r="AA28">
        <v>98000184</v>
      </c>
      <c r="AB28">
        <v>1706</v>
      </c>
      <c r="AC28">
        <v>0</v>
      </c>
      <c r="AD28" t="s">
        <v>94</v>
      </c>
      <c r="AE28" t="s">
        <v>94</v>
      </c>
      <c r="AF28" t="s">
        <v>226</v>
      </c>
      <c r="AG28" t="s">
        <v>226</v>
      </c>
      <c r="AH28">
        <v>9</v>
      </c>
      <c r="AI28" t="s">
        <v>269</v>
      </c>
      <c r="AJ28" t="s">
        <v>270</v>
      </c>
      <c r="AK28" t="s">
        <v>271</v>
      </c>
      <c r="AL28" t="s">
        <v>272</v>
      </c>
    </row>
    <row r="29" spans="1:38">
      <c r="A29" t="s">
        <v>392</v>
      </c>
      <c r="B29" t="s">
        <v>393</v>
      </c>
      <c r="C29" t="s">
        <v>394</v>
      </c>
      <c r="D29" t="s">
        <v>395</v>
      </c>
      <c r="E29" t="s">
        <v>396</v>
      </c>
      <c r="F29" t="s">
        <v>268</v>
      </c>
      <c r="G29">
        <v>3</v>
      </c>
      <c r="H29">
        <v>1</v>
      </c>
      <c r="I29">
        <v>1</v>
      </c>
      <c r="J29">
        <v>10</v>
      </c>
      <c r="K29">
        <v>-0.73</v>
      </c>
      <c r="L29">
        <v>681</v>
      </c>
      <c r="M29">
        <v>686</v>
      </c>
      <c r="N29">
        <v>695</v>
      </c>
      <c r="O29">
        <v>684</v>
      </c>
      <c r="P29">
        <v>0</v>
      </c>
      <c r="Q29">
        <v>0</v>
      </c>
      <c r="R29">
        <v>0</v>
      </c>
      <c r="S29">
        <v>675</v>
      </c>
      <c r="T29">
        <v>687</v>
      </c>
      <c r="U29">
        <v>655</v>
      </c>
      <c r="V29">
        <v>694</v>
      </c>
      <c r="W29">
        <v>12828043</v>
      </c>
      <c r="X29">
        <v>681</v>
      </c>
      <c r="Y29">
        <v>684</v>
      </c>
      <c r="Z29">
        <v>1191</v>
      </c>
      <c r="AA29">
        <v>80700000</v>
      </c>
      <c r="AB29">
        <v>3405</v>
      </c>
      <c r="AC29">
        <v>0</v>
      </c>
      <c r="AD29" t="s">
        <v>94</v>
      </c>
      <c r="AE29" t="s">
        <v>94</v>
      </c>
      <c r="AF29" t="s">
        <v>226</v>
      </c>
      <c r="AG29" t="s">
        <v>226</v>
      </c>
      <c r="AH29">
        <v>9</v>
      </c>
      <c r="AI29" t="s">
        <v>269</v>
      </c>
      <c r="AJ29" t="s">
        <v>270</v>
      </c>
      <c r="AK29" t="s">
        <v>271</v>
      </c>
      <c r="AL29" t="s">
        <v>272</v>
      </c>
    </row>
    <row r="30" spans="1:38">
      <c r="A30" t="s">
        <v>397</v>
      </c>
      <c r="B30" t="s">
        <v>398</v>
      </c>
      <c r="C30" t="s">
        <v>399</v>
      </c>
      <c r="D30" t="s">
        <v>400</v>
      </c>
      <c r="E30" t="s">
        <v>401</v>
      </c>
      <c r="F30" t="s">
        <v>268</v>
      </c>
      <c r="G30">
        <v>2</v>
      </c>
      <c r="H30">
        <v>1</v>
      </c>
      <c r="I30">
        <v>2</v>
      </c>
      <c r="J30">
        <v>5</v>
      </c>
      <c r="K30">
        <v>-0.66</v>
      </c>
      <c r="L30">
        <v>17150</v>
      </c>
      <c r="M30">
        <v>17264</v>
      </c>
      <c r="N30">
        <v>17182</v>
      </c>
      <c r="O30">
        <v>17158</v>
      </c>
      <c r="P30">
        <v>0</v>
      </c>
      <c r="Q30">
        <v>0</v>
      </c>
      <c r="R30">
        <v>0</v>
      </c>
      <c r="S30">
        <v>17174</v>
      </c>
      <c r="T30">
        <v>17114</v>
      </c>
      <c r="U30">
        <v>17114</v>
      </c>
      <c r="V30">
        <v>17254</v>
      </c>
      <c r="W30">
        <v>23596118</v>
      </c>
      <c r="X30">
        <v>17152</v>
      </c>
      <c r="Y30">
        <v>17192</v>
      </c>
      <c r="Z30">
        <v>364</v>
      </c>
      <c r="AA30">
        <v>36757156</v>
      </c>
      <c r="AB30">
        <v>17150</v>
      </c>
      <c r="AC30">
        <v>0</v>
      </c>
      <c r="AD30" t="s">
        <v>94</v>
      </c>
      <c r="AE30" t="s">
        <v>94</v>
      </c>
      <c r="AF30" t="s">
        <v>226</v>
      </c>
      <c r="AG30" t="s">
        <v>226</v>
      </c>
      <c r="AH30">
        <v>-100</v>
      </c>
      <c r="AI30" t="s">
        <v>269</v>
      </c>
      <c r="AJ30" t="s">
        <v>270</v>
      </c>
      <c r="AK30" t="s">
        <v>271</v>
      </c>
      <c r="AL30" t="s">
        <v>272</v>
      </c>
    </row>
    <row r="31" spans="1:38">
      <c r="A31" t="s">
        <v>402</v>
      </c>
      <c r="B31" t="s">
        <v>403</v>
      </c>
      <c r="C31" t="s">
        <v>404</v>
      </c>
      <c r="D31" t="s">
        <v>405</v>
      </c>
      <c r="E31" t="s">
        <v>406</v>
      </c>
      <c r="F31" t="s">
        <v>268</v>
      </c>
      <c r="G31">
        <v>2</v>
      </c>
      <c r="H31">
        <v>10</v>
      </c>
      <c r="I31">
        <v>2E-3</v>
      </c>
      <c r="J31">
        <v>0.64</v>
      </c>
      <c r="K31">
        <v>-0.2</v>
      </c>
      <c r="L31">
        <v>10.032</v>
      </c>
      <c r="M31">
        <v>10.052</v>
      </c>
      <c r="N31">
        <v>10.134</v>
      </c>
      <c r="O31">
        <v>10.026</v>
      </c>
      <c r="P31">
        <v>0</v>
      </c>
      <c r="Q31">
        <v>0</v>
      </c>
      <c r="R31">
        <v>0</v>
      </c>
      <c r="S31">
        <v>10.07</v>
      </c>
      <c r="T31">
        <v>10.054</v>
      </c>
      <c r="U31">
        <v>9.9559999999999995</v>
      </c>
      <c r="V31">
        <v>10.119999999999999</v>
      </c>
      <c r="W31">
        <v>10744677</v>
      </c>
      <c r="X31">
        <v>10.026</v>
      </c>
      <c r="Y31">
        <v>10.039999999999999</v>
      </c>
      <c r="Z31">
        <v>1344</v>
      </c>
      <c r="AA31">
        <v>7630433826</v>
      </c>
      <c r="AB31">
        <v>100.32</v>
      </c>
      <c r="AC31">
        <v>0</v>
      </c>
      <c r="AD31" t="s">
        <v>94</v>
      </c>
      <c r="AE31" t="s">
        <v>94</v>
      </c>
      <c r="AF31" t="s">
        <v>226</v>
      </c>
      <c r="AG31" t="s">
        <v>226</v>
      </c>
      <c r="AH31">
        <v>-100</v>
      </c>
      <c r="AI31" t="s">
        <v>269</v>
      </c>
      <c r="AJ31" t="s">
        <v>270</v>
      </c>
      <c r="AK31" t="s">
        <v>271</v>
      </c>
      <c r="AL31" t="s">
        <v>272</v>
      </c>
    </row>
    <row r="32" spans="1:38">
      <c r="A32" t="s">
        <v>407</v>
      </c>
      <c r="B32" t="s">
        <v>408</v>
      </c>
      <c r="C32" t="s">
        <v>409</v>
      </c>
      <c r="D32" t="s">
        <v>410</v>
      </c>
      <c r="E32" t="s">
        <v>411</v>
      </c>
      <c r="F32" t="s">
        <v>268</v>
      </c>
      <c r="G32">
        <v>3</v>
      </c>
      <c r="H32">
        <v>100</v>
      </c>
      <c r="I32">
        <v>0.01</v>
      </c>
      <c r="J32">
        <v>1</v>
      </c>
      <c r="K32">
        <v>0.75</v>
      </c>
      <c r="L32">
        <v>10.71</v>
      </c>
      <c r="M32">
        <v>10.63</v>
      </c>
      <c r="N32">
        <v>10.67</v>
      </c>
      <c r="O32">
        <v>10.7</v>
      </c>
      <c r="P32">
        <v>0</v>
      </c>
      <c r="Q32">
        <v>0</v>
      </c>
      <c r="R32">
        <v>0</v>
      </c>
      <c r="S32">
        <v>10.68</v>
      </c>
      <c r="T32">
        <v>10.63</v>
      </c>
      <c r="U32">
        <v>10.62</v>
      </c>
      <c r="V32">
        <v>10.71</v>
      </c>
      <c r="W32">
        <v>46999</v>
      </c>
      <c r="X32">
        <v>10.65</v>
      </c>
      <c r="Y32">
        <v>10.71</v>
      </c>
      <c r="Z32">
        <v>18</v>
      </c>
      <c r="AA32">
        <v>123817165</v>
      </c>
      <c r="AB32">
        <v>4284</v>
      </c>
      <c r="AC32">
        <v>0</v>
      </c>
      <c r="AD32" t="s">
        <v>94</v>
      </c>
      <c r="AE32" t="s">
        <v>94</v>
      </c>
      <c r="AF32" t="s">
        <v>226</v>
      </c>
      <c r="AG32" t="s">
        <v>226</v>
      </c>
      <c r="AH32">
        <v>9</v>
      </c>
      <c r="AI32" t="s">
        <v>269</v>
      </c>
      <c r="AJ32" t="s">
        <v>270</v>
      </c>
      <c r="AK32" t="s">
        <v>271</v>
      </c>
      <c r="AL32" t="s">
        <v>272</v>
      </c>
    </row>
    <row r="33" spans="1:38">
      <c r="A33" t="s">
        <v>412</v>
      </c>
      <c r="B33" t="s">
        <v>413</v>
      </c>
      <c r="C33" t="s">
        <v>414</v>
      </c>
      <c r="D33" t="s">
        <v>415</v>
      </c>
      <c r="E33" t="s">
        <v>416</v>
      </c>
      <c r="F33" t="s">
        <v>268</v>
      </c>
      <c r="G33">
        <v>3</v>
      </c>
      <c r="H33">
        <v>1000</v>
      </c>
      <c r="I33">
        <v>5.0000000000000001E-3</v>
      </c>
      <c r="J33">
        <v>7.0000000000000001E-3</v>
      </c>
      <c r="K33">
        <v>-1</v>
      </c>
      <c r="L33">
        <v>1.49</v>
      </c>
      <c r="M33">
        <v>1.5049999999999999</v>
      </c>
      <c r="N33">
        <v>1.5549999999999999</v>
      </c>
      <c r="O33">
        <v>1.4750000000000001</v>
      </c>
      <c r="P33">
        <v>0</v>
      </c>
      <c r="Q33">
        <v>0</v>
      </c>
      <c r="R33">
        <v>0</v>
      </c>
      <c r="S33">
        <v>1.49</v>
      </c>
      <c r="T33">
        <v>1.4850000000000001</v>
      </c>
      <c r="U33">
        <v>1.47</v>
      </c>
      <c r="V33">
        <v>1.5149999999999999</v>
      </c>
      <c r="W33">
        <v>184700</v>
      </c>
      <c r="X33">
        <v>1.47</v>
      </c>
      <c r="Y33">
        <v>1.4950000000000001</v>
      </c>
      <c r="Z33">
        <v>69</v>
      </c>
      <c r="AA33">
        <v>773900078</v>
      </c>
      <c r="AB33">
        <v>1490</v>
      </c>
      <c r="AC33">
        <v>0</v>
      </c>
      <c r="AD33" t="s">
        <v>94</v>
      </c>
      <c r="AE33" t="s">
        <v>94</v>
      </c>
      <c r="AF33" t="s">
        <v>226</v>
      </c>
      <c r="AG33" t="s">
        <v>226</v>
      </c>
      <c r="AH33">
        <v>9</v>
      </c>
      <c r="AI33" t="s">
        <v>269</v>
      </c>
      <c r="AJ33" t="s">
        <v>270</v>
      </c>
      <c r="AK33" t="s">
        <v>271</v>
      </c>
      <c r="AL33" t="s">
        <v>272</v>
      </c>
    </row>
    <row r="34" spans="1:38">
      <c r="A34" t="s">
        <v>417</v>
      </c>
      <c r="B34" t="s">
        <v>418</v>
      </c>
      <c r="C34" t="s">
        <v>419</v>
      </c>
      <c r="D34" t="s">
        <v>128</v>
      </c>
      <c r="E34" t="s">
        <v>129</v>
      </c>
      <c r="F34" t="s">
        <v>268</v>
      </c>
      <c r="G34">
        <v>1</v>
      </c>
      <c r="H34">
        <v>1</v>
      </c>
      <c r="I34">
        <v>0.05</v>
      </c>
      <c r="J34">
        <v>0.05</v>
      </c>
      <c r="K34">
        <v>-2.35</v>
      </c>
      <c r="L34">
        <v>434.65</v>
      </c>
      <c r="M34">
        <v>446.1</v>
      </c>
      <c r="N34">
        <v>448.3</v>
      </c>
      <c r="O34">
        <v>433.2</v>
      </c>
      <c r="P34">
        <v>0</v>
      </c>
      <c r="Q34">
        <v>0</v>
      </c>
      <c r="R34">
        <v>0</v>
      </c>
      <c r="S34">
        <v>439.5</v>
      </c>
      <c r="T34">
        <v>446.45</v>
      </c>
      <c r="U34">
        <v>432.3</v>
      </c>
      <c r="V34">
        <v>446.45</v>
      </c>
      <c r="W34">
        <v>129381708</v>
      </c>
      <c r="X34">
        <v>434.65</v>
      </c>
      <c r="Y34">
        <v>434.8</v>
      </c>
      <c r="Z34">
        <v>10523</v>
      </c>
      <c r="AA34">
        <v>210000000</v>
      </c>
      <c r="AB34">
        <v>434.65</v>
      </c>
      <c r="AC34">
        <v>0</v>
      </c>
      <c r="AD34" t="s">
        <v>94</v>
      </c>
      <c r="AE34" t="s">
        <v>94</v>
      </c>
      <c r="AF34" t="s">
        <v>226</v>
      </c>
      <c r="AG34" t="s">
        <v>226</v>
      </c>
      <c r="AH34">
        <v>-100</v>
      </c>
      <c r="AI34" t="s">
        <v>269</v>
      </c>
      <c r="AJ34" t="s">
        <v>270</v>
      </c>
      <c r="AK34" t="s">
        <v>271</v>
      </c>
      <c r="AL34" t="s">
        <v>272</v>
      </c>
    </row>
    <row r="35" spans="1:38">
      <c r="A35" t="s">
        <v>420</v>
      </c>
      <c r="B35" t="s">
        <v>421</v>
      </c>
      <c r="C35" t="s">
        <v>422</v>
      </c>
      <c r="D35" t="s">
        <v>423</v>
      </c>
      <c r="E35" t="s">
        <v>424</v>
      </c>
      <c r="F35" t="s">
        <v>268</v>
      </c>
      <c r="G35">
        <v>3</v>
      </c>
      <c r="H35">
        <v>100</v>
      </c>
      <c r="I35">
        <v>0.05</v>
      </c>
      <c r="J35">
        <v>1</v>
      </c>
      <c r="K35">
        <v>-1.7</v>
      </c>
      <c r="L35">
        <v>66.400000000000006</v>
      </c>
      <c r="M35">
        <v>67.55</v>
      </c>
      <c r="N35">
        <v>67.599999999999994</v>
      </c>
      <c r="O35">
        <v>66.45</v>
      </c>
      <c r="P35">
        <v>0</v>
      </c>
      <c r="Q35">
        <v>0</v>
      </c>
      <c r="R35">
        <v>0</v>
      </c>
      <c r="S35">
        <v>67.05</v>
      </c>
      <c r="T35">
        <v>67.349999999999994</v>
      </c>
      <c r="U35">
        <v>66.099999999999994</v>
      </c>
      <c r="V35">
        <v>67.599999999999994</v>
      </c>
      <c r="W35">
        <v>8533140</v>
      </c>
      <c r="X35">
        <v>66.45</v>
      </c>
      <c r="Y35">
        <v>66.650000000000006</v>
      </c>
      <c r="Z35">
        <v>479</v>
      </c>
      <c r="AA35">
        <v>498454822</v>
      </c>
      <c r="AB35">
        <v>13280</v>
      </c>
      <c r="AC35">
        <v>0</v>
      </c>
      <c r="AD35" t="s">
        <v>94</v>
      </c>
      <c r="AE35" t="s">
        <v>94</v>
      </c>
      <c r="AF35" t="s">
        <v>226</v>
      </c>
      <c r="AG35" t="s">
        <v>226</v>
      </c>
      <c r="AH35">
        <v>9</v>
      </c>
      <c r="AI35" t="s">
        <v>269</v>
      </c>
      <c r="AJ35" t="s">
        <v>270</v>
      </c>
      <c r="AK35" t="s">
        <v>271</v>
      </c>
      <c r="AL35" t="s">
        <v>272</v>
      </c>
    </row>
    <row r="36" spans="1:38">
      <c r="A36" t="s">
        <v>425</v>
      </c>
      <c r="B36" t="s">
        <v>426</v>
      </c>
      <c r="C36" t="s">
        <v>427</v>
      </c>
      <c r="D36" t="s">
        <v>428</v>
      </c>
      <c r="E36" t="s">
        <v>429</v>
      </c>
      <c r="F36" t="s">
        <v>268</v>
      </c>
      <c r="G36">
        <v>1</v>
      </c>
      <c r="H36">
        <v>10</v>
      </c>
      <c r="I36">
        <v>0.01</v>
      </c>
      <c r="J36">
        <v>1</v>
      </c>
      <c r="K36">
        <v>0.87</v>
      </c>
      <c r="L36">
        <v>48.94</v>
      </c>
      <c r="M36">
        <v>49.04</v>
      </c>
      <c r="N36">
        <v>49.23</v>
      </c>
      <c r="O36">
        <v>48.83</v>
      </c>
      <c r="P36">
        <v>0</v>
      </c>
      <c r="Q36">
        <v>0</v>
      </c>
      <c r="R36">
        <v>0</v>
      </c>
      <c r="S36">
        <v>49.58</v>
      </c>
      <c r="T36">
        <v>48.6</v>
      </c>
      <c r="U36">
        <v>48.6</v>
      </c>
      <c r="V36">
        <v>50.38</v>
      </c>
      <c r="W36">
        <v>3016435937</v>
      </c>
      <c r="X36">
        <v>48.94</v>
      </c>
      <c r="Y36">
        <v>48.97</v>
      </c>
      <c r="Z36">
        <v>61006</v>
      </c>
      <c r="AA36">
        <v>3975771215</v>
      </c>
      <c r="AB36">
        <v>2447</v>
      </c>
      <c r="AC36">
        <v>0</v>
      </c>
      <c r="AD36" t="s">
        <v>94</v>
      </c>
      <c r="AE36" t="s">
        <v>94</v>
      </c>
      <c r="AF36" t="s">
        <v>226</v>
      </c>
      <c r="AG36" t="s">
        <v>226</v>
      </c>
      <c r="AH36">
        <v>-100</v>
      </c>
      <c r="AI36" t="s">
        <v>269</v>
      </c>
      <c r="AJ36" t="s">
        <v>270</v>
      </c>
      <c r="AK36" t="s">
        <v>271</v>
      </c>
      <c r="AL36" t="s">
        <v>272</v>
      </c>
    </row>
    <row r="37" spans="1:38">
      <c r="A37" t="s">
        <v>430</v>
      </c>
      <c r="B37" t="s">
        <v>431</v>
      </c>
      <c r="C37" t="s">
        <v>432</v>
      </c>
      <c r="D37" t="s">
        <v>134</v>
      </c>
      <c r="E37" t="s">
        <v>135</v>
      </c>
      <c r="F37" t="s">
        <v>268</v>
      </c>
      <c r="G37">
        <v>1</v>
      </c>
      <c r="H37">
        <v>10</v>
      </c>
      <c r="I37">
        <v>0.01</v>
      </c>
      <c r="J37">
        <v>1</v>
      </c>
      <c r="K37">
        <v>-1.05</v>
      </c>
      <c r="L37">
        <v>306.87</v>
      </c>
      <c r="M37">
        <v>313.14999999999998</v>
      </c>
      <c r="N37">
        <v>314.67</v>
      </c>
      <c r="O37">
        <v>306.32</v>
      </c>
      <c r="P37">
        <v>0</v>
      </c>
      <c r="Q37">
        <v>0</v>
      </c>
      <c r="R37">
        <v>0</v>
      </c>
      <c r="S37">
        <v>311.45</v>
      </c>
      <c r="T37">
        <v>310.14</v>
      </c>
      <c r="U37">
        <v>305.10000000000002</v>
      </c>
      <c r="V37">
        <v>315.88</v>
      </c>
      <c r="W37">
        <v>228306443</v>
      </c>
      <c r="X37">
        <v>306.74</v>
      </c>
      <c r="Y37">
        <v>306.83999999999997</v>
      </c>
      <c r="Z37">
        <v>7380</v>
      </c>
      <c r="AA37">
        <v>457544031</v>
      </c>
      <c r="AB37">
        <v>27618.3</v>
      </c>
      <c r="AC37">
        <v>0</v>
      </c>
      <c r="AD37" t="s">
        <v>94</v>
      </c>
      <c r="AE37" t="s">
        <v>94</v>
      </c>
      <c r="AF37" t="s">
        <v>226</v>
      </c>
      <c r="AG37" t="s">
        <v>226</v>
      </c>
      <c r="AH37">
        <v>-100</v>
      </c>
      <c r="AI37" t="s">
        <v>269</v>
      </c>
      <c r="AJ37" t="s">
        <v>270</v>
      </c>
      <c r="AK37" t="s">
        <v>271</v>
      </c>
      <c r="AL37" t="s">
        <v>272</v>
      </c>
    </row>
    <row r="38" spans="1:38">
      <c r="A38" t="s">
        <v>433</v>
      </c>
      <c r="B38" t="s">
        <v>434</v>
      </c>
      <c r="C38" t="s">
        <v>435</v>
      </c>
      <c r="D38" t="s">
        <v>436</v>
      </c>
      <c r="E38" t="s">
        <v>437</v>
      </c>
      <c r="F38" t="s">
        <v>438</v>
      </c>
      <c r="G38">
        <v>3</v>
      </c>
      <c r="H38">
        <v>100</v>
      </c>
      <c r="I38">
        <v>0.05</v>
      </c>
      <c r="J38">
        <v>1</v>
      </c>
      <c r="K38">
        <v>-0.3</v>
      </c>
      <c r="L38">
        <v>49.8</v>
      </c>
      <c r="M38">
        <v>49.95</v>
      </c>
      <c r="N38">
        <v>49.65</v>
      </c>
      <c r="O38">
        <v>49.65</v>
      </c>
      <c r="P38">
        <v>0</v>
      </c>
      <c r="Q38">
        <v>0</v>
      </c>
      <c r="R38">
        <v>0</v>
      </c>
      <c r="S38">
        <v>49.95</v>
      </c>
      <c r="T38">
        <v>49.95</v>
      </c>
      <c r="U38">
        <v>49.15</v>
      </c>
      <c r="V38">
        <v>50.5</v>
      </c>
      <c r="W38">
        <v>1103385</v>
      </c>
      <c r="X38">
        <v>49.6</v>
      </c>
      <c r="Y38">
        <v>49.8</v>
      </c>
      <c r="Z38">
        <v>92</v>
      </c>
      <c r="AA38">
        <v>20100000</v>
      </c>
      <c r="AB38">
        <v>4980</v>
      </c>
      <c r="AC38">
        <v>0</v>
      </c>
      <c r="AD38" t="s">
        <v>94</v>
      </c>
      <c r="AE38" t="s">
        <v>94</v>
      </c>
      <c r="AF38" t="s">
        <v>226</v>
      </c>
      <c r="AG38" t="s">
        <v>226</v>
      </c>
      <c r="AH38">
        <v>9</v>
      </c>
      <c r="AI38" t="s">
        <v>269</v>
      </c>
      <c r="AJ38" t="s">
        <v>270</v>
      </c>
      <c r="AK38" t="s">
        <v>439</v>
      </c>
      <c r="AL38" t="s">
        <v>272</v>
      </c>
    </row>
    <row r="39" spans="1:38">
      <c r="A39" t="s">
        <v>440</v>
      </c>
      <c r="B39" t="s">
        <v>441</v>
      </c>
      <c r="C39" t="s">
        <v>442</v>
      </c>
      <c r="D39" t="s">
        <v>443</v>
      </c>
      <c r="E39" t="s">
        <v>444</v>
      </c>
      <c r="F39" t="s">
        <v>438</v>
      </c>
      <c r="G39">
        <v>3</v>
      </c>
      <c r="H39">
        <v>100</v>
      </c>
      <c r="I39">
        <v>0.01</v>
      </c>
      <c r="J39">
        <v>1</v>
      </c>
      <c r="K39">
        <v>4.9800000000000004</v>
      </c>
      <c r="L39">
        <v>9.2799999999999994</v>
      </c>
      <c r="M39">
        <v>8.84</v>
      </c>
      <c r="N39">
        <v>9.15</v>
      </c>
      <c r="O39">
        <v>9.2799999999999994</v>
      </c>
      <c r="P39">
        <v>0</v>
      </c>
      <c r="Q39">
        <v>0</v>
      </c>
      <c r="R39">
        <v>0</v>
      </c>
      <c r="S39">
        <v>9.11</v>
      </c>
      <c r="T39">
        <v>8.84</v>
      </c>
      <c r="U39">
        <v>8.83</v>
      </c>
      <c r="V39">
        <v>9.4600000000000009</v>
      </c>
      <c r="W39">
        <v>307061</v>
      </c>
      <c r="X39">
        <v>9.11</v>
      </c>
      <c r="Y39">
        <v>9.2799999999999994</v>
      </c>
      <c r="Z39">
        <v>97</v>
      </c>
      <c r="AA39">
        <v>36165270</v>
      </c>
      <c r="AB39">
        <v>1856</v>
      </c>
      <c r="AC39">
        <v>0</v>
      </c>
      <c r="AD39" t="s">
        <v>94</v>
      </c>
      <c r="AE39" t="s">
        <v>94</v>
      </c>
      <c r="AF39" t="s">
        <v>226</v>
      </c>
      <c r="AG39" t="s">
        <v>226</v>
      </c>
      <c r="AH39">
        <v>9</v>
      </c>
      <c r="AI39" t="s">
        <v>269</v>
      </c>
      <c r="AJ39" t="s">
        <v>270</v>
      </c>
      <c r="AK39" t="s">
        <v>439</v>
      </c>
      <c r="AL39" t="s">
        <v>272</v>
      </c>
    </row>
    <row r="40" spans="1:38">
      <c r="A40" t="s">
        <v>445</v>
      </c>
      <c r="B40" t="s">
        <v>446</v>
      </c>
      <c r="C40" t="s">
        <v>447</v>
      </c>
      <c r="D40" t="s">
        <v>448</v>
      </c>
      <c r="E40" t="s">
        <v>449</v>
      </c>
      <c r="F40" t="s">
        <v>268</v>
      </c>
      <c r="G40">
        <v>3</v>
      </c>
      <c r="H40">
        <v>1</v>
      </c>
      <c r="I40">
        <v>0.5</v>
      </c>
      <c r="J40">
        <v>1</v>
      </c>
      <c r="K40">
        <v>0.6</v>
      </c>
      <c r="L40">
        <v>2088</v>
      </c>
      <c r="M40">
        <v>2097.5</v>
      </c>
      <c r="N40">
        <v>2085.5</v>
      </c>
      <c r="O40">
        <v>2090.5</v>
      </c>
      <c r="P40">
        <v>0</v>
      </c>
      <c r="Q40">
        <v>0</v>
      </c>
      <c r="R40">
        <v>0</v>
      </c>
      <c r="S40">
        <v>2086.5</v>
      </c>
      <c r="T40">
        <v>2075</v>
      </c>
      <c r="U40">
        <v>2049</v>
      </c>
      <c r="V40">
        <v>2118</v>
      </c>
      <c r="W40">
        <v>34342582</v>
      </c>
      <c r="X40">
        <v>2087</v>
      </c>
      <c r="Y40">
        <v>2091.5</v>
      </c>
      <c r="Z40">
        <v>1745</v>
      </c>
      <c r="AA40">
        <v>147846489</v>
      </c>
      <c r="AB40">
        <v>6264</v>
      </c>
      <c r="AC40">
        <v>0</v>
      </c>
      <c r="AD40" t="s">
        <v>94</v>
      </c>
      <c r="AE40" t="s">
        <v>94</v>
      </c>
      <c r="AF40" t="s">
        <v>226</v>
      </c>
      <c r="AG40" t="s">
        <v>226</v>
      </c>
      <c r="AH40">
        <v>9</v>
      </c>
      <c r="AI40" t="s">
        <v>269</v>
      </c>
      <c r="AJ40" t="s">
        <v>270</v>
      </c>
      <c r="AK40" t="s">
        <v>271</v>
      </c>
      <c r="AL40" t="s">
        <v>272</v>
      </c>
    </row>
    <row r="41" spans="1:38">
      <c r="A41" t="s">
        <v>450</v>
      </c>
      <c r="B41" t="s">
        <v>451</v>
      </c>
      <c r="C41" t="s">
        <v>452</v>
      </c>
      <c r="D41" t="s">
        <v>453</v>
      </c>
      <c r="E41" t="s">
        <v>454</v>
      </c>
      <c r="F41" t="s">
        <v>438</v>
      </c>
      <c r="G41">
        <v>3</v>
      </c>
      <c r="H41">
        <v>1</v>
      </c>
      <c r="I41">
        <v>0.5</v>
      </c>
      <c r="J41">
        <v>1</v>
      </c>
      <c r="K41">
        <v>-0.69</v>
      </c>
      <c r="L41">
        <v>1084</v>
      </c>
      <c r="M41">
        <v>1095.5</v>
      </c>
      <c r="N41">
        <v>1099</v>
      </c>
      <c r="O41">
        <v>1082</v>
      </c>
      <c r="P41">
        <v>0</v>
      </c>
      <c r="Q41">
        <v>0</v>
      </c>
      <c r="R41">
        <v>0</v>
      </c>
      <c r="S41">
        <v>1091</v>
      </c>
      <c r="T41">
        <v>1092</v>
      </c>
      <c r="U41">
        <v>1080</v>
      </c>
      <c r="V41">
        <v>1100</v>
      </c>
      <c r="W41">
        <v>59010728</v>
      </c>
      <c r="X41">
        <v>1083</v>
      </c>
      <c r="Y41">
        <v>1084.5</v>
      </c>
      <c r="Z41">
        <v>3244</v>
      </c>
      <c r="AA41">
        <v>29788012</v>
      </c>
      <c r="AB41">
        <v>10840</v>
      </c>
      <c r="AC41">
        <v>0</v>
      </c>
      <c r="AD41" t="s">
        <v>94</v>
      </c>
      <c r="AE41" t="s">
        <v>94</v>
      </c>
      <c r="AF41" t="s">
        <v>226</v>
      </c>
      <c r="AG41" t="s">
        <v>226</v>
      </c>
      <c r="AH41">
        <v>9</v>
      </c>
      <c r="AI41" t="s">
        <v>269</v>
      </c>
      <c r="AJ41" t="s">
        <v>270</v>
      </c>
      <c r="AK41" t="s">
        <v>439</v>
      </c>
      <c r="AL41" t="s">
        <v>272</v>
      </c>
    </row>
    <row r="42" spans="1:38">
      <c r="A42" t="s">
        <v>455</v>
      </c>
      <c r="B42" t="s">
        <v>456</v>
      </c>
      <c r="C42" t="s">
        <v>457</v>
      </c>
      <c r="D42" t="s">
        <v>458</v>
      </c>
      <c r="E42" t="s">
        <v>459</v>
      </c>
      <c r="F42" t="s">
        <v>268</v>
      </c>
      <c r="G42">
        <v>3</v>
      </c>
      <c r="H42">
        <v>1</v>
      </c>
      <c r="I42">
        <v>1</v>
      </c>
      <c r="J42">
        <v>2.5000000000000001E-2</v>
      </c>
      <c r="K42">
        <v>-1.31</v>
      </c>
      <c r="L42">
        <v>1737</v>
      </c>
      <c r="M42">
        <v>1755</v>
      </c>
      <c r="N42">
        <v>1760</v>
      </c>
      <c r="O42">
        <v>1732</v>
      </c>
      <c r="P42">
        <v>0</v>
      </c>
      <c r="Q42">
        <v>0</v>
      </c>
      <c r="R42">
        <v>0</v>
      </c>
      <c r="S42">
        <v>1731</v>
      </c>
      <c r="T42">
        <v>1753</v>
      </c>
      <c r="U42">
        <v>1720</v>
      </c>
      <c r="V42">
        <v>1777</v>
      </c>
      <c r="W42">
        <v>1011086</v>
      </c>
      <c r="X42">
        <v>1732</v>
      </c>
      <c r="Y42">
        <v>1735</v>
      </c>
      <c r="Z42">
        <v>105</v>
      </c>
      <c r="AA42">
        <v>7027270</v>
      </c>
      <c r="AB42">
        <v>12159</v>
      </c>
      <c r="AC42">
        <v>0</v>
      </c>
      <c r="AD42" t="s">
        <v>94</v>
      </c>
      <c r="AE42" t="s">
        <v>94</v>
      </c>
      <c r="AF42" t="s">
        <v>226</v>
      </c>
      <c r="AG42" t="s">
        <v>226</v>
      </c>
      <c r="AH42">
        <v>9</v>
      </c>
      <c r="AI42" t="s">
        <v>269</v>
      </c>
      <c r="AJ42" t="s">
        <v>270</v>
      </c>
      <c r="AK42" t="s">
        <v>271</v>
      </c>
      <c r="AL42" t="s">
        <v>272</v>
      </c>
    </row>
    <row r="43" spans="1:38">
      <c r="A43" t="s">
        <v>460</v>
      </c>
      <c r="B43" t="s">
        <v>461</v>
      </c>
      <c r="C43" t="s">
        <v>462</v>
      </c>
      <c r="D43" t="s">
        <v>463</v>
      </c>
      <c r="E43" t="s">
        <v>464</v>
      </c>
      <c r="F43" t="s">
        <v>268</v>
      </c>
      <c r="G43">
        <v>1</v>
      </c>
      <c r="H43">
        <v>1</v>
      </c>
      <c r="I43">
        <v>0.05</v>
      </c>
      <c r="J43">
        <v>0.01</v>
      </c>
      <c r="K43">
        <v>-0.82</v>
      </c>
      <c r="L43">
        <v>78.150000000000006</v>
      </c>
      <c r="M43">
        <v>78.8</v>
      </c>
      <c r="N43">
        <v>80.25</v>
      </c>
      <c r="O43">
        <v>78.099999999999994</v>
      </c>
      <c r="P43">
        <v>0</v>
      </c>
      <c r="Q43">
        <v>0</v>
      </c>
      <c r="R43">
        <v>0</v>
      </c>
      <c r="S43">
        <v>79.900000000000006</v>
      </c>
      <c r="T43">
        <v>78.599999999999994</v>
      </c>
      <c r="U43">
        <v>78</v>
      </c>
      <c r="V43">
        <v>81.95</v>
      </c>
      <c r="W43">
        <v>29267349</v>
      </c>
      <c r="X43">
        <v>78</v>
      </c>
      <c r="Y43">
        <v>78.150000000000006</v>
      </c>
      <c r="Z43">
        <v>4119</v>
      </c>
      <c r="AA43">
        <v>500000000</v>
      </c>
      <c r="AB43">
        <v>78.150000000000006</v>
      </c>
      <c r="AC43">
        <v>0</v>
      </c>
      <c r="AD43" t="s">
        <v>94</v>
      </c>
      <c r="AE43" t="s">
        <v>94</v>
      </c>
      <c r="AF43" t="s">
        <v>226</v>
      </c>
      <c r="AG43" t="s">
        <v>226</v>
      </c>
      <c r="AH43">
        <v>-100</v>
      </c>
      <c r="AI43" t="s">
        <v>269</v>
      </c>
      <c r="AJ43" t="s">
        <v>270</v>
      </c>
      <c r="AK43" t="s">
        <v>271</v>
      </c>
      <c r="AL43" t="s">
        <v>272</v>
      </c>
    </row>
    <row r="44" spans="1:38">
      <c r="A44" t="s">
        <v>465</v>
      </c>
      <c r="B44" t="s">
        <v>466</v>
      </c>
      <c r="C44" t="s">
        <v>467</v>
      </c>
      <c r="D44" t="s">
        <v>468</v>
      </c>
      <c r="E44" t="s">
        <v>469</v>
      </c>
      <c r="F44" t="s">
        <v>268</v>
      </c>
      <c r="G44">
        <v>2</v>
      </c>
      <c r="H44">
        <v>1</v>
      </c>
      <c r="I44">
        <v>20</v>
      </c>
      <c r="J44">
        <v>1</v>
      </c>
      <c r="K44">
        <v>-1.53</v>
      </c>
      <c r="L44">
        <v>21860</v>
      </c>
      <c r="M44">
        <v>22180</v>
      </c>
      <c r="N44">
        <v>22360</v>
      </c>
      <c r="O44">
        <v>21720</v>
      </c>
      <c r="P44">
        <v>0</v>
      </c>
      <c r="Q44">
        <v>0</v>
      </c>
      <c r="R44">
        <v>0</v>
      </c>
      <c r="S44">
        <v>22000</v>
      </c>
      <c r="T44">
        <v>22200</v>
      </c>
      <c r="U44">
        <v>21220</v>
      </c>
      <c r="V44">
        <v>22440</v>
      </c>
      <c r="W44">
        <v>15153300</v>
      </c>
      <c r="X44">
        <v>21780</v>
      </c>
      <c r="Y44">
        <v>21840</v>
      </c>
      <c r="Z44">
        <v>343</v>
      </c>
      <c r="AA44">
        <v>11529538</v>
      </c>
      <c r="AB44">
        <v>21860</v>
      </c>
      <c r="AC44">
        <v>0</v>
      </c>
      <c r="AD44" t="s">
        <v>94</v>
      </c>
      <c r="AE44" t="s">
        <v>94</v>
      </c>
      <c r="AF44" t="s">
        <v>226</v>
      </c>
      <c r="AG44" t="s">
        <v>226</v>
      </c>
      <c r="AH44">
        <v>-100</v>
      </c>
      <c r="AI44" t="s">
        <v>269</v>
      </c>
      <c r="AJ44" t="s">
        <v>270</v>
      </c>
      <c r="AK44" t="s">
        <v>271</v>
      </c>
      <c r="AL44" t="s">
        <v>272</v>
      </c>
    </row>
    <row r="45" spans="1:38">
      <c r="A45" t="s">
        <v>470</v>
      </c>
      <c r="B45" t="s">
        <v>471</v>
      </c>
      <c r="C45" t="s">
        <v>472</v>
      </c>
      <c r="D45" t="s">
        <v>473</v>
      </c>
      <c r="E45" t="s">
        <v>474</v>
      </c>
      <c r="F45" t="s">
        <v>268</v>
      </c>
      <c r="G45">
        <v>1</v>
      </c>
      <c r="H45">
        <v>1</v>
      </c>
      <c r="I45">
        <v>0.01</v>
      </c>
      <c r="J45">
        <v>50</v>
      </c>
      <c r="K45">
        <v>0.64</v>
      </c>
      <c r="L45">
        <v>67.709999999999994</v>
      </c>
      <c r="M45">
        <v>67.510000000000005</v>
      </c>
      <c r="N45">
        <v>68.180000000000007</v>
      </c>
      <c r="O45">
        <v>67.510000000000005</v>
      </c>
      <c r="P45">
        <v>0</v>
      </c>
      <c r="Q45">
        <v>0</v>
      </c>
      <c r="R45">
        <v>0</v>
      </c>
      <c r="S45">
        <v>68.28</v>
      </c>
      <c r="T45">
        <v>67.319999999999993</v>
      </c>
      <c r="U45">
        <v>67.13</v>
      </c>
      <c r="V45">
        <v>69.069999999999993</v>
      </c>
      <c r="W45">
        <v>2146360655</v>
      </c>
      <c r="X45">
        <v>67.680000000000007</v>
      </c>
      <c r="Y45">
        <v>67.72</v>
      </c>
      <c r="Z45">
        <v>76968</v>
      </c>
      <c r="AA45">
        <v>5369933893</v>
      </c>
      <c r="AB45">
        <v>67.709999999999994</v>
      </c>
      <c r="AC45">
        <v>0</v>
      </c>
      <c r="AD45" t="s">
        <v>94</v>
      </c>
      <c r="AE45" t="s">
        <v>94</v>
      </c>
      <c r="AF45" t="s">
        <v>226</v>
      </c>
      <c r="AG45" t="s">
        <v>226</v>
      </c>
      <c r="AH45">
        <v>-100</v>
      </c>
      <c r="AI45" t="s">
        <v>269</v>
      </c>
      <c r="AJ45" t="s">
        <v>270</v>
      </c>
      <c r="AK45" t="s">
        <v>271</v>
      </c>
      <c r="AL45" t="s">
        <v>272</v>
      </c>
    </row>
    <row r="46" spans="1:38">
      <c r="A46" t="s">
        <v>475</v>
      </c>
      <c r="B46" t="s">
        <v>476</v>
      </c>
      <c r="C46" t="s">
        <v>477</v>
      </c>
      <c r="D46" t="s">
        <v>478</v>
      </c>
      <c r="E46" t="s">
        <v>479</v>
      </c>
      <c r="F46" t="s">
        <v>268</v>
      </c>
      <c r="G46">
        <v>3</v>
      </c>
      <c r="H46">
        <v>10</v>
      </c>
      <c r="I46">
        <v>0.2</v>
      </c>
      <c r="J46">
        <v>20</v>
      </c>
      <c r="K46">
        <v>14.79</v>
      </c>
      <c r="L46">
        <v>194</v>
      </c>
      <c r="M46">
        <v>169</v>
      </c>
      <c r="N46">
        <v>173.8</v>
      </c>
      <c r="O46">
        <v>192.6</v>
      </c>
      <c r="P46">
        <v>0</v>
      </c>
      <c r="Q46">
        <v>0</v>
      </c>
      <c r="R46">
        <v>0</v>
      </c>
      <c r="S46">
        <v>190</v>
      </c>
      <c r="T46">
        <v>167.4</v>
      </c>
      <c r="U46">
        <v>167.4</v>
      </c>
      <c r="V46">
        <v>203.6</v>
      </c>
      <c r="W46">
        <v>7325606</v>
      </c>
      <c r="X46">
        <v>189.6</v>
      </c>
      <c r="Y46">
        <v>194.6</v>
      </c>
      <c r="Z46">
        <v>631</v>
      </c>
      <c r="AA46">
        <v>5005605</v>
      </c>
      <c r="AB46">
        <v>13580</v>
      </c>
      <c r="AC46">
        <v>0</v>
      </c>
      <c r="AD46" t="s">
        <v>94</v>
      </c>
      <c r="AE46" t="s">
        <v>94</v>
      </c>
      <c r="AF46" t="s">
        <v>226</v>
      </c>
      <c r="AG46" t="s">
        <v>226</v>
      </c>
      <c r="AH46">
        <v>9</v>
      </c>
      <c r="AI46" t="s">
        <v>269</v>
      </c>
      <c r="AJ46" t="s">
        <v>270</v>
      </c>
      <c r="AK46" t="s">
        <v>271</v>
      </c>
      <c r="AL46" t="s">
        <v>272</v>
      </c>
    </row>
    <row r="47" spans="1:38">
      <c r="A47" t="s">
        <v>480</v>
      </c>
      <c r="B47" t="s">
        <v>481</v>
      </c>
      <c r="C47" t="s">
        <v>482</v>
      </c>
      <c r="D47" t="s">
        <v>483</v>
      </c>
      <c r="E47" t="s">
        <v>484</v>
      </c>
      <c r="F47" t="s">
        <v>268</v>
      </c>
      <c r="G47">
        <v>3</v>
      </c>
      <c r="H47">
        <v>1</v>
      </c>
      <c r="I47">
        <v>5</v>
      </c>
      <c r="J47">
        <v>0.1</v>
      </c>
      <c r="K47">
        <v>-2.09</v>
      </c>
      <c r="L47">
        <v>2110</v>
      </c>
      <c r="M47">
        <v>2150</v>
      </c>
      <c r="N47">
        <v>2155</v>
      </c>
      <c r="O47">
        <v>2070</v>
      </c>
      <c r="P47">
        <v>0</v>
      </c>
      <c r="Q47">
        <v>0</v>
      </c>
      <c r="R47">
        <v>0</v>
      </c>
      <c r="S47">
        <v>2105</v>
      </c>
      <c r="T47">
        <v>2140</v>
      </c>
      <c r="U47">
        <v>2050</v>
      </c>
      <c r="V47">
        <v>2145</v>
      </c>
      <c r="W47">
        <v>214850</v>
      </c>
      <c r="X47">
        <v>2055</v>
      </c>
      <c r="Y47">
        <v>2100</v>
      </c>
      <c r="Z47">
        <v>32</v>
      </c>
      <c r="AA47">
        <v>18091110</v>
      </c>
      <c r="AB47">
        <v>2110</v>
      </c>
      <c r="AC47">
        <v>0</v>
      </c>
      <c r="AD47" t="s">
        <v>94</v>
      </c>
      <c r="AE47" t="s">
        <v>94</v>
      </c>
      <c r="AF47" t="s">
        <v>226</v>
      </c>
      <c r="AG47" t="s">
        <v>226</v>
      </c>
      <c r="AH47">
        <v>9</v>
      </c>
      <c r="AI47" t="s">
        <v>269</v>
      </c>
      <c r="AJ47" t="s">
        <v>270</v>
      </c>
      <c r="AK47" t="s">
        <v>271</v>
      </c>
      <c r="AL47" t="s">
        <v>272</v>
      </c>
    </row>
    <row r="48" spans="1:38">
      <c r="A48" t="s">
        <v>485</v>
      </c>
      <c r="B48" t="s">
        <v>486</v>
      </c>
      <c r="C48" t="s">
        <v>487</v>
      </c>
      <c r="D48" t="s">
        <v>488</v>
      </c>
      <c r="E48" t="s">
        <v>489</v>
      </c>
      <c r="F48" t="s">
        <v>438</v>
      </c>
      <c r="G48">
        <v>3</v>
      </c>
      <c r="H48">
        <v>1</v>
      </c>
      <c r="I48">
        <v>5</v>
      </c>
      <c r="J48">
        <v>0.1</v>
      </c>
      <c r="K48">
        <v>0.63</v>
      </c>
      <c r="L48">
        <v>1590</v>
      </c>
      <c r="M48">
        <v>1575</v>
      </c>
      <c r="N48">
        <v>1595</v>
      </c>
      <c r="O48">
        <v>1585</v>
      </c>
      <c r="P48">
        <v>0</v>
      </c>
      <c r="Q48">
        <v>0</v>
      </c>
      <c r="R48">
        <v>0</v>
      </c>
      <c r="S48">
        <v>1585</v>
      </c>
      <c r="T48">
        <v>1590</v>
      </c>
      <c r="U48">
        <v>1575</v>
      </c>
      <c r="V48">
        <v>1625</v>
      </c>
      <c r="W48">
        <v>47605</v>
      </c>
      <c r="X48">
        <v>1565</v>
      </c>
      <c r="Y48">
        <v>1580</v>
      </c>
      <c r="Z48">
        <v>20</v>
      </c>
      <c r="AA48">
        <v>5883050</v>
      </c>
      <c r="AB48">
        <v>1590</v>
      </c>
      <c r="AC48">
        <v>0</v>
      </c>
      <c r="AD48" t="s">
        <v>94</v>
      </c>
      <c r="AE48" t="s">
        <v>94</v>
      </c>
      <c r="AF48" t="s">
        <v>226</v>
      </c>
      <c r="AG48" t="s">
        <v>226</v>
      </c>
      <c r="AH48">
        <v>9</v>
      </c>
      <c r="AI48" t="s">
        <v>269</v>
      </c>
      <c r="AJ48" t="s">
        <v>270</v>
      </c>
      <c r="AK48" t="s">
        <v>439</v>
      </c>
      <c r="AL48" t="s">
        <v>272</v>
      </c>
    </row>
    <row r="49" spans="1:38">
      <c r="A49" t="s">
        <v>490</v>
      </c>
      <c r="B49" t="s">
        <v>491</v>
      </c>
      <c r="C49" t="s">
        <v>492</v>
      </c>
      <c r="D49" t="s">
        <v>493</v>
      </c>
      <c r="E49" t="s">
        <v>494</v>
      </c>
      <c r="F49" t="s">
        <v>268</v>
      </c>
      <c r="G49">
        <v>3</v>
      </c>
      <c r="H49">
        <v>1000</v>
      </c>
      <c r="I49">
        <v>0.02</v>
      </c>
      <c r="J49">
        <v>0.12</v>
      </c>
      <c r="K49">
        <v>9.7899999999999991</v>
      </c>
      <c r="L49">
        <v>10.54</v>
      </c>
      <c r="M49">
        <v>9.6199999999999992</v>
      </c>
      <c r="N49">
        <v>10.199999999999999</v>
      </c>
      <c r="O49">
        <v>10.48</v>
      </c>
      <c r="P49">
        <v>0</v>
      </c>
      <c r="Q49">
        <v>0</v>
      </c>
      <c r="R49">
        <v>0</v>
      </c>
      <c r="S49">
        <v>10.6</v>
      </c>
      <c r="T49">
        <v>9.94</v>
      </c>
      <c r="U49">
        <v>9.94</v>
      </c>
      <c r="V49">
        <v>11.14</v>
      </c>
      <c r="W49">
        <v>1706080</v>
      </c>
      <c r="X49">
        <v>10.44</v>
      </c>
      <c r="Y49">
        <v>10.56</v>
      </c>
      <c r="Z49">
        <v>95</v>
      </c>
      <c r="AA49">
        <v>319595965</v>
      </c>
      <c r="AB49">
        <v>10540</v>
      </c>
      <c r="AC49">
        <v>0</v>
      </c>
      <c r="AD49" t="s">
        <v>94</v>
      </c>
      <c r="AE49" t="s">
        <v>94</v>
      </c>
      <c r="AF49" t="s">
        <v>226</v>
      </c>
      <c r="AG49" t="s">
        <v>226</v>
      </c>
      <c r="AH49">
        <v>9</v>
      </c>
      <c r="AI49" t="s">
        <v>269</v>
      </c>
      <c r="AJ49" t="s">
        <v>270</v>
      </c>
      <c r="AK49" t="s">
        <v>271</v>
      </c>
      <c r="AL49" t="s">
        <v>272</v>
      </c>
    </row>
    <row r="50" spans="1:38">
      <c r="A50" t="s">
        <v>495</v>
      </c>
      <c r="B50" t="s">
        <v>496</v>
      </c>
      <c r="C50" t="s">
        <v>497</v>
      </c>
      <c r="D50" t="s">
        <v>498</v>
      </c>
      <c r="E50" t="s">
        <v>499</v>
      </c>
      <c r="F50" t="s">
        <v>438</v>
      </c>
      <c r="G50">
        <v>3</v>
      </c>
      <c r="H50">
        <v>1000</v>
      </c>
      <c r="I50">
        <v>0.02</v>
      </c>
      <c r="J50">
        <v>0.12</v>
      </c>
      <c r="K50">
        <v>0</v>
      </c>
      <c r="L50">
        <v>8.52</v>
      </c>
      <c r="M50">
        <v>8.52</v>
      </c>
      <c r="N50">
        <v>8.6</v>
      </c>
      <c r="O50">
        <v>8.52</v>
      </c>
      <c r="P50">
        <v>0</v>
      </c>
      <c r="Q50">
        <v>0</v>
      </c>
      <c r="R50">
        <v>0</v>
      </c>
      <c r="S50">
        <v>8.7799999999999994</v>
      </c>
      <c r="T50">
        <v>8.6999999999999993</v>
      </c>
      <c r="U50">
        <v>8.34</v>
      </c>
      <c r="V50">
        <v>9.24</v>
      </c>
      <c r="W50">
        <v>939240</v>
      </c>
      <c r="X50">
        <v>8.4</v>
      </c>
      <c r="Y50">
        <v>8.58</v>
      </c>
      <c r="Z50">
        <v>78</v>
      </c>
      <c r="AA50">
        <v>80499134</v>
      </c>
      <c r="AB50">
        <v>8520</v>
      </c>
      <c r="AC50">
        <v>0</v>
      </c>
      <c r="AD50" t="s">
        <v>94</v>
      </c>
      <c r="AE50" t="s">
        <v>94</v>
      </c>
      <c r="AF50" t="s">
        <v>226</v>
      </c>
      <c r="AG50" t="s">
        <v>226</v>
      </c>
      <c r="AH50">
        <v>9</v>
      </c>
      <c r="AI50" t="s">
        <v>269</v>
      </c>
      <c r="AJ50" t="s">
        <v>270</v>
      </c>
      <c r="AK50" t="s">
        <v>439</v>
      </c>
      <c r="AL50" t="s">
        <v>272</v>
      </c>
    </row>
    <row r="51" spans="1:38">
      <c r="A51" t="s">
        <v>500</v>
      </c>
      <c r="B51" t="s">
        <v>501</v>
      </c>
      <c r="C51" t="s">
        <v>502</v>
      </c>
      <c r="D51" t="s">
        <v>503</v>
      </c>
      <c r="E51" t="s">
        <v>504</v>
      </c>
      <c r="F51" t="s">
        <v>268</v>
      </c>
      <c r="G51">
        <v>3</v>
      </c>
      <c r="H51">
        <v>1</v>
      </c>
      <c r="I51">
        <v>50</v>
      </c>
      <c r="J51">
        <v>0.5</v>
      </c>
      <c r="K51">
        <v>0</v>
      </c>
      <c r="L51">
        <v>0</v>
      </c>
      <c r="M51">
        <v>10600</v>
      </c>
      <c r="N51">
        <v>10850</v>
      </c>
      <c r="O51">
        <v>10600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10300</v>
      </c>
      <c r="Y51">
        <v>10750</v>
      </c>
      <c r="Z51">
        <v>0</v>
      </c>
      <c r="AA51">
        <v>1891250</v>
      </c>
      <c r="AB51">
        <v>0</v>
      </c>
      <c r="AC51">
        <v>0</v>
      </c>
      <c r="AD51" t="s">
        <v>94</v>
      </c>
      <c r="AE51" t="s">
        <v>94</v>
      </c>
      <c r="AF51" t="s">
        <v>226</v>
      </c>
      <c r="AG51" t="s">
        <v>226</v>
      </c>
      <c r="AH51">
        <v>9</v>
      </c>
      <c r="AI51" t="s">
        <v>269</v>
      </c>
      <c r="AJ51" t="s">
        <v>270</v>
      </c>
      <c r="AK51" t="s">
        <v>271</v>
      </c>
      <c r="AL51" t="s">
        <v>272</v>
      </c>
    </row>
    <row r="52" spans="1:38">
      <c r="A52" t="s">
        <v>505</v>
      </c>
      <c r="B52" t="s">
        <v>506</v>
      </c>
      <c r="C52" t="s">
        <v>507</v>
      </c>
      <c r="D52" t="s">
        <v>508</v>
      </c>
      <c r="E52" t="s">
        <v>509</v>
      </c>
      <c r="F52" t="s">
        <v>438</v>
      </c>
      <c r="G52">
        <v>3</v>
      </c>
      <c r="H52">
        <v>1</v>
      </c>
      <c r="I52">
        <v>50</v>
      </c>
      <c r="J52">
        <v>0.5</v>
      </c>
      <c r="K52">
        <v>0</v>
      </c>
      <c r="L52">
        <v>7650</v>
      </c>
      <c r="M52">
        <v>7750</v>
      </c>
      <c r="N52">
        <v>7800</v>
      </c>
      <c r="O52">
        <v>7650</v>
      </c>
      <c r="P52">
        <v>0</v>
      </c>
      <c r="Q52">
        <v>0</v>
      </c>
      <c r="R52">
        <v>0</v>
      </c>
      <c r="S52">
        <v>7950</v>
      </c>
      <c r="T52">
        <v>7950</v>
      </c>
      <c r="U52">
        <v>7650</v>
      </c>
      <c r="V52">
        <v>7950</v>
      </c>
      <c r="W52">
        <v>95100</v>
      </c>
      <c r="X52">
        <v>7650</v>
      </c>
      <c r="Y52">
        <v>7900</v>
      </c>
      <c r="Z52">
        <v>6</v>
      </c>
      <c r="AA52">
        <v>51839</v>
      </c>
      <c r="AB52">
        <v>7650</v>
      </c>
      <c r="AC52">
        <v>0</v>
      </c>
      <c r="AD52" t="s">
        <v>94</v>
      </c>
      <c r="AE52" t="s">
        <v>94</v>
      </c>
      <c r="AF52" t="s">
        <v>226</v>
      </c>
      <c r="AG52" t="s">
        <v>226</v>
      </c>
      <c r="AH52">
        <v>9</v>
      </c>
      <c r="AI52" t="s">
        <v>269</v>
      </c>
      <c r="AJ52" t="s">
        <v>270</v>
      </c>
      <c r="AK52" t="s">
        <v>439</v>
      </c>
      <c r="AL52" t="s">
        <v>272</v>
      </c>
    </row>
    <row r="53" spans="1:38">
      <c r="A53" t="s">
        <v>510</v>
      </c>
      <c r="B53" t="s">
        <v>511</v>
      </c>
      <c r="C53" t="s">
        <v>512</v>
      </c>
      <c r="D53" t="s">
        <v>513</v>
      </c>
      <c r="E53" t="s">
        <v>514</v>
      </c>
      <c r="F53" t="s">
        <v>268</v>
      </c>
      <c r="G53">
        <v>3</v>
      </c>
      <c r="H53">
        <v>10</v>
      </c>
      <c r="I53">
        <v>0.5</v>
      </c>
      <c r="J53">
        <v>100</v>
      </c>
      <c r="K53">
        <v>0</v>
      </c>
      <c r="L53">
        <v>0</v>
      </c>
      <c r="M53">
        <v>1739</v>
      </c>
      <c r="N53">
        <v>0</v>
      </c>
      <c r="O53">
        <v>1739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471428300</v>
      </c>
      <c r="AB53">
        <v>0</v>
      </c>
      <c r="AC53">
        <v>0</v>
      </c>
      <c r="AD53" t="s">
        <v>94</v>
      </c>
      <c r="AE53" t="s">
        <v>94</v>
      </c>
      <c r="AF53" t="s">
        <v>226</v>
      </c>
      <c r="AG53" t="s">
        <v>226</v>
      </c>
      <c r="AH53">
        <v>9</v>
      </c>
      <c r="AI53" t="s">
        <v>269</v>
      </c>
      <c r="AJ53" t="s">
        <v>270</v>
      </c>
      <c r="AK53" t="s">
        <v>271</v>
      </c>
      <c r="AL53" t="s">
        <v>272</v>
      </c>
    </row>
    <row r="54" spans="1:38">
      <c r="A54" t="s">
        <v>515</v>
      </c>
      <c r="B54" t="s">
        <v>516</v>
      </c>
      <c r="C54" t="s">
        <v>517</v>
      </c>
      <c r="D54" t="s">
        <v>518</v>
      </c>
      <c r="E54" t="s">
        <v>519</v>
      </c>
      <c r="F54" t="s">
        <v>268</v>
      </c>
      <c r="G54">
        <v>3</v>
      </c>
      <c r="H54">
        <v>10</v>
      </c>
      <c r="I54">
        <v>1</v>
      </c>
      <c r="J54">
        <v>10</v>
      </c>
      <c r="K54">
        <v>0</v>
      </c>
      <c r="L54">
        <v>0</v>
      </c>
      <c r="M54">
        <v>839</v>
      </c>
      <c r="N54">
        <v>0</v>
      </c>
      <c r="O54">
        <v>839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206508967</v>
      </c>
      <c r="AB54">
        <v>0</v>
      </c>
      <c r="AC54">
        <v>0</v>
      </c>
      <c r="AD54" t="s">
        <v>94</v>
      </c>
      <c r="AE54" t="s">
        <v>94</v>
      </c>
      <c r="AF54" t="s">
        <v>226</v>
      </c>
      <c r="AG54" t="s">
        <v>226</v>
      </c>
      <c r="AH54">
        <v>9</v>
      </c>
      <c r="AI54" t="s">
        <v>269</v>
      </c>
      <c r="AJ54" t="s">
        <v>270</v>
      </c>
      <c r="AK54" t="s">
        <v>271</v>
      </c>
      <c r="AL54" t="s">
        <v>272</v>
      </c>
    </row>
    <row r="55" spans="1:38">
      <c r="A55" t="s">
        <v>520</v>
      </c>
      <c r="B55" t="s">
        <v>521</v>
      </c>
      <c r="C55" t="s">
        <v>522</v>
      </c>
      <c r="D55" t="s">
        <v>523</v>
      </c>
      <c r="E55" t="s">
        <v>524</v>
      </c>
      <c r="F55" t="s">
        <v>268</v>
      </c>
      <c r="G55">
        <v>3</v>
      </c>
      <c r="H55">
        <v>10</v>
      </c>
      <c r="I55">
        <v>1</v>
      </c>
      <c r="J55">
        <v>10</v>
      </c>
      <c r="K55">
        <v>0</v>
      </c>
      <c r="L55">
        <v>0</v>
      </c>
      <c r="M55">
        <v>659</v>
      </c>
      <c r="N55">
        <v>0</v>
      </c>
      <c r="O55">
        <v>659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225381601</v>
      </c>
      <c r="AB55">
        <v>0</v>
      </c>
      <c r="AC55">
        <v>0</v>
      </c>
      <c r="AD55" t="s">
        <v>94</v>
      </c>
      <c r="AE55" t="s">
        <v>94</v>
      </c>
      <c r="AF55" t="s">
        <v>226</v>
      </c>
      <c r="AG55" t="s">
        <v>226</v>
      </c>
      <c r="AH55">
        <v>9</v>
      </c>
      <c r="AI55" t="s">
        <v>269</v>
      </c>
      <c r="AJ55" t="s">
        <v>270</v>
      </c>
      <c r="AK55" t="s">
        <v>271</v>
      </c>
      <c r="AL55" t="s">
        <v>272</v>
      </c>
    </row>
    <row r="56" spans="1:38">
      <c r="A56" t="s">
        <v>525</v>
      </c>
      <c r="B56" t="s">
        <v>526</v>
      </c>
      <c r="C56" t="s">
        <v>527</v>
      </c>
      <c r="D56" t="s">
        <v>528</v>
      </c>
      <c r="E56" t="s">
        <v>529</v>
      </c>
      <c r="F56" t="s">
        <v>268</v>
      </c>
      <c r="G56">
        <v>1</v>
      </c>
      <c r="H56">
        <v>10</v>
      </c>
      <c r="I56">
        <v>0.01</v>
      </c>
      <c r="J56">
        <v>5</v>
      </c>
      <c r="K56">
        <v>-0.85</v>
      </c>
      <c r="L56">
        <v>120.45</v>
      </c>
      <c r="M56">
        <v>121.54</v>
      </c>
      <c r="N56">
        <v>122.52</v>
      </c>
      <c r="O56">
        <v>120.22</v>
      </c>
      <c r="P56">
        <v>0</v>
      </c>
      <c r="Q56">
        <v>0</v>
      </c>
      <c r="R56">
        <v>0</v>
      </c>
      <c r="S56">
        <v>122.02</v>
      </c>
      <c r="T56">
        <v>121.5</v>
      </c>
      <c r="U56">
        <v>119.86</v>
      </c>
      <c r="V56">
        <v>123.46</v>
      </c>
      <c r="W56">
        <v>3454728052</v>
      </c>
      <c r="X56">
        <v>120.45</v>
      </c>
      <c r="Y56">
        <v>120.47</v>
      </c>
      <c r="Z56">
        <v>46554</v>
      </c>
      <c r="AA56">
        <v>23673512900</v>
      </c>
      <c r="AB56">
        <v>2409</v>
      </c>
      <c r="AC56">
        <v>0</v>
      </c>
      <c r="AD56" t="s">
        <v>94</v>
      </c>
      <c r="AE56" t="s">
        <v>94</v>
      </c>
      <c r="AF56" t="s">
        <v>226</v>
      </c>
      <c r="AG56" t="s">
        <v>226</v>
      </c>
      <c r="AH56">
        <v>-100</v>
      </c>
      <c r="AI56" t="s">
        <v>269</v>
      </c>
      <c r="AJ56" t="s">
        <v>270</v>
      </c>
      <c r="AK56" t="s">
        <v>271</v>
      </c>
      <c r="AL56" t="s">
        <v>272</v>
      </c>
    </row>
    <row r="57" spans="1:38">
      <c r="A57" t="s">
        <v>530</v>
      </c>
      <c r="B57" t="s">
        <v>531</v>
      </c>
      <c r="C57" t="s">
        <v>532</v>
      </c>
      <c r="D57" t="s">
        <v>533</v>
      </c>
      <c r="E57" t="s">
        <v>534</v>
      </c>
      <c r="F57" t="s">
        <v>268</v>
      </c>
      <c r="G57">
        <v>1</v>
      </c>
      <c r="H57">
        <v>10</v>
      </c>
      <c r="I57">
        <v>0.02</v>
      </c>
      <c r="J57">
        <v>0.01</v>
      </c>
      <c r="K57">
        <v>-2.75</v>
      </c>
      <c r="L57">
        <v>107.36</v>
      </c>
      <c r="M57">
        <v>110.52</v>
      </c>
      <c r="N57">
        <v>111.6</v>
      </c>
      <c r="O57">
        <v>107.18</v>
      </c>
      <c r="P57">
        <v>0</v>
      </c>
      <c r="Q57">
        <v>0</v>
      </c>
      <c r="R57">
        <v>0</v>
      </c>
      <c r="S57">
        <v>108.64</v>
      </c>
      <c r="T57">
        <v>110.88</v>
      </c>
      <c r="U57">
        <v>106.64</v>
      </c>
      <c r="V57">
        <v>110.88</v>
      </c>
      <c r="W57">
        <v>2170230887</v>
      </c>
      <c r="X57">
        <v>107.36</v>
      </c>
      <c r="Y57">
        <v>107.4</v>
      </c>
      <c r="Z57">
        <v>37840</v>
      </c>
      <c r="AA57">
        <v>15286339700</v>
      </c>
      <c r="AB57">
        <v>1073.5999999999999</v>
      </c>
      <c r="AC57">
        <v>0</v>
      </c>
      <c r="AD57" t="s">
        <v>94</v>
      </c>
      <c r="AE57" t="s">
        <v>94</v>
      </c>
      <c r="AF57" t="s">
        <v>226</v>
      </c>
      <c r="AG57" t="s">
        <v>226</v>
      </c>
      <c r="AH57">
        <v>-100</v>
      </c>
      <c r="AI57" t="s">
        <v>269</v>
      </c>
      <c r="AJ57" t="s">
        <v>270</v>
      </c>
      <c r="AK57" t="s">
        <v>271</v>
      </c>
      <c r="AL57" t="s">
        <v>272</v>
      </c>
    </row>
    <row r="58" spans="1:38">
      <c r="A58" t="s">
        <v>535</v>
      </c>
      <c r="B58" t="s">
        <v>536</v>
      </c>
      <c r="C58" t="s">
        <v>537</v>
      </c>
      <c r="D58" t="s">
        <v>538</v>
      </c>
      <c r="E58" t="s">
        <v>539</v>
      </c>
      <c r="F58" t="s">
        <v>268</v>
      </c>
      <c r="G58">
        <v>3</v>
      </c>
      <c r="H58">
        <v>1</v>
      </c>
      <c r="I58">
        <v>100</v>
      </c>
      <c r="J58">
        <v>2000</v>
      </c>
      <c r="K58">
        <v>-0.73</v>
      </c>
      <c r="L58">
        <v>40700</v>
      </c>
      <c r="M58">
        <v>41000</v>
      </c>
      <c r="N58">
        <v>41700</v>
      </c>
      <c r="O58">
        <v>40700</v>
      </c>
      <c r="P58">
        <v>0</v>
      </c>
      <c r="Q58">
        <v>0</v>
      </c>
      <c r="R58">
        <v>0</v>
      </c>
      <c r="S58">
        <v>41000</v>
      </c>
      <c r="T58">
        <v>41000</v>
      </c>
      <c r="U58">
        <v>40700</v>
      </c>
      <c r="V58">
        <v>41300</v>
      </c>
      <c r="W58">
        <v>287100</v>
      </c>
      <c r="X58">
        <v>39900</v>
      </c>
      <c r="Y58">
        <v>40600</v>
      </c>
      <c r="Z58">
        <v>7</v>
      </c>
      <c r="AA58">
        <v>120246</v>
      </c>
      <c r="AB58">
        <v>40700</v>
      </c>
      <c r="AC58">
        <v>0</v>
      </c>
      <c r="AD58" t="s">
        <v>94</v>
      </c>
      <c r="AE58" t="s">
        <v>94</v>
      </c>
      <c r="AF58" t="s">
        <v>226</v>
      </c>
      <c r="AG58" t="s">
        <v>226</v>
      </c>
      <c r="AH58">
        <v>9</v>
      </c>
      <c r="AI58" t="s">
        <v>269</v>
      </c>
      <c r="AJ58" t="s">
        <v>270</v>
      </c>
      <c r="AK58" t="s">
        <v>271</v>
      </c>
      <c r="AL58" t="s">
        <v>272</v>
      </c>
    </row>
    <row r="59" spans="1:38">
      <c r="A59" t="s">
        <v>540</v>
      </c>
      <c r="B59" t="s">
        <v>541</v>
      </c>
      <c r="C59" t="s">
        <v>542</v>
      </c>
      <c r="D59" t="s">
        <v>543</v>
      </c>
      <c r="E59" t="s">
        <v>544</v>
      </c>
      <c r="F59" t="s">
        <v>268</v>
      </c>
      <c r="G59">
        <v>3</v>
      </c>
      <c r="H59">
        <v>10</v>
      </c>
      <c r="I59">
        <v>0.1</v>
      </c>
      <c r="J59">
        <v>100</v>
      </c>
      <c r="K59">
        <v>-1.1000000000000001</v>
      </c>
      <c r="L59">
        <v>207.4</v>
      </c>
      <c r="M59">
        <v>212.6</v>
      </c>
      <c r="N59">
        <v>215.1</v>
      </c>
      <c r="O59">
        <v>206.4</v>
      </c>
      <c r="P59">
        <v>0</v>
      </c>
      <c r="Q59">
        <v>0</v>
      </c>
      <c r="R59">
        <v>0</v>
      </c>
      <c r="S59">
        <v>211.1</v>
      </c>
      <c r="T59">
        <v>211.7</v>
      </c>
      <c r="U59">
        <v>205.6</v>
      </c>
      <c r="V59">
        <v>217.6</v>
      </c>
      <c r="W59">
        <v>106652924</v>
      </c>
      <c r="X59">
        <v>207.3</v>
      </c>
      <c r="Y59">
        <v>207.7</v>
      </c>
      <c r="Z59">
        <v>5380</v>
      </c>
      <c r="AA59">
        <v>58462120</v>
      </c>
      <c r="AB59">
        <v>4148</v>
      </c>
      <c r="AC59">
        <v>0</v>
      </c>
      <c r="AD59" t="s">
        <v>94</v>
      </c>
      <c r="AE59" t="s">
        <v>94</v>
      </c>
      <c r="AF59" t="s">
        <v>226</v>
      </c>
      <c r="AG59" t="s">
        <v>226</v>
      </c>
      <c r="AH59">
        <v>9</v>
      </c>
      <c r="AI59" t="s">
        <v>269</v>
      </c>
      <c r="AJ59" t="s">
        <v>270</v>
      </c>
      <c r="AK59" t="s">
        <v>271</v>
      </c>
      <c r="AL59" t="s">
        <v>272</v>
      </c>
    </row>
    <row r="60" spans="1:38">
      <c r="A60" t="s">
        <v>545</v>
      </c>
      <c r="B60" t="s">
        <v>546</v>
      </c>
      <c r="C60" t="s">
        <v>547</v>
      </c>
      <c r="D60" t="s">
        <v>130</v>
      </c>
      <c r="E60" t="s">
        <v>131</v>
      </c>
      <c r="F60" t="s">
        <v>268</v>
      </c>
      <c r="G60">
        <v>3</v>
      </c>
      <c r="H60">
        <v>1</v>
      </c>
      <c r="I60">
        <v>0.05</v>
      </c>
      <c r="J60">
        <v>1.6000000000000001E-3</v>
      </c>
      <c r="K60">
        <v>-3.5</v>
      </c>
      <c r="L60">
        <v>542.9</v>
      </c>
      <c r="M60">
        <v>560.6</v>
      </c>
      <c r="N60">
        <v>563</v>
      </c>
      <c r="O60">
        <v>542.85</v>
      </c>
      <c r="P60">
        <v>0</v>
      </c>
      <c r="Q60">
        <v>0</v>
      </c>
      <c r="R60">
        <v>0</v>
      </c>
      <c r="S60">
        <v>554</v>
      </c>
      <c r="T60">
        <v>563</v>
      </c>
      <c r="U60">
        <v>541.1</v>
      </c>
      <c r="V60">
        <v>565.79999999999995</v>
      </c>
      <c r="W60">
        <v>653014725</v>
      </c>
      <c r="X60">
        <v>543</v>
      </c>
      <c r="Y60">
        <v>543.1</v>
      </c>
      <c r="Z60">
        <v>35376</v>
      </c>
      <c r="AA60">
        <v>4741299639</v>
      </c>
      <c r="AB60">
        <v>2714.5</v>
      </c>
      <c r="AC60">
        <v>0</v>
      </c>
      <c r="AD60" t="s">
        <v>94</v>
      </c>
      <c r="AE60" t="s">
        <v>94</v>
      </c>
      <c r="AF60" t="s">
        <v>226</v>
      </c>
      <c r="AG60" t="s">
        <v>226</v>
      </c>
      <c r="AH60">
        <v>9</v>
      </c>
      <c r="AI60" t="s">
        <v>269</v>
      </c>
      <c r="AJ60" t="s">
        <v>270</v>
      </c>
      <c r="AK60" t="s">
        <v>271</v>
      </c>
      <c r="AL60" t="s">
        <v>272</v>
      </c>
    </row>
    <row r="61" spans="1:38">
      <c r="A61" t="s">
        <v>548</v>
      </c>
      <c r="B61" t="s">
        <v>549</v>
      </c>
      <c r="C61" t="s">
        <v>550</v>
      </c>
      <c r="D61" t="s">
        <v>551</v>
      </c>
      <c r="E61" t="s">
        <v>552</v>
      </c>
      <c r="F61" t="s">
        <v>268</v>
      </c>
      <c r="G61">
        <v>2</v>
      </c>
      <c r="H61">
        <v>10</v>
      </c>
      <c r="I61">
        <v>0.01</v>
      </c>
      <c r="J61">
        <v>1</v>
      </c>
      <c r="K61">
        <v>-1.99</v>
      </c>
      <c r="L61">
        <v>43.34</v>
      </c>
      <c r="M61">
        <v>44.74</v>
      </c>
      <c r="N61">
        <v>45.01</v>
      </c>
      <c r="O61">
        <v>43.32</v>
      </c>
      <c r="P61">
        <v>0</v>
      </c>
      <c r="Q61">
        <v>0</v>
      </c>
      <c r="R61">
        <v>0</v>
      </c>
      <c r="S61">
        <v>43.71</v>
      </c>
      <c r="T61">
        <v>44.22</v>
      </c>
      <c r="U61">
        <v>43</v>
      </c>
      <c r="V61">
        <v>44.47</v>
      </c>
      <c r="W61">
        <v>83934610</v>
      </c>
      <c r="X61">
        <v>43.34</v>
      </c>
      <c r="Y61">
        <v>43.39</v>
      </c>
      <c r="Z61">
        <v>3756</v>
      </c>
      <c r="AA61">
        <v>2951250000</v>
      </c>
      <c r="AB61">
        <v>1733.6</v>
      </c>
      <c r="AC61">
        <v>0</v>
      </c>
      <c r="AD61" t="s">
        <v>94</v>
      </c>
      <c r="AE61" t="s">
        <v>94</v>
      </c>
      <c r="AF61" t="s">
        <v>226</v>
      </c>
      <c r="AG61" t="s">
        <v>226</v>
      </c>
      <c r="AH61">
        <v>-100</v>
      </c>
      <c r="AI61" t="s">
        <v>269</v>
      </c>
      <c r="AJ61" t="s">
        <v>270</v>
      </c>
      <c r="AK61" t="s">
        <v>271</v>
      </c>
      <c r="AL61" t="s">
        <v>272</v>
      </c>
    </row>
    <row r="62" spans="1:38">
      <c r="A62" t="s">
        <v>553</v>
      </c>
      <c r="B62" t="s">
        <v>554</v>
      </c>
      <c r="C62" t="s">
        <v>555</v>
      </c>
      <c r="D62" t="s">
        <v>556</v>
      </c>
      <c r="E62" t="s">
        <v>557</v>
      </c>
      <c r="F62" t="s">
        <v>268</v>
      </c>
      <c r="G62">
        <v>3</v>
      </c>
      <c r="H62">
        <v>1000</v>
      </c>
      <c r="I62">
        <v>1E-3</v>
      </c>
      <c r="J62">
        <v>1</v>
      </c>
      <c r="K62">
        <v>0.69</v>
      </c>
      <c r="L62">
        <v>2.0550000000000002</v>
      </c>
      <c r="M62">
        <v>2.0409999999999999</v>
      </c>
      <c r="N62">
        <v>2.069</v>
      </c>
      <c r="O62">
        <v>2.0550000000000002</v>
      </c>
      <c r="P62">
        <v>0</v>
      </c>
      <c r="Q62">
        <v>0</v>
      </c>
      <c r="R62">
        <v>0</v>
      </c>
      <c r="S62">
        <v>2.0720000000000001</v>
      </c>
      <c r="T62">
        <v>2.0680000000000001</v>
      </c>
      <c r="U62">
        <v>2.0419999999999998</v>
      </c>
      <c r="V62">
        <v>2.1160000000000001</v>
      </c>
      <c r="W62">
        <v>1778156</v>
      </c>
      <c r="X62">
        <v>2.0510000000000002</v>
      </c>
      <c r="Y62">
        <v>2.0550000000000002</v>
      </c>
      <c r="Z62">
        <v>197</v>
      </c>
      <c r="AA62">
        <v>17223107804</v>
      </c>
      <c r="AB62">
        <v>8220</v>
      </c>
      <c r="AC62">
        <v>0</v>
      </c>
      <c r="AD62" t="s">
        <v>94</v>
      </c>
      <c r="AE62" t="s">
        <v>94</v>
      </c>
      <c r="AF62" t="s">
        <v>226</v>
      </c>
      <c r="AG62" t="s">
        <v>226</v>
      </c>
      <c r="AH62">
        <v>9</v>
      </c>
      <c r="AI62" t="s">
        <v>269</v>
      </c>
      <c r="AJ62" t="s">
        <v>270</v>
      </c>
      <c r="AK62" t="s">
        <v>271</v>
      </c>
      <c r="AL62" t="s">
        <v>272</v>
      </c>
    </row>
    <row r="63" spans="1:38">
      <c r="A63" t="s">
        <v>558</v>
      </c>
      <c r="B63" t="s">
        <v>559</v>
      </c>
      <c r="C63" t="s">
        <v>560</v>
      </c>
      <c r="D63" t="s">
        <v>561</v>
      </c>
      <c r="E63" t="s">
        <v>562</v>
      </c>
      <c r="F63" t="s">
        <v>268</v>
      </c>
      <c r="G63">
        <v>3</v>
      </c>
      <c r="H63">
        <v>1</v>
      </c>
      <c r="I63">
        <v>5</v>
      </c>
      <c r="J63">
        <v>1</v>
      </c>
      <c r="K63">
        <v>-0.38</v>
      </c>
      <c r="L63">
        <v>3905</v>
      </c>
      <c r="M63">
        <v>3920</v>
      </c>
      <c r="N63">
        <v>4110</v>
      </c>
      <c r="O63">
        <v>3905</v>
      </c>
      <c r="P63">
        <v>0</v>
      </c>
      <c r="Q63">
        <v>0</v>
      </c>
      <c r="R63">
        <v>0</v>
      </c>
      <c r="S63">
        <v>3895</v>
      </c>
      <c r="T63">
        <v>3910</v>
      </c>
      <c r="U63">
        <v>3850</v>
      </c>
      <c r="V63">
        <v>3945</v>
      </c>
      <c r="W63">
        <v>194735</v>
      </c>
      <c r="X63">
        <v>3900</v>
      </c>
      <c r="Y63">
        <v>3905</v>
      </c>
      <c r="Z63">
        <v>31</v>
      </c>
      <c r="AA63">
        <v>343407</v>
      </c>
      <c r="AB63">
        <v>11715</v>
      </c>
      <c r="AC63">
        <v>0</v>
      </c>
      <c r="AD63" t="s">
        <v>94</v>
      </c>
      <c r="AE63" t="s">
        <v>94</v>
      </c>
      <c r="AF63" t="s">
        <v>226</v>
      </c>
      <c r="AG63" t="s">
        <v>226</v>
      </c>
      <c r="AH63">
        <v>9</v>
      </c>
      <c r="AI63" t="s">
        <v>269</v>
      </c>
      <c r="AJ63" t="s">
        <v>270</v>
      </c>
      <c r="AK63" t="s">
        <v>271</v>
      </c>
      <c r="AL63" t="s">
        <v>272</v>
      </c>
    </row>
    <row r="64" spans="1:38">
      <c r="A64" t="s">
        <v>563</v>
      </c>
      <c r="B64" t="s">
        <v>564</v>
      </c>
      <c r="C64" t="s">
        <v>565</v>
      </c>
      <c r="D64" t="s">
        <v>566</v>
      </c>
      <c r="E64" t="s">
        <v>567</v>
      </c>
      <c r="F64" t="s">
        <v>438</v>
      </c>
      <c r="G64">
        <v>3</v>
      </c>
      <c r="H64">
        <v>1</v>
      </c>
      <c r="I64">
        <v>10</v>
      </c>
      <c r="J64">
        <v>1</v>
      </c>
      <c r="K64">
        <v>-0.7</v>
      </c>
      <c r="L64">
        <v>2840</v>
      </c>
      <c r="M64">
        <v>2860</v>
      </c>
      <c r="N64">
        <v>2940</v>
      </c>
      <c r="O64">
        <v>2840</v>
      </c>
      <c r="P64">
        <v>0</v>
      </c>
      <c r="Q64">
        <v>0</v>
      </c>
      <c r="R64">
        <v>0</v>
      </c>
      <c r="S64">
        <v>2860</v>
      </c>
      <c r="T64">
        <v>2870</v>
      </c>
      <c r="U64">
        <v>2840</v>
      </c>
      <c r="V64">
        <v>2870</v>
      </c>
      <c r="W64">
        <v>20040</v>
      </c>
      <c r="X64">
        <v>2830</v>
      </c>
      <c r="Y64">
        <v>2840</v>
      </c>
      <c r="Z64">
        <v>7</v>
      </c>
      <c r="AA64">
        <v>114469</v>
      </c>
      <c r="AB64">
        <v>2840</v>
      </c>
      <c r="AC64">
        <v>0</v>
      </c>
      <c r="AD64" t="s">
        <v>94</v>
      </c>
      <c r="AE64" t="s">
        <v>94</v>
      </c>
      <c r="AF64" t="s">
        <v>226</v>
      </c>
      <c r="AG64" t="s">
        <v>226</v>
      </c>
      <c r="AH64">
        <v>9</v>
      </c>
      <c r="AI64" t="s">
        <v>269</v>
      </c>
      <c r="AJ64" t="s">
        <v>270</v>
      </c>
      <c r="AK64" t="s">
        <v>439</v>
      </c>
      <c r="AL64" t="s">
        <v>272</v>
      </c>
    </row>
    <row r="65" spans="1:38">
      <c r="A65" t="s">
        <v>568</v>
      </c>
      <c r="B65" t="s">
        <v>569</v>
      </c>
      <c r="C65" t="s">
        <v>570</v>
      </c>
      <c r="D65" t="s">
        <v>571</v>
      </c>
      <c r="E65" t="s">
        <v>572</v>
      </c>
      <c r="F65" t="s">
        <v>268</v>
      </c>
      <c r="G65">
        <v>1</v>
      </c>
      <c r="H65">
        <v>1</v>
      </c>
      <c r="I65">
        <v>0.05</v>
      </c>
      <c r="J65">
        <v>0.05</v>
      </c>
      <c r="K65">
        <v>0.21</v>
      </c>
      <c r="L65">
        <v>95.1</v>
      </c>
      <c r="M65">
        <v>94.9</v>
      </c>
      <c r="N65">
        <v>95.5</v>
      </c>
      <c r="O65">
        <v>94.9</v>
      </c>
      <c r="P65">
        <v>0</v>
      </c>
      <c r="Q65">
        <v>0</v>
      </c>
      <c r="R65">
        <v>0</v>
      </c>
      <c r="S65">
        <v>95.4</v>
      </c>
      <c r="T65">
        <v>94.8</v>
      </c>
      <c r="U65">
        <v>93.9</v>
      </c>
      <c r="V65">
        <v>97.4</v>
      </c>
      <c r="W65">
        <v>233209868</v>
      </c>
      <c r="X65">
        <v>95.1</v>
      </c>
      <c r="Y65">
        <v>95.25</v>
      </c>
      <c r="Z65">
        <v>12458</v>
      </c>
      <c r="AA65">
        <v>159148665</v>
      </c>
      <c r="AB65">
        <v>1902</v>
      </c>
      <c r="AC65">
        <v>0</v>
      </c>
      <c r="AD65" t="s">
        <v>94</v>
      </c>
      <c r="AE65" t="s">
        <v>94</v>
      </c>
      <c r="AF65" t="s">
        <v>226</v>
      </c>
      <c r="AG65" t="s">
        <v>226</v>
      </c>
      <c r="AH65">
        <v>-100</v>
      </c>
      <c r="AI65" t="s">
        <v>269</v>
      </c>
      <c r="AJ65" t="s">
        <v>270</v>
      </c>
      <c r="AK65" t="s">
        <v>271</v>
      </c>
      <c r="AL65" t="s">
        <v>272</v>
      </c>
    </row>
    <row r="66" spans="1:38">
      <c r="A66" t="s">
        <v>573</v>
      </c>
      <c r="B66" t="s">
        <v>574</v>
      </c>
      <c r="C66" t="s">
        <v>575</v>
      </c>
      <c r="D66" t="s">
        <v>576</v>
      </c>
      <c r="E66" t="s">
        <v>577</v>
      </c>
      <c r="F66" t="s">
        <v>268</v>
      </c>
      <c r="G66">
        <v>3</v>
      </c>
      <c r="H66">
        <v>10</v>
      </c>
      <c r="I66">
        <v>0.02</v>
      </c>
      <c r="J66">
        <v>1</v>
      </c>
      <c r="K66">
        <v>-0.66</v>
      </c>
      <c r="L66">
        <v>12.12</v>
      </c>
      <c r="M66">
        <v>12.18</v>
      </c>
      <c r="N66">
        <v>12.22</v>
      </c>
      <c r="O66">
        <v>12.14</v>
      </c>
      <c r="P66">
        <v>0</v>
      </c>
      <c r="Q66">
        <v>0</v>
      </c>
      <c r="R66">
        <v>0</v>
      </c>
      <c r="S66">
        <v>12.12</v>
      </c>
      <c r="T66">
        <v>12.2</v>
      </c>
      <c r="U66">
        <v>12.02</v>
      </c>
      <c r="V66">
        <v>12.2</v>
      </c>
      <c r="W66">
        <v>721216</v>
      </c>
      <c r="X66">
        <v>12.1</v>
      </c>
      <c r="Y66">
        <v>12.12</v>
      </c>
      <c r="Z66">
        <v>168</v>
      </c>
      <c r="AA66">
        <v>551813000</v>
      </c>
      <c r="AB66">
        <v>1090.8</v>
      </c>
      <c r="AC66">
        <v>0</v>
      </c>
      <c r="AD66" t="s">
        <v>94</v>
      </c>
      <c r="AE66" t="s">
        <v>94</v>
      </c>
      <c r="AF66" t="s">
        <v>226</v>
      </c>
      <c r="AG66" t="s">
        <v>226</v>
      </c>
      <c r="AH66">
        <v>9</v>
      </c>
      <c r="AI66" t="s">
        <v>269</v>
      </c>
      <c r="AJ66" t="s">
        <v>270</v>
      </c>
      <c r="AK66" t="s">
        <v>271</v>
      </c>
      <c r="AL66" t="s">
        <v>272</v>
      </c>
    </row>
    <row r="67" spans="1:38">
      <c r="A67" t="s">
        <v>578</v>
      </c>
      <c r="B67" t="s">
        <v>579</v>
      </c>
      <c r="C67" t="s">
        <v>580</v>
      </c>
      <c r="D67" t="s">
        <v>581</v>
      </c>
      <c r="E67" t="s">
        <v>582</v>
      </c>
      <c r="F67" t="s">
        <v>268</v>
      </c>
      <c r="G67">
        <v>1</v>
      </c>
      <c r="H67">
        <v>1</v>
      </c>
      <c r="I67">
        <v>0.1</v>
      </c>
      <c r="J67">
        <v>1</v>
      </c>
      <c r="K67">
        <v>-0.27</v>
      </c>
      <c r="L67">
        <v>600.20000000000005</v>
      </c>
      <c r="M67">
        <v>601.4</v>
      </c>
      <c r="N67">
        <v>602.6</v>
      </c>
      <c r="O67">
        <v>597.9</v>
      </c>
      <c r="P67">
        <v>0</v>
      </c>
      <c r="Q67">
        <v>0</v>
      </c>
      <c r="R67">
        <v>0</v>
      </c>
      <c r="S67">
        <v>605.79999999999995</v>
      </c>
      <c r="T67">
        <v>603.6</v>
      </c>
      <c r="U67">
        <v>597</v>
      </c>
      <c r="V67">
        <v>612.79999999999995</v>
      </c>
      <c r="W67">
        <v>89131518</v>
      </c>
      <c r="X67">
        <v>599.6</v>
      </c>
      <c r="Y67">
        <v>600</v>
      </c>
      <c r="Z67">
        <v>9312</v>
      </c>
      <c r="AA67">
        <v>120000000</v>
      </c>
      <c r="AB67">
        <v>29409.8</v>
      </c>
      <c r="AC67">
        <v>0</v>
      </c>
      <c r="AD67" t="s">
        <v>94</v>
      </c>
      <c r="AE67" t="s">
        <v>94</v>
      </c>
      <c r="AF67" t="s">
        <v>226</v>
      </c>
      <c r="AG67" t="s">
        <v>226</v>
      </c>
      <c r="AH67">
        <v>-100</v>
      </c>
      <c r="AI67" t="s">
        <v>269</v>
      </c>
      <c r="AJ67" t="s">
        <v>270</v>
      </c>
      <c r="AK67" t="s">
        <v>271</v>
      </c>
      <c r="AL67" t="s">
        <v>272</v>
      </c>
    </row>
    <row r="68" spans="1:38">
      <c r="A68" t="s">
        <v>583</v>
      </c>
      <c r="B68" t="s">
        <v>584</v>
      </c>
      <c r="C68" t="s">
        <v>585</v>
      </c>
      <c r="D68" t="s">
        <v>586</v>
      </c>
      <c r="E68" t="s">
        <v>587</v>
      </c>
      <c r="F68" t="s">
        <v>268</v>
      </c>
      <c r="G68">
        <v>3</v>
      </c>
      <c r="H68">
        <v>1000</v>
      </c>
      <c r="I68">
        <v>0.01</v>
      </c>
      <c r="J68">
        <v>0.1</v>
      </c>
      <c r="K68">
        <v>1.9</v>
      </c>
      <c r="L68">
        <v>6.96</v>
      </c>
      <c r="M68">
        <v>6.83</v>
      </c>
      <c r="N68">
        <v>7.01</v>
      </c>
      <c r="O68">
        <v>7.02</v>
      </c>
      <c r="P68">
        <v>0</v>
      </c>
      <c r="Q68">
        <v>0</v>
      </c>
      <c r="R68">
        <v>0</v>
      </c>
      <c r="S68">
        <v>7.1</v>
      </c>
      <c r="T68">
        <v>6.68</v>
      </c>
      <c r="U68">
        <v>6.68</v>
      </c>
      <c r="V68">
        <v>7.34</v>
      </c>
      <c r="W68">
        <v>575130</v>
      </c>
      <c r="X68">
        <v>6.95</v>
      </c>
      <c r="Y68">
        <v>7.03</v>
      </c>
      <c r="Z68">
        <v>59</v>
      </c>
      <c r="AA68">
        <v>562020480</v>
      </c>
      <c r="AB68">
        <v>6960</v>
      </c>
      <c r="AC68">
        <v>0</v>
      </c>
      <c r="AD68" t="s">
        <v>94</v>
      </c>
      <c r="AE68" t="s">
        <v>94</v>
      </c>
      <c r="AF68" t="s">
        <v>226</v>
      </c>
      <c r="AG68" t="s">
        <v>226</v>
      </c>
      <c r="AH68">
        <v>9</v>
      </c>
      <c r="AI68" t="s">
        <v>269</v>
      </c>
      <c r="AJ68" t="s">
        <v>270</v>
      </c>
      <c r="AK68" t="s">
        <v>271</v>
      </c>
      <c r="AL68" t="s">
        <v>272</v>
      </c>
    </row>
    <row r="69" spans="1:38">
      <c r="A69" t="s">
        <v>588</v>
      </c>
      <c r="B69" t="s">
        <v>589</v>
      </c>
      <c r="C69" t="s">
        <v>590</v>
      </c>
      <c r="D69" t="s">
        <v>591</v>
      </c>
      <c r="E69" t="s">
        <v>592</v>
      </c>
      <c r="F69" t="s">
        <v>268</v>
      </c>
      <c r="G69">
        <v>3</v>
      </c>
      <c r="H69">
        <v>1</v>
      </c>
      <c r="I69">
        <v>5</v>
      </c>
      <c r="J69">
        <v>1000</v>
      </c>
      <c r="K69">
        <v>-7.9</v>
      </c>
      <c r="L69">
        <v>3265</v>
      </c>
      <c r="M69">
        <v>3545</v>
      </c>
      <c r="N69">
        <v>3370</v>
      </c>
      <c r="O69">
        <v>3265</v>
      </c>
      <c r="P69">
        <v>0</v>
      </c>
      <c r="Q69">
        <v>0</v>
      </c>
      <c r="R69">
        <v>0</v>
      </c>
      <c r="S69">
        <v>3375</v>
      </c>
      <c r="T69">
        <v>3195</v>
      </c>
      <c r="U69">
        <v>3195</v>
      </c>
      <c r="V69">
        <v>3575</v>
      </c>
      <c r="W69">
        <v>10633035</v>
      </c>
      <c r="X69">
        <v>3270</v>
      </c>
      <c r="Y69">
        <v>3300</v>
      </c>
      <c r="Z69">
        <v>660</v>
      </c>
      <c r="AA69">
        <v>2659962</v>
      </c>
      <c r="AB69">
        <v>3265</v>
      </c>
      <c r="AC69">
        <v>0</v>
      </c>
      <c r="AD69" t="s">
        <v>94</v>
      </c>
      <c r="AE69" t="s">
        <v>94</v>
      </c>
      <c r="AF69" t="s">
        <v>226</v>
      </c>
      <c r="AG69" t="s">
        <v>226</v>
      </c>
      <c r="AH69">
        <v>9</v>
      </c>
      <c r="AI69" t="s">
        <v>269</v>
      </c>
      <c r="AJ69" t="s">
        <v>270</v>
      </c>
      <c r="AK69" t="s">
        <v>271</v>
      </c>
      <c r="AL69" t="s">
        <v>272</v>
      </c>
    </row>
    <row r="70" spans="1:38">
      <c r="A70" t="s">
        <v>593</v>
      </c>
      <c r="B70" t="s">
        <v>594</v>
      </c>
      <c r="C70" t="s">
        <v>595</v>
      </c>
      <c r="D70" t="s">
        <v>596</v>
      </c>
      <c r="E70" t="s">
        <v>597</v>
      </c>
      <c r="F70" t="s">
        <v>268</v>
      </c>
      <c r="G70">
        <v>3</v>
      </c>
      <c r="H70">
        <v>100</v>
      </c>
      <c r="I70">
        <v>0.01</v>
      </c>
      <c r="J70">
        <v>0.01</v>
      </c>
      <c r="K70">
        <v>-0.11</v>
      </c>
      <c r="L70">
        <v>9.33</v>
      </c>
      <c r="M70">
        <v>9.31</v>
      </c>
      <c r="N70">
        <v>9.31</v>
      </c>
      <c r="O70">
        <v>9.33</v>
      </c>
      <c r="P70">
        <v>0</v>
      </c>
      <c r="Q70">
        <v>0</v>
      </c>
      <c r="R70">
        <v>0</v>
      </c>
      <c r="S70">
        <v>9.3800000000000008</v>
      </c>
      <c r="T70">
        <v>9.0399999999999991</v>
      </c>
      <c r="U70">
        <v>9.0399999999999991</v>
      </c>
      <c r="V70">
        <v>9.6</v>
      </c>
      <c r="W70">
        <v>366821</v>
      </c>
      <c r="X70">
        <v>9.32</v>
      </c>
      <c r="Y70">
        <v>9.34</v>
      </c>
      <c r="Z70">
        <v>93</v>
      </c>
      <c r="AA70">
        <v>91500000</v>
      </c>
      <c r="AB70">
        <v>933</v>
      </c>
      <c r="AC70">
        <v>0</v>
      </c>
      <c r="AD70" t="s">
        <v>94</v>
      </c>
      <c r="AE70" t="s">
        <v>94</v>
      </c>
      <c r="AF70" t="s">
        <v>226</v>
      </c>
      <c r="AG70" t="s">
        <v>226</v>
      </c>
      <c r="AH70">
        <v>9</v>
      </c>
      <c r="AI70" t="s">
        <v>269</v>
      </c>
      <c r="AJ70" t="s">
        <v>270</v>
      </c>
      <c r="AK70" t="s">
        <v>271</v>
      </c>
      <c r="AL70" t="s">
        <v>272</v>
      </c>
    </row>
    <row r="71" spans="1:38">
      <c r="A71" t="s">
        <v>598</v>
      </c>
      <c r="B71" t="s">
        <v>599</v>
      </c>
      <c r="C71" t="s">
        <v>600</v>
      </c>
      <c r="D71" t="s">
        <v>601</v>
      </c>
      <c r="E71" t="s">
        <v>602</v>
      </c>
      <c r="F71" t="s">
        <v>268</v>
      </c>
      <c r="G71">
        <v>3</v>
      </c>
      <c r="H71">
        <v>10</v>
      </c>
      <c r="I71">
        <v>0.05</v>
      </c>
      <c r="J71">
        <v>0.1</v>
      </c>
      <c r="K71">
        <v>-0.04</v>
      </c>
      <c r="L71">
        <v>130.05000000000001</v>
      </c>
      <c r="M71">
        <v>130.15</v>
      </c>
      <c r="N71">
        <v>130.80000000000001</v>
      </c>
      <c r="O71">
        <v>129.80000000000001</v>
      </c>
      <c r="P71">
        <v>0</v>
      </c>
      <c r="Q71">
        <v>0</v>
      </c>
      <c r="R71">
        <v>0</v>
      </c>
      <c r="S71">
        <v>129.6</v>
      </c>
      <c r="T71">
        <v>130.1</v>
      </c>
      <c r="U71">
        <v>127</v>
      </c>
      <c r="V71">
        <v>130.94999999999999</v>
      </c>
      <c r="W71">
        <v>6433196</v>
      </c>
      <c r="X71">
        <v>130</v>
      </c>
      <c r="Y71">
        <v>130.05000000000001</v>
      </c>
      <c r="Z71">
        <v>667</v>
      </c>
      <c r="AA71">
        <v>100000000</v>
      </c>
      <c r="AB71">
        <v>1300.5</v>
      </c>
      <c r="AC71">
        <v>0</v>
      </c>
      <c r="AD71" t="s">
        <v>94</v>
      </c>
      <c r="AE71" t="s">
        <v>94</v>
      </c>
      <c r="AF71" t="s">
        <v>226</v>
      </c>
      <c r="AG71" t="s">
        <v>226</v>
      </c>
      <c r="AH71">
        <v>9</v>
      </c>
      <c r="AI71" t="s">
        <v>269</v>
      </c>
      <c r="AJ71" t="s">
        <v>270</v>
      </c>
      <c r="AK71" t="s">
        <v>271</v>
      </c>
      <c r="AL71" t="s">
        <v>272</v>
      </c>
    </row>
    <row r="72" spans="1:38">
      <c r="A72" t="s">
        <v>603</v>
      </c>
      <c r="B72" t="s">
        <v>604</v>
      </c>
      <c r="C72" t="s">
        <v>605</v>
      </c>
      <c r="D72" t="s">
        <v>606</v>
      </c>
      <c r="E72" t="s">
        <v>607</v>
      </c>
      <c r="F72" t="s">
        <v>268</v>
      </c>
      <c r="G72">
        <v>3</v>
      </c>
      <c r="H72">
        <v>10</v>
      </c>
      <c r="I72">
        <v>0.1</v>
      </c>
      <c r="J72">
        <v>1</v>
      </c>
      <c r="K72">
        <v>4.4400000000000004</v>
      </c>
      <c r="L72">
        <v>61.1</v>
      </c>
      <c r="M72">
        <v>58.5</v>
      </c>
      <c r="N72">
        <v>59.8</v>
      </c>
      <c r="O72">
        <v>61.1</v>
      </c>
      <c r="P72">
        <v>0</v>
      </c>
      <c r="Q72">
        <v>0</v>
      </c>
      <c r="R72">
        <v>0</v>
      </c>
      <c r="S72">
        <v>61.2</v>
      </c>
      <c r="T72">
        <v>59</v>
      </c>
      <c r="U72">
        <v>59</v>
      </c>
      <c r="V72">
        <v>64.3</v>
      </c>
      <c r="W72">
        <v>937711</v>
      </c>
      <c r="X72">
        <v>60.6</v>
      </c>
      <c r="Y72">
        <v>61</v>
      </c>
      <c r="Z72">
        <v>176</v>
      </c>
      <c r="AA72">
        <v>109000000</v>
      </c>
      <c r="AB72">
        <v>1833</v>
      </c>
      <c r="AC72">
        <v>0</v>
      </c>
      <c r="AD72" t="s">
        <v>94</v>
      </c>
      <c r="AE72" t="s">
        <v>94</v>
      </c>
      <c r="AF72" t="s">
        <v>226</v>
      </c>
      <c r="AG72" t="s">
        <v>226</v>
      </c>
      <c r="AH72">
        <v>9</v>
      </c>
      <c r="AI72" t="s">
        <v>269</v>
      </c>
      <c r="AJ72" t="s">
        <v>270</v>
      </c>
      <c r="AK72" t="s">
        <v>271</v>
      </c>
      <c r="AL72" t="s">
        <v>272</v>
      </c>
    </row>
    <row r="73" spans="1:38">
      <c r="A73" t="s">
        <v>608</v>
      </c>
      <c r="B73" t="s">
        <v>609</v>
      </c>
      <c r="C73" t="s">
        <v>610</v>
      </c>
      <c r="D73" t="s">
        <v>611</v>
      </c>
      <c r="E73" t="s">
        <v>612</v>
      </c>
      <c r="F73" t="s">
        <v>268</v>
      </c>
      <c r="G73">
        <v>1</v>
      </c>
      <c r="H73">
        <v>1</v>
      </c>
      <c r="I73">
        <v>0.5</v>
      </c>
      <c r="J73">
        <v>100</v>
      </c>
      <c r="K73">
        <v>-1.82</v>
      </c>
      <c r="L73">
        <v>566</v>
      </c>
      <c r="M73">
        <v>581.5</v>
      </c>
      <c r="N73">
        <v>585.5</v>
      </c>
      <c r="O73">
        <v>567</v>
      </c>
      <c r="P73">
        <v>0</v>
      </c>
      <c r="Q73">
        <v>0</v>
      </c>
      <c r="R73">
        <v>0</v>
      </c>
      <c r="S73">
        <v>571</v>
      </c>
      <c r="T73">
        <v>570</v>
      </c>
      <c r="U73">
        <v>565.5</v>
      </c>
      <c r="V73">
        <v>577</v>
      </c>
      <c r="W73">
        <v>21472090</v>
      </c>
      <c r="X73">
        <v>565.5</v>
      </c>
      <c r="Y73">
        <v>566</v>
      </c>
      <c r="Z73">
        <v>2149</v>
      </c>
      <c r="AA73">
        <v>87876649</v>
      </c>
      <c r="AB73">
        <v>566</v>
      </c>
      <c r="AC73">
        <v>0</v>
      </c>
      <c r="AD73" t="s">
        <v>94</v>
      </c>
      <c r="AE73" t="s">
        <v>94</v>
      </c>
      <c r="AF73" t="s">
        <v>226</v>
      </c>
      <c r="AG73" t="s">
        <v>226</v>
      </c>
      <c r="AH73">
        <v>-100</v>
      </c>
      <c r="AI73" t="s">
        <v>269</v>
      </c>
      <c r="AJ73" t="s">
        <v>270</v>
      </c>
      <c r="AK73" t="s">
        <v>271</v>
      </c>
      <c r="AL73" t="s">
        <v>272</v>
      </c>
    </row>
    <row r="74" spans="1:38">
      <c r="A74" t="s">
        <v>613</v>
      </c>
      <c r="B74" t="s">
        <v>614</v>
      </c>
      <c r="C74" t="s">
        <v>615</v>
      </c>
      <c r="D74" t="s">
        <v>616</v>
      </c>
      <c r="E74" t="s">
        <v>617</v>
      </c>
      <c r="F74" t="s">
        <v>268</v>
      </c>
      <c r="G74">
        <v>3</v>
      </c>
      <c r="H74">
        <v>1</v>
      </c>
      <c r="I74">
        <v>2</v>
      </c>
      <c r="J74">
        <v>1000</v>
      </c>
      <c r="K74">
        <v>0</v>
      </c>
      <c r="L74">
        <v>1672</v>
      </c>
      <c r="M74">
        <v>1672</v>
      </c>
      <c r="N74">
        <v>1672</v>
      </c>
      <c r="O74">
        <v>1666</v>
      </c>
      <c r="P74">
        <v>0</v>
      </c>
      <c r="Q74">
        <v>0</v>
      </c>
      <c r="R74">
        <v>0</v>
      </c>
      <c r="S74">
        <v>1666</v>
      </c>
      <c r="T74">
        <v>1664</v>
      </c>
      <c r="U74">
        <v>1664</v>
      </c>
      <c r="V74">
        <v>1672</v>
      </c>
      <c r="W74">
        <v>28332</v>
      </c>
      <c r="X74">
        <v>1666</v>
      </c>
      <c r="Y74">
        <v>1676</v>
      </c>
      <c r="Z74">
        <v>5</v>
      </c>
      <c r="AA74">
        <v>41220793</v>
      </c>
      <c r="AB74">
        <v>6688</v>
      </c>
      <c r="AC74">
        <v>0</v>
      </c>
      <c r="AD74" t="s">
        <v>94</v>
      </c>
      <c r="AE74" t="s">
        <v>94</v>
      </c>
      <c r="AF74" t="s">
        <v>226</v>
      </c>
      <c r="AG74" t="s">
        <v>226</v>
      </c>
      <c r="AH74">
        <v>9</v>
      </c>
      <c r="AI74" t="s">
        <v>269</v>
      </c>
      <c r="AJ74" t="s">
        <v>270</v>
      </c>
      <c r="AK74" t="s">
        <v>271</v>
      </c>
      <c r="AL74" t="s">
        <v>272</v>
      </c>
    </row>
    <row r="75" spans="1:38">
      <c r="A75" t="s">
        <v>618</v>
      </c>
      <c r="B75" t="s">
        <v>619</v>
      </c>
      <c r="C75" t="s">
        <v>620</v>
      </c>
      <c r="D75" t="s">
        <v>621</v>
      </c>
      <c r="E75" t="s">
        <v>622</v>
      </c>
      <c r="F75" t="s">
        <v>438</v>
      </c>
      <c r="G75">
        <v>3</v>
      </c>
      <c r="H75">
        <v>1</v>
      </c>
      <c r="I75">
        <v>10</v>
      </c>
      <c r="J75">
        <v>1000</v>
      </c>
      <c r="K75">
        <v>-2.42</v>
      </c>
      <c r="L75">
        <v>4430</v>
      </c>
      <c r="M75">
        <v>4490</v>
      </c>
      <c r="N75">
        <v>4610</v>
      </c>
      <c r="O75">
        <v>4430</v>
      </c>
      <c r="P75">
        <v>0</v>
      </c>
      <c r="Q75">
        <v>0</v>
      </c>
      <c r="R75">
        <v>0</v>
      </c>
      <c r="S75">
        <v>4480</v>
      </c>
      <c r="T75">
        <v>4560</v>
      </c>
      <c r="U75">
        <v>4350</v>
      </c>
      <c r="V75">
        <v>4560</v>
      </c>
      <c r="W75">
        <v>152380</v>
      </c>
      <c r="X75">
        <v>4400</v>
      </c>
      <c r="Y75">
        <v>4490</v>
      </c>
      <c r="Z75">
        <v>20</v>
      </c>
      <c r="AA75">
        <v>266910</v>
      </c>
      <c r="AB75">
        <v>4430</v>
      </c>
      <c r="AC75">
        <v>0</v>
      </c>
      <c r="AD75" t="s">
        <v>94</v>
      </c>
      <c r="AE75" t="s">
        <v>94</v>
      </c>
      <c r="AF75" t="s">
        <v>226</v>
      </c>
      <c r="AG75" t="s">
        <v>226</v>
      </c>
      <c r="AH75">
        <v>9</v>
      </c>
      <c r="AI75" t="s">
        <v>269</v>
      </c>
      <c r="AJ75" t="s">
        <v>270</v>
      </c>
      <c r="AK75" t="s">
        <v>439</v>
      </c>
      <c r="AL75" t="s">
        <v>272</v>
      </c>
    </row>
    <row r="76" spans="1:38">
      <c r="A76" t="s">
        <v>623</v>
      </c>
      <c r="B76" t="s">
        <v>624</v>
      </c>
      <c r="C76" t="s">
        <v>625</v>
      </c>
      <c r="D76" t="s">
        <v>626</v>
      </c>
      <c r="E76" t="s">
        <v>627</v>
      </c>
      <c r="F76" t="s">
        <v>268</v>
      </c>
      <c r="G76">
        <v>3</v>
      </c>
      <c r="H76">
        <v>1</v>
      </c>
      <c r="I76">
        <v>20</v>
      </c>
      <c r="J76">
        <v>1000</v>
      </c>
      <c r="K76">
        <v>-2.21</v>
      </c>
      <c r="L76">
        <v>6200</v>
      </c>
      <c r="M76">
        <v>6300</v>
      </c>
      <c r="N76">
        <v>6380</v>
      </c>
      <c r="O76">
        <v>6200</v>
      </c>
      <c r="P76">
        <v>0</v>
      </c>
      <c r="Q76">
        <v>0</v>
      </c>
      <c r="R76">
        <v>0</v>
      </c>
      <c r="S76">
        <v>6240</v>
      </c>
      <c r="T76">
        <v>6320</v>
      </c>
      <c r="U76">
        <v>6180</v>
      </c>
      <c r="V76">
        <v>6340</v>
      </c>
      <c r="W76">
        <v>93580</v>
      </c>
      <c r="X76">
        <v>6220</v>
      </c>
      <c r="Y76">
        <v>6300</v>
      </c>
      <c r="Z76">
        <v>10</v>
      </c>
      <c r="AA76">
        <v>800729</v>
      </c>
      <c r="AB76">
        <v>31000</v>
      </c>
      <c r="AC76">
        <v>0</v>
      </c>
      <c r="AD76" t="s">
        <v>94</v>
      </c>
      <c r="AE76" t="s">
        <v>94</v>
      </c>
      <c r="AF76" t="s">
        <v>226</v>
      </c>
      <c r="AG76" t="s">
        <v>226</v>
      </c>
      <c r="AH76">
        <v>9</v>
      </c>
      <c r="AI76" t="s">
        <v>269</v>
      </c>
      <c r="AJ76" t="s">
        <v>270</v>
      </c>
      <c r="AK76" t="s">
        <v>271</v>
      </c>
      <c r="AL76" t="s">
        <v>272</v>
      </c>
    </row>
    <row r="77" spans="1:38">
      <c r="A77" t="s">
        <v>628</v>
      </c>
      <c r="B77" t="s">
        <v>629</v>
      </c>
      <c r="C77" t="s">
        <v>630</v>
      </c>
      <c r="D77" t="s">
        <v>136</v>
      </c>
      <c r="E77" t="s">
        <v>137</v>
      </c>
      <c r="F77" t="s">
        <v>268</v>
      </c>
      <c r="G77">
        <v>1</v>
      </c>
      <c r="H77">
        <v>100</v>
      </c>
      <c r="I77">
        <v>5.0000000000000001E-4</v>
      </c>
      <c r="J77">
        <v>2.8097669999999999</v>
      </c>
      <c r="K77">
        <v>-0.79</v>
      </c>
      <c r="L77">
        <v>3.6920000000000002</v>
      </c>
      <c r="M77">
        <v>3.7450000000000001</v>
      </c>
      <c r="N77">
        <v>3.7715000000000001</v>
      </c>
      <c r="O77">
        <v>3.6844999999999999</v>
      </c>
      <c r="P77">
        <v>0</v>
      </c>
      <c r="Q77">
        <v>0</v>
      </c>
      <c r="R77">
        <v>0</v>
      </c>
      <c r="S77">
        <v>3.7404999999999999</v>
      </c>
      <c r="T77">
        <v>3.7214999999999998</v>
      </c>
      <c r="U77">
        <v>3.677</v>
      </c>
      <c r="V77">
        <v>3.78</v>
      </c>
      <c r="W77">
        <v>242471244</v>
      </c>
      <c r="X77">
        <v>3.6909999999999998</v>
      </c>
      <c r="Y77">
        <v>3.6920000000000002</v>
      </c>
      <c r="Z77">
        <v>13929</v>
      </c>
      <c r="AA77">
        <v>104400000000</v>
      </c>
      <c r="AB77">
        <v>369.2</v>
      </c>
      <c r="AC77">
        <v>0</v>
      </c>
      <c r="AD77" t="s">
        <v>94</v>
      </c>
      <c r="AE77" t="s">
        <v>94</v>
      </c>
      <c r="AF77" t="s">
        <v>226</v>
      </c>
      <c r="AG77" t="s">
        <v>226</v>
      </c>
      <c r="AH77">
        <v>-100</v>
      </c>
      <c r="AI77" t="s">
        <v>269</v>
      </c>
      <c r="AJ77" t="s">
        <v>270</v>
      </c>
      <c r="AK77" t="s">
        <v>271</v>
      </c>
      <c r="AL77" t="s">
        <v>272</v>
      </c>
    </row>
    <row r="78" spans="1:38">
      <c r="A78" t="s">
        <v>631</v>
      </c>
      <c r="B78" t="s">
        <v>632</v>
      </c>
      <c r="C78" t="s">
        <v>633</v>
      </c>
      <c r="D78" t="s">
        <v>634</v>
      </c>
      <c r="E78" t="s">
        <v>635</v>
      </c>
      <c r="F78" t="s">
        <v>268</v>
      </c>
      <c r="G78">
        <v>2</v>
      </c>
      <c r="H78">
        <v>10</v>
      </c>
      <c r="I78">
        <v>0.1</v>
      </c>
      <c r="J78">
        <v>50</v>
      </c>
      <c r="K78">
        <v>0.39</v>
      </c>
      <c r="L78">
        <v>102.1</v>
      </c>
      <c r="M78">
        <v>102.4</v>
      </c>
      <c r="N78">
        <v>103</v>
      </c>
      <c r="O78">
        <v>102.2</v>
      </c>
      <c r="P78">
        <v>0</v>
      </c>
      <c r="Q78">
        <v>0</v>
      </c>
      <c r="R78">
        <v>0</v>
      </c>
      <c r="S78">
        <v>102.9</v>
      </c>
      <c r="T78">
        <v>102</v>
      </c>
      <c r="U78">
        <v>101.9</v>
      </c>
      <c r="V78">
        <v>105.2</v>
      </c>
      <c r="W78">
        <v>13284190</v>
      </c>
      <c r="X78">
        <v>102.1</v>
      </c>
      <c r="Y78">
        <v>102.3</v>
      </c>
      <c r="Z78">
        <v>936</v>
      </c>
      <c r="AA78">
        <v>707229559</v>
      </c>
      <c r="AB78">
        <v>2042</v>
      </c>
      <c r="AC78">
        <v>0</v>
      </c>
      <c r="AD78" t="s">
        <v>94</v>
      </c>
      <c r="AE78" t="s">
        <v>94</v>
      </c>
      <c r="AF78" t="s">
        <v>226</v>
      </c>
      <c r="AG78" t="s">
        <v>226</v>
      </c>
      <c r="AH78">
        <v>-100</v>
      </c>
      <c r="AI78" t="s">
        <v>269</v>
      </c>
      <c r="AJ78" t="s">
        <v>270</v>
      </c>
      <c r="AK78" t="s">
        <v>271</v>
      </c>
      <c r="AL78" t="s">
        <v>272</v>
      </c>
    </row>
    <row r="79" spans="1:38">
      <c r="A79" t="s">
        <v>636</v>
      </c>
      <c r="B79" t="s">
        <v>637</v>
      </c>
      <c r="C79" t="s">
        <v>638</v>
      </c>
      <c r="D79" t="s">
        <v>639</v>
      </c>
      <c r="E79" t="s">
        <v>640</v>
      </c>
      <c r="F79" t="s">
        <v>268</v>
      </c>
      <c r="G79">
        <v>3</v>
      </c>
      <c r="H79">
        <v>1</v>
      </c>
      <c r="I79">
        <v>2</v>
      </c>
      <c r="J79">
        <v>250</v>
      </c>
      <c r="K79">
        <v>-0.18</v>
      </c>
      <c r="L79">
        <v>1104</v>
      </c>
      <c r="M79">
        <v>1124</v>
      </c>
      <c r="N79">
        <v>1140</v>
      </c>
      <c r="O79">
        <v>1104</v>
      </c>
      <c r="P79">
        <v>0</v>
      </c>
      <c r="Q79">
        <v>0</v>
      </c>
      <c r="R79">
        <v>0</v>
      </c>
      <c r="S79">
        <v>1112</v>
      </c>
      <c r="T79">
        <v>1106</v>
      </c>
      <c r="U79">
        <v>1104</v>
      </c>
      <c r="V79">
        <v>1126</v>
      </c>
      <c r="W79">
        <v>47788</v>
      </c>
      <c r="X79">
        <v>1102</v>
      </c>
      <c r="Y79">
        <v>1104</v>
      </c>
      <c r="Z79">
        <v>20</v>
      </c>
      <c r="AA79">
        <v>3764600</v>
      </c>
      <c r="AB79">
        <v>1104</v>
      </c>
      <c r="AC79">
        <v>0</v>
      </c>
      <c r="AD79" t="s">
        <v>94</v>
      </c>
      <c r="AE79" t="s">
        <v>94</v>
      </c>
      <c r="AF79" t="s">
        <v>226</v>
      </c>
      <c r="AG79" t="s">
        <v>226</v>
      </c>
      <c r="AH79">
        <v>9</v>
      </c>
      <c r="AI79" t="s">
        <v>269</v>
      </c>
      <c r="AJ79" t="s">
        <v>270</v>
      </c>
      <c r="AK79" t="s">
        <v>271</v>
      </c>
      <c r="AL79" t="s">
        <v>272</v>
      </c>
    </row>
    <row r="80" spans="1:38">
      <c r="A80" t="s">
        <v>641</v>
      </c>
      <c r="B80" t="s">
        <v>642</v>
      </c>
      <c r="C80" t="s">
        <v>643</v>
      </c>
      <c r="D80" t="s">
        <v>644</v>
      </c>
      <c r="E80" t="s">
        <v>645</v>
      </c>
      <c r="F80" t="s">
        <v>268</v>
      </c>
      <c r="G80">
        <v>3</v>
      </c>
      <c r="H80">
        <v>100</v>
      </c>
      <c r="I80">
        <v>0.01</v>
      </c>
      <c r="J80">
        <v>0.2</v>
      </c>
      <c r="K80">
        <v>2.93</v>
      </c>
      <c r="L80">
        <v>18.63</v>
      </c>
      <c r="M80">
        <v>18.100000000000001</v>
      </c>
      <c r="N80">
        <v>18.5</v>
      </c>
      <c r="O80">
        <v>18.62</v>
      </c>
      <c r="P80">
        <v>0</v>
      </c>
      <c r="Q80">
        <v>0</v>
      </c>
      <c r="R80">
        <v>0</v>
      </c>
      <c r="S80">
        <v>18.72</v>
      </c>
      <c r="T80">
        <v>18.11</v>
      </c>
      <c r="U80">
        <v>17.78</v>
      </c>
      <c r="V80">
        <v>19.11</v>
      </c>
      <c r="W80">
        <v>3945865</v>
      </c>
      <c r="X80">
        <v>18.45</v>
      </c>
      <c r="Y80">
        <v>18.760000000000002</v>
      </c>
      <c r="Z80">
        <v>356</v>
      </c>
      <c r="AA80">
        <v>91487347</v>
      </c>
      <c r="AB80">
        <v>7452</v>
      </c>
      <c r="AC80">
        <v>0</v>
      </c>
      <c r="AD80" t="s">
        <v>94</v>
      </c>
      <c r="AE80" t="s">
        <v>94</v>
      </c>
      <c r="AF80" t="s">
        <v>226</v>
      </c>
      <c r="AG80" t="s">
        <v>226</v>
      </c>
      <c r="AH80">
        <v>9</v>
      </c>
      <c r="AI80" t="s">
        <v>269</v>
      </c>
      <c r="AJ80" t="s">
        <v>270</v>
      </c>
      <c r="AK80" t="s">
        <v>271</v>
      </c>
      <c r="AL80" t="s">
        <v>272</v>
      </c>
    </row>
    <row r="81" spans="1:38">
      <c r="A81" t="s">
        <v>646</v>
      </c>
      <c r="B81" t="s">
        <v>647</v>
      </c>
      <c r="C81" t="s">
        <v>648</v>
      </c>
      <c r="D81" t="s">
        <v>649</v>
      </c>
      <c r="E81" t="s">
        <v>650</v>
      </c>
      <c r="F81" t="s">
        <v>268</v>
      </c>
      <c r="G81">
        <v>3</v>
      </c>
      <c r="H81">
        <v>10000</v>
      </c>
      <c r="I81">
        <v>1E-3</v>
      </c>
      <c r="J81">
        <v>0.1</v>
      </c>
      <c r="K81">
        <v>-1.47</v>
      </c>
      <c r="L81">
        <v>0.47</v>
      </c>
      <c r="M81">
        <v>0.47599999999999998</v>
      </c>
      <c r="N81">
        <v>0.48099999999999998</v>
      </c>
      <c r="O81">
        <v>0.47</v>
      </c>
      <c r="P81">
        <v>0</v>
      </c>
      <c r="Q81">
        <v>0</v>
      </c>
      <c r="R81">
        <v>0</v>
      </c>
      <c r="S81">
        <v>0.47799999999999998</v>
      </c>
      <c r="T81">
        <v>0.48799999999999999</v>
      </c>
      <c r="U81">
        <v>0.46800000000000003</v>
      </c>
      <c r="V81">
        <v>0.48799999999999999</v>
      </c>
      <c r="W81">
        <v>248440</v>
      </c>
      <c r="X81">
        <v>0.46600000000000003</v>
      </c>
      <c r="Y81">
        <v>0.47899999999999998</v>
      </c>
      <c r="Z81">
        <v>36</v>
      </c>
      <c r="AA81">
        <v>58294409860</v>
      </c>
      <c r="AB81">
        <v>4700</v>
      </c>
      <c r="AC81">
        <v>0</v>
      </c>
      <c r="AD81" t="s">
        <v>94</v>
      </c>
      <c r="AE81" t="s">
        <v>94</v>
      </c>
      <c r="AF81" t="s">
        <v>226</v>
      </c>
      <c r="AG81" t="s">
        <v>226</v>
      </c>
      <c r="AH81">
        <v>9</v>
      </c>
      <c r="AI81" t="s">
        <v>269</v>
      </c>
      <c r="AJ81" t="s">
        <v>270</v>
      </c>
      <c r="AK81" t="s">
        <v>271</v>
      </c>
      <c r="AL81" t="s">
        <v>272</v>
      </c>
    </row>
    <row r="82" spans="1:38">
      <c r="A82" t="s">
        <v>651</v>
      </c>
      <c r="B82" t="s">
        <v>652</v>
      </c>
      <c r="C82" t="s">
        <v>653</v>
      </c>
      <c r="D82" t="s">
        <v>654</v>
      </c>
      <c r="E82" t="s">
        <v>655</v>
      </c>
      <c r="F82" t="s">
        <v>438</v>
      </c>
      <c r="G82">
        <v>3</v>
      </c>
      <c r="H82">
        <v>10000</v>
      </c>
      <c r="I82">
        <v>5.0000000000000001E-3</v>
      </c>
      <c r="J82">
        <v>0.1</v>
      </c>
      <c r="K82">
        <v>-3.36</v>
      </c>
      <c r="L82">
        <v>0.72</v>
      </c>
      <c r="M82">
        <v>0.745</v>
      </c>
      <c r="N82">
        <v>0.755</v>
      </c>
      <c r="O82">
        <v>0.72499999999999998</v>
      </c>
      <c r="P82">
        <v>0</v>
      </c>
      <c r="Q82">
        <v>0</v>
      </c>
      <c r="R82">
        <v>0</v>
      </c>
      <c r="S82">
        <v>0.71</v>
      </c>
      <c r="T82">
        <v>0.505</v>
      </c>
      <c r="U82">
        <v>0.505</v>
      </c>
      <c r="V82">
        <v>0.75</v>
      </c>
      <c r="W82">
        <v>240950</v>
      </c>
      <c r="X82">
        <v>0.70499999999999996</v>
      </c>
      <c r="Y82">
        <v>0.75</v>
      </c>
      <c r="Z82">
        <v>33</v>
      </c>
      <c r="AA82">
        <v>183062052</v>
      </c>
      <c r="AB82">
        <v>7200</v>
      </c>
      <c r="AC82">
        <v>0</v>
      </c>
      <c r="AD82" t="s">
        <v>94</v>
      </c>
      <c r="AE82" t="s">
        <v>94</v>
      </c>
      <c r="AF82" t="s">
        <v>226</v>
      </c>
      <c r="AG82" t="s">
        <v>226</v>
      </c>
      <c r="AH82">
        <v>9</v>
      </c>
      <c r="AI82" t="s">
        <v>269</v>
      </c>
      <c r="AJ82" t="s">
        <v>270</v>
      </c>
      <c r="AK82" t="s">
        <v>439</v>
      </c>
      <c r="AL82" t="s">
        <v>272</v>
      </c>
    </row>
    <row r="83" spans="1:38">
      <c r="A83" t="s">
        <v>656</v>
      </c>
      <c r="B83" t="s">
        <v>657</v>
      </c>
      <c r="C83" t="s">
        <v>658</v>
      </c>
      <c r="D83" t="s">
        <v>659</v>
      </c>
      <c r="E83" t="s">
        <v>660</v>
      </c>
      <c r="F83" t="s">
        <v>268</v>
      </c>
      <c r="G83">
        <v>3</v>
      </c>
      <c r="H83">
        <v>1</v>
      </c>
      <c r="I83">
        <v>200</v>
      </c>
      <c r="J83">
        <v>1</v>
      </c>
      <c r="K83">
        <v>0</v>
      </c>
      <c r="L83">
        <v>0</v>
      </c>
      <c r="M83">
        <v>36800</v>
      </c>
      <c r="N83">
        <v>35800</v>
      </c>
      <c r="O83">
        <v>36800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34200</v>
      </c>
      <c r="Y83">
        <v>35000</v>
      </c>
      <c r="Z83">
        <v>0</v>
      </c>
      <c r="AA83">
        <v>250126</v>
      </c>
      <c r="AB83">
        <v>0</v>
      </c>
      <c r="AC83">
        <v>0</v>
      </c>
      <c r="AD83" t="s">
        <v>94</v>
      </c>
      <c r="AE83" t="s">
        <v>94</v>
      </c>
      <c r="AF83" t="s">
        <v>226</v>
      </c>
      <c r="AG83" t="s">
        <v>226</v>
      </c>
      <c r="AH83">
        <v>9</v>
      </c>
      <c r="AI83" t="s">
        <v>269</v>
      </c>
      <c r="AJ83" t="s">
        <v>270</v>
      </c>
      <c r="AK83" t="s">
        <v>271</v>
      </c>
      <c r="AL83" t="s">
        <v>272</v>
      </c>
    </row>
    <row r="84" spans="1:38">
      <c r="A84" t="s">
        <v>661</v>
      </c>
      <c r="B84" t="s">
        <v>662</v>
      </c>
      <c r="C84" t="s">
        <v>663</v>
      </c>
      <c r="D84" t="s">
        <v>664</v>
      </c>
      <c r="E84" t="s">
        <v>665</v>
      </c>
      <c r="F84" t="s">
        <v>438</v>
      </c>
      <c r="G84">
        <v>3</v>
      </c>
      <c r="H84">
        <v>10</v>
      </c>
      <c r="I84">
        <v>1</v>
      </c>
      <c r="J84">
        <v>1</v>
      </c>
      <c r="K84">
        <v>-1.44</v>
      </c>
      <c r="L84">
        <v>410</v>
      </c>
      <c r="M84">
        <v>416</v>
      </c>
      <c r="N84">
        <v>418</v>
      </c>
      <c r="O84">
        <v>410</v>
      </c>
      <c r="P84">
        <v>0</v>
      </c>
      <c r="Q84">
        <v>0</v>
      </c>
      <c r="R84">
        <v>0</v>
      </c>
      <c r="S84">
        <v>417</v>
      </c>
      <c r="T84">
        <v>417</v>
      </c>
      <c r="U84">
        <v>410</v>
      </c>
      <c r="V84">
        <v>425</v>
      </c>
      <c r="W84">
        <v>179290</v>
      </c>
      <c r="X84">
        <v>408</v>
      </c>
      <c r="Y84">
        <v>411</v>
      </c>
      <c r="Z84">
        <v>33</v>
      </c>
      <c r="AA84">
        <v>1474549</v>
      </c>
      <c r="AB84">
        <v>8200</v>
      </c>
      <c r="AC84">
        <v>0</v>
      </c>
      <c r="AD84" t="s">
        <v>94</v>
      </c>
      <c r="AE84" t="s">
        <v>94</v>
      </c>
      <c r="AF84" t="s">
        <v>226</v>
      </c>
      <c r="AG84" t="s">
        <v>226</v>
      </c>
      <c r="AH84">
        <v>9</v>
      </c>
      <c r="AI84" t="s">
        <v>269</v>
      </c>
      <c r="AJ84" t="s">
        <v>270</v>
      </c>
      <c r="AK84" t="s">
        <v>439</v>
      </c>
      <c r="AL84" t="s">
        <v>272</v>
      </c>
    </row>
    <row r="85" spans="1:38">
      <c r="A85" t="s">
        <v>666</v>
      </c>
      <c r="B85" t="s">
        <v>667</v>
      </c>
      <c r="C85" t="s">
        <v>668</v>
      </c>
      <c r="D85" t="s">
        <v>669</v>
      </c>
      <c r="E85" t="s">
        <v>670</v>
      </c>
      <c r="F85" t="s">
        <v>268</v>
      </c>
      <c r="G85">
        <v>3</v>
      </c>
      <c r="H85">
        <v>10</v>
      </c>
      <c r="I85">
        <v>1</v>
      </c>
      <c r="J85">
        <v>1</v>
      </c>
      <c r="K85">
        <v>0.88</v>
      </c>
      <c r="L85">
        <v>1374</v>
      </c>
      <c r="M85">
        <v>1362</v>
      </c>
      <c r="N85">
        <v>1381</v>
      </c>
      <c r="O85">
        <v>1374</v>
      </c>
      <c r="P85">
        <v>0</v>
      </c>
      <c r="Q85">
        <v>0</v>
      </c>
      <c r="R85">
        <v>0</v>
      </c>
      <c r="S85">
        <v>1392</v>
      </c>
      <c r="T85">
        <v>1359</v>
      </c>
      <c r="U85">
        <v>1359</v>
      </c>
      <c r="V85">
        <v>1430</v>
      </c>
      <c r="W85">
        <v>3870540</v>
      </c>
      <c r="X85">
        <v>1373</v>
      </c>
      <c r="Y85">
        <v>1375</v>
      </c>
      <c r="Z85">
        <v>181</v>
      </c>
      <c r="AA85">
        <v>9217583</v>
      </c>
      <c r="AB85">
        <v>27480</v>
      </c>
      <c r="AC85">
        <v>0</v>
      </c>
      <c r="AD85" t="s">
        <v>94</v>
      </c>
      <c r="AE85" t="s">
        <v>94</v>
      </c>
      <c r="AF85" t="s">
        <v>226</v>
      </c>
      <c r="AG85" t="s">
        <v>226</v>
      </c>
      <c r="AH85">
        <v>9</v>
      </c>
      <c r="AI85" t="s">
        <v>269</v>
      </c>
      <c r="AJ85" t="s">
        <v>270</v>
      </c>
      <c r="AK85" t="s">
        <v>271</v>
      </c>
      <c r="AL85" t="s">
        <v>272</v>
      </c>
    </row>
    <row r="86" spans="1:38">
      <c r="A86" t="s">
        <v>671</v>
      </c>
      <c r="B86" t="s">
        <v>672</v>
      </c>
      <c r="C86" t="s">
        <v>673</v>
      </c>
      <c r="D86" t="s">
        <v>674</v>
      </c>
      <c r="E86" t="s">
        <v>675</v>
      </c>
      <c r="F86" t="s">
        <v>268</v>
      </c>
      <c r="G86">
        <v>3</v>
      </c>
      <c r="H86">
        <v>100</v>
      </c>
      <c r="I86">
        <v>0.02</v>
      </c>
      <c r="J86">
        <v>0.02</v>
      </c>
      <c r="K86">
        <v>2.02</v>
      </c>
      <c r="L86">
        <v>13.16</v>
      </c>
      <c r="M86">
        <v>12.9</v>
      </c>
      <c r="N86">
        <v>13.32</v>
      </c>
      <c r="O86">
        <v>13.16</v>
      </c>
      <c r="P86">
        <v>0</v>
      </c>
      <c r="Q86">
        <v>0</v>
      </c>
      <c r="R86">
        <v>0</v>
      </c>
      <c r="S86">
        <v>13.26</v>
      </c>
      <c r="T86">
        <v>13.16</v>
      </c>
      <c r="U86">
        <v>13.08</v>
      </c>
      <c r="V86">
        <v>13.58</v>
      </c>
      <c r="W86">
        <v>216206</v>
      </c>
      <c r="X86">
        <v>13.16</v>
      </c>
      <c r="Y86">
        <v>13.3</v>
      </c>
      <c r="Z86">
        <v>56</v>
      </c>
      <c r="AA86">
        <v>596039612</v>
      </c>
      <c r="AB86">
        <v>26320</v>
      </c>
      <c r="AC86">
        <v>0</v>
      </c>
      <c r="AD86" t="s">
        <v>94</v>
      </c>
      <c r="AE86" t="s">
        <v>94</v>
      </c>
      <c r="AF86" t="s">
        <v>226</v>
      </c>
      <c r="AG86" t="s">
        <v>226</v>
      </c>
      <c r="AH86">
        <v>9</v>
      </c>
      <c r="AI86" t="s">
        <v>269</v>
      </c>
      <c r="AJ86" t="s">
        <v>270</v>
      </c>
      <c r="AK86" t="s">
        <v>271</v>
      </c>
      <c r="AL86" t="s">
        <v>272</v>
      </c>
    </row>
    <row r="87" spans="1:38">
      <c r="A87" t="s">
        <v>676</v>
      </c>
      <c r="B87" t="s">
        <v>677</v>
      </c>
      <c r="C87" t="s">
        <v>678</v>
      </c>
      <c r="D87" t="s">
        <v>679</v>
      </c>
      <c r="E87" t="s">
        <v>680</v>
      </c>
      <c r="F87" t="s">
        <v>438</v>
      </c>
      <c r="G87">
        <v>3</v>
      </c>
      <c r="H87">
        <v>100</v>
      </c>
      <c r="I87">
        <v>0.02</v>
      </c>
      <c r="J87">
        <v>0.02</v>
      </c>
      <c r="K87">
        <v>0.3</v>
      </c>
      <c r="L87">
        <v>13.32</v>
      </c>
      <c r="M87">
        <v>13.28</v>
      </c>
      <c r="N87">
        <v>13.06</v>
      </c>
      <c r="O87">
        <v>13.16</v>
      </c>
      <c r="P87">
        <v>0</v>
      </c>
      <c r="Q87">
        <v>0</v>
      </c>
      <c r="R87">
        <v>0</v>
      </c>
      <c r="S87">
        <v>13.3</v>
      </c>
      <c r="T87">
        <v>13.36</v>
      </c>
      <c r="U87">
        <v>13.12</v>
      </c>
      <c r="V87">
        <v>13.5</v>
      </c>
      <c r="W87">
        <v>150388</v>
      </c>
      <c r="X87">
        <v>13.16</v>
      </c>
      <c r="Y87">
        <v>13.32</v>
      </c>
      <c r="Z87">
        <v>35</v>
      </c>
      <c r="AA87">
        <v>168993328</v>
      </c>
      <c r="AB87">
        <v>1332</v>
      </c>
      <c r="AC87">
        <v>0</v>
      </c>
      <c r="AD87" t="s">
        <v>94</v>
      </c>
      <c r="AE87" t="s">
        <v>94</v>
      </c>
      <c r="AF87" t="s">
        <v>226</v>
      </c>
      <c r="AG87" t="s">
        <v>226</v>
      </c>
      <c r="AH87">
        <v>9</v>
      </c>
      <c r="AI87" t="s">
        <v>269</v>
      </c>
      <c r="AJ87" t="s">
        <v>270</v>
      </c>
      <c r="AK87" t="s">
        <v>439</v>
      </c>
      <c r="AL87" t="s">
        <v>272</v>
      </c>
    </row>
    <row r="88" spans="1:38">
      <c r="A88" t="s">
        <v>681</v>
      </c>
      <c r="B88" t="s">
        <v>682</v>
      </c>
      <c r="C88" t="s">
        <v>683</v>
      </c>
      <c r="D88" t="s">
        <v>684</v>
      </c>
      <c r="E88" t="s">
        <v>685</v>
      </c>
      <c r="F88" t="s">
        <v>268</v>
      </c>
      <c r="G88">
        <v>3</v>
      </c>
      <c r="H88">
        <v>100</v>
      </c>
      <c r="I88">
        <v>2E-3</v>
      </c>
      <c r="J88">
        <v>0.01</v>
      </c>
      <c r="K88">
        <v>0.24</v>
      </c>
      <c r="L88">
        <v>4.0999999999999996</v>
      </c>
      <c r="M88">
        <v>4.09</v>
      </c>
      <c r="N88">
        <v>4.1459999999999999</v>
      </c>
      <c r="O88">
        <v>4.1100000000000003</v>
      </c>
      <c r="P88">
        <v>0</v>
      </c>
      <c r="Q88">
        <v>0</v>
      </c>
      <c r="R88">
        <v>0</v>
      </c>
      <c r="S88">
        <v>4.1059999999999999</v>
      </c>
      <c r="T88">
        <v>4.09</v>
      </c>
      <c r="U88">
        <v>4.05</v>
      </c>
      <c r="V88">
        <v>4.1379999999999999</v>
      </c>
      <c r="W88">
        <v>684826</v>
      </c>
      <c r="X88">
        <v>4.0839999999999996</v>
      </c>
      <c r="Y88">
        <v>4.1180000000000003</v>
      </c>
      <c r="Z88">
        <v>174</v>
      </c>
      <c r="AA88">
        <v>921052700</v>
      </c>
      <c r="AB88">
        <v>410</v>
      </c>
      <c r="AC88">
        <v>0</v>
      </c>
      <c r="AD88" t="s">
        <v>94</v>
      </c>
      <c r="AE88" t="s">
        <v>94</v>
      </c>
      <c r="AF88" t="s">
        <v>226</v>
      </c>
      <c r="AG88" t="s">
        <v>226</v>
      </c>
      <c r="AH88">
        <v>9</v>
      </c>
      <c r="AI88" t="s">
        <v>269</v>
      </c>
      <c r="AJ88" t="s">
        <v>270</v>
      </c>
      <c r="AK88" t="s">
        <v>271</v>
      </c>
      <c r="AL88" t="s">
        <v>272</v>
      </c>
    </row>
    <row r="89" spans="1:38">
      <c r="A89" t="s">
        <v>686</v>
      </c>
      <c r="B89" t="s">
        <v>687</v>
      </c>
      <c r="C89" t="s">
        <v>688</v>
      </c>
      <c r="D89" t="s">
        <v>689</v>
      </c>
      <c r="E89" t="s">
        <v>690</v>
      </c>
      <c r="F89" t="s">
        <v>268</v>
      </c>
      <c r="G89">
        <v>3</v>
      </c>
      <c r="H89">
        <v>10000</v>
      </c>
      <c r="I89">
        <v>5.0000000000000002E-5</v>
      </c>
      <c r="J89">
        <v>0.01</v>
      </c>
      <c r="K89">
        <v>-0.34</v>
      </c>
      <c r="L89">
        <v>2.9749999999999999E-2</v>
      </c>
      <c r="M89">
        <v>2.9850000000000002E-2</v>
      </c>
      <c r="N89">
        <v>2.9950000000000001E-2</v>
      </c>
      <c r="O89">
        <v>2.9749999999999999E-2</v>
      </c>
      <c r="P89">
        <v>0</v>
      </c>
      <c r="Q89">
        <v>0</v>
      </c>
      <c r="R89">
        <v>0</v>
      </c>
      <c r="S89">
        <v>2.9749999999999999E-2</v>
      </c>
      <c r="T89">
        <v>2.9950000000000001E-2</v>
      </c>
      <c r="U89">
        <v>2.945E-2</v>
      </c>
      <c r="V89">
        <v>2.9950000000000001E-2</v>
      </c>
      <c r="W89">
        <v>441400</v>
      </c>
      <c r="X89">
        <v>2.9649999999999999E-2</v>
      </c>
      <c r="Y89">
        <v>2.9749999999999999E-2</v>
      </c>
      <c r="Z89">
        <v>113</v>
      </c>
      <c r="AA89">
        <v>22503490875</v>
      </c>
      <c r="AB89">
        <v>2975</v>
      </c>
      <c r="AC89">
        <v>0</v>
      </c>
      <c r="AD89" t="s">
        <v>94</v>
      </c>
      <c r="AE89" t="s">
        <v>94</v>
      </c>
      <c r="AF89" t="s">
        <v>226</v>
      </c>
      <c r="AG89" t="s">
        <v>226</v>
      </c>
      <c r="AH89">
        <v>9</v>
      </c>
      <c r="AI89" t="s">
        <v>269</v>
      </c>
      <c r="AJ89" t="s">
        <v>270</v>
      </c>
      <c r="AK89" t="s">
        <v>271</v>
      </c>
      <c r="AL89" t="s">
        <v>272</v>
      </c>
    </row>
    <row r="90" spans="1:38">
      <c r="A90" t="s">
        <v>691</v>
      </c>
      <c r="B90" t="s">
        <v>692</v>
      </c>
      <c r="C90" t="s">
        <v>693</v>
      </c>
      <c r="D90" t="s">
        <v>694</v>
      </c>
      <c r="E90" t="s">
        <v>695</v>
      </c>
      <c r="F90" t="s">
        <v>268</v>
      </c>
      <c r="G90">
        <v>3</v>
      </c>
      <c r="H90">
        <v>10</v>
      </c>
      <c r="I90">
        <v>0.2</v>
      </c>
      <c r="J90">
        <v>1</v>
      </c>
      <c r="K90">
        <v>-0.76</v>
      </c>
      <c r="L90">
        <v>416.4</v>
      </c>
      <c r="M90">
        <v>419.6</v>
      </c>
      <c r="N90">
        <v>422.4</v>
      </c>
      <c r="O90">
        <v>416.4</v>
      </c>
      <c r="P90">
        <v>0</v>
      </c>
      <c r="Q90">
        <v>0</v>
      </c>
      <c r="R90">
        <v>0</v>
      </c>
      <c r="S90">
        <v>416.2</v>
      </c>
      <c r="T90">
        <v>421</v>
      </c>
      <c r="U90">
        <v>409.6</v>
      </c>
      <c r="V90">
        <v>432.6</v>
      </c>
      <c r="W90">
        <v>1706080</v>
      </c>
      <c r="X90">
        <v>416.4</v>
      </c>
      <c r="Y90">
        <v>416.8</v>
      </c>
      <c r="Z90">
        <v>169</v>
      </c>
      <c r="AA90">
        <v>234147999</v>
      </c>
      <c r="AB90">
        <v>8328</v>
      </c>
      <c r="AC90">
        <v>0</v>
      </c>
      <c r="AD90" t="s">
        <v>94</v>
      </c>
      <c r="AE90" t="s">
        <v>94</v>
      </c>
      <c r="AF90" t="s">
        <v>226</v>
      </c>
      <c r="AG90" t="s">
        <v>226</v>
      </c>
      <c r="AH90">
        <v>9</v>
      </c>
      <c r="AI90" t="s">
        <v>269</v>
      </c>
      <c r="AJ90" t="s">
        <v>270</v>
      </c>
      <c r="AK90" t="s">
        <v>271</v>
      </c>
      <c r="AL90" t="s">
        <v>272</v>
      </c>
    </row>
    <row r="91" spans="1:38">
      <c r="A91" t="s">
        <v>696</v>
      </c>
      <c r="B91" t="s">
        <v>697</v>
      </c>
      <c r="C91" t="s">
        <v>698</v>
      </c>
      <c r="D91" t="s">
        <v>699</v>
      </c>
      <c r="E91" t="s">
        <v>700</v>
      </c>
      <c r="F91" t="s">
        <v>438</v>
      </c>
      <c r="G91">
        <v>3</v>
      </c>
      <c r="H91">
        <v>10</v>
      </c>
      <c r="I91">
        <v>0.5</v>
      </c>
      <c r="J91">
        <v>1</v>
      </c>
      <c r="K91">
        <v>-1.86</v>
      </c>
      <c r="L91">
        <v>423</v>
      </c>
      <c r="M91">
        <v>432.5</v>
      </c>
      <c r="N91">
        <v>431</v>
      </c>
      <c r="O91">
        <v>423</v>
      </c>
      <c r="P91">
        <v>0</v>
      </c>
      <c r="Q91">
        <v>0</v>
      </c>
      <c r="R91">
        <v>0</v>
      </c>
      <c r="S91">
        <v>425</v>
      </c>
      <c r="T91">
        <v>431.5</v>
      </c>
      <c r="U91">
        <v>420.5</v>
      </c>
      <c r="V91">
        <v>431.5</v>
      </c>
      <c r="W91">
        <v>594725</v>
      </c>
      <c r="X91">
        <v>421</v>
      </c>
      <c r="Y91">
        <v>423</v>
      </c>
      <c r="Z91">
        <v>85</v>
      </c>
      <c r="AA91">
        <v>3696506</v>
      </c>
      <c r="AB91">
        <v>4230</v>
      </c>
      <c r="AC91">
        <v>0</v>
      </c>
      <c r="AD91" t="s">
        <v>94</v>
      </c>
      <c r="AE91" t="s">
        <v>94</v>
      </c>
      <c r="AF91" t="s">
        <v>226</v>
      </c>
      <c r="AG91" t="s">
        <v>226</v>
      </c>
      <c r="AH91">
        <v>9</v>
      </c>
      <c r="AI91" t="s">
        <v>269</v>
      </c>
      <c r="AJ91" t="s">
        <v>270</v>
      </c>
      <c r="AK91" t="s">
        <v>439</v>
      </c>
      <c r="AL91" t="s">
        <v>272</v>
      </c>
    </row>
    <row r="92" spans="1:38">
      <c r="A92" t="s">
        <v>701</v>
      </c>
      <c r="B92" t="s">
        <v>702</v>
      </c>
      <c r="C92" t="s">
        <v>703</v>
      </c>
      <c r="D92" t="s">
        <v>704</v>
      </c>
      <c r="E92" t="s">
        <v>705</v>
      </c>
      <c r="F92" t="s">
        <v>268</v>
      </c>
      <c r="G92">
        <v>3</v>
      </c>
      <c r="H92">
        <v>10</v>
      </c>
      <c r="I92">
        <v>0.2</v>
      </c>
      <c r="J92">
        <v>7.2</v>
      </c>
      <c r="K92">
        <v>0</v>
      </c>
      <c r="L92">
        <v>44.4</v>
      </c>
      <c r="M92">
        <v>44.4</v>
      </c>
      <c r="N92">
        <v>44.4</v>
      </c>
      <c r="O92">
        <v>44.4</v>
      </c>
      <c r="P92">
        <v>0</v>
      </c>
      <c r="Q92">
        <v>0</v>
      </c>
      <c r="R92">
        <v>0</v>
      </c>
      <c r="S92">
        <v>44.4</v>
      </c>
      <c r="T92">
        <v>44.6</v>
      </c>
      <c r="U92">
        <v>44.2</v>
      </c>
      <c r="V92">
        <v>44.8</v>
      </c>
      <c r="W92">
        <v>54616</v>
      </c>
      <c r="X92">
        <v>44.4</v>
      </c>
      <c r="Y92">
        <v>44.6</v>
      </c>
      <c r="Z92">
        <v>19</v>
      </c>
      <c r="AA92">
        <v>122453406</v>
      </c>
      <c r="AB92">
        <v>4440</v>
      </c>
      <c r="AC92">
        <v>0</v>
      </c>
      <c r="AD92" t="s">
        <v>94</v>
      </c>
      <c r="AE92" t="s">
        <v>94</v>
      </c>
      <c r="AF92" t="s">
        <v>226</v>
      </c>
      <c r="AG92" t="s">
        <v>226</v>
      </c>
      <c r="AH92">
        <v>9</v>
      </c>
      <c r="AI92" t="s">
        <v>269</v>
      </c>
      <c r="AJ92" t="s">
        <v>270</v>
      </c>
      <c r="AK92" t="s">
        <v>271</v>
      </c>
      <c r="AL92" t="s">
        <v>272</v>
      </c>
    </row>
    <row r="93" spans="1:38">
      <c r="A93" t="s">
        <v>706</v>
      </c>
      <c r="B93" t="s">
        <v>707</v>
      </c>
      <c r="C93" t="s">
        <v>708</v>
      </c>
      <c r="D93" t="s">
        <v>709</v>
      </c>
      <c r="E93" t="s">
        <v>710</v>
      </c>
      <c r="F93" t="s">
        <v>438</v>
      </c>
      <c r="G93">
        <v>3</v>
      </c>
      <c r="H93">
        <v>10</v>
      </c>
      <c r="I93">
        <v>0.2</v>
      </c>
      <c r="J93">
        <v>7.2</v>
      </c>
      <c r="K93">
        <v>0.84</v>
      </c>
      <c r="L93">
        <v>48.2</v>
      </c>
      <c r="M93">
        <v>47.8</v>
      </c>
      <c r="N93">
        <v>48</v>
      </c>
      <c r="O93">
        <v>48.2</v>
      </c>
      <c r="P93">
        <v>0</v>
      </c>
      <c r="Q93">
        <v>0</v>
      </c>
      <c r="R93">
        <v>0</v>
      </c>
      <c r="S93">
        <v>48</v>
      </c>
      <c r="T93">
        <v>48</v>
      </c>
      <c r="U93">
        <v>47.8</v>
      </c>
      <c r="V93">
        <v>48.2</v>
      </c>
      <c r="W93">
        <v>52796</v>
      </c>
      <c r="X93">
        <v>47.8</v>
      </c>
      <c r="Y93">
        <v>48.2</v>
      </c>
      <c r="Z93">
        <v>38</v>
      </c>
      <c r="AA93">
        <v>14393052</v>
      </c>
      <c r="AB93">
        <v>482</v>
      </c>
      <c r="AC93">
        <v>0</v>
      </c>
      <c r="AD93" t="s">
        <v>94</v>
      </c>
      <c r="AE93" t="s">
        <v>94</v>
      </c>
      <c r="AF93" t="s">
        <v>226</v>
      </c>
      <c r="AG93" t="s">
        <v>226</v>
      </c>
      <c r="AH93">
        <v>9</v>
      </c>
      <c r="AI93" t="s">
        <v>269</v>
      </c>
      <c r="AJ93" t="s">
        <v>270</v>
      </c>
      <c r="AK93" t="s">
        <v>439</v>
      </c>
      <c r="AL93" t="s">
        <v>272</v>
      </c>
    </row>
    <row r="94" spans="1:38">
      <c r="A94" t="s">
        <v>711</v>
      </c>
      <c r="B94" t="s">
        <v>712</v>
      </c>
      <c r="C94" t="s">
        <v>713</v>
      </c>
      <c r="D94" t="s">
        <v>714</v>
      </c>
      <c r="E94" t="s">
        <v>715</v>
      </c>
      <c r="F94" t="s">
        <v>268</v>
      </c>
      <c r="G94">
        <v>1</v>
      </c>
      <c r="H94">
        <v>1</v>
      </c>
      <c r="I94">
        <v>0.2</v>
      </c>
      <c r="J94">
        <v>0.25</v>
      </c>
      <c r="K94">
        <v>2.09</v>
      </c>
      <c r="L94">
        <v>722.2</v>
      </c>
      <c r="M94">
        <v>707.4</v>
      </c>
      <c r="N94">
        <v>713.2</v>
      </c>
      <c r="O94">
        <v>718.8</v>
      </c>
      <c r="P94">
        <v>0</v>
      </c>
      <c r="Q94">
        <v>0</v>
      </c>
      <c r="R94">
        <v>0</v>
      </c>
      <c r="S94">
        <v>724.8</v>
      </c>
      <c r="T94">
        <v>702</v>
      </c>
      <c r="U94">
        <v>702</v>
      </c>
      <c r="V94">
        <v>745</v>
      </c>
      <c r="W94">
        <v>307624081</v>
      </c>
      <c r="X94">
        <v>721.6</v>
      </c>
      <c r="Y94">
        <v>722.2</v>
      </c>
      <c r="Z94">
        <v>9670</v>
      </c>
      <c r="AA94">
        <v>103030215</v>
      </c>
      <c r="AB94">
        <v>1444.4</v>
      </c>
      <c r="AC94">
        <v>0</v>
      </c>
      <c r="AD94" t="s">
        <v>94</v>
      </c>
      <c r="AE94" t="s">
        <v>94</v>
      </c>
      <c r="AF94" t="s">
        <v>226</v>
      </c>
      <c r="AG94" t="s">
        <v>226</v>
      </c>
      <c r="AH94">
        <v>-100</v>
      </c>
      <c r="AI94" t="s">
        <v>269</v>
      </c>
      <c r="AJ94" t="s">
        <v>270</v>
      </c>
      <c r="AK94" t="s">
        <v>271</v>
      </c>
      <c r="AL94" t="s">
        <v>272</v>
      </c>
    </row>
    <row r="95" spans="1:38">
      <c r="A95" t="s">
        <v>716</v>
      </c>
      <c r="B95" t="s">
        <v>717</v>
      </c>
      <c r="C95" t="s">
        <v>718</v>
      </c>
      <c r="D95" t="s">
        <v>101</v>
      </c>
      <c r="E95" t="s">
        <v>102</v>
      </c>
      <c r="F95" t="s">
        <v>268</v>
      </c>
      <c r="G95">
        <v>1</v>
      </c>
      <c r="H95">
        <v>1</v>
      </c>
      <c r="I95">
        <v>0.5</v>
      </c>
      <c r="J95">
        <v>2.5000000000000001E-2</v>
      </c>
      <c r="K95">
        <v>-0.33</v>
      </c>
      <c r="L95">
        <v>6748.5</v>
      </c>
      <c r="M95">
        <v>6758.5</v>
      </c>
      <c r="N95">
        <v>6767.5</v>
      </c>
      <c r="O95">
        <v>6740.5</v>
      </c>
      <c r="P95">
        <v>0</v>
      </c>
      <c r="Q95">
        <v>0</v>
      </c>
      <c r="R95">
        <v>0</v>
      </c>
      <c r="S95">
        <v>6761</v>
      </c>
      <c r="T95">
        <v>6784.5</v>
      </c>
      <c r="U95">
        <v>6714</v>
      </c>
      <c r="V95">
        <v>6812</v>
      </c>
      <c r="W95">
        <v>4480447497</v>
      </c>
      <c r="X95">
        <v>6748.5</v>
      </c>
      <c r="Y95">
        <v>6749</v>
      </c>
      <c r="Z95">
        <v>30566</v>
      </c>
      <c r="AA95">
        <v>692865762</v>
      </c>
      <c r="AB95">
        <v>445401</v>
      </c>
      <c r="AC95">
        <v>0</v>
      </c>
      <c r="AD95" t="s">
        <v>94</v>
      </c>
      <c r="AE95" t="s">
        <v>94</v>
      </c>
      <c r="AF95" t="s">
        <v>226</v>
      </c>
      <c r="AG95" t="s">
        <v>226</v>
      </c>
      <c r="AH95">
        <v>-100</v>
      </c>
      <c r="AI95" t="s">
        <v>269</v>
      </c>
      <c r="AJ95" t="s">
        <v>270</v>
      </c>
      <c r="AK95" t="s">
        <v>271</v>
      </c>
      <c r="AL95" t="s">
        <v>272</v>
      </c>
    </row>
    <row r="96" spans="1:38">
      <c r="A96" t="s">
        <v>719</v>
      </c>
      <c r="B96" t="s">
        <v>720</v>
      </c>
      <c r="C96" t="s">
        <v>721</v>
      </c>
      <c r="D96" t="s">
        <v>722</v>
      </c>
      <c r="E96" t="s">
        <v>723</v>
      </c>
      <c r="F96" t="s">
        <v>268</v>
      </c>
      <c r="G96">
        <v>3</v>
      </c>
      <c r="H96">
        <v>1</v>
      </c>
      <c r="I96">
        <v>0.05</v>
      </c>
      <c r="J96">
        <v>2.5000000000000001E-2</v>
      </c>
      <c r="K96">
        <v>0.48</v>
      </c>
      <c r="L96">
        <v>428</v>
      </c>
      <c r="M96">
        <v>425.95</v>
      </c>
      <c r="N96">
        <v>426.35</v>
      </c>
      <c r="O96">
        <v>426.65</v>
      </c>
      <c r="P96">
        <v>0</v>
      </c>
      <c r="Q96">
        <v>0</v>
      </c>
      <c r="R96">
        <v>0</v>
      </c>
      <c r="S96">
        <v>428.3</v>
      </c>
      <c r="T96">
        <v>425.95</v>
      </c>
      <c r="U96">
        <v>425.95</v>
      </c>
      <c r="V96">
        <v>432.45</v>
      </c>
      <c r="W96">
        <v>2843388</v>
      </c>
      <c r="X96">
        <v>426.8</v>
      </c>
      <c r="Y96">
        <v>427.95</v>
      </c>
      <c r="Z96">
        <v>63</v>
      </c>
      <c r="AA96">
        <v>20752219</v>
      </c>
      <c r="AB96">
        <v>89880</v>
      </c>
      <c r="AC96">
        <v>0</v>
      </c>
      <c r="AD96" t="s">
        <v>94</v>
      </c>
      <c r="AE96" t="s">
        <v>94</v>
      </c>
      <c r="AF96" t="s">
        <v>226</v>
      </c>
      <c r="AG96" t="s">
        <v>226</v>
      </c>
      <c r="AH96">
        <v>9</v>
      </c>
      <c r="AI96" t="s">
        <v>269</v>
      </c>
      <c r="AJ96" t="s">
        <v>270</v>
      </c>
      <c r="AK96" t="s">
        <v>271</v>
      </c>
      <c r="AL96" t="s">
        <v>272</v>
      </c>
    </row>
    <row r="97" spans="1:38">
      <c r="A97" t="s">
        <v>724</v>
      </c>
      <c r="B97" t="s">
        <v>725</v>
      </c>
      <c r="C97" t="s">
        <v>726</v>
      </c>
      <c r="D97" t="s">
        <v>727</v>
      </c>
      <c r="E97" t="s">
        <v>728</v>
      </c>
      <c r="F97" t="s">
        <v>268</v>
      </c>
      <c r="G97">
        <v>3</v>
      </c>
      <c r="H97">
        <v>100</v>
      </c>
      <c r="I97">
        <v>0.05</v>
      </c>
      <c r="J97">
        <v>10</v>
      </c>
      <c r="K97">
        <v>4.1100000000000003</v>
      </c>
      <c r="L97">
        <v>36.75</v>
      </c>
      <c r="M97">
        <v>35.299999999999997</v>
      </c>
      <c r="N97">
        <v>36.1</v>
      </c>
      <c r="O97">
        <v>36.5</v>
      </c>
      <c r="P97">
        <v>0</v>
      </c>
      <c r="Q97">
        <v>0</v>
      </c>
      <c r="R97">
        <v>0</v>
      </c>
      <c r="S97">
        <v>37.1</v>
      </c>
      <c r="T97">
        <v>35.4</v>
      </c>
      <c r="U97">
        <v>34.5</v>
      </c>
      <c r="V97">
        <v>38</v>
      </c>
      <c r="W97">
        <v>9313205</v>
      </c>
      <c r="X97">
        <v>36.15</v>
      </c>
      <c r="Y97">
        <v>36.450000000000003</v>
      </c>
      <c r="Z97">
        <v>648</v>
      </c>
      <c r="AA97">
        <v>52940000</v>
      </c>
      <c r="AB97">
        <v>18375</v>
      </c>
      <c r="AC97">
        <v>0</v>
      </c>
      <c r="AD97" t="s">
        <v>94</v>
      </c>
      <c r="AE97" t="s">
        <v>94</v>
      </c>
      <c r="AF97" t="s">
        <v>226</v>
      </c>
      <c r="AG97" t="s">
        <v>226</v>
      </c>
      <c r="AH97">
        <v>9</v>
      </c>
      <c r="AI97" t="s">
        <v>269</v>
      </c>
      <c r="AJ97" t="s">
        <v>270</v>
      </c>
      <c r="AK97" t="s">
        <v>271</v>
      </c>
      <c r="AL97" t="s">
        <v>272</v>
      </c>
    </row>
    <row r="98" spans="1:38">
      <c r="A98" t="s">
        <v>729</v>
      </c>
      <c r="B98" t="s">
        <v>730</v>
      </c>
      <c r="C98" t="s">
        <v>731</v>
      </c>
      <c r="D98" t="s">
        <v>732</v>
      </c>
      <c r="E98" t="s">
        <v>733</v>
      </c>
      <c r="F98" t="s">
        <v>438</v>
      </c>
      <c r="G98">
        <v>3</v>
      </c>
      <c r="H98">
        <v>1</v>
      </c>
      <c r="I98">
        <v>5</v>
      </c>
      <c r="J98">
        <v>1</v>
      </c>
      <c r="K98">
        <v>0.94</v>
      </c>
      <c r="L98">
        <v>1610</v>
      </c>
      <c r="M98">
        <v>1595</v>
      </c>
      <c r="N98">
        <v>1605</v>
      </c>
      <c r="O98">
        <v>1615</v>
      </c>
      <c r="P98">
        <v>0</v>
      </c>
      <c r="Q98">
        <v>0</v>
      </c>
      <c r="R98">
        <v>0</v>
      </c>
      <c r="S98">
        <v>1615</v>
      </c>
      <c r="T98">
        <v>1595</v>
      </c>
      <c r="U98">
        <v>1590</v>
      </c>
      <c r="V98">
        <v>1630</v>
      </c>
      <c r="W98">
        <v>606960</v>
      </c>
      <c r="X98">
        <v>1610</v>
      </c>
      <c r="Y98">
        <v>1620</v>
      </c>
      <c r="Z98">
        <v>145</v>
      </c>
      <c r="AA98">
        <v>347700</v>
      </c>
      <c r="AB98">
        <v>1610</v>
      </c>
      <c r="AC98">
        <v>0</v>
      </c>
      <c r="AD98" t="s">
        <v>94</v>
      </c>
      <c r="AE98" t="s">
        <v>94</v>
      </c>
      <c r="AF98" t="s">
        <v>226</v>
      </c>
      <c r="AG98" t="s">
        <v>226</v>
      </c>
      <c r="AH98">
        <v>9</v>
      </c>
      <c r="AI98" t="s">
        <v>269</v>
      </c>
      <c r="AJ98" t="s">
        <v>270</v>
      </c>
      <c r="AK98" t="s">
        <v>439</v>
      </c>
      <c r="AL98" t="s">
        <v>272</v>
      </c>
    </row>
    <row r="99" spans="1:38">
      <c r="A99" t="s">
        <v>734</v>
      </c>
      <c r="B99" t="s">
        <v>735</v>
      </c>
      <c r="C99" t="s">
        <v>736</v>
      </c>
      <c r="D99" t="s">
        <v>737</v>
      </c>
      <c r="E99" t="s">
        <v>738</v>
      </c>
      <c r="F99" t="s">
        <v>268</v>
      </c>
      <c r="G99">
        <v>3</v>
      </c>
      <c r="H99">
        <v>1</v>
      </c>
      <c r="I99">
        <v>10</v>
      </c>
      <c r="J99">
        <v>1</v>
      </c>
      <c r="K99">
        <v>0.25</v>
      </c>
      <c r="L99">
        <v>11980</v>
      </c>
      <c r="M99">
        <v>11950</v>
      </c>
      <c r="N99">
        <v>11980</v>
      </c>
      <c r="O99">
        <v>11990</v>
      </c>
      <c r="P99">
        <v>0</v>
      </c>
      <c r="Q99">
        <v>0</v>
      </c>
      <c r="R99">
        <v>0</v>
      </c>
      <c r="S99">
        <v>12020</v>
      </c>
      <c r="T99">
        <v>12010</v>
      </c>
      <c r="U99">
        <v>11920</v>
      </c>
      <c r="V99">
        <v>12050</v>
      </c>
      <c r="W99">
        <v>2030830</v>
      </c>
      <c r="X99">
        <v>11980</v>
      </c>
      <c r="Y99">
        <v>12020</v>
      </c>
      <c r="Z99">
        <v>94</v>
      </c>
      <c r="AA99">
        <v>1140300</v>
      </c>
      <c r="AB99">
        <v>11980</v>
      </c>
      <c r="AC99">
        <v>0</v>
      </c>
      <c r="AD99" t="s">
        <v>94</v>
      </c>
      <c r="AE99" t="s">
        <v>94</v>
      </c>
      <c r="AF99" t="s">
        <v>226</v>
      </c>
      <c r="AG99" t="s">
        <v>226</v>
      </c>
      <c r="AH99">
        <v>9</v>
      </c>
      <c r="AI99" t="s">
        <v>269</v>
      </c>
      <c r="AJ99" t="s">
        <v>270</v>
      </c>
      <c r="AK99" t="s">
        <v>271</v>
      </c>
      <c r="AL99" t="s">
        <v>272</v>
      </c>
    </row>
    <row r="100" spans="1:38">
      <c r="A100" t="s">
        <v>739</v>
      </c>
      <c r="B100" t="s">
        <v>740</v>
      </c>
      <c r="C100" t="s">
        <v>741</v>
      </c>
      <c r="D100" t="s">
        <v>138</v>
      </c>
      <c r="E100" t="s">
        <v>139</v>
      </c>
      <c r="F100" t="s">
        <v>268</v>
      </c>
      <c r="G100">
        <v>1</v>
      </c>
      <c r="H100">
        <v>1</v>
      </c>
      <c r="I100">
        <v>0.5</v>
      </c>
      <c r="J100">
        <v>9.1263200000000003E-2</v>
      </c>
      <c r="K100">
        <v>-3.11</v>
      </c>
      <c r="L100">
        <v>1027</v>
      </c>
      <c r="M100">
        <v>1060</v>
      </c>
      <c r="N100">
        <v>1040</v>
      </c>
      <c r="O100">
        <v>1025.5</v>
      </c>
      <c r="P100">
        <v>0</v>
      </c>
      <c r="Q100">
        <v>0</v>
      </c>
      <c r="R100">
        <v>0</v>
      </c>
      <c r="S100">
        <v>1053</v>
      </c>
      <c r="T100">
        <v>1055</v>
      </c>
      <c r="U100">
        <v>1023</v>
      </c>
      <c r="V100">
        <v>1070</v>
      </c>
      <c r="W100">
        <v>29713656</v>
      </c>
      <c r="X100">
        <v>1026</v>
      </c>
      <c r="Y100">
        <v>1028</v>
      </c>
      <c r="Z100">
        <v>1962</v>
      </c>
      <c r="AA100">
        <v>115985197</v>
      </c>
      <c r="AB100">
        <v>10270</v>
      </c>
      <c r="AC100">
        <v>0</v>
      </c>
      <c r="AD100" t="s">
        <v>94</v>
      </c>
      <c r="AE100" t="s">
        <v>94</v>
      </c>
      <c r="AF100" t="s">
        <v>226</v>
      </c>
      <c r="AG100" t="s">
        <v>226</v>
      </c>
      <c r="AH100">
        <v>-100</v>
      </c>
      <c r="AI100" t="s">
        <v>269</v>
      </c>
      <c r="AJ100" t="s">
        <v>270</v>
      </c>
      <c r="AK100" t="s">
        <v>271</v>
      </c>
      <c r="AL100" t="s">
        <v>272</v>
      </c>
    </row>
    <row r="101" spans="1:38">
      <c r="A101" t="s">
        <v>742</v>
      </c>
      <c r="B101" t="s">
        <v>743</v>
      </c>
      <c r="C101" t="s">
        <v>744</v>
      </c>
      <c r="D101" t="s">
        <v>745</v>
      </c>
      <c r="E101" t="s">
        <v>746</v>
      </c>
      <c r="F101" t="s">
        <v>268</v>
      </c>
      <c r="G101">
        <v>1</v>
      </c>
      <c r="H101">
        <v>1</v>
      </c>
      <c r="I101">
        <v>0.1</v>
      </c>
      <c r="J101">
        <v>10</v>
      </c>
      <c r="K101">
        <v>-2.88</v>
      </c>
      <c r="L101">
        <v>81</v>
      </c>
      <c r="M101">
        <v>84.9</v>
      </c>
      <c r="N101">
        <v>84.6</v>
      </c>
      <c r="O101">
        <v>80.900000000000006</v>
      </c>
      <c r="P101">
        <v>0</v>
      </c>
      <c r="Q101">
        <v>0</v>
      </c>
      <c r="R101">
        <v>0</v>
      </c>
      <c r="S101">
        <v>82.8</v>
      </c>
      <c r="T101">
        <v>83.4</v>
      </c>
      <c r="U101">
        <v>80.5</v>
      </c>
      <c r="V101">
        <v>85.2</v>
      </c>
      <c r="W101">
        <v>151157763</v>
      </c>
      <c r="X101">
        <v>80.900000000000006</v>
      </c>
      <c r="Y101">
        <v>81</v>
      </c>
      <c r="Z101">
        <v>8808</v>
      </c>
      <c r="AA101">
        <v>179768227</v>
      </c>
      <c r="AB101">
        <v>81</v>
      </c>
      <c r="AC101">
        <v>0</v>
      </c>
      <c r="AD101" t="s">
        <v>94</v>
      </c>
      <c r="AE101" t="s">
        <v>94</v>
      </c>
      <c r="AF101" t="s">
        <v>226</v>
      </c>
      <c r="AG101" t="s">
        <v>226</v>
      </c>
      <c r="AH101">
        <v>-100</v>
      </c>
      <c r="AI101" t="s">
        <v>269</v>
      </c>
      <c r="AJ101" t="s">
        <v>270</v>
      </c>
      <c r="AK101" t="s">
        <v>271</v>
      </c>
      <c r="AL101" t="s">
        <v>272</v>
      </c>
    </row>
    <row r="102" spans="1:38">
      <c r="A102" t="s">
        <v>747</v>
      </c>
      <c r="B102" t="s">
        <v>748</v>
      </c>
      <c r="C102" t="s">
        <v>749</v>
      </c>
      <c r="D102" t="s">
        <v>750</v>
      </c>
      <c r="E102" t="s">
        <v>751</v>
      </c>
      <c r="F102" t="s">
        <v>268</v>
      </c>
      <c r="G102">
        <v>3</v>
      </c>
      <c r="H102">
        <v>100</v>
      </c>
      <c r="I102">
        <v>5.0000000000000001E-4</v>
      </c>
      <c r="J102">
        <v>0.01</v>
      </c>
      <c r="K102">
        <v>-3.04</v>
      </c>
      <c r="L102">
        <v>2.0605000000000002</v>
      </c>
      <c r="M102">
        <v>2.0764999999999998</v>
      </c>
      <c r="N102">
        <v>2.0525000000000002</v>
      </c>
      <c r="O102">
        <v>2.0684999999999998</v>
      </c>
      <c r="P102">
        <v>0</v>
      </c>
      <c r="Q102">
        <v>0</v>
      </c>
      <c r="R102">
        <v>0</v>
      </c>
      <c r="S102">
        <v>2.1080000000000001</v>
      </c>
      <c r="T102">
        <v>2.1339999999999999</v>
      </c>
      <c r="U102">
        <v>2.0499999999999998</v>
      </c>
      <c r="V102">
        <v>2.145</v>
      </c>
      <c r="W102">
        <v>4563725</v>
      </c>
      <c r="X102">
        <v>2.0609999999999999</v>
      </c>
      <c r="Y102">
        <v>2.069</v>
      </c>
      <c r="Z102">
        <v>1389</v>
      </c>
      <c r="AA102">
        <v>1268545000</v>
      </c>
      <c r="AB102">
        <v>206.05</v>
      </c>
      <c r="AC102">
        <v>0</v>
      </c>
      <c r="AD102" t="s">
        <v>94</v>
      </c>
      <c r="AE102" t="s">
        <v>94</v>
      </c>
      <c r="AF102" t="s">
        <v>226</v>
      </c>
      <c r="AG102" t="s">
        <v>226</v>
      </c>
      <c r="AH102">
        <v>9</v>
      </c>
      <c r="AI102" t="s">
        <v>269</v>
      </c>
      <c r="AJ102" t="s">
        <v>270</v>
      </c>
      <c r="AK102" t="s">
        <v>271</v>
      </c>
      <c r="AL102" t="s">
        <v>272</v>
      </c>
    </row>
    <row r="103" spans="1:38">
      <c r="A103" t="s">
        <v>752</v>
      </c>
      <c r="B103" t="s">
        <v>753</v>
      </c>
      <c r="C103" t="s">
        <v>754</v>
      </c>
      <c r="D103" t="s">
        <v>755</v>
      </c>
      <c r="E103" t="s">
        <v>756</v>
      </c>
      <c r="F103" t="s">
        <v>438</v>
      </c>
      <c r="G103">
        <v>3</v>
      </c>
      <c r="H103">
        <v>1</v>
      </c>
      <c r="I103">
        <v>2</v>
      </c>
      <c r="J103">
        <v>40</v>
      </c>
      <c r="K103">
        <v>-0.51</v>
      </c>
      <c r="L103">
        <v>786</v>
      </c>
      <c r="M103">
        <v>790</v>
      </c>
      <c r="N103">
        <v>796</v>
      </c>
      <c r="O103">
        <v>786</v>
      </c>
      <c r="P103">
        <v>0</v>
      </c>
      <c r="Q103">
        <v>0</v>
      </c>
      <c r="R103">
        <v>0</v>
      </c>
      <c r="S103">
        <v>790</v>
      </c>
      <c r="T103">
        <v>796</v>
      </c>
      <c r="U103">
        <v>782</v>
      </c>
      <c r="V103">
        <v>796</v>
      </c>
      <c r="W103">
        <v>985692</v>
      </c>
      <c r="X103">
        <v>784</v>
      </c>
      <c r="Y103">
        <v>786</v>
      </c>
      <c r="Z103">
        <v>148</v>
      </c>
      <c r="AA103">
        <v>15514042</v>
      </c>
      <c r="AB103">
        <v>1572</v>
      </c>
      <c r="AC103">
        <v>0</v>
      </c>
      <c r="AD103" t="s">
        <v>94</v>
      </c>
      <c r="AE103" t="s">
        <v>94</v>
      </c>
      <c r="AF103" t="s">
        <v>226</v>
      </c>
      <c r="AG103" t="s">
        <v>226</v>
      </c>
      <c r="AH103">
        <v>9</v>
      </c>
      <c r="AI103" t="s">
        <v>269</v>
      </c>
      <c r="AJ103" t="s">
        <v>270</v>
      </c>
      <c r="AK103" t="s">
        <v>439</v>
      </c>
      <c r="AL103" t="s">
        <v>272</v>
      </c>
    </row>
    <row r="104" spans="1:38">
      <c r="A104" t="s">
        <v>757</v>
      </c>
      <c r="B104" t="s">
        <v>758</v>
      </c>
      <c r="C104" t="s">
        <v>759</v>
      </c>
      <c r="D104" t="s">
        <v>760</v>
      </c>
      <c r="E104" t="s">
        <v>761</v>
      </c>
      <c r="F104" t="s">
        <v>268</v>
      </c>
      <c r="G104">
        <v>3</v>
      </c>
      <c r="H104">
        <v>1</v>
      </c>
      <c r="I104">
        <v>5</v>
      </c>
      <c r="J104">
        <v>40</v>
      </c>
      <c r="K104">
        <v>-1.83</v>
      </c>
      <c r="L104">
        <v>1070</v>
      </c>
      <c r="M104">
        <v>1075</v>
      </c>
      <c r="N104">
        <v>1050</v>
      </c>
      <c r="O104">
        <v>1070</v>
      </c>
      <c r="P104">
        <v>0</v>
      </c>
      <c r="Q104">
        <v>0</v>
      </c>
      <c r="R104">
        <v>0</v>
      </c>
      <c r="S104">
        <v>1075</v>
      </c>
      <c r="T104">
        <v>1075</v>
      </c>
      <c r="U104">
        <v>1070</v>
      </c>
      <c r="V104">
        <v>1075</v>
      </c>
      <c r="W104">
        <v>19330</v>
      </c>
      <c r="X104">
        <v>1065</v>
      </c>
      <c r="Y104">
        <v>1070</v>
      </c>
      <c r="Z104">
        <v>5</v>
      </c>
      <c r="AA104">
        <v>79708751</v>
      </c>
      <c r="AB104">
        <v>1070</v>
      </c>
      <c r="AC104">
        <v>0</v>
      </c>
      <c r="AD104" t="s">
        <v>94</v>
      </c>
      <c r="AE104" t="s">
        <v>94</v>
      </c>
      <c r="AF104" t="s">
        <v>226</v>
      </c>
      <c r="AG104" t="s">
        <v>226</v>
      </c>
      <c r="AH104">
        <v>9</v>
      </c>
      <c r="AI104" t="s">
        <v>269</v>
      </c>
      <c r="AJ104" t="s">
        <v>270</v>
      </c>
      <c r="AK104" t="s">
        <v>271</v>
      </c>
      <c r="AL104" t="s">
        <v>272</v>
      </c>
    </row>
    <row r="105" spans="1:38">
      <c r="A105" t="s">
        <v>762</v>
      </c>
      <c r="B105" t="s">
        <v>763</v>
      </c>
      <c r="C105" t="s">
        <v>764</v>
      </c>
      <c r="D105" t="s">
        <v>765</v>
      </c>
      <c r="E105" t="s">
        <v>766</v>
      </c>
      <c r="F105" t="s">
        <v>268</v>
      </c>
      <c r="G105">
        <v>1</v>
      </c>
      <c r="H105">
        <v>100</v>
      </c>
      <c r="I105">
        <v>1E-3</v>
      </c>
      <c r="J105">
        <v>1</v>
      </c>
      <c r="K105">
        <v>-0.18</v>
      </c>
      <c r="L105">
        <v>7.6059999999999999</v>
      </c>
      <c r="M105">
        <v>7.6050000000000004</v>
      </c>
      <c r="N105">
        <v>7.585</v>
      </c>
      <c r="O105">
        <v>7.5860000000000003</v>
      </c>
      <c r="P105">
        <v>0</v>
      </c>
      <c r="Q105">
        <v>0</v>
      </c>
      <c r="R105">
        <v>0</v>
      </c>
      <c r="S105">
        <v>7.6680000000000001</v>
      </c>
      <c r="T105">
        <v>7.5570000000000004</v>
      </c>
      <c r="U105">
        <v>7.468</v>
      </c>
      <c r="V105">
        <v>7.7670000000000003</v>
      </c>
      <c r="W105">
        <v>106377820</v>
      </c>
      <c r="X105">
        <v>7.6079999999999997</v>
      </c>
      <c r="Y105">
        <v>7.6139999999999999</v>
      </c>
      <c r="Z105">
        <v>4631</v>
      </c>
      <c r="AA105">
        <v>33429709866</v>
      </c>
      <c r="AB105">
        <v>760.6</v>
      </c>
      <c r="AC105">
        <v>0</v>
      </c>
      <c r="AD105" t="s">
        <v>94</v>
      </c>
      <c r="AE105" t="s">
        <v>94</v>
      </c>
      <c r="AF105" t="s">
        <v>226</v>
      </c>
      <c r="AG105" t="s">
        <v>226</v>
      </c>
      <c r="AH105">
        <v>-100</v>
      </c>
      <c r="AI105" t="s">
        <v>269</v>
      </c>
      <c r="AJ105" t="s">
        <v>270</v>
      </c>
      <c r="AK105" t="s">
        <v>271</v>
      </c>
      <c r="AL105" t="s">
        <v>272</v>
      </c>
    </row>
    <row r="106" spans="1:38">
      <c r="A106" t="s">
        <v>767</v>
      </c>
      <c r="B106" t="s">
        <v>768</v>
      </c>
      <c r="C106" t="s">
        <v>769</v>
      </c>
      <c r="D106" t="s">
        <v>770</v>
      </c>
      <c r="E106" t="s">
        <v>771</v>
      </c>
      <c r="F106" t="s">
        <v>268</v>
      </c>
      <c r="G106">
        <v>1</v>
      </c>
      <c r="H106">
        <v>1</v>
      </c>
      <c r="I106">
        <v>0.2</v>
      </c>
      <c r="J106">
        <v>4.5059499999999998E-4</v>
      </c>
      <c r="K106">
        <v>-1.24</v>
      </c>
      <c r="L106">
        <v>255</v>
      </c>
      <c r="M106">
        <v>262.8</v>
      </c>
      <c r="N106">
        <v>267.39999999999998</v>
      </c>
      <c r="O106">
        <v>254.2</v>
      </c>
      <c r="P106">
        <v>0</v>
      </c>
      <c r="Q106">
        <v>0</v>
      </c>
      <c r="R106">
        <v>0</v>
      </c>
      <c r="S106">
        <v>257.2</v>
      </c>
      <c r="T106">
        <v>256.60000000000002</v>
      </c>
      <c r="U106">
        <v>251.6</v>
      </c>
      <c r="V106">
        <v>264</v>
      </c>
      <c r="W106">
        <v>1158165301</v>
      </c>
      <c r="X106">
        <v>255</v>
      </c>
      <c r="Y106">
        <v>255.2</v>
      </c>
      <c r="Z106">
        <v>25032</v>
      </c>
      <c r="AA106">
        <v>227874940</v>
      </c>
      <c r="AB106">
        <v>61965</v>
      </c>
      <c r="AC106">
        <v>0</v>
      </c>
      <c r="AD106" t="s">
        <v>94</v>
      </c>
      <c r="AE106" t="s">
        <v>94</v>
      </c>
      <c r="AF106" t="s">
        <v>226</v>
      </c>
      <c r="AG106" t="s">
        <v>226</v>
      </c>
      <c r="AH106">
        <v>-100</v>
      </c>
      <c r="AI106" t="s">
        <v>269</v>
      </c>
      <c r="AJ106" t="s">
        <v>270</v>
      </c>
      <c r="AK106" t="s">
        <v>271</v>
      </c>
      <c r="AL106" t="s">
        <v>272</v>
      </c>
    </row>
    <row r="107" spans="1:38">
      <c r="A107" t="s">
        <v>772</v>
      </c>
      <c r="B107" t="s">
        <v>773</v>
      </c>
      <c r="C107" t="s">
        <v>774</v>
      </c>
      <c r="D107" t="s">
        <v>775</v>
      </c>
      <c r="E107" t="s">
        <v>776</v>
      </c>
      <c r="F107" t="s">
        <v>268</v>
      </c>
      <c r="G107">
        <v>1</v>
      </c>
      <c r="H107">
        <v>1</v>
      </c>
      <c r="I107">
        <v>0.1</v>
      </c>
      <c r="J107">
        <v>3.7214039999999997E-2</v>
      </c>
      <c r="K107">
        <v>-1.56</v>
      </c>
      <c r="L107">
        <v>681.2</v>
      </c>
      <c r="M107">
        <v>692</v>
      </c>
      <c r="N107">
        <v>693.9</v>
      </c>
      <c r="O107">
        <v>681.5</v>
      </c>
      <c r="P107">
        <v>0</v>
      </c>
      <c r="Q107">
        <v>0</v>
      </c>
      <c r="R107">
        <v>0</v>
      </c>
      <c r="S107">
        <v>680.2</v>
      </c>
      <c r="T107">
        <v>689</v>
      </c>
      <c r="U107">
        <v>667.1</v>
      </c>
      <c r="V107">
        <v>699.8</v>
      </c>
      <c r="W107">
        <v>22815246</v>
      </c>
      <c r="X107">
        <v>681.9</v>
      </c>
      <c r="Y107">
        <v>682</v>
      </c>
      <c r="Z107">
        <v>1602</v>
      </c>
      <c r="AA107">
        <v>90000000</v>
      </c>
      <c r="AB107">
        <v>2043.6</v>
      </c>
      <c r="AC107">
        <v>0</v>
      </c>
      <c r="AD107" t="s">
        <v>94</v>
      </c>
      <c r="AE107" t="s">
        <v>94</v>
      </c>
      <c r="AF107" t="s">
        <v>226</v>
      </c>
      <c r="AG107" t="s">
        <v>226</v>
      </c>
      <c r="AH107">
        <v>-100</v>
      </c>
      <c r="AI107" t="s">
        <v>269</v>
      </c>
      <c r="AJ107" t="s">
        <v>270</v>
      </c>
      <c r="AK107" t="s">
        <v>271</v>
      </c>
      <c r="AL107" t="s">
        <v>272</v>
      </c>
    </row>
    <row r="108" spans="1:38">
      <c r="A108" t="s">
        <v>777</v>
      </c>
      <c r="B108" t="s">
        <v>778</v>
      </c>
      <c r="C108" t="s">
        <v>779</v>
      </c>
      <c r="D108" t="s">
        <v>780</v>
      </c>
      <c r="E108" t="s">
        <v>781</v>
      </c>
      <c r="F108" t="s">
        <v>268</v>
      </c>
      <c r="G108">
        <v>1</v>
      </c>
      <c r="H108">
        <v>10</v>
      </c>
      <c r="I108">
        <v>5.0000000000000001E-3</v>
      </c>
      <c r="J108">
        <v>1</v>
      </c>
      <c r="K108">
        <v>0.11</v>
      </c>
      <c r="L108">
        <v>31.94</v>
      </c>
      <c r="M108">
        <v>31.78</v>
      </c>
      <c r="N108">
        <v>32.375</v>
      </c>
      <c r="O108">
        <v>31.9</v>
      </c>
      <c r="P108">
        <v>0</v>
      </c>
      <c r="Q108">
        <v>0</v>
      </c>
      <c r="R108">
        <v>0</v>
      </c>
      <c r="S108">
        <v>32.159999999999997</v>
      </c>
      <c r="T108">
        <v>31.9</v>
      </c>
      <c r="U108">
        <v>31.664999999999999</v>
      </c>
      <c r="V108">
        <v>32.590000000000003</v>
      </c>
      <c r="W108">
        <v>687564808</v>
      </c>
      <c r="X108">
        <v>31.934999999999999</v>
      </c>
      <c r="Y108">
        <v>31.94</v>
      </c>
      <c r="Z108">
        <v>42099</v>
      </c>
      <c r="AA108">
        <v>11174330000</v>
      </c>
      <c r="AB108">
        <v>39286.199999999997</v>
      </c>
      <c r="AC108">
        <v>0</v>
      </c>
      <c r="AD108" t="s">
        <v>94</v>
      </c>
      <c r="AE108" t="s">
        <v>94</v>
      </c>
      <c r="AF108" t="s">
        <v>226</v>
      </c>
      <c r="AG108" t="s">
        <v>226</v>
      </c>
      <c r="AH108">
        <v>-100</v>
      </c>
      <c r="AI108" t="s">
        <v>269</v>
      </c>
      <c r="AJ108" t="s">
        <v>270</v>
      </c>
      <c r="AK108" t="s">
        <v>271</v>
      </c>
      <c r="AL108" t="s">
        <v>272</v>
      </c>
    </row>
    <row r="109" spans="1:38">
      <c r="A109" t="s">
        <v>782</v>
      </c>
      <c r="B109" t="s">
        <v>783</v>
      </c>
      <c r="C109" t="s">
        <v>784</v>
      </c>
      <c r="D109" t="s">
        <v>785</v>
      </c>
      <c r="E109" t="s">
        <v>786</v>
      </c>
      <c r="F109" t="s">
        <v>268</v>
      </c>
      <c r="G109">
        <v>1</v>
      </c>
      <c r="H109">
        <v>1</v>
      </c>
      <c r="I109">
        <v>0.5</v>
      </c>
      <c r="J109">
        <v>500</v>
      </c>
      <c r="K109">
        <v>-1.1299999999999999</v>
      </c>
      <c r="L109">
        <v>1180.5</v>
      </c>
      <c r="M109">
        <v>1194</v>
      </c>
      <c r="N109">
        <v>1201.5</v>
      </c>
      <c r="O109">
        <v>1179.5</v>
      </c>
      <c r="P109">
        <v>0</v>
      </c>
      <c r="Q109">
        <v>0</v>
      </c>
      <c r="R109">
        <v>0</v>
      </c>
      <c r="S109">
        <v>1188</v>
      </c>
      <c r="T109">
        <v>1182.5</v>
      </c>
      <c r="U109">
        <v>1176.5</v>
      </c>
      <c r="V109">
        <v>1209.5</v>
      </c>
      <c r="W109">
        <v>29739508</v>
      </c>
      <c r="X109">
        <v>1179</v>
      </c>
      <c r="Y109">
        <v>1180.5</v>
      </c>
      <c r="Z109">
        <v>1949</v>
      </c>
      <c r="AA109">
        <v>34629063</v>
      </c>
      <c r="AB109">
        <v>1180.5</v>
      </c>
      <c r="AC109">
        <v>0</v>
      </c>
      <c r="AD109" t="s">
        <v>94</v>
      </c>
      <c r="AE109" t="s">
        <v>94</v>
      </c>
      <c r="AF109" t="s">
        <v>226</v>
      </c>
      <c r="AG109" t="s">
        <v>226</v>
      </c>
      <c r="AH109">
        <v>-100</v>
      </c>
      <c r="AI109" t="s">
        <v>269</v>
      </c>
      <c r="AJ109" t="s">
        <v>270</v>
      </c>
      <c r="AK109" t="s">
        <v>271</v>
      </c>
      <c r="AL109" t="s">
        <v>272</v>
      </c>
    </row>
    <row r="110" spans="1:38">
      <c r="A110" t="s">
        <v>787</v>
      </c>
      <c r="B110" t="s">
        <v>788</v>
      </c>
      <c r="C110" t="s">
        <v>789</v>
      </c>
      <c r="D110" t="s">
        <v>790</v>
      </c>
      <c r="E110" t="s">
        <v>791</v>
      </c>
      <c r="F110" t="s">
        <v>268</v>
      </c>
      <c r="G110">
        <v>1</v>
      </c>
      <c r="H110">
        <v>10</v>
      </c>
      <c r="I110">
        <v>0.05</v>
      </c>
      <c r="J110">
        <v>0.1</v>
      </c>
      <c r="K110">
        <v>-0.47</v>
      </c>
      <c r="L110">
        <v>171.05</v>
      </c>
      <c r="M110">
        <v>172.5</v>
      </c>
      <c r="N110">
        <v>174.3</v>
      </c>
      <c r="O110">
        <v>170.75</v>
      </c>
      <c r="P110">
        <v>0</v>
      </c>
      <c r="Q110">
        <v>0</v>
      </c>
      <c r="R110">
        <v>0</v>
      </c>
      <c r="S110">
        <v>171.5</v>
      </c>
      <c r="T110">
        <v>171.85</v>
      </c>
      <c r="U110">
        <v>170.4</v>
      </c>
      <c r="V110">
        <v>172.9</v>
      </c>
      <c r="W110">
        <v>434340672</v>
      </c>
      <c r="X110">
        <v>171</v>
      </c>
      <c r="Y110">
        <v>171.05</v>
      </c>
      <c r="Z110">
        <v>9599</v>
      </c>
      <c r="AA110">
        <v>1998381575</v>
      </c>
      <c r="AB110">
        <v>1710.5</v>
      </c>
      <c r="AC110">
        <v>0</v>
      </c>
      <c r="AD110" t="s">
        <v>94</v>
      </c>
      <c r="AE110" t="s">
        <v>94</v>
      </c>
      <c r="AF110" t="s">
        <v>226</v>
      </c>
      <c r="AG110" t="s">
        <v>226</v>
      </c>
      <c r="AH110">
        <v>-100</v>
      </c>
      <c r="AI110" t="s">
        <v>269</v>
      </c>
      <c r="AJ110" t="s">
        <v>270</v>
      </c>
      <c r="AK110" t="s">
        <v>271</v>
      </c>
      <c r="AL110" t="s">
        <v>272</v>
      </c>
    </row>
    <row r="111" spans="1:38">
      <c r="A111" t="s">
        <v>792</v>
      </c>
      <c r="B111" t="s">
        <v>793</v>
      </c>
      <c r="C111" t="s">
        <v>794</v>
      </c>
      <c r="D111" t="s">
        <v>795</v>
      </c>
      <c r="E111" t="s">
        <v>796</v>
      </c>
      <c r="F111" t="s">
        <v>268</v>
      </c>
      <c r="G111">
        <v>3</v>
      </c>
      <c r="H111">
        <v>100</v>
      </c>
      <c r="I111">
        <v>0.01</v>
      </c>
      <c r="J111">
        <v>1</v>
      </c>
      <c r="K111">
        <v>1.39</v>
      </c>
      <c r="L111">
        <v>2.92</v>
      </c>
      <c r="M111">
        <v>2.89</v>
      </c>
      <c r="N111">
        <v>2.96</v>
      </c>
      <c r="O111">
        <v>2.92</v>
      </c>
      <c r="P111">
        <v>0</v>
      </c>
      <c r="Q111">
        <v>0</v>
      </c>
      <c r="R111">
        <v>0</v>
      </c>
      <c r="S111">
        <v>2.95</v>
      </c>
      <c r="T111">
        <v>2.95</v>
      </c>
      <c r="U111">
        <v>2.87</v>
      </c>
      <c r="V111">
        <v>2.99</v>
      </c>
      <c r="W111">
        <v>198891</v>
      </c>
      <c r="X111">
        <v>2.92</v>
      </c>
      <c r="Y111">
        <v>2.95</v>
      </c>
      <c r="Z111">
        <v>82</v>
      </c>
      <c r="AA111">
        <v>463838268</v>
      </c>
      <c r="AB111">
        <v>584</v>
      </c>
      <c r="AC111">
        <v>0</v>
      </c>
      <c r="AD111" t="s">
        <v>94</v>
      </c>
      <c r="AE111" t="s">
        <v>94</v>
      </c>
      <c r="AF111" t="s">
        <v>226</v>
      </c>
      <c r="AG111" t="s">
        <v>226</v>
      </c>
      <c r="AH111">
        <v>9</v>
      </c>
      <c r="AI111" t="s">
        <v>269</v>
      </c>
      <c r="AJ111" t="s">
        <v>270</v>
      </c>
      <c r="AK111" t="s">
        <v>271</v>
      </c>
      <c r="AL111" t="s">
        <v>272</v>
      </c>
    </row>
    <row r="112" spans="1:38">
      <c r="A112" t="s">
        <v>797</v>
      </c>
      <c r="B112" t="s">
        <v>798</v>
      </c>
      <c r="C112" t="s">
        <v>799</v>
      </c>
      <c r="D112" t="s">
        <v>800</v>
      </c>
      <c r="E112" t="s">
        <v>801</v>
      </c>
      <c r="F112" t="s">
        <v>438</v>
      </c>
      <c r="G112">
        <v>3</v>
      </c>
      <c r="H112">
        <v>100</v>
      </c>
      <c r="I112">
        <v>0.01</v>
      </c>
      <c r="J112">
        <v>1</v>
      </c>
      <c r="K112">
        <v>0.96</v>
      </c>
      <c r="L112">
        <v>2.11</v>
      </c>
      <c r="M112">
        <v>2.09</v>
      </c>
      <c r="N112">
        <v>2.1800000000000002</v>
      </c>
      <c r="O112">
        <v>2.11</v>
      </c>
      <c r="P112">
        <v>0</v>
      </c>
      <c r="Q112">
        <v>0</v>
      </c>
      <c r="R112">
        <v>0</v>
      </c>
      <c r="S112">
        <v>2.12</v>
      </c>
      <c r="T112">
        <v>2.09</v>
      </c>
      <c r="U112">
        <v>2.09</v>
      </c>
      <c r="V112">
        <v>2.15</v>
      </c>
      <c r="W112">
        <v>82070</v>
      </c>
      <c r="X112">
        <v>2.09</v>
      </c>
      <c r="Y112">
        <v>2.11</v>
      </c>
      <c r="Z112">
        <v>59</v>
      </c>
      <c r="AA112">
        <v>145673254</v>
      </c>
      <c r="AB112">
        <v>211</v>
      </c>
      <c r="AC112">
        <v>0</v>
      </c>
      <c r="AD112" t="s">
        <v>94</v>
      </c>
      <c r="AE112" t="s">
        <v>94</v>
      </c>
      <c r="AF112" t="s">
        <v>226</v>
      </c>
      <c r="AG112" t="s">
        <v>226</v>
      </c>
      <c r="AH112">
        <v>9</v>
      </c>
      <c r="AI112" t="s">
        <v>269</v>
      </c>
      <c r="AJ112" t="s">
        <v>270</v>
      </c>
      <c r="AK112" t="s">
        <v>439</v>
      </c>
      <c r="AL112" t="s">
        <v>272</v>
      </c>
    </row>
    <row r="113" spans="1:38">
      <c r="A113" t="s">
        <v>802</v>
      </c>
      <c r="B113" t="s">
        <v>803</v>
      </c>
      <c r="C113" t="s">
        <v>804</v>
      </c>
      <c r="D113" t="s">
        <v>805</v>
      </c>
      <c r="E113" t="s">
        <v>806</v>
      </c>
      <c r="F113" t="s">
        <v>268</v>
      </c>
      <c r="G113">
        <v>3</v>
      </c>
      <c r="H113">
        <v>1</v>
      </c>
      <c r="I113">
        <v>0.5</v>
      </c>
      <c r="J113">
        <v>0.01</v>
      </c>
      <c r="K113">
        <v>-0.9</v>
      </c>
      <c r="L113">
        <v>4518.5</v>
      </c>
      <c r="M113">
        <v>4567</v>
      </c>
      <c r="N113">
        <v>4588.5</v>
      </c>
      <c r="O113">
        <v>4511.5</v>
      </c>
      <c r="P113">
        <v>0</v>
      </c>
      <c r="Q113">
        <v>0</v>
      </c>
      <c r="R113">
        <v>0</v>
      </c>
      <c r="S113">
        <v>4553.5</v>
      </c>
      <c r="T113">
        <v>4560</v>
      </c>
      <c r="U113">
        <v>4500.5</v>
      </c>
      <c r="V113">
        <v>4590</v>
      </c>
      <c r="W113">
        <v>1257190662</v>
      </c>
      <c r="X113">
        <v>4516.5</v>
      </c>
      <c r="Y113">
        <v>4518.5</v>
      </c>
      <c r="Z113">
        <v>17212</v>
      </c>
      <c r="AA113">
        <v>101911355</v>
      </c>
      <c r="AB113">
        <v>9037</v>
      </c>
      <c r="AC113">
        <v>0</v>
      </c>
      <c r="AD113" t="s">
        <v>94</v>
      </c>
      <c r="AE113" t="s">
        <v>94</v>
      </c>
      <c r="AF113" t="s">
        <v>226</v>
      </c>
      <c r="AG113" t="s">
        <v>226</v>
      </c>
      <c r="AH113">
        <v>9</v>
      </c>
      <c r="AI113" t="s">
        <v>269</v>
      </c>
      <c r="AJ113" t="s">
        <v>270</v>
      </c>
      <c r="AK113" t="s">
        <v>271</v>
      </c>
      <c r="AL113" t="s">
        <v>272</v>
      </c>
    </row>
    <row r="114" spans="1:38">
      <c r="A114" t="s">
        <v>807</v>
      </c>
      <c r="B114" t="s">
        <v>808</v>
      </c>
      <c r="C114" t="s">
        <v>809</v>
      </c>
      <c r="D114" t="s">
        <v>810</v>
      </c>
      <c r="E114" t="s">
        <v>811</v>
      </c>
      <c r="F114" t="s">
        <v>268</v>
      </c>
      <c r="G114">
        <v>3</v>
      </c>
      <c r="H114">
        <v>10</v>
      </c>
      <c r="I114">
        <v>0.5</v>
      </c>
      <c r="J114">
        <v>25</v>
      </c>
      <c r="K114">
        <v>-0.89</v>
      </c>
      <c r="L114">
        <v>335</v>
      </c>
      <c r="M114">
        <v>338</v>
      </c>
      <c r="N114">
        <v>345</v>
      </c>
      <c r="O114">
        <v>335.5</v>
      </c>
      <c r="P114">
        <v>0</v>
      </c>
      <c r="Q114">
        <v>0</v>
      </c>
      <c r="R114">
        <v>0</v>
      </c>
      <c r="S114">
        <v>336.5</v>
      </c>
      <c r="T114">
        <v>338</v>
      </c>
      <c r="U114">
        <v>335</v>
      </c>
      <c r="V114">
        <v>338.5</v>
      </c>
      <c r="W114">
        <v>67295</v>
      </c>
      <c r="X114">
        <v>334</v>
      </c>
      <c r="Y114">
        <v>337</v>
      </c>
      <c r="Z114">
        <v>13</v>
      </c>
      <c r="AA114">
        <v>99474705</v>
      </c>
      <c r="AB114">
        <v>6700</v>
      </c>
      <c r="AC114">
        <v>0</v>
      </c>
      <c r="AD114" t="s">
        <v>94</v>
      </c>
      <c r="AE114" t="s">
        <v>94</v>
      </c>
      <c r="AF114" t="s">
        <v>226</v>
      </c>
      <c r="AG114" t="s">
        <v>226</v>
      </c>
      <c r="AH114">
        <v>9</v>
      </c>
      <c r="AI114" t="s">
        <v>269</v>
      </c>
      <c r="AJ114" t="s">
        <v>270</v>
      </c>
      <c r="AK114" t="s">
        <v>271</v>
      </c>
      <c r="AL114" t="s">
        <v>272</v>
      </c>
    </row>
    <row r="115" spans="1:38">
      <c r="A115" t="s">
        <v>812</v>
      </c>
      <c r="B115" t="s">
        <v>813</v>
      </c>
      <c r="C115" t="s">
        <v>814</v>
      </c>
      <c r="D115" t="s">
        <v>815</v>
      </c>
      <c r="E115" t="s">
        <v>816</v>
      </c>
      <c r="F115" t="s">
        <v>438</v>
      </c>
      <c r="G115">
        <v>3</v>
      </c>
      <c r="H115">
        <v>10</v>
      </c>
      <c r="I115">
        <v>0.5</v>
      </c>
      <c r="J115">
        <v>25</v>
      </c>
      <c r="K115">
        <v>-2.11</v>
      </c>
      <c r="L115">
        <v>231.5</v>
      </c>
      <c r="M115">
        <v>234.5</v>
      </c>
      <c r="N115">
        <v>233.5</v>
      </c>
      <c r="O115">
        <v>231.5</v>
      </c>
      <c r="P115">
        <v>0</v>
      </c>
      <c r="Q115">
        <v>0</v>
      </c>
      <c r="R115">
        <v>0</v>
      </c>
      <c r="S115">
        <v>231.5</v>
      </c>
      <c r="T115">
        <v>231.5</v>
      </c>
      <c r="U115">
        <v>231.5</v>
      </c>
      <c r="V115">
        <v>231.5</v>
      </c>
      <c r="W115">
        <v>2315</v>
      </c>
      <c r="X115">
        <v>232</v>
      </c>
      <c r="Y115">
        <v>234</v>
      </c>
      <c r="Z115">
        <v>1</v>
      </c>
      <c r="AA115">
        <v>33056875</v>
      </c>
      <c r="AB115">
        <v>2315</v>
      </c>
      <c r="AC115">
        <v>0</v>
      </c>
      <c r="AD115" t="s">
        <v>94</v>
      </c>
      <c r="AE115" t="s">
        <v>94</v>
      </c>
      <c r="AF115" t="s">
        <v>226</v>
      </c>
      <c r="AG115" t="s">
        <v>226</v>
      </c>
      <c r="AH115">
        <v>9</v>
      </c>
      <c r="AI115" t="s">
        <v>269</v>
      </c>
      <c r="AJ115" t="s">
        <v>270</v>
      </c>
      <c r="AK115" t="s">
        <v>439</v>
      </c>
      <c r="AL115" t="s">
        <v>272</v>
      </c>
    </row>
    <row r="116" spans="1:38">
      <c r="A116" t="s">
        <v>817</v>
      </c>
      <c r="B116" t="s">
        <v>818</v>
      </c>
      <c r="C116" t="s">
        <v>819</v>
      </c>
      <c r="D116" t="s">
        <v>820</v>
      </c>
      <c r="E116" t="s">
        <v>821</v>
      </c>
      <c r="F116" t="s">
        <v>268</v>
      </c>
      <c r="G116">
        <v>1</v>
      </c>
      <c r="H116">
        <v>1</v>
      </c>
      <c r="I116">
        <v>0.01</v>
      </c>
      <c r="J116">
        <v>10</v>
      </c>
      <c r="K116">
        <v>-0.61</v>
      </c>
      <c r="L116">
        <v>79.38</v>
      </c>
      <c r="M116">
        <v>80.12</v>
      </c>
      <c r="N116">
        <v>81.86</v>
      </c>
      <c r="O116">
        <v>79.19</v>
      </c>
      <c r="P116">
        <v>0</v>
      </c>
      <c r="Q116">
        <v>0</v>
      </c>
      <c r="R116">
        <v>0</v>
      </c>
      <c r="S116">
        <v>80.66</v>
      </c>
      <c r="T116">
        <v>79.58</v>
      </c>
      <c r="U116">
        <v>78.81</v>
      </c>
      <c r="V116">
        <v>82.46</v>
      </c>
      <c r="W116">
        <v>2654321018</v>
      </c>
      <c r="X116">
        <v>79.36</v>
      </c>
      <c r="Y116">
        <v>79.38</v>
      </c>
      <c r="Z116">
        <v>71663</v>
      </c>
      <c r="AA116">
        <v>416270745</v>
      </c>
      <c r="AB116">
        <v>1825.74</v>
      </c>
      <c r="AC116">
        <v>0</v>
      </c>
      <c r="AD116" t="s">
        <v>94</v>
      </c>
      <c r="AE116" t="s">
        <v>94</v>
      </c>
      <c r="AF116" t="s">
        <v>226</v>
      </c>
      <c r="AG116" t="s">
        <v>226</v>
      </c>
      <c r="AH116">
        <v>-100</v>
      </c>
      <c r="AI116" t="s">
        <v>269</v>
      </c>
      <c r="AJ116" t="s">
        <v>270</v>
      </c>
      <c r="AK116" t="s">
        <v>271</v>
      </c>
      <c r="AL116" t="s">
        <v>272</v>
      </c>
    </row>
    <row r="117" spans="1:38">
      <c r="A117" t="s">
        <v>822</v>
      </c>
      <c r="B117" t="s">
        <v>823</v>
      </c>
      <c r="C117" t="s">
        <v>824</v>
      </c>
      <c r="D117" t="s">
        <v>825</v>
      </c>
      <c r="E117" t="s">
        <v>826</v>
      </c>
      <c r="F117" t="s">
        <v>438</v>
      </c>
      <c r="G117">
        <v>1</v>
      </c>
      <c r="H117">
        <v>10</v>
      </c>
      <c r="I117">
        <v>0.05</v>
      </c>
      <c r="J117">
        <v>10</v>
      </c>
      <c r="K117">
        <v>-0.86</v>
      </c>
      <c r="L117">
        <v>80.95</v>
      </c>
      <c r="M117">
        <v>82.05</v>
      </c>
      <c r="N117">
        <v>83.55</v>
      </c>
      <c r="O117">
        <v>80.849999999999994</v>
      </c>
      <c r="P117">
        <v>0</v>
      </c>
      <c r="Q117">
        <v>0</v>
      </c>
      <c r="R117">
        <v>0</v>
      </c>
      <c r="S117">
        <v>82.05</v>
      </c>
      <c r="T117">
        <v>81.599999999999994</v>
      </c>
      <c r="U117">
        <v>80.349999999999994</v>
      </c>
      <c r="V117">
        <v>83.9</v>
      </c>
      <c r="W117">
        <v>266997563</v>
      </c>
      <c r="X117">
        <v>80.900000000000006</v>
      </c>
      <c r="Y117">
        <v>80.95</v>
      </c>
      <c r="Z117">
        <v>7437</v>
      </c>
      <c r="AA117">
        <v>138756915</v>
      </c>
      <c r="AB117">
        <v>3238</v>
      </c>
      <c r="AC117">
        <v>0</v>
      </c>
      <c r="AD117" t="s">
        <v>94</v>
      </c>
      <c r="AE117" t="s">
        <v>94</v>
      </c>
      <c r="AF117" t="s">
        <v>226</v>
      </c>
      <c r="AG117" t="s">
        <v>226</v>
      </c>
      <c r="AH117">
        <v>-100</v>
      </c>
      <c r="AI117" t="s">
        <v>269</v>
      </c>
      <c r="AJ117" t="s">
        <v>270</v>
      </c>
      <c r="AK117" t="s">
        <v>439</v>
      </c>
      <c r="AL117" t="s">
        <v>272</v>
      </c>
    </row>
    <row r="118" spans="1:38">
      <c r="A118" t="s">
        <v>827</v>
      </c>
      <c r="B118" t="s">
        <v>828</v>
      </c>
      <c r="C118" t="s">
        <v>829</v>
      </c>
      <c r="D118" t="s">
        <v>830</v>
      </c>
      <c r="E118" t="s">
        <v>831</v>
      </c>
      <c r="F118" t="s">
        <v>268</v>
      </c>
      <c r="G118">
        <v>3</v>
      </c>
      <c r="H118">
        <v>10000</v>
      </c>
      <c r="I118">
        <v>2E-3</v>
      </c>
      <c r="J118">
        <v>1.3599999999999999E-2</v>
      </c>
      <c r="K118">
        <v>1.65</v>
      </c>
      <c r="L118">
        <v>0.86399999999999999</v>
      </c>
      <c r="M118">
        <v>0.85</v>
      </c>
      <c r="N118">
        <v>0.86399999999999999</v>
      </c>
      <c r="O118">
        <v>0.86399999999999999</v>
      </c>
      <c r="P118">
        <v>0</v>
      </c>
      <c r="Q118">
        <v>0</v>
      </c>
      <c r="R118">
        <v>0</v>
      </c>
      <c r="S118">
        <v>0.85199999999999998</v>
      </c>
      <c r="T118">
        <v>0.86399999999999999</v>
      </c>
      <c r="U118">
        <v>0.80800000000000005</v>
      </c>
      <c r="V118">
        <v>0.86399999999999999</v>
      </c>
      <c r="W118">
        <v>3609480</v>
      </c>
      <c r="X118">
        <v>0.85799999999999998</v>
      </c>
      <c r="Y118">
        <v>0.86599999999999999</v>
      </c>
      <c r="Z118">
        <v>169</v>
      </c>
      <c r="AA118">
        <v>1345037710</v>
      </c>
      <c r="AB118">
        <v>25920</v>
      </c>
      <c r="AC118">
        <v>0</v>
      </c>
      <c r="AD118" t="s">
        <v>94</v>
      </c>
      <c r="AE118" t="s">
        <v>94</v>
      </c>
      <c r="AF118" t="s">
        <v>226</v>
      </c>
      <c r="AG118" t="s">
        <v>226</v>
      </c>
      <c r="AH118">
        <v>9</v>
      </c>
      <c r="AI118" t="s">
        <v>269</v>
      </c>
      <c r="AJ118" t="s">
        <v>270</v>
      </c>
      <c r="AK118" t="s">
        <v>271</v>
      </c>
      <c r="AL118" t="s">
        <v>272</v>
      </c>
    </row>
    <row r="119" spans="1:38">
      <c r="A119" t="s">
        <v>832</v>
      </c>
      <c r="B119" t="s">
        <v>833</v>
      </c>
      <c r="C119" t="s">
        <v>834</v>
      </c>
      <c r="D119" t="s">
        <v>120</v>
      </c>
      <c r="E119" t="s">
        <v>121</v>
      </c>
      <c r="F119" t="s">
        <v>268</v>
      </c>
      <c r="G119">
        <v>1</v>
      </c>
      <c r="H119">
        <v>10</v>
      </c>
      <c r="I119">
        <v>0.01</v>
      </c>
      <c r="J119">
        <v>1</v>
      </c>
      <c r="K119">
        <v>-0.09</v>
      </c>
      <c r="L119">
        <v>183.56</v>
      </c>
      <c r="M119">
        <v>184.05</v>
      </c>
      <c r="N119">
        <v>186.48</v>
      </c>
      <c r="O119">
        <v>183.13</v>
      </c>
      <c r="P119">
        <v>0</v>
      </c>
      <c r="Q119">
        <v>0</v>
      </c>
      <c r="R119">
        <v>0</v>
      </c>
      <c r="S119">
        <v>185</v>
      </c>
      <c r="T119">
        <v>183.04</v>
      </c>
      <c r="U119">
        <v>182.25</v>
      </c>
      <c r="V119">
        <v>187.69</v>
      </c>
      <c r="W119">
        <v>1371575774</v>
      </c>
      <c r="X119">
        <v>183.49</v>
      </c>
      <c r="Y119">
        <v>183.56</v>
      </c>
      <c r="Z119">
        <v>27752</v>
      </c>
      <c r="AA119">
        <v>2276401458</v>
      </c>
      <c r="AB119">
        <v>45890</v>
      </c>
      <c r="AC119">
        <v>0</v>
      </c>
      <c r="AD119" t="s">
        <v>94</v>
      </c>
      <c r="AE119" t="s">
        <v>94</v>
      </c>
      <c r="AF119" t="s">
        <v>226</v>
      </c>
      <c r="AG119" t="s">
        <v>226</v>
      </c>
      <c r="AH119">
        <v>-100</v>
      </c>
      <c r="AI119" t="s">
        <v>269</v>
      </c>
      <c r="AJ119" t="s">
        <v>270</v>
      </c>
      <c r="AK119" t="s">
        <v>271</v>
      </c>
      <c r="AL119" t="s">
        <v>272</v>
      </c>
    </row>
    <row r="120" spans="1:38">
      <c r="A120" t="s">
        <v>835</v>
      </c>
      <c r="B120" t="s">
        <v>836</v>
      </c>
      <c r="C120" t="s">
        <v>837</v>
      </c>
      <c r="D120" t="s">
        <v>838</v>
      </c>
      <c r="E120" t="s">
        <v>839</v>
      </c>
      <c r="F120" t="s">
        <v>268</v>
      </c>
      <c r="G120">
        <v>3</v>
      </c>
      <c r="H120">
        <v>10</v>
      </c>
      <c r="I120">
        <v>0.05</v>
      </c>
      <c r="J120">
        <v>0.14000000000000001</v>
      </c>
      <c r="K120">
        <v>-0.86</v>
      </c>
      <c r="L120">
        <v>127.05</v>
      </c>
      <c r="M120">
        <v>128.15</v>
      </c>
      <c r="N120">
        <v>131.69999999999999</v>
      </c>
      <c r="O120">
        <v>127.5</v>
      </c>
      <c r="P120">
        <v>0</v>
      </c>
      <c r="Q120">
        <v>0</v>
      </c>
      <c r="R120">
        <v>0</v>
      </c>
      <c r="S120">
        <v>128.35</v>
      </c>
      <c r="T120">
        <v>128.6</v>
      </c>
      <c r="U120">
        <v>125.5</v>
      </c>
      <c r="V120">
        <v>131.6</v>
      </c>
      <c r="W120">
        <v>11087765</v>
      </c>
      <c r="X120">
        <v>127.2</v>
      </c>
      <c r="Y120">
        <v>128.1</v>
      </c>
      <c r="Z120">
        <v>735</v>
      </c>
      <c r="AA120">
        <v>282215500</v>
      </c>
      <c r="AB120">
        <v>27951</v>
      </c>
      <c r="AC120">
        <v>0</v>
      </c>
      <c r="AD120" t="s">
        <v>94</v>
      </c>
      <c r="AE120" t="s">
        <v>94</v>
      </c>
      <c r="AF120" t="s">
        <v>226</v>
      </c>
      <c r="AG120" t="s">
        <v>226</v>
      </c>
      <c r="AH120">
        <v>9</v>
      </c>
      <c r="AI120" t="s">
        <v>269</v>
      </c>
      <c r="AJ120" t="s">
        <v>270</v>
      </c>
      <c r="AK120" t="s">
        <v>271</v>
      </c>
      <c r="AL120" t="s">
        <v>272</v>
      </c>
    </row>
    <row r="121" spans="1:38">
      <c r="A121" t="s">
        <v>840</v>
      </c>
      <c r="B121" t="s">
        <v>841</v>
      </c>
      <c r="C121" t="s">
        <v>842</v>
      </c>
      <c r="D121" t="s">
        <v>843</v>
      </c>
      <c r="E121" t="s">
        <v>844</v>
      </c>
      <c r="F121" t="s">
        <v>268</v>
      </c>
      <c r="G121">
        <v>3</v>
      </c>
      <c r="H121">
        <v>10</v>
      </c>
      <c r="I121">
        <v>0.5</v>
      </c>
      <c r="J121">
        <v>1</v>
      </c>
      <c r="K121">
        <v>1.1299999999999999</v>
      </c>
      <c r="L121">
        <v>268</v>
      </c>
      <c r="M121">
        <v>265</v>
      </c>
      <c r="N121">
        <v>266.5</v>
      </c>
      <c r="O121">
        <v>268</v>
      </c>
      <c r="P121">
        <v>0</v>
      </c>
      <c r="Q121">
        <v>0</v>
      </c>
      <c r="R121">
        <v>0</v>
      </c>
      <c r="S121">
        <v>267</v>
      </c>
      <c r="T121">
        <v>262.5</v>
      </c>
      <c r="U121">
        <v>260</v>
      </c>
      <c r="V121">
        <v>270</v>
      </c>
      <c r="W121">
        <v>648325</v>
      </c>
      <c r="X121">
        <v>268.5</v>
      </c>
      <c r="Y121">
        <v>270.5</v>
      </c>
      <c r="Z121">
        <v>54</v>
      </c>
      <c r="AA121">
        <v>8038896</v>
      </c>
      <c r="AB121">
        <v>2680</v>
      </c>
      <c r="AC121">
        <v>0</v>
      </c>
      <c r="AD121" t="s">
        <v>94</v>
      </c>
      <c r="AE121" t="s">
        <v>94</v>
      </c>
      <c r="AF121" t="s">
        <v>226</v>
      </c>
      <c r="AG121" t="s">
        <v>226</v>
      </c>
      <c r="AH121">
        <v>9</v>
      </c>
      <c r="AI121" t="s">
        <v>269</v>
      </c>
      <c r="AJ121" t="s">
        <v>270</v>
      </c>
      <c r="AK121" t="s">
        <v>271</v>
      </c>
      <c r="AL121" t="s">
        <v>272</v>
      </c>
    </row>
    <row r="122" spans="1:38">
      <c r="A122" t="s">
        <v>845</v>
      </c>
      <c r="B122" t="s">
        <v>846</v>
      </c>
      <c r="C122" t="s">
        <v>847</v>
      </c>
      <c r="D122" t="s">
        <v>848</v>
      </c>
      <c r="E122" t="s">
        <v>849</v>
      </c>
      <c r="F122" t="s">
        <v>268</v>
      </c>
      <c r="G122">
        <v>3</v>
      </c>
      <c r="H122">
        <v>10</v>
      </c>
      <c r="I122">
        <v>0.05</v>
      </c>
      <c r="J122">
        <v>1</v>
      </c>
      <c r="K122">
        <v>0.62</v>
      </c>
      <c r="L122">
        <v>81.599999999999994</v>
      </c>
      <c r="M122">
        <v>81.099999999999994</v>
      </c>
      <c r="N122">
        <v>81.150000000000006</v>
      </c>
      <c r="O122">
        <v>81.7</v>
      </c>
      <c r="P122">
        <v>0</v>
      </c>
      <c r="Q122">
        <v>0</v>
      </c>
      <c r="R122">
        <v>0</v>
      </c>
      <c r="S122">
        <v>81.8</v>
      </c>
      <c r="T122">
        <v>81.75</v>
      </c>
      <c r="U122">
        <v>80.45</v>
      </c>
      <c r="V122">
        <v>82.45</v>
      </c>
      <c r="W122">
        <v>4142205</v>
      </c>
      <c r="X122">
        <v>81.599999999999994</v>
      </c>
      <c r="Y122">
        <v>81.849999999999994</v>
      </c>
      <c r="Z122">
        <v>252</v>
      </c>
      <c r="AA122">
        <v>1611256000</v>
      </c>
      <c r="AB122">
        <v>816</v>
      </c>
      <c r="AC122">
        <v>0</v>
      </c>
      <c r="AD122" t="s">
        <v>94</v>
      </c>
      <c r="AE122" t="s">
        <v>94</v>
      </c>
      <c r="AF122" t="s">
        <v>226</v>
      </c>
      <c r="AG122" t="s">
        <v>226</v>
      </c>
      <c r="AH122">
        <v>9</v>
      </c>
      <c r="AI122" t="s">
        <v>269</v>
      </c>
      <c r="AJ122" t="s">
        <v>270</v>
      </c>
      <c r="AK122" t="s">
        <v>271</v>
      </c>
      <c r="AL122" t="s">
        <v>272</v>
      </c>
    </row>
    <row r="123" spans="1:38">
      <c r="A123" t="s">
        <v>850</v>
      </c>
      <c r="B123" t="s">
        <v>851</v>
      </c>
      <c r="C123" t="s">
        <v>852</v>
      </c>
      <c r="D123" t="s">
        <v>853</v>
      </c>
      <c r="E123" t="s">
        <v>854</v>
      </c>
      <c r="F123" t="s">
        <v>438</v>
      </c>
      <c r="G123">
        <v>3</v>
      </c>
      <c r="H123">
        <v>10</v>
      </c>
      <c r="I123">
        <v>0.02</v>
      </c>
      <c r="J123">
        <v>1</v>
      </c>
      <c r="K123">
        <v>-1.24</v>
      </c>
      <c r="L123">
        <v>66.900000000000006</v>
      </c>
      <c r="M123">
        <v>67.739999999999995</v>
      </c>
      <c r="N123">
        <v>68.459999999999994</v>
      </c>
      <c r="O123">
        <v>66.92</v>
      </c>
      <c r="P123">
        <v>0</v>
      </c>
      <c r="Q123">
        <v>0</v>
      </c>
      <c r="R123">
        <v>0</v>
      </c>
      <c r="S123">
        <v>67</v>
      </c>
      <c r="T123">
        <v>66.8</v>
      </c>
      <c r="U123">
        <v>66.66</v>
      </c>
      <c r="V123">
        <v>67.86</v>
      </c>
      <c r="W123">
        <v>6582936</v>
      </c>
      <c r="X123">
        <v>66.900000000000006</v>
      </c>
      <c r="Y123">
        <v>67.14</v>
      </c>
      <c r="Z123">
        <v>438</v>
      </c>
      <c r="AA123">
        <v>218983750</v>
      </c>
      <c r="AB123">
        <v>4014</v>
      </c>
      <c r="AC123">
        <v>0</v>
      </c>
      <c r="AD123" t="s">
        <v>94</v>
      </c>
      <c r="AE123" t="s">
        <v>94</v>
      </c>
      <c r="AF123" t="s">
        <v>226</v>
      </c>
      <c r="AG123" t="s">
        <v>226</v>
      </c>
      <c r="AH123">
        <v>9</v>
      </c>
      <c r="AI123" t="s">
        <v>269</v>
      </c>
      <c r="AJ123" t="s">
        <v>270</v>
      </c>
      <c r="AK123" t="s">
        <v>439</v>
      </c>
      <c r="AL123" t="s">
        <v>272</v>
      </c>
    </row>
    <row r="124" spans="1:38">
      <c r="A124" t="s">
        <v>855</v>
      </c>
      <c r="B124" t="s">
        <v>856</v>
      </c>
      <c r="C124" t="s">
        <v>857</v>
      </c>
      <c r="D124" t="s">
        <v>858</v>
      </c>
      <c r="E124" t="s">
        <v>859</v>
      </c>
      <c r="F124" t="s">
        <v>268</v>
      </c>
      <c r="G124">
        <v>3</v>
      </c>
      <c r="H124">
        <v>10</v>
      </c>
      <c r="I124">
        <v>0.5</v>
      </c>
      <c r="J124">
        <v>1</v>
      </c>
      <c r="K124">
        <v>1.6</v>
      </c>
      <c r="L124">
        <v>602</v>
      </c>
      <c r="M124">
        <v>592.5</v>
      </c>
      <c r="N124">
        <v>600.5</v>
      </c>
      <c r="O124">
        <v>602.5</v>
      </c>
      <c r="P124">
        <v>0</v>
      </c>
      <c r="Q124">
        <v>0</v>
      </c>
      <c r="R124">
        <v>0</v>
      </c>
      <c r="S124">
        <v>609</v>
      </c>
      <c r="T124">
        <v>605</v>
      </c>
      <c r="U124">
        <v>595</v>
      </c>
      <c r="V124">
        <v>621</v>
      </c>
      <c r="W124">
        <v>7168100</v>
      </c>
      <c r="X124">
        <v>603</v>
      </c>
      <c r="Y124">
        <v>604</v>
      </c>
      <c r="Z124">
        <v>326</v>
      </c>
      <c r="AA124">
        <v>67597000</v>
      </c>
      <c r="AB124">
        <v>78260</v>
      </c>
      <c r="AC124">
        <v>0</v>
      </c>
      <c r="AD124" t="s">
        <v>94</v>
      </c>
      <c r="AE124" t="s">
        <v>94</v>
      </c>
      <c r="AF124" t="s">
        <v>226</v>
      </c>
      <c r="AG124" t="s">
        <v>226</v>
      </c>
      <c r="AH124">
        <v>9</v>
      </c>
      <c r="AI124" t="s">
        <v>269</v>
      </c>
      <c r="AJ124" t="s">
        <v>270</v>
      </c>
      <c r="AK124" t="s">
        <v>271</v>
      </c>
      <c r="AL124" t="s">
        <v>272</v>
      </c>
    </row>
    <row r="125" spans="1:38">
      <c r="A125" t="s">
        <v>860</v>
      </c>
      <c r="B125" t="s">
        <v>861</v>
      </c>
      <c r="C125" t="s">
        <v>862</v>
      </c>
      <c r="D125" t="s">
        <v>863</v>
      </c>
      <c r="E125" t="s">
        <v>864</v>
      </c>
      <c r="F125" t="s">
        <v>268</v>
      </c>
      <c r="G125">
        <v>1</v>
      </c>
      <c r="H125">
        <v>10</v>
      </c>
      <c r="I125">
        <v>0.02</v>
      </c>
      <c r="J125">
        <v>1</v>
      </c>
      <c r="K125">
        <v>-0.86</v>
      </c>
      <c r="L125">
        <v>120.24</v>
      </c>
      <c r="M125">
        <v>122.52</v>
      </c>
      <c r="N125">
        <v>122.76</v>
      </c>
      <c r="O125">
        <v>119.88</v>
      </c>
      <c r="P125">
        <v>0</v>
      </c>
      <c r="Q125">
        <v>0</v>
      </c>
      <c r="R125">
        <v>0</v>
      </c>
      <c r="S125">
        <v>121.24</v>
      </c>
      <c r="T125">
        <v>121.52</v>
      </c>
      <c r="U125">
        <v>119.52</v>
      </c>
      <c r="V125">
        <v>123</v>
      </c>
      <c r="W125">
        <v>716772252</v>
      </c>
      <c r="X125">
        <v>120.2</v>
      </c>
      <c r="Y125">
        <v>120.24</v>
      </c>
      <c r="Z125">
        <v>16594</v>
      </c>
      <c r="AA125">
        <v>5993227240</v>
      </c>
      <c r="AB125">
        <v>90180</v>
      </c>
      <c r="AC125">
        <v>0</v>
      </c>
      <c r="AD125" t="s">
        <v>94</v>
      </c>
      <c r="AE125" t="s">
        <v>94</v>
      </c>
      <c r="AF125" t="s">
        <v>226</v>
      </c>
      <c r="AG125" t="s">
        <v>226</v>
      </c>
      <c r="AH125">
        <v>-100</v>
      </c>
      <c r="AI125" t="s">
        <v>269</v>
      </c>
      <c r="AJ125" t="s">
        <v>270</v>
      </c>
      <c r="AK125" t="s">
        <v>271</v>
      </c>
      <c r="AL125" t="s">
        <v>272</v>
      </c>
    </row>
    <row r="126" spans="1:38">
      <c r="A126" t="s">
        <v>865</v>
      </c>
      <c r="B126" t="s">
        <v>866</v>
      </c>
      <c r="C126" t="s">
        <v>867</v>
      </c>
      <c r="D126" t="s">
        <v>868</v>
      </c>
      <c r="E126" t="s">
        <v>869</v>
      </c>
      <c r="F126" t="s">
        <v>268</v>
      </c>
      <c r="G126">
        <v>3</v>
      </c>
      <c r="H126">
        <v>100</v>
      </c>
      <c r="I126">
        <v>5.0000000000000001E-3</v>
      </c>
      <c r="J126">
        <v>0.01</v>
      </c>
      <c r="K126">
        <v>-0.95</v>
      </c>
      <c r="L126">
        <v>7.835</v>
      </c>
      <c r="M126">
        <v>7.95</v>
      </c>
      <c r="N126">
        <v>8</v>
      </c>
      <c r="O126">
        <v>7.83</v>
      </c>
      <c r="P126">
        <v>0</v>
      </c>
      <c r="Q126">
        <v>0</v>
      </c>
      <c r="R126">
        <v>0</v>
      </c>
      <c r="S126">
        <v>7.9050000000000002</v>
      </c>
      <c r="T126">
        <v>7.9</v>
      </c>
      <c r="U126">
        <v>7.8150000000000004</v>
      </c>
      <c r="V126">
        <v>8.0150000000000006</v>
      </c>
      <c r="W126">
        <v>37771642</v>
      </c>
      <c r="X126">
        <v>7.835</v>
      </c>
      <c r="Y126">
        <v>7.84</v>
      </c>
      <c r="Z126">
        <v>1896</v>
      </c>
      <c r="AA126">
        <v>19259815400</v>
      </c>
      <c r="AB126">
        <v>7835</v>
      </c>
      <c r="AC126">
        <v>0</v>
      </c>
      <c r="AD126" t="s">
        <v>94</v>
      </c>
      <c r="AE126" t="s">
        <v>94</v>
      </c>
      <c r="AF126" t="s">
        <v>226</v>
      </c>
      <c r="AG126" t="s">
        <v>226</v>
      </c>
      <c r="AH126">
        <v>9</v>
      </c>
      <c r="AI126" t="s">
        <v>269</v>
      </c>
      <c r="AJ126" t="s">
        <v>270</v>
      </c>
      <c r="AK126" t="s">
        <v>271</v>
      </c>
      <c r="AL126" t="s">
        <v>272</v>
      </c>
    </row>
    <row r="127" spans="1:38">
      <c r="A127" t="s">
        <v>870</v>
      </c>
      <c r="B127" t="s">
        <v>871</v>
      </c>
      <c r="C127" t="s">
        <v>872</v>
      </c>
      <c r="D127" t="s">
        <v>873</v>
      </c>
      <c r="E127" t="s">
        <v>874</v>
      </c>
      <c r="F127" t="s">
        <v>268</v>
      </c>
      <c r="G127">
        <v>3</v>
      </c>
      <c r="H127">
        <v>100</v>
      </c>
      <c r="I127">
        <v>0.05</v>
      </c>
      <c r="J127">
        <v>1</v>
      </c>
      <c r="K127">
        <v>-0.81</v>
      </c>
      <c r="L127">
        <v>42.7</v>
      </c>
      <c r="M127">
        <v>43.05</v>
      </c>
      <c r="N127">
        <v>43.25</v>
      </c>
      <c r="O127">
        <v>42.7</v>
      </c>
      <c r="P127">
        <v>0</v>
      </c>
      <c r="Q127">
        <v>0</v>
      </c>
      <c r="R127">
        <v>0</v>
      </c>
      <c r="S127">
        <v>42.75</v>
      </c>
      <c r="T127">
        <v>42.95</v>
      </c>
      <c r="U127">
        <v>41.9</v>
      </c>
      <c r="V127">
        <v>43</v>
      </c>
      <c r="W127">
        <v>380615</v>
      </c>
      <c r="X127">
        <v>42.7</v>
      </c>
      <c r="Y127">
        <v>42.9</v>
      </c>
      <c r="Z127">
        <v>39</v>
      </c>
      <c r="AA127">
        <v>63731171</v>
      </c>
      <c r="AB127">
        <v>21350</v>
      </c>
      <c r="AC127">
        <v>0</v>
      </c>
      <c r="AD127" t="s">
        <v>94</v>
      </c>
      <c r="AE127" t="s">
        <v>94</v>
      </c>
      <c r="AF127" t="s">
        <v>226</v>
      </c>
      <c r="AG127" t="s">
        <v>226</v>
      </c>
      <c r="AH127">
        <v>9</v>
      </c>
      <c r="AI127" t="s">
        <v>269</v>
      </c>
      <c r="AJ127" t="s">
        <v>270</v>
      </c>
      <c r="AK127" t="s">
        <v>271</v>
      </c>
      <c r="AL127" t="s">
        <v>272</v>
      </c>
    </row>
    <row r="128" spans="1:38">
      <c r="A128" t="s">
        <v>875</v>
      </c>
      <c r="B128" t="s">
        <v>876</v>
      </c>
      <c r="C128" t="s">
        <v>877</v>
      </c>
      <c r="D128" t="s">
        <v>878</v>
      </c>
      <c r="E128" t="s">
        <v>879</v>
      </c>
      <c r="F128" t="s">
        <v>268</v>
      </c>
      <c r="G128">
        <v>1</v>
      </c>
      <c r="H128">
        <v>1</v>
      </c>
      <c r="I128">
        <v>1</v>
      </c>
      <c r="J128">
        <v>100</v>
      </c>
      <c r="K128">
        <v>0.52</v>
      </c>
      <c r="L128">
        <v>580</v>
      </c>
      <c r="M128">
        <v>578</v>
      </c>
      <c r="N128">
        <v>583</v>
      </c>
      <c r="O128">
        <v>579</v>
      </c>
      <c r="P128">
        <v>0</v>
      </c>
      <c r="Q128">
        <v>0</v>
      </c>
      <c r="R128">
        <v>0</v>
      </c>
      <c r="S128">
        <v>585</v>
      </c>
      <c r="T128">
        <v>582</v>
      </c>
      <c r="U128">
        <v>568</v>
      </c>
      <c r="V128">
        <v>600</v>
      </c>
      <c r="W128">
        <v>99142807</v>
      </c>
      <c r="X128">
        <v>579</v>
      </c>
      <c r="Y128">
        <v>580</v>
      </c>
      <c r="Z128">
        <v>5551</v>
      </c>
      <c r="AA128">
        <v>15800000</v>
      </c>
      <c r="AB128">
        <v>12180</v>
      </c>
      <c r="AC128">
        <v>0</v>
      </c>
      <c r="AD128" t="s">
        <v>94</v>
      </c>
      <c r="AE128" t="s">
        <v>94</v>
      </c>
      <c r="AF128" t="s">
        <v>226</v>
      </c>
      <c r="AG128" t="s">
        <v>226</v>
      </c>
      <c r="AH128">
        <v>-100</v>
      </c>
      <c r="AI128" t="s">
        <v>269</v>
      </c>
      <c r="AJ128" t="s">
        <v>270</v>
      </c>
      <c r="AK128" t="s">
        <v>271</v>
      </c>
      <c r="AL128" t="s">
        <v>272</v>
      </c>
    </row>
    <row r="129" spans="1:38">
      <c r="A129" t="s">
        <v>880</v>
      </c>
      <c r="B129" t="s">
        <v>881</v>
      </c>
      <c r="C129" t="s">
        <v>882</v>
      </c>
      <c r="D129" t="s">
        <v>883</v>
      </c>
      <c r="E129" t="s">
        <v>884</v>
      </c>
      <c r="F129" t="s">
        <v>268</v>
      </c>
      <c r="G129">
        <v>1</v>
      </c>
      <c r="H129">
        <v>1</v>
      </c>
      <c r="I129">
        <v>0.2</v>
      </c>
      <c r="J129">
        <v>0.1</v>
      </c>
      <c r="K129">
        <v>-0.51</v>
      </c>
      <c r="L129">
        <v>819.8</v>
      </c>
      <c r="M129">
        <v>824.2</v>
      </c>
      <c r="N129">
        <v>830.6</v>
      </c>
      <c r="O129">
        <v>817.8</v>
      </c>
      <c r="P129">
        <v>0</v>
      </c>
      <c r="Q129">
        <v>0</v>
      </c>
      <c r="R129">
        <v>0</v>
      </c>
      <c r="S129">
        <v>829.4</v>
      </c>
      <c r="T129">
        <v>822.2</v>
      </c>
      <c r="U129">
        <v>815</v>
      </c>
      <c r="V129">
        <v>839.8</v>
      </c>
      <c r="W129">
        <v>1386499696</v>
      </c>
      <c r="X129">
        <v>819.6</v>
      </c>
      <c r="Y129">
        <v>819.8</v>
      </c>
      <c r="Z129">
        <v>39995</v>
      </c>
      <c r="AA129">
        <v>3036306000</v>
      </c>
      <c r="AB129">
        <v>819.8</v>
      </c>
      <c r="AC129">
        <v>0</v>
      </c>
      <c r="AD129" t="s">
        <v>94</v>
      </c>
      <c r="AE129" t="s">
        <v>94</v>
      </c>
      <c r="AF129" t="s">
        <v>226</v>
      </c>
      <c r="AG129" t="s">
        <v>226</v>
      </c>
      <c r="AH129">
        <v>-100</v>
      </c>
      <c r="AI129" t="s">
        <v>269</v>
      </c>
      <c r="AJ129" t="s">
        <v>270</v>
      </c>
      <c r="AK129" t="s">
        <v>271</v>
      </c>
      <c r="AL129" t="s">
        <v>272</v>
      </c>
    </row>
    <row r="130" spans="1:38">
      <c r="A130" t="s">
        <v>885</v>
      </c>
      <c r="B130" t="s">
        <v>886</v>
      </c>
      <c r="C130" t="s">
        <v>887</v>
      </c>
      <c r="D130" t="s">
        <v>888</v>
      </c>
      <c r="E130" t="s">
        <v>889</v>
      </c>
      <c r="F130" t="s">
        <v>268</v>
      </c>
      <c r="G130">
        <v>2</v>
      </c>
      <c r="H130">
        <v>1000</v>
      </c>
      <c r="I130">
        <v>1E-4</v>
      </c>
      <c r="J130">
        <v>0.36270000000000002</v>
      </c>
      <c r="K130">
        <v>-0.36</v>
      </c>
      <c r="L130">
        <v>0.27839999999999998</v>
      </c>
      <c r="M130">
        <v>0.28050000000000003</v>
      </c>
      <c r="N130">
        <v>0.28260000000000002</v>
      </c>
      <c r="O130">
        <v>0.27810000000000001</v>
      </c>
      <c r="P130">
        <v>0</v>
      </c>
      <c r="Q130">
        <v>0</v>
      </c>
      <c r="R130">
        <v>0</v>
      </c>
      <c r="S130">
        <v>0.28079999999999999</v>
      </c>
      <c r="T130">
        <v>0.27839999999999998</v>
      </c>
      <c r="U130">
        <v>0.2772</v>
      </c>
      <c r="V130">
        <v>0.28360000000000002</v>
      </c>
      <c r="W130">
        <v>23730691</v>
      </c>
      <c r="X130">
        <v>0.27789999999999998</v>
      </c>
      <c r="Y130">
        <v>0.27839999999999998</v>
      </c>
      <c r="Z130">
        <v>1773</v>
      </c>
      <c r="AA130">
        <v>136207331098</v>
      </c>
      <c r="AB130">
        <v>1392</v>
      </c>
      <c r="AC130">
        <v>0</v>
      </c>
      <c r="AD130" t="s">
        <v>94</v>
      </c>
      <c r="AE130" t="s">
        <v>94</v>
      </c>
      <c r="AF130" t="s">
        <v>226</v>
      </c>
      <c r="AG130" t="s">
        <v>226</v>
      </c>
      <c r="AH130">
        <v>-100</v>
      </c>
      <c r="AI130" t="s">
        <v>269</v>
      </c>
      <c r="AJ130" t="s">
        <v>270</v>
      </c>
      <c r="AK130" t="s">
        <v>271</v>
      </c>
      <c r="AL130" t="s">
        <v>272</v>
      </c>
    </row>
    <row r="131" spans="1:38">
      <c r="A131" t="s">
        <v>890</v>
      </c>
      <c r="B131" t="s">
        <v>891</v>
      </c>
      <c r="C131" t="s">
        <v>892</v>
      </c>
      <c r="D131" t="s">
        <v>893</v>
      </c>
      <c r="E131" t="s">
        <v>894</v>
      </c>
      <c r="F131" t="s">
        <v>438</v>
      </c>
      <c r="G131">
        <v>3</v>
      </c>
      <c r="H131">
        <v>1</v>
      </c>
      <c r="I131">
        <v>20</v>
      </c>
      <c r="J131">
        <v>0.1</v>
      </c>
      <c r="K131">
        <v>0.2</v>
      </c>
      <c r="L131">
        <v>10000</v>
      </c>
      <c r="M131">
        <v>9980</v>
      </c>
      <c r="N131">
        <v>10060</v>
      </c>
      <c r="O131">
        <v>10000</v>
      </c>
      <c r="P131">
        <v>0</v>
      </c>
      <c r="Q131">
        <v>0</v>
      </c>
      <c r="R131">
        <v>0</v>
      </c>
      <c r="S131">
        <v>10000</v>
      </c>
      <c r="T131">
        <v>9980</v>
      </c>
      <c r="U131">
        <v>9980</v>
      </c>
      <c r="V131">
        <v>10080</v>
      </c>
      <c r="W131">
        <v>90060</v>
      </c>
      <c r="X131">
        <v>9980</v>
      </c>
      <c r="Y131">
        <v>10040</v>
      </c>
      <c r="Z131">
        <v>6</v>
      </c>
      <c r="AA131">
        <v>2750000</v>
      </c>
      <c r="AB131">
        <v>10000</v>
      </c>
      <c r="AC131">
        <v>0</v>
      </c>
      <c r="AD131" t="s">
        <v>94</v>
      </c>
      <c r="AE131" t="s">
        <v>94</v>
      </c>
      <c r="AF131" t="s">
        <v>226</v>
      </c>
      <c r="AG131" t="s">
        <v>226</v>
      </c>
      <c r="AH131">
        <v>9</v>
      </c>
      <c r="AI131" t="s">
        <v>269</v>
      </c>
      <c r="AJ131" t="s">
        <v>270</v>
      </c>
      <c r="AK131" t="s">
        <v>439</v>
      </c>
      <c r="AL131" t="s">
        <v>272</v>
      </c>
    </row>
    <row r="132" spans="1:38">
      <c r="A132" t="s">
        <v>895</v>
      </c>
      <c r="B132" t="s">
        <v>896</v>
      </c>
      <c r="C132" t="s">
        <v>897</v>
      </c>
      <c r="D132" t="s">
        <v>898</v>
      </c>
      <c r="E132" t="s">
        <v>899</v>
      </c>
      <c r="F132" t="s">
        <v>268</v>
      </c>
      <c r="G132">
        <v>1</v>
      </c>
      <c r="H132">
        <v>10</v>
      </c>
      <c r="I132">
        <v>0.01</v>
      </c>
      <c r="J132">
        <v>0.02</v>
      </c>
      <c r="K132">
        <v>4.8499999999999996</v>
      </c>
      <c r="L132">
        <v>29.6</v>
      </c>
      <c r="M132">
        <v>28.23</v>
      </c>
      <c r="N132">
        <v>28.19</v>
      </c>
      <c r="O132">
        <v>29.45</v>
      </c>
      <c r="P132">
        <v>0</v>
      </c>
      <c r="Q132">
        <v>0</v>
      </c>
      <c r="R132">
        <v>0</v>
      </c>
      <c r="S132">
        <v>29.05</v>
      </c>
      <c r="T132">
        <v>28.43</v>
      </c>
      <c r="U132">
        <v>28.43</v>
      </c>
      <c r="V132">
        <v>30</v>
      </c>
      <c r="W132">
        <v>33760054</v>
      </c>
      <c r="X132">
        <v>29.57</v>
      </c>
      <c r="Y132">
        <v>29.6</v>
      </c>
      <c r="Z132">
        <v>3924</v>
      </c>
      <c r="AA132">
        <v>1098571440</v>
      </c>
      <c r="AB132">
        <v>8880</v>
      </c>
      <c r="AC132">
        <v>0</v>
      </c>
      <c r="AD132" t="s">
        <v>94</v>
      </c>
      <c r="AE132" t="s">
        <v>94</v>
      </c>
      <c r="AF132" t="s">
        <v>226</v>
      </c>
      <c r="AG132" t="s">
        <v>226</v>
      </c>
      <c r="AH132">
        <v>-100</v>
      </c>
      <c r="AI132" t="s">
        <v>269</v>
      </c>
      <c r="AJ132" t="s">
        <v>270</v>
      </c>
      <c r="AK132" t="s">
        <v>271</v>
      </c>
      <c r="AL132" t="s">
        <v>272</v>
      </c>
    </row>
    <row r="133" spans="1:38">
      <c r="A133" t="s">
        <v>900</v>
      </c>
      <c r="B133" t="s">
        <v>901</v>
      </c>
      <c r="C133" t="s">
        <v>902</v>
      </c>
      <c r="D133" t="s">
        <v>903</v>
      </c>
      <c r="E133" t="s">
        <v>904</v>
      </c>
      <c r="F133" t="s">
        <v>268</v>
      </c>
      <c r="G133">
        <v>3</v>
      </c>
      <c r="H133">
        <v>10</v>
      </c>
      <c r="I133">
        <v>0.1</v>
      </c>
      <c r="J133">
        <v>1</v>
      </c>
      <c r="K133">
        <v>0.4</v>
      </c>
      <c r="L133">
        <v>74.8</v>
      </c>
      <c r="M133">
        <v>74.5</v>
      </c>
      <c r="N133">
        <v>74.5</v>
      </c>
      <c r="O133">
        <v>74.8</v>
      </c>
      <c r="P133">
        <v>0</v>
      </c>
      <c r="Q133">
        <v>0</v>
      </c>
      <c r="R133">
        <v>0</v>
      </c>
      <c r="S133">
        <v>74.3</v>
      </c>
      <c r="T133">
        <v>74.5</v>
      </c>
      <c r="U133">
        <v>73.2</v>
      </c>
      <c r="V133">
        <v>75</v>
      </c>
      <c r="W133">
        <v>3778971</v>
      </c>
      <c r="X133">
        <v>74.8</v>
      </c>
      <c r="Y133">
        <v>74.900000000000006</v>
      </c>
      <c r="Z133">
        <v>340</v>
      </c>
      <c r="AA133">
        <v>1785114000</v>
      </c>
      <c r="AB133">
        <v>7480</v>
      </c>
      <c r="AC133">
        <v>0</v>
      </c>
      <c r="AD133" t="s">
        <v>94</v>
      </c>
      <c r="AE133" t="s">
        <v>94</v>
      </c>
      <c r="AF133" t="s">
        <v>226</v>
      </c>
      <c r="AG133" t="s">
        <v>226</v>
      </c>
      <c r="AH133">
        <v>9</v>
      </c>
      <c r="AI133" t="s">
        <v>269</v>
      </c>
      <c r="AJ133" t="s">
        <v>270</v>
      </c>
      <c r="AK133" t="s">
        <v>271</v>
      </c>
      <c r="AL133" t="s">
        <v>272</v>
      </c>
    </row>
    <row r="134" spans="1:38">
      <c r="A134" t="s">
        <v>905</v>
      </c>
      <c r="B134" t="s">
        <v>906</v>
      </c>
      <c r="C134" t="s">
        <v>907</v>
      </c>
      <c r="D134" t="s">
        <v>908</v>
      </c>
      <c r="E134" t="s">
        <v>909</v>
      </c>
      <c r="F134" t="s">
        <v>438</v>
      </c>
      <c r="G134">
        <v>3</v>
      </c>
      <c r="H134">
        <v>10</v>
      </c>
      <c r="I134">
        <v>0.01</v>
      </c>
      <c r="J134">
        <v>1</v>
      </c>
      <c r="K134">
        <v>-1.27</v>
      </c>
      <c r="L134">
        <v>19.38</v>
      </c>
      <c r="M134">
        <v>19.63</v>
      </c>
      <c r="N134">
        <v>19.850000000000001</v>
      </c>
      <c r="O134">
        <v>19.36</v>
      </c>
      <c r="P134">
        <v>0</v>
      </c>
      <c r="Q134">
        <v>0</v>
      </c>
      <c r="R134">
        <v>0</v>
      </c>
      <c r="S134">
        <v>19.690000000000001</v>
      </c>
      <c r="T134">
        <v>19.91</v>
      </c>
      <c r="U134">
        <v>19.329999999999998</v>
      </c>
      <c r="V134">
        <v>19.91</v>
      </c>
      <c r="W134">
        <v>1625265</v>
      </c>
      <c r="X134">
        <v>19.38</v>
      </c>
      <c r="Y134">
        <v>19.48</v>
      </c>
      <c r="Z134">
        <v>232</v>
      </c>
      <c r="AA134">
        <v>119596000</v>
      </c>
      <c r="AB134">
        <v>193.8</v>
      </c>
      <c r="AC134">
        <v>0</v>
      </c>
      <c r="AD134" t="s">
        <v>94</v>
      </c>
      <c r="AE134" t="s">
        <v>94</v>
      </c>
      <c r="AF134" t="s">
        <v>226</v>
      </c>
      <c r="AG134" t="s">
        <v>226</v>
      </c>
      <c r="AH134">
        <v>9</v>
      </c>
      <c r="AI134" t="s">
        <v>269</v>
      </c>
      <c r="AJ134" t="s">
        <v>270</v>
      </c>
      <c r="AK134" t="s">
        <v>439</v>
      </c>
      <c r="AL134" t="s">
        <v>272</v>
      </c>
    </row>
    <row r="135" spans="1:38">
      <c r="A135" t="s">
        <v>910</v>
      </c>
      <c r="B135" t="s">
        <v>911</v>
      </c>
      <c r="C135" t="s">
        <v>912</v>
      </c>
      <c r="D135" t="s">
        <v>913</v>
      </c>
      <c r="E135" t="s">
        <v>914</v>
      </c>
      <c r="F135" t="s">
        <v>268</v>
      </c>
      <c r="G135">
        <v>1</v>
      </c>
      <c r="H135">
        <v>1</v>
      </c>
      <c r="I135">
        <v>0.1</v>
      </c>
      <c r="J135">
        <v>62.5</v>
      </c>
      <c r="K135">
        <v>-3.22</v>
      </c>
      <c r="L135">
        <v>384.1</v>
      </c>
      <c r="M135">
        <v>394.2</v>
      </c>
      <c r="N135">
        <v>398</v>
      </c>
      <c r="O135">
        <v>383.6</v>
      </c>
      <c r="P135">
        <v>0</v>
      </c>
      <c r="Q135">
        <v>0</v>
      </c>
      <c r="R135">
        <v>0</v>
      </c>
      <c r="S135">
        <v>392.2</v>
      </c>
      <c r="T135">
        <v>396.6</v>
      </c>
      <c r="U135">
        <v>381.8</v>
      </c>
      <c r="V135">
        <v>401.8</v>
      </c>
      <c r="W135">
        <v>706844503</v>
      </c>
      <c r="X135">
        <v>383.9</v>
      </c>
      <c r="Y135">
        <v>384.1</v>
      </c>
      <c r="Z135">
        <v>18846</v>
      </c>
      <c r="AA135">
        <v>660497344</v>
      </c>
      <c r="AB135">
        <v>55694.5</v>
      </c>
      <c r="AC135">
        <v>0</v>
      </c>
      <c r="AD135" t="s">
        <v>94</v>
      </c>
      <c r="AE135" t="s">
        <v>94</v>
      </c>
      <c r="AF135" t="s">
        <v>226</v>
      </c>
      <c r="AG135" t="s">
        <v>226</v>
      </c>
      <c r="AH135">
        <v>-100</v>
      </c>
      <c r="AI135" t="s">
        <v>269</v>
      </c>
      <c r="AJ135" t="s">
        <v>270</v>
      </c>
      <c r="AK135" t="s">
        <v>271</v>
      </c>
      <c r="AL135" t="s">
        <v>272</v>
      </c>
    </row>
    <row r="136" spans="1:38">
      <c r="A136" t="s">
        <v>915</v>
      </c>
      <c r="B136" t="s">
        <v>916</v>
      </c>
      <c r="C136" t="s">
        <v>917</v>
      </c>
      <c r="D136" t="s">
        <v>918</v>
      </c>
      <c r="E136" t="s">
        <v>919</v>
      </c>
      <c r="F136" t="s">
        <v>268</v>
      </c>
      <c r="G136">
        <v>2</v>
      </c>
      <c r="H136">
        <v>1</v>
      </c>
      <c r="I136">
        <v>0.05</v>
      </c>
      <c r="J136">
        <v>1</v>
      </c>
      <c r="K136">
        <v>-0.46</v>
      </c>
      <c r="L136">
        <v>316.60000000000002</v>
      </c>
      <c r="M136">
        <v>318.05</v>
      </c>
      <c r="N136">
        <v>319.75</v>
      </c>
      <c r="O136">
        <v>316.10000000000002</v>
      </c>
      <c r="P136">
        <v>0</v>
      </c>
      <c r="Q136">
        <v>0</v>
      </c>
      <c r="R136">
        <v>0</v>
      </c>
      <c r="S136">
        <v>319.95</v>
      </c>
      <c r="T136">
        <v>319.64999999999998</v>
      </c>
      <c r="U136">
        <v>310.3</v>
      </c>
      <c r="V136">
        <v>323.64999999999998</v>
      </c>
      <c r="W136">
        <v>14455251</v>
      </c>
      <c r="X136">
        <v>316.39999999999998</v>
      </c>
      <c r="Y136">
        <v>316.60000000000002</v>
      </c>
      <c r="Z136">
        <v>1552</v>
      </c>
      <c r="AA136">
        <v>212500000</v>
      </c>
      <c r="AB136">
        <v>6332</v>
      </c>
      <c r="AC136">
        <v>0</v>
      </c>
      <c r="AD136" t="s">
        <v>94</v>
      </c>
      <c r="AE136" t="s">
        <v>94</v>
      </c>
      <c r="AF136" t="s">
        <v>226</v>
      </c>
      <c r="AG136" t="s">
        <v>226</v>
      </c>
      <c r="AH136">
        <v>-100</v>
      </c>
      <c r="AI136" t="s">
        <v>269</v>
      </c>
      <c r="AJ136" t="s">
        <v>270</v>
      </c>
      <c r="AK136" t="s">
        <v>271</v>
      </c>
      <c r="AL136" t="s">
        <v>272</v>
      </c>
    </row>
    <row r="137" spans="1:38">
      <c r="A137" t="s">
        <v>920</v>
      </c>
      <c r="B137" t="s">
        <v>921</v>
      </c>
      <c r="C137" t="s">
        <v>922</v>
      </c>
      <c r="D137" t="s">
        <v>923</v>
      </c>
      <c r="E137" t="s">
        <v>924</v>
      </c>
      <c r="F137" t="s">
        <v>438</v>
      </c>
      <c r="G137">
        <v>3</v>
      </c>
      <c r="H137">
        <v>10</v>
      </c>
      <c r="I137">
        <v>0.2</v>
      </c>
      <c r="J137">
        <v>3.25</v>
      </c>
      <c r="K137">
        <v>-4.8899999999999997</v>
      </c>
      <c r="L137">
        <v>272.2</v>
      </c>
      <c r="M137">
        <v>286.2</v>
      </c>
      <c r="N137">
        <v>269.8</v>
      </c>
      <c r="O137">
        <v>273</v>
      </c>
      <c r="P137">
        <v>0</v>
      </c>
      <c r="Q137">
        <v>0</v>
      </c>
      <c r="R137">
        <v>0</v>
      </c>
      <c r="S137">
        <v>277.8</v>
      </c>
      <c r="T137">
        <v>278.60000000000002</v>
      </c>
      <c r="U137">
        <v>268</v>
      </c>
      <c r="V137">
        <v>293</v>
      </c>
      <c r="W137">
        <v>7562354</v>
      </c>
      <c r="X137">
        <v>270.39999999999998</v>
      </c>
      <c r="Y137">
        <v>272.2</v>
      </c>
      <c r="Z137">
        <v>736</v>
      </c>
      <c r="AA137">
        <v>11353500</v>
      </c>
      <c r="AB137">
        <v>2722</v>
      </c>
      <c r="AC137">
        <v>0</v>
      </c>
      <c r="AD137" t="s">
        <v>94</v>
      </c>
      <c r="AE137" t="s">
        <v>94</v>
      </c>
      <c r="AF137" t="s">
        <v>226</v>
      </c>
      <c r="AG137" t="s">
        <v>226</v>
      </c>
      <c r="AH137">
        <v>9</v>
      </c>
      <c r="AI137" t="s">
        <v>269</v>
      </c>
      <c r="AJ137" t="s">
        <v>270</v>
      </c>
      <c r="AK137" t="s">
        <v>439</v>
      </c>
      <c r="AL137" t="s">
        <v>272</v>
      </c>
    </row>
    <row r="138" spans="1:38">
      <c r="A138" t="s">
        <v>925</v>
      </c>
      <c r="B138" t="s">
        <v>926</v>
      </c>
      <c r="C138" t="s">
        <v>927</v>
      </c>
      <c r="D138" t="s">
        <v>928</v>
      </c>
      <c r="E138" t="s">
        <v>929</v>
      </c>
      <c r="F138" t="s">
        <v>268</v>
      </c>
      <c r="G138">
        <v>3</v>
      </c>
      <c r="H138">
        <v>10</v>
      </c>
      <c r="I138">
        <v>0.1</v>
      </c>
      <c r="J138">
        <v>3.25</v>
      </c>
      <c r="K138">
        <v>-1.56</v>
      </c>
      <c r="L138">
        <v>259.2</v>
      </c>
      <c r="M138">
        <v>263.3</v>
      </c>
      <c r="N138">
        <v>260.7</v>
      </c>
      <c r="O138">
        <v>258.89999999999998</v>
      </c>
      <c r="P138">
        <v>0</v>
      </c>
      <c r="Q138">
        <v>0</v>
      </c>
      <c r="R138">
        <v>0</v>
      </c>
      <c r="S138">
        <v>268</v>
      </c>
      <c r="T138">
        <v>265.89999999999998</v>
      </c>
      <c r="U138">
        <v>257</v>
      </c>
      <c r="V138">
        <v>279</v>
      </c>
      <c r="W138">
        <v>18268851</v>
      </c>
      <c r="X138">
        <v>258.60000000000002</v>
      </c>
      <c r="Y138">
        <v>259.2</v>
      </c>
      <c r="Z138">
        <v>1342</v>
      </c>
      <c r="AA138">
        <v>36210960</v>
      </c>
      <c r="AB138">
        <v>10368</v>
      </c>
      <c r="AC138">
        <v>0</v>
      </c>
      <c r="AD138" t="s">
        <v>94</v>
      </c>
      <c r="AE138" t="s">
        <v>94</v>
      </c>
      <c r="AF138" t="s">
        <v>226</v>
      </c>
      <c r="AG138" t="s">
        <v>226</v>
      </c>
      <c r="AH138">
        <v>9</v>
      </c>
      <c r="AI138" t="s">
        <v>269</v>
      </c>
      <c r="AJ138" t="s">
        <v>270</v>
      </c>
      <c r="AK138" t="s">
        <v>271</v>
      </c>
      <c r="AL138" t="s">
        <v>272</v>
      </c>
    </row>
    <row r="139" spans="1:38">
      <c r="A139" t="s">
        <v>930</v>
      </c>
      <c r="B139" t="s">
        <v>931</v>
      </c>
      <c r="C139" t="s">
        <v>932</v>
      </c>
      <c r="D139" t="s">
        <v>933</v>
      </c>
      <c r="E139" t="s">
        <v>934</v>
      </c>
      <c r="F139" t="s">
        <v>268</v>
      </c>
      <c r="G139">
        <v>1</v>
      </c>
      <c r="H139">
        <v>1</v>
      </c>
      <c r="I139">
        <v>0.5</v>
      </c>
      <c r="J139">
        <v>1</v>
      </c>
      <c r="K139">
        <v>-0.76</v>
      </c>
      <c r="L139">
        <v>14401.5</v>
      </c>
      <c r="M139">
        <v>14540</v>
      </c>
      <c r="N139">
        <v>14560.5</v>
      </c>
      <c r="O139">
        <v>14369</v>
      </c>
      <c r="P139">
        <v>0</v>
      </c>
      <c r="Q139">
        <v>0</v>
      </c>
      <c r="R139">
        <v>0</v>
      </c>
      <c r="S139">
        <v>14451.5</v>
      </c>
      <c r="T139">
        <v>14562</v>
      </c>
      <c r="U139">
        <v>14340</v>
      </c>
      <c r="V139">
        <v>14600</v>
      </c>
      <c r="W139">
        <v>730747069</v>
      </c>
      <c r="X139">
        <v>14401.5</v>
      </c>
      <c r="Y139">
        <v>14402</v>
      </c>
      <c r="Z139">
        <v>8761</v>
      </c>
      <c r="AA139">
        <v>136069400</v>
      </c>
      <c r="AB139">
        <v>14401.5</v>
      </c>
      <c r="AC139">
        <v>0</v>
      </c>
      <c r="AD139" t="s">
        <v>94</v>
      </c>
      <c r="AE139" t="s">
        <v>94</v>
      </c>
      <c r="AF139" t="s">
        <v>226</v>
      </c>
      <c r="AG139" t="s">
        <v>226</v>
      </c>
      <c r="AH139">
        <v>-100</v>
      </c>
      <c r="AI139" t="s">
        <v>269</v>
      </c>
      <c r="AJ139" t="s">
        <v>270</v>
      </c>
      <c r="AK139" t="s">
        <v>271</v>
      </c>
      <c r="AL139" t="s">
        <v>272</v>
      </c>
    </row>
    <row r="140" spans="1:38">
      <c r="A140" t="s">
        <v>935</v>
      </c>
      <c r="B140" t="s">
        <v>936</v>
      </c>
      <c r="C140" t="s">
        <v>937</v>
      </c>
      <c r="D140" t="s">
        <v>938</v>
      </c>
      <c r="E140" t="s">
        <v>939</v>
      </c>
      <c r="F140" t="s">
        <v>268</v>
      </c>
      <c r="G140">
        <v>3</v>
      </c>
      <c r="H140">
        <v>1</v>
      </c>
      <c r="I140">
        <v>200</v>
      </c>
      <c r="J140">
        <v>1000</v>
      </c>
      <c r="K140">
        <v>0</v>
      </c>
      <c r="L140">
        <v>25600</v>
      </c>
      <c r="M140">
        <v>25800</v>
      </c>
      <c r="N140">
        <v>26400</v>
      </c>
      <c r="O140">
        <v>25600</v>
      </c>
      <c r="P140">
        <v>0</v>
      </c>
      <c r="Q140">
        <v>0</v>
      </c>
      <c r="R140">
        <v>0</v>
      </c>
      <c r="S140">
        <v>25600</v>
      </c>
      <c r="T140">
        <v>25600</v>
      </c>
      <c r="U140">
        <v>25600</v>
      </c>
      <c r="V140">
        <v>25600</v>
      </c>
      <c r="W140">
        <v>25600</v>
      </c>
      <c r="X140">
        <v>25600</v>
      </c>
      <c r="Y140">
        <v>26600</v>
      </c>
      <c r="Z140">
        <v>1</v>
      </c>
      <c r="AA140">
        <v>250000</v>
      </c>
      <c r="AB140">
        <v>25600</v>
      </c>
      <c r="AC140">
        <v>0</v>
      </c>
      <c r="AD140" t="s">
        <v>94</v>
      </c>
      <c r="AE140" t="s">
        <v>94</v>
      </c>
      <c r="AF140" t="s">
        <v>226</v>
      </c>
      <c r="AG140" t="s">
        <v>226</v>
      </c>
      <c r="AH140">
        <v>9</v>
      </c>
      <c r="AI140" t="s">
        <v>269</v>
      </c>
      <c r="AJ140" t="s">
        <v>270</v>
      </c>
      <c r="AK140" t="s">
        <v>271</v>
      </c>
      <c r="AL140" t="s">
        <v>272</v>
      </c>
    </row>
    <row r="141" spans="1:38">
      <c r="A141" t="s">
        <v>940</v>
      </c>
      <c r="B141" t="s">
        <v>941</v>
      </c>
      <c r="C141" t="s">
        <v>942</v>
      </c>
      <c r="D141" t="s">
        <v>943</v>
      </c>
      <c r="E141" t="s">
        <v>944</v>
      </c>
      <c r="F141" t="s">
        <v>268</v>
      </c>
      <c r="G141">
        <v>3</v>
      </c>
      <c r="H141">
        <v>1000</v>
      </c>
      <c r="I141">
        <v>2.0000000000000001E-4</v>
      </c>
      <c r="J141">
        <v>0.03</v>
      </c>
      <c r="K141">
        <v>-2.69</v>
      </c>
      <c r="L141">
        <v>0.188</v>
      </c>
      <c r="M141">
        <v>0.19320000000000001</v>
      </c>
      <c r="N141">
        <v>0.19639999999999999</v>
      </c>
      <c r="O141">
        <v>0.18820000000000001</v>
      </c>
      <c r="P141">
        <v>0</v>
      </c>
      <c r="Q141">
        <v>0</v>
      </c>
      <c r="R141">
        <v>0</v>
      </c>
      <c r="S141">
        <v>0.1908</v>
      </c>
      <c r="T141">
        <v>0.19320000000000001</v>
      </c>
      <c r="U141">
        <v>0.18659999999999999</v>
      </c>
      <c r="V141">
        <v>0.19719999999999999</v>
      </c>
      <c r="W141">
        <v>567948</v>
      </c>
      <c r="X141">
        <v>0.18820000000000001</v>
      </c>
      <c r="Y141">
        <v>0.1888</v>
      </c>
      <c r="Z141">
        <v>189</v>
      </c>
      <c r="AA141">
        <v>489503740915</v>
      </c>
      <c r="AB141">
        <v>188</v>
      </c>
      <c r="AC141">
        <v>0</v>
      </c>
      <c r="AD141" t="s">
        <v>94</v>
      </c>
      <c r="AE141" t="s">
        <v>94</v>
      </c>
      <c r="AF141" t="s">
        <v>226</v>
      </c>
      <c r="AG141" t="s">
        <v>226</v>
      </c>
      <c r="AH141">
        <v>9</v>
      </c>
      <c r="AI141" t="s">
        <v>269</v>
      </c>
      <c r="AJ141" t="s">
        <v>270</v>
      </c>
      <c r="AK141" t="s">
        <v>271</v>
      </c>
      <c r="AL141" t="s">
        <v>272</v>
      </c>
    </row>
    <row r="142" spans="1:38">
      <c r="A142" t="s">
        <v>945</v>
      </c>
      <c r="B142" t="s">
        <v>946</v>
      </c>
      <c r="C142" t="s">
        <v>947</v>
      </c>
      <c r="D142" t="s">
        <v>948</v>
      </c>
      <c r="E142" t="s">
        <v>949</v>
      </c>
      <c r="F142" t="s">
        <v>268</v>
      </c>
      <c r="G142">
        <v>3</v>
      </c>
      <c r="H142">
        <v>10</v>
      </c>
      <c r="I142">
        <v>0.5</v>
      </c>
      <c r="J142">
        <v>124</v>
      </c>
      <c r="K142">
        <v>-0.83</v>
      </c>
      <c r="L142">
        <v>119</v>
      </c>
      <c r="M142">
        <v>120</v>
      </c>
      <c r="N142">
        <v>121</v>
      </c>
      <c r="O142">
        <v>119</v>
      </c>
      <c r="P142">
        <v>0</v>
      </c>
      <c r="Q142">
        <v>0</v>
      </c>
      <c r="R142">
        <v>0</v>
      </c>
      <c r="S142">
        <v>120</v>
      </c>
      <c r="T142">
        <v>119.5</v>
      </c>
      <c r="U142">
        <v>118.5</v>
      </c>
      <c r="V142">
        <v>121</v>
      </c>
      <c r="W142">
        <v>131880</v>
      </c>
      <c r="X142">
        <v>119</v>
      </c>
      <c r="Y142">
        <v>120.5</v>
      </c>
      <c r="Z142">
        <v>29</v>
      </c>
      <c r="AA142">
        <v>23892735</v>
      </c>
      <c r="AB142">
        <v>1190</v>
      </c>
      <c r="AC142">
        <v>0</v>
      </c>
      <c r="AD142" t="s">
        <v>94</v>
      </c>
      <c r="AE142" t="s">
        <v>94</v>
      </c>
      <c r="AF142" t="s">
        <v>226</v>
      </c>
      <c r="AG142" t="s">
        <v>226</v>
      </c>
      <c r="AH142">
        <v>9</v>
      </c>
      <c r="AI142" t="s">
        <v>269</v>
      </c>
      <c r="AJ142" t="s">
        <v>270</v>
      </c>
      <c r="AK142" t="s">
        <v>271</v>
      </c>
      <c r="AL142" t="s">
        <v>272</v>
      </c>
    </row>
    <row r="143" spans="1:38">
      <c r="A143" t="s">
        <v>950</v>
      </c>
      <c r="B143" t="s">
        <v>951</v>
      </c>
      <c r="C143" t="s">
        <v>952</v>
      </c>
      <c r="D143" t="s">
        <v>953</v>
      </c>
      <c r="E143" t="s">
        <v>954</v>
      </c>
      <c r="F143" t="s">
        <v>268</v>
      </c>
      <c r="G143">
        <v>3</v>
      </c>
      <c r="H143">
        <v>10</v>
      </c>
      <c r="I143">
        <v>0.2</v>
      </c>
      <c r="J143">
        <v>0.1</v>
      </c>
      <c r="K143">
        <v>1.19</v>
      </c>
      <c r="L143">
        <v>84.8</v>
      </c>
      <c r="M143">
        <v>83.6</v>
      </c>
      <c r="N143">
        <v>84.2</v>
      </c>
      <c r="O143">
        <v>84.8</v>
      </c>
      <c r="P143">
        <v>0</v>
      </c>
      <c r="Q143">
        <v>0</v>
      </c>
      <c r="R143">
        <v>0</v>
      </c>
      <c r="S143">
        <v>85.6</v>
      </c>
      <c r="T143">
        <v>82.8</v>
      </c>
      <c r="U143">
        <v>82.8</v>
      </c>
      <c r="V143">
        <v>87.2</v>
      </c>
      <c r="W143">
        <v>736420</v>
      </c>
      <c r="X143">
        <v>84.6</v>
      </c>
      <c r="Y143">
        <v>85.2</v>
      </c>
      <c r="Z143">
        <v>114</v>
      </c>
      <c r="AA143">
        <v>26771420</v>
      </c>
      <c r="AB143">
        <v>2544</v>
      </c>
      <c r="AC143">
        <v>0</v>
      </c>
      <c r="AD143" t="s">
        <v>94</v>
      </c>
      <c r="AE143" t="s">
        <v>94</v>
      </c>
      <c r="AF143" t="s">
        <v>226</v>
      </c>
      <c r="AG143" t="s">
        <v>226</v>
      </c>
      <c r="AH143">
        <v>9</v>
      </c>
      <c r="AI143" t="s">
        <v>269</v>
      </c>
      <c r="AJ143" t="s">
        <v>270</v>
      </c>
      <c r="AK143" t="s">
        <v>271</v>
      </c>
      <c r="AL143" t="s">
        <v>272</v>
      </c>
    </row>
    <row r="144" spans="1:38">
      <c r="A144" t="s">
        <v>955</v>
      </c>
      <c r="B144" t="s">
        <v>956</v>
      </c>
      <c r="C144" t="s">
        <v>957</v>
      </c>
      <c r="D144" t="s">
        <v>958</v>
      </c>
      <c r="E144" t="s">
        <v>959</v>
      </c>
      <c r="F144" t="s">
        <v>268</v>
      </c>
      <c r="G144">
        <v>3</v>
      </c>
      <c r="H144">
        <v>10</v>
      </c>
      <c r="I144">
        <v>0.2</v>
      </c>
      <c r="J144">
        <v>169.7</v>
      </c>
      <c r="K144">
        <v>-1</v>
      </c>
      <c r="L144">
        <v>118.8</v>
      </c>
      <c r="M144">
        <v>120</v>
      </c>
      <c r="N144">
        <v>122.6</v>
      </c>
      <c r="O144">
        <v>118.8</v>
      </c>
      <c r="P144">
        <v>0</v>
      </c>
      <c r="Q144">
        <v>0</v>
      </c>
      <c r="R144">
        <v>0</v>
      </c>
      <c r="S144">
        <v>119</v>
      </c>
      <c r="T144">
        <v>119.8</v>
      </c>
      <c r="U144">
        <v>118.4</v>
      </c>
      <c r="V144">
        <v>119.8</v>
      </c>
      <c r="W144">
        <v>20242</v>
      </c>
      <c r="X144">
        <v>118.6</v>
      </c>
      <c r="Y144">
        <v>119.8</v>
      </c>
      <c r="Z144">
        <v>9</v>
      </c>
      <c r="AA144">
        <v>16305334</v>
      </c>
      <c r="AB144">
        <v>1188</v>
      </c>
      <c r="AC144">
        <v>0</v>
      </c>
      <c r="AD144" t="s">
        <v>94</v>
      </c>
      <c r="AE144" t="s">
        <v>94</v>
      </c>
      <c r="AF144" t="s">
        <v>226</v>
      </c>
      <c r="AG144" t="s">
        <v>226</v>
      </c>
      <c r="AH144">
        <v>9</v>
      </c>
      <c r="AI144" t="s">
        <v>269</v>
      </c>
      <c r="AJ144" t="s">
        <v>270</v>
      </c>
      <c r="AK144" t="s">
        <v>271</v>
      </c>
      <c r="AL144" t="s">
        <v>272</v>
      </c>
    </row>
    <row r="145" spans="1:38">
      <c r="A145" t="s">
        <v>960</v>
      </c>
      <c r="B145" t="s">
        <v>961</v>
      </c>
      <c r="C145" t="s">
        <v>962</v>
      </c>
      <c r="D145" t="s">
        <v>963</v>
      </c>
      <c r="E145" t="s">
        <v>964</v>
      </c>
      <c r="F145" t="s">
        <v>268</v>
      </c>
      <c r="G145">
        <v>3</v>
      </c>
      <c r="H145">
        <v>10000</v>
      </c>
      <c r="I145">
        <v>2E-3</v>
      </c>
      <c r="J145">
        <v>0.49159999999999998</v>
      </c>
      <c r="K145">
        <v>3.08</v>
      </c>
      <c r="L145">
        <v>0.53600000000000003</v>
      </c>
      <c r="M145">
        <v>0.52</v>
      </c>
      <c r="N145">
        <v>0.55400000000000005</v>
      </c>
      <c r="O145">
        <v>0.53600000000000003</v>
      </c>
      <c r="P145">
        <v>0</v>
      </c>
      <c r="Q145">
        <v>0</v>
      </c>
      <c r="R145">
        <v>0</v>
      </c>
      <c r="S145">
        <v>0.53200000000000003</v>
      </c>
      <c r="T145">
        <v>0.53200000000000003</v>
      </c>
      <c r="U145">
        <v>0.53</v>
      </c>
      <c r="V145">
        <v>0.53600000000000003</v>
      </c>
      <c r="W145">
        <v>58560</v>
      </c>
      <c r="X145">
        <v>0.53</v>
      </c>
      <c r="Y145">
        <v>0.54800000000000004</v>
      </c>
      <c r="Z145">
        <v>8</v>
      </c>
      <c r="AA145">
        <v>3819315580</v>
      </c>
      <c r="AB145">
        <v>5360</v>
      </c>
      <c r="AC145">
        <v>0</v>
      </c>
      <c r="AD145" t="s">
        <v>94</v>
      </c>
      <c r="AE145" t="s">
        <v>94</v>
      </c>
      <c r="AF145" t="s">
        <v>226</v>
      </c>
      <c r="AG145" t="s">
        <v>226</v>
      </c>
      <c r="AH145">
        <v>9</v>
      </c>
      <c r="AI145" t="s">
        <v>269</v>
      </c>
      <c r="AJ145" t="s">
        <v>270</v>
      </c>
      <c r="AK145" t="s">
        <v>271</v>
      </c>
      <c r="AL145" t="s">
        <v>272</v>
      </c>
    </row>
    <row r="146" spans="1:38">
      <c r="A146" t="s">
        <v>965</v>
      </c>
      <c r="B146" t="s">
        <v>966</v>
      </c>
      <c r="C146" t="s">
        <v>967</v>
      </c>
      <c r="D146" t="s">
        <v>968</v>
      </c>
      <c r="E146" t="s">
        <v>969</v>
      </c>
      <c r="F146" t="s">
        <v>438</v>
      </c>
      <c r="G146">
        <v>3</v>
      </c>
      <c r="H146">
        <v>10000</v>
      </c>
      <c r="I146">
        <v>1E-3</v>
      </c>
      <c r="J146">
        <v>0.49159999999999998</v>
      </c>
      <c r="K146">
        <v>-0.94</v>
      </c>
      <c r="L146">
        <v>0.42099999999999999</v>
      </c>
      <c r="M146">
        <v>0.42499999999999999</v>
      </c>
      <c r="N146">
        <v>0.436</v>
      </c>
      <c r="O146">
        <v>0.42199999999999999</v>
      </c>
      <c r="P146">
        <v>0</v>
      </c>
      <c r="Q146">
        <v>0</v>
      </c>
      <c r="R146">
        <v>0</v>
      </c>
      <c r="S146">
        <v>0.42299999999999999</v>
      </c>
      <c r="T146">
        <v>0.42899999999999999</v>
      </c>
      <c r="U146">
        <v>0.42099999999999999</v>
      </c>
      <c r="V146">
        <v>0.42899999999999999</v>
      </c>
      <c r="W146">
        <v>29620</v>
      </c>
      <c r="X146">
        <v>0.42</v>
      </c>
      <c r="Y146">
        <v>0.42699999999999999</v>
      </c>
      <c r="Z146">
        <v>7</v>
      </c>
      <c r="AA146">
        <v>576693000</v>
      </c>
      <c r="AB146">
        <v>4210</v>
      </c>
      <c r="AC146">
        <v>0</v>
      </c>
      <c r="AD146" t="s">
        <v>94</v>
      </c>
      <c r="AE146" t="s">
        <v>94</v>
      </c>
      <c r="AF146" t="s">
        <v>226</v>
      </c>
      <c r="AG146" t="s">
        <v>226</v>
      </c>
      <c r="AH146">
        <v>9</v>
      </c>
      <c r="AI146" t="s">
        <v>269</v>
      </c>
      <c r="AJ146" t="s">
        <v>270</v>
      </c>
      <c r="AK146" t="s">
        <v>439</v>
      </c>
      <c r="AL146" t="s">
        <v>272</v>
      </c>
    </row>
    <row r="147" spans="1:38">
      <c r="A147" t="s">
        <v>970</v>
      </c>
      <c r="B147" t="s">
        <v>971</v>
      </c>
      <c r="C147" t="s">
        <v>972</v>
      </c>
      <c r="D147" t="s">
        <v>973</v>
      </c>
      <c r="E147" t="s">
        <v>974</v>
      </c>
      <c r="F147" t="s">
        <v>268</v>
      </c>
      <c r="G147">
        <v>3</v>
      </c>
      <c r="H147">
        <v>10</v>
      </c>
      <c r="I147">
        <v>0.2</v>
      </c>
      <c r="J147">
        <v>100</v>
      </c>
      <c r="K147">
        <v>1.67</v>
      </c>
      <c r="L147">
        <v>158</v>
      </c>
      <c r="M147">
        <v>155.4</v>
      </c>
      <c r="N147">
        <v>157.80000000000001</v>
      </c>
      <c r="O147">
        <v>158</v>
      </c>
      <c r="P147">
        <v>0</v>
      </c>
      <c r="Q147">
        <v>0</v>
      </c>
      <c r="R147">
        <v>0</v>
      </c>
      <c r="S147">
        <v>159.6</v>
      </c>
      <c r="T147">
        <v>155.19999999999999</v>
      </c>
      <c r="U147">
        <v>153.6</v>
      </c>
      <c r="V147">
        <v>166.8</v>
      </c>
      <c r="W147">
        <v>1600348</v>
      </c>
      <c r="X147">
        <v>158</v>
      </c>
      <c r="Y147">
        <v>159.4</v>
      </c>
      <c r="Z147">
        <v>236</v>
      </c>
      <c r="AA147">
        <v>398966076</v>
      </c>
      <c r="AB147">
        <v>15800</v>
      </c>
      <c r="AC147">
        <v>0</v>
      </c>
      <c r="AD147" t="s">
        <v>94</v>
      </c>
      <c r="AE147" t="s">
        <v>94</v>
      </c>
      <c r="AF147" t="s">
        <v>226</v>
      </c>
      <c r="AG147" t="s">
        <v>226</v>
      </c>
      <c r="AH147">
        <v>9</v>
      </c>
      <c r="AI147" t="s">
        <v>269</v>
      </c>
      <c r="AJ147" t="s">
        <v>270</v>
      </c>
      <c r="AK147" t="s">
        <v>271</v>
      </c>
      <c r="AL147" t="s">
        <v>272</v>
      </c>
    </row>
    <row r="148" spans="1:38">
      <c r="A148" t="s">
        <v>975</v>
      </c>
      <c r="B148" t="s">
        <v>976</v>
      </c>
      <c r="C148" t="s">
        <v>977</v>
      </c>
      <c r="D148" t="s">
        <v>978</v>
      </c>
      <c r="E148" t="s">
        <v>979</v>
      </c>
      <c r="F148" t="s">
        <v>268</v>
      </c>
      <c r="G148">
        <v>3</v>
      </c>
      <c r="H148">
        <v>100</v>
      </c>
      <c r="I148">
        <v>0.01</v>
      </c>
      <c r="J148">
        <v>1</v>
      </c>
      <c r="K148">
        <v>-0.09</v>
      </c>
      <c r="L148">
        <v>11.62</v>
      </c>
      <c r="M148">
        <v>11.63</v>
      </c>
      <c r="N148">
        <v>11.77</v>
      </c>
      <c r="O148">
        <v>11.62</v>
      </c>
      <c r="P148">
        <v>0</v>
      </c>
      <c r="Q148">
        <v>0</v>
      </c>
      <c r="R148">
        <v>0</v>
      </c>
      <c r="S148">
        <v>11.72</v>
      </c>
      <c r="T148">
        <v>11.63</v>
      </c>
      <c r="U148">
        <v>11.62</v>
      </c>
      <c r="V148">
        <v>11.84</v>
      </c>
      <c r="W148">
        <v>1055978</v>
      </c>
      <c r="X148">
        <v>11.62</v>
      </c>
      <c r="Y148">
        <v>11.66</v>
      </c>
      <c r="Z148">
        <v>129</v>
      </c>
      <c r="AA148">
        <v>8523785320</v>
      </c>
      <c r="AB148">
        <v>2324</v>
      </c>
      <c r="AC148">
        <v>0</v>
      </c>
      <c r="AD148" t="s">
        <v>94</v>
      </c>
      <c r="AE148" t="s">
        <v>94</v>
      </c>
      <c r="AF148" t="s">
        <v>226</v>
      </c>
      <c r="AG148" t="s">
        <v>226</v>
      </c>
      <c r="AH148">
        <v>9</v>
      </c>
      <c r="AI148" t="s">
        <v>269</v>
      </c>
      <c r="AJ148" t="s">
        <v>270</v>
      </c>
      <c r="AK148" t="s">
        <v>271</v>
      </c>
      <c r="AL148" t="s">
        <v>272</v>
      </c>
    </row>
    <row r="149" spans="1:38">
      <c r="A149" t="s">
        <v>980</v>
      </c>
      <c r="B149" t="s">
        <v>981</v>
      </c>
      <c r="C149" t="s">
        <v>982</v>
      </c>
      <c r="D149" t="s">
        <v>983</v>
      </c>
      <c r="E149" t="s">
        <v>984</v>
      </c>
      <c r="F149" t="s">
        <v>438</v>
      </c>
      <c r="G149">
        <v>3</v>
      </c>
      <c r="H149">
        <v>10</v>
      </c>
      <c r="I149">
        <v>0.05</v>
      </c>
      <c r="J149">
        <v>1</v>
      </c>
      <c r="K149">
        <v>0.05</v>
      </c>
      <c r="L149">
        <v>186.95</v>
      </c>
      <c r="M149">
        <v>186.85</v>
      </c>
      <c r="N149">
        <v>188.8</v>
      </c>
      <c r="O149">
        <v>186.85</v>
      </c>
      <c r="P149">
        <v>0</v>
      </c>
      <c r="Q149">
        <v>0</v>
      </c>
      <c r="R149">
        <v>0</v>
      </c>
      <c r="S149">
        <v>188.65</v>
      </c>
      <c r="T149">
        <v>187.85</v>
      </c>
      <c r="U149">
        <v>186.55</v>
      </c>
      <c r="V149">
        <v>190.85</v>
      </c>
      <c r="W149">
        <v>11478805</v>
      </c>
      <c r="X149">
        <v>186.65</v>
      </c>
      <c r="Y149">
        <v>186.95</v>
      </c>
      <c r="Z149">
        <v>1026</v>
      </c>
      <c r="AA149">
        <v>93264311</v>
      </c>
      <c r="AB149">
        <v>1869.5</v>
      </c>
      <c r="AC149">
        <v>0</v>
      </c>
      <c r="AD149" t="s">
        <v>94</v>
      </c>
      <c r="AE149" t="s">
        <v>94</v>
      </c>
      <c r="AF149" t="s">
        <v>226</v>
      </c>
      <c r="AG149" t="s">
        <v>226</v>
      </c>
      <c r="AH149">
        <v>9</v>
      </c>
      <c r="AI149" t="s">
        <v>269</v>
      </c>
      <c r="AJ149" t="s">
        <v>270</v>
      </c>
      <c r="AK149" t="s">
        <v>439</v>
      </c>
      <c r="AL149" t="s">
        <v>272</v>
      </c>
    </row>
    <row r="150" spans="1:38">
      <c r="A150" t="s">
        <v>985</v>
      </c>
      <c r="B150" t="s">
        <v>986</v>
      </c>
      <c r="C150" t="s">
        <v>987</v>
      </c>
      <c r="D150" t="s">
        <v>988</v>
      </c>
      <c r="E150" t="s">
        <v>989</v>
      </c>
      <c r="F150" t="s">
        <v>268</v>
      </c>
      <c r="G150">
        <v>2</v>
      </c>
      <c r="H150">
        <v>1000</v>
      </c>
      <c r="I150">
        <v>5.0000000000000001E-4</v>
      </c>
      <c r="J150">
        <v>0.5</v>
      </c>
      <c r="K150">
        <v>-1.42</v>
      </c>
      <c r="L150">
        <v>1.0745</v>
      </c>
      <c r="M150">
        <v>1.0900000000000001</v>
      </c>
      <c r="N150">
        <v>1.0905</v>
      </c>
      <c r="O150">
        <v>1.0714999999999999</v>
      </c>
      <c r="P150">
        <v>0</v>
      </c>
      <c r="Q150">
        <v>0</v>
      </c>
      <c r="R150">
        <v>0</v>
      </c>
      <c r="S150">
        <v>1.0925</v>
      </c>
      <c r="T150">
        <v>1.0905</v>
      </c>
      <c r="U150">
        <v>1.07</v>
      </c>
      <c r="V150">
        <v>1.1200000000000001</v>
      </c>
      <c r="W150">
        <v>7923647</v>
      </c>
      <c r="X150">
        <v>1.0720000000000001</v>
      </c>
      <c r="Y150">
        <v>1.0760000000000001</v>
      </c>
      <c r="Z150">
        <v>471</v>
      </c>
      <c r="AA150">
        <v>48707091574</v>
      </c>
      <c r="AB150">
        <v>1074.5</v>
      </c>
      <c r="AC150">
        <v>0</v>
      </c>
      <c r="AD150" t="s">
        <v>94</v>
      </c>
      <c r="AE150" t="s">
        <v>94</v>
      </c>
      <c r="AF150" t="s">
        <v>226</v>
      </c>
      <c r="AG150" t="s">
        <v>226</v>
      </c>
      <c r="AH150">
        <v>-100</v>
      </c>
      <c r="AI150" t="s">
        <v>269</v>
      </c>
      <c r="AJ150" t="s">
        <v>270</v>
      </c>
      <c r="AK150" t="s">
        <v>271</v>
      </c>
      <c r="AL150" t="s">
        <v>272</v>
      </c>
    </row>
    <row r="151" spans="1:38">
      <c r="A151" t="s">
        <v>990</v>
      </c>
      <c r="B151" t="s">
        <v>991</v>
      </c>
      <c r="C151" t="s">
        <v>992</v>
      </c>
      <c r="D151" t="s">
        <v>993</v>
      </c>
      <c r="E151" t="s">
        <v>994</v>
      </c>
      <c r="F151" t="s">
        <v>268</v>
      </c>
      <c r="G151">
        <v>2</v>
      </c>
      <c r="H151">
        <v>10000</v>
      </c>
      <c r="I151">
        <v>5.0000000000000002E-5</v>
      </c>
      <c r="J151">
        <v>0.1</v>
      </c>
      <c r="K151">
        <v>-2.5099999999999998</v>
      </c>
      <c r="L151">
        <v>4.4749999999999998E-2</v>
      </c>
      <c r="M151">
        <v>4.5900000000000003E-2</v>
      </c>
      <c r="N151">
        <v>4.7E-2</v>
      </c>
      <c r="O151">
        <v>4.48E-2</v>
      </c>
      <c r="P151">
        <v>0</v>
      </c>
      <c r="Q151">
        <v>0</v>
      </c>
      <c r="R151">
        <v>0</v>
      </c>
      <c r="S151">
        <v>4.555E-2</v>
      </c>
      <c r="T151">
        <v>4.5900000000000003E-2</v>
      </c>
      <c r="U151">
        <v>4.4249999999999998E-2</v>
      </c>
      <c r="V151">
        <v>4.6350000000000002E-2</v>
      </c>
      <c r="W151">
        <v>5258765</v>
      </c>
      <c r="X151">
        <v>4.4749999999999998E-2</v>
      </c>
      <c r="Y151">
        <v>4.48E-2</v>
      </c>
      <c r="Z151">
        <v>644</v>
      </c>
      <c r="AA151">
        <v>95785923138</v>
      </c>
      <c r="AB151">
        <v>1342.5</v>
      </c>
      <c r="AC151">
        <v>0</v>
      </c>
      <c r="AD151" t="s">
        <v>94</v>
      </c>
      <c r="AE151" t="s">
        <v>94</v>
      </c>
      <c r="AF151" t="s">
        <v>226</v>
      </c>
      <c r="AG151" t="s">
        <v>226</v>
      </c>
      <c r="AH151">
        <v>-100</v>
      </c>
      <c r="AI151" t="s">
        <v>269</v>
      </c>
      <c r="AJ151" t="s">
        <v>270</v>
      </c>
      <c r="AK151" t="s">
        <v>271</v>
      </c>
      <c r="AL151" t="s">
        <v>272</v>
      </c>
    </row>
    <row r="152" spans="1:38">
      <c r="A152" t="s">
        <v>995</v>
      </c>
      <c r="B152" t="s">
        <v>996</v>
      </c>
      <c r="C152" t="s">
        <v>997</v>
      </c>
      <c r="D152" t="s">
        <v>998</v>
      </c>
      <c r="E152" t="s">
        <v>999</v>
      </c>
      <c r="F152" t="s">
        <v>268</v>
      </c>
      <c r="G152">
        <v>2</v>
      </c>
      <c r="H152">
        <v>10000</v>
      </c>
      <c r="I152">
        <v>1E-4</v>
      </c>
      <c r="J152">
        <v>0.1</v>
      </c>
      <c r="K152">
        <v>0.06</v>
      </c>
      <c r="L152">
        <v>0.32429999999999998</v>
      </c>
      <c r="M152">
        <v>0.3241</v>
      </c>
      <c r="N152">
        <v>0.32569999999999999</v>
      </c>
      <c r="O152">
        <v>0.32569999999999999</v>
      </c>
      <c r="P152">
        <v>0</v>
      </c>
      <c r="Q152">
        <v>0</v>
      </c>
      <c r="R152">
        <v>0</v>
      </c>
      <c r="S152">
        <v>0.3251</v>
      </c>
      <c r="T152">
        <v>0.3241</v>
      </c>
      <c r="U152">
        <v>0.3221</v>
      </c>
      <c r="V152">
        <v>0.32850000000000001</v>
      </c>
      <c r="W152">
        <v>21813736</v>
      </c>
      <c r="X152">
        <v>0.32440000000000002</v>
      </c>
      <c r="Y152">
        <v>0.32469999999999999</v>
      </c>
      <c r="Z152">
        <v>2547</v>
      </c>
      <c r="AA152">
        <v>112697817043</v>
      </c>
      <c r="AB152">
        <v>19458</v>
      </c>
      <c r="AC152">
        <v>0</v>
      </c>
      <c r="AD152" t="s">
        <v>94</v>
      </c>
      <c r="AE152" t="s">
        <v>94</v>
      </c>
      <c r="AF152" t="s">
        <v>226</v>
      </c>
      <c r="AG152" t="s">
        <v>226</v>
      </c>
      <c r="AH152">
        <v>-100</v>
      </c>
      <c r="AI152" t="s">
        <v>269</v>
      </c>
      <c r="AJ152" t="s">
        <v>270</v>
      </c>
      <c r="AK152" t="s">
        <v>271</v>
      </c>
      <c r="AL152" t="s">
        <v>272</v>
      </c>
    </row>
    <row r="153" spans="1:38">
      <c r="A153" t="s">
        <v>1000</v>
      </c>
      <c r="B153" t="s">
        <v>1001</v>
      </c>
      <c r="C153" t="s">
        <v>1002</v>
      </c>
      <c r="D153" t="s">
        <v>1003</v>
      </c>
      <c r="E153" t="s">
        <v>1004</v>
      </c>
      <c r="F153" t="s">
        <v>268</v>
      </c>
      <c r="G153">
        <v>1</v>
      </c>
      <c r="H153">
        <v>10</v>
      </c>
      <c r="I153">
        <v>5.0000000000000001E-3</v>
      </c>
      <c r="J153">
        <v>0.65651700000000002</v>
      </c>
      <c r="K153">
        <v>-3.62</v>
      </c>
      <c r="L153">
        <v>34.234999999999999</v>
      </c>
      <c r="M153">
        <v>35.384999999999998</v>
      </c>
      <c r="N153">
        <v>35.33</v>
      </c>
      <c r="O153">
        <v>34.17</v>
      </c>
      <c r="P153">
        <v>0</v>
      </c>
      <c r="Q153">
        <v>0</v>
      </c>
      <c r="R153">
        <v>0</v>
      </c>
      <c r="S153">
        <v>34.82</v>
      </c>
      <c r="T153">
        <v>35.384999999999998</v>
      </c>
      <c r="U153">
        <v>34.075000000000003</v>
      </c>
      <c r="V153">
        <v>35.65</v>
      </c>
      <c r="W153">
        <v>459141271</v>
      </c>
      <c r="X153">
        <v>34.234999999999999</v>
      </c>
      <c r="Y153">
        <v>34.244999999999997</v>
      </c>
      <c r="Z153">
        <v>15274</v>
      </c>
      <c r="AA153">
        <v>15193014862</v>
      </c>
      <c r="AB153">
        <v>1027.05</v>
      </c>
      <c r="AC153">
        <v>0</v>
      </c>
      <c r="AD153" t="s">
        <v>94</v>
      </c>
      <c r="AE153" t="s">
        <v>94</v>
      </c>
      <c r="AF153" t="s">
        <v>226</v>
      </c>
      <c r="AG153" t="s">
        <v>226</v>
      </c>
      <c r="AH153">
        <v>-100</v>
      </c>
      <c r="AI153" t="s">
        <v>269</v>
      </c>
      <c r="AJ153" t="s">
        <v>270</v>
      </c>
      <c r="AK153" t="s">
        <v>271</v>
      </c>
      <c r="AL153" t="s">
        <v>272</v>
      </c>
    </row>
    <row r="154" spans="1:38">
      <c r="A154" t="s">
        <v>1005</v>
      </c>
      <c r="B154" t="s">
        <v>1006</v>
      </c>
      <c r="C154" t="s">
        <v>1007</v>
      </c>
      <c r="D154" t="s">
        <v>1008</v>
      </c>
      <c r="E154" t="s">
        <v>1009</v>
      </c>
      <c r="F154" t="s">
        <v>268</v>
      </c>
      <c r="G154">
        <v>2</v>
      </c>
      <c r="H154">
        <v>10</v>
      </c>
      <c r="I154">
        <v>0.05</v>
      </c>
      <c r="J154">
        <v>4.0000000000000001E-3</v>
      </c>
      <c r="K154">
        <v>-1.55</v>
      </c>
      <c r="L154">
        <v>248.1</v>
      </c>
      <c r="M154">
        <v>255.65</v>
      </c>
      <c r="N154">
        <v>259.60000000000002</v>
      </c>
      <c r="O154">
        <v>248.05</v>
      </c>
      <c r="P154">
        <v>0</v>
      </c>
      <c r="Q154">
        <v>0</v>
      </c>
      <c r="R154">
        <v>0</v>
      </c>
      <c r="S154">
        <v>251.45</v>
      </c>
      <c r="T154">
        <v>250</v>
      </c>
      <c r="U154">
        <v>247.45</v>
      </c>
      <c r="V154">
        <v>256.5</v>
      </c>
      <c r="W154">
        <v>85566255</v>
      </c>
      <c r="X154">
        <v>248.05</v>
      </c>
      <c r="Y154">
        <v>248.1</v>
      </c>
      <c r="Z154">
        <v>2745</v>
      </c>
      <c r="AA154">
        <v>665733918</v>
      </c>
      <c r="AB154">
        <v>2481</v>
      </c>
      <c r="AC154">
        <v>0</v>
      </c>
      <c r="AD154" t="s">
        <v>94</v>
      </c>
      <c r="AE154" t="s">
        <v>94</v>
      </c>
      <c r="AF154" t="s">
        <v>226</v>
      </c>
      <c r="AG154" t="s">
        <v>226</v>
      </c>
      <c r="AH154">
        <v>-100</v>
      </c>
      <c r="AI154" t="s">
        <v>269</v>
      </c>
      <c r="AJ154" t="s">
        <v>270</v>
      </c>
      <c r="AK154" t="s">
        <v>271</v>
      </c>
      <c r="AL154" t="s">
        <v>272</v>
      </c>
    </row>
    <row r="155" spans="1:38">
      <c r="A155" t="s">
        <v>1010</v>
      </c>
      <c r="B155" t="s">
        <v>1011</v>
      </c>
      <c r="C155" t="s">
        <v>1012</v>
      </c>
      <c r="D155" t="s">
        <v>1013</v>
      </c>
      <c r="E155" t="s">
        <v>1014</v>
      </c>
      <c r="F155" t="s">
        <v>268</v>
      </c>
      <c r="G155">
        <v>1</v>
      </c>
      <c r="H155">
        <v>10</v>
      </c>
      <c r="I155">
        <v>0.02</v>
      </c>
      <c r="J155">
        <v>9.8800000000000008</v>
      </c>
      <c r="K155">
        <v>0.23</v>
      </c>
      <c r="L155">
        <v>96.42</v>
      </c>
      <c r="M155">
        <v>96.2</v>
      </c>
      <c r="N155">
        <v>96.56</v>
      </c>
      <c r="O155">
        <v>96.28</v>
      </c>
      <c r="P155">
        <v>0</v>
      </c>
      <c r="Q155">
        <v>0</v>
      </c>
      <c r="R155">
        <v>0</v>
      </c>
      <c r="S155">
        <v>96.76</v>
      </c>
      <c r="T155">
        <v>96</v>
      </c>
      <c r="U155">
        <v>95.46</v>
      </c>
      <c r="V155">
        <v>98</v>
      </c>
      <c r="W155">
        <v>33006038</v>
      </c>
      <c r="X155">
        <v>96.26</v>
      </c>
      <c r="Y155">
        <v>96.42</v>
      </c>
      <c r="Z155">
        <v>2923</v>
      </c>
      <c r="AA155">
        <v>556952780</v>
      </c>
      <c r="AB155">
        <v>75207.600000000006</v>
      </c>
      <c r="AC155">
        <v>0</v>
      </c>
      <c r="AD155" t="s">
        <v>94</v>
      </c>
      <c r="AE155" t="s">
        <v>94</v>
      </c>
      <c r="AF155" t="s">
        <v>226</v>
      </c>
      <c r="AG155" t="s">
        <v>226</v>
      </c>
      <c r="AH155">
        <v>-100</v>
      </c>
      <c r="AI155" t="s">
        <v>269</v>
      </c>
      <c r="AJ155" t="s">
        <v>270</v>
      </c>
      <c r="AK155" t="s">
        <v>271</v>
      </c>
      <c r="AL155" t="s">
        <v>272</v>
      </c>
    </row>
    <row r="156" spans="1:38">
      <c r="A156" t="s">
        <v>1015</v>
      </c>
      <c r="B156" t="s">
        <v>1016</v>
      </c>
      <c r="C156" t="s">
        <v>1017</v>
      </c>
      <c r="D156" t="s">
        <v>1018</v>
      </c>
      <c r="E156" t="s">
        <v>1019</v>
      </c>
      <c r="F156" t="s">
        <v>268</v>
      </c>
      <c r="G156">
        <v>3</v>
      </c>
      <c r="H156">
        <v>10</v>
      </c>
      <c r="I156">
        <v>0.2</v>
      </c>
      <c r="J156">
        <v>10</v>
      </c>
      <c r="K156">
        <v>0</v>
      </c>
      <c r="L156">
        <v>0</v>
      </c>
      <c r="M156">
        <v>122.4</v>
      </c>
      <c r="N156">
        <v>122.4</v>
      </c>
      <c r="O156">
        <v>122.4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1551401853</v>
      </c>
      <c r="AB156">
        <v>0</v>
      </c>
      <c r="AC156">
        <v>0</v>
      </c>
      <c r="AD156" t="s">
        <v>94</v>
      </c>
      <c r="AE156" t="s">
        <v>94</v>
      </c>
      <c r="AF156" t="s">
        <v>226</v>
      </c>
      <c r="AG156" t="s">
        <v>226</v>
      </c>
      <c r="AH156">
        <v>9</v>
      </c>
      <c r="AI156" t="s">
        <v>269</v>
      </c>
      <c r="AJ156" t="s">
        <v>270</v>
      </c>
      <c r="AK156" t="s">
        <v>271</v>
      </c>
      <c r="AL156" t="s">
        <v>1020</v>
      </c>
    </row>
    <row r="157" spans="1:38">
      <c r="A157" t="s">
        <v>1021</v>
      </c>
      <c r="B157" t="s">
        <v>1022</v>
      </c>
      <c r="C157" t="s">
        <v>1023</v>
      </c>
      <c r="D157" t="s">
        <v>1024</v>
      </c>
      <c r="E157" t="s">
        <v>1025</v>
      </c>
      <c r="F157" t="s">
        <v>268</v>
      </c>
      <c r="G157">
        <v>1</v>
      </c>
      <c r="H157">
        <v>1</v>
      </c>
      <c r="I157">
        <v>0.05</v>
      </c>
      <c r="J157">
        <v>0.01</v>
      </c>
      <c r="K157">
        <v>-0.97</v>
      </c>
      <c r="L157">
        <v>485.75</v>
      </c>
      <c r="M157">
        <v>489.8</v>
      </c>
      <c r="N157">
        <v>488.15</v>
      </c>
      <c r="O157">
        <v>484.35</v>
      </c>
      <c r="P157">
        <v>0</v>
      </c>
      <c r="Q157">
        <v>0</v>
      </c>
      <c r="R157">
        <v>0</v>
      </c>
      <c r="S157">
        <v>490.4</v>
      </c>
      <c r="T157">
        <v>490.7</v>
      </c>
      <c r="U157">
        <v>482.3</v>
      </c>
      <c r="V157">
        <v>496.8</v>
      </c>
      <c r="W157">
        <v>1770552424</v>
      </c>
      <c r="X157">
        <v>485.65</v>
      </c>
      <c r="Y157">
        <v>485.75</v>
      </c>
      <c r="Z157">
        <v>52590</v>
      </c>
      <c r="AA157">
        <v>10598177817</v>
      </c>
      <c r="AB157">
        <v>971.5</v>
      </c>
      <c r="AC157">
        <v>0</v>
      </c>
      <c r="AD157" t="s">
        <v>94</v>
      </c>
      <c r="AE157" t="s">
        <v>94</v>
      </c>
      <c r="AF157" t="s">
        <v>226</v>
      </c>
      <c r="AG157" t="s">
        <v>226</v>
      </c>
      <c r="AH157">
        <v>-100</v>
      </c>
      <c r="AI157" t="s">
        <v>269</v>
      </c>
      <c r="AJ157" t="s">
        <v>270</v>
      </c>
      <c r="AK157" t="s">
        <v>271</v>
      </c>
      <c r="AL157" t="s">
        <v>272</v>
      </c>
    </row>
    <row r="158" spans="1:38">
      <c r="A158" t="s">
        <v>1026</v>
      </c>
      <c r="B158" t="s">
        <v>1027</v>
      </c>
      <c r="C158" t="s">
        <v>1028</v>
      </c>
      <c r="D158" t="s">
        <v>1029</v>
      </c>
      <c r="E158" t="s">
        <v>1030</v>
      </c>
      <c r="F158" t="s">
        <v>268</v>
      </c>
      <c r="G158">
        <v>2</v>
      </c>
      <c r="H158">
        <v>1000</v>
      </c>
      <c r="I158">
        <v>2.0000000000000001E-4</v>
      </c>
      <c r="J158">
        <v>0.1</v>
      </c>
      <c r="K158">
        <v>-2.2000000000000002</v>
      </c>
      <c r="L158">
        <v>0.42699999999999999</v>
      </c>
      <c r="M158">
        <v>0.43659999999999999</v>
      </c>
      <c r="N158">
        <v>0.43859999999999999</v>
      </c>
      <c r="O158">
        <v>0.42720000000000002</v>
      </c>
      <c r="P158">
        <v>0</v>
      </c>
      <c r="Q158">
        <v>0</v>
      </c>
      <c r="R158">
        <v>0</v>
      </c>
      <c r="S158">
        <v>0.42799999999999999</v>
      </c>
      <c r="T158">
        <v>0.43959999999999999</v>
      </c>
      <c r="U158">
        <v>0.42199999999999999</v>
      </c>
      <c r="V158">
        <v>0.44700000000000001</v>
      </c>
      <c r="W158">
        <v>25047985</v>
      </c>
      <c r="X158">
        <v>0.42659999999999998</v>
      </c>
      <c r="Y158">
        <v>0.4284</v>
      </c>
      <c r="Z158">
        <v>1779</v>
      </c>
      <c r="AA158">
        <v>42217941468</v>
      </c>
      <c r="AB158">
        <v>2562</v>
      </c>
      <c r="AC158">
        <v>0</v>
      </c>
      <c r="AD158" t="s">
        <v>94</v>
      </c>
      <c r="AE158" t="s">
        <v>94</v>
      </c>
      <c r="AF158" t="s">
        <v>226</v>
      </c>
      <c r="AG158" t="s">
        <v>226</v>
      </c>
      <c r="AH158">
        <v>-100</v>
      </c>
      <c r="AI158" t="s">
        <v>269</v>
      </c>
      <c r="AJ158" t="s">
        <v>270</v>
      </c>
      <c r="AK158" t="s">
        <v>271</v>
      </c>
      <c r="AL158" t="s">
        <v>272</v>
      </c>
    </row>
    <row r="159" spans="1:38">
      <c r="A159" t="s">
        <v>1031</v>
      </c>
      <c r="B159" t="s">
        <v>1032</v>
      </c>
      <c r="C159" t="s">
        <v>1033</v>
      </c>
      <c r="D159" t="s">
        <v>1034</v>
      </c>
      <c r="E159" t="s">
        <v>1035</v>
      </c>
      <c r="F159" t="s">
        <v>268</v>
      </c>
      <c r="G159">
        <v>3</v>
      </c>
      <c r="H159">
        <v>10000</v>
      </c>
      <c r="I159">
        <v>5.0000000000000002E-5</v>
      </c>
      <c r="J159">
        <v>0.1</v>
      </c>
      <c r="K159">
        <v>-0.69</v>
      </c>
      <c r="L159">
        <v>5.015E-2</v>
      </c>
      <c r="M159">
        <v>5.0500000000000003E-2</v>
      </c>
      <c r="N159">
        <v>5.2449999999999997E-2</v>
      </c>
      <c r="O159">
        <v>5.0099999999999999E-2</v>
      </c>
      <c r="P159">
        <v>0</v>
      </c>
      <c r="Q159">
        <v>0</v>
      </c>
      <c r="R159">
        <v>0</v>
      </c>
      <c r="S159">
        <v>5.0750000000000003E-2</v>
      </c>
      <c r="T159">
        <v>5.1650000000000001E-2</v>
      </c>
      <c r="U159">
        <v>4.965E-2</v>
      </c>
      <c r="V159">
        <v>5.21E-2</v>
      </c>
      <c r="W159">
        <v>855922</v>
      </c>
      <c r="X159">
        <v>0.05</v>
      </c>
      <c r="Y159">
        <v>5.015E-2</v>
      </c>
      <c r="Z159">
        <v>244</v>
      </c>
      <c r="AA159">
        <v>151641426354</v>
      </c>
      <c r="AB159">
        <v>501.5</v>
      </c>
      <c r="AC159">
        <v>0</v>
      </c>
      <c r="AD159" t="s">
        <v>94</v>
      </c>
      <c r="AE159" t="s">
        <v>94</v>
      </c>
      <c r="AF159" t="s">
        <v>226</v>
      </c>
      <c r="AG159" t="s">
        <v>226</v>
      </c>
      <c r="AH159">
        <v>9</v>
      </c>
      <c r="AI159" t="s">
        <v>269</v>
      </c>
      <c r="AJ159" t="s">
        <v>270</v>
      </c>
      <c r="AK159" t="s">
        <v>271</v>
      </c>
      <c r="AL159" t="s">
        <v>272</v>
      </c>
    </row>
    <row r="160" spans="1:38">
      <c r="A160" t="s">
        <v>1036</v>
      </c>
      <c r="B160" t="s">
        <v>1037</v>
      </c>
      <c r="C160" t="s">
        <v>1038</v>
      </c>
      <c r="D160" t="s">
        <v>1039</v>
      </c>
      <c r="E160" t="s">
        <v>1040</v>
      </c>
      <c r="F160" t="s">
        <v>268</v>
      </c>
      <c r="G160">
        <v>1</v>
      </c>
      <c r="H160">
        <v>10000</v>
      </c>
      <c r="I160">
        <v>2.0000000000000002E-5</v>
      </c>
      <c r="J160">
        <v>0.5</v>
      </c>
      <c r="K160">
        <v>-1.29</v>
      </c>
      <c r="L160">
        <v>6.7400000000000002E-2</v>
      </c>
      <c r="M160">
        <v>6.8599999999999994E-2</v>
      </c>
      <c r="N160">
        <v>6.9559999999999997E-2</v>
      </c>
      <c r="O160">
        <v>6.7159999999999997E-2</v>
      </c>
      <c r="P160">
        <v>0</v>
      </c>
      <c r="Q160">
        <v>0</v>
      </c>
      <c r="R160">
        <v>0</v>
      </c>
      <c r="S160">
        <v>6.8360000000000004E-2</v>
      </c>
      <c r="T160">
        <v>6.8099999999999994E-2</v>
      </c>
      <c r="U160">
        <v>6.694E-2</v>
      </c>
      <c r="V160">
        <v>6.9500000000000006E-2</v>
      </c>
      <c r="W160">
        <v>124962599</v>
      </c>
      <c r="X160">
        <v>6.7339999999999997E-2</v>
      </c>
      <c r="Y160">
        <v>6.7400000000000002E-2</v>
      </c>
      <c r="Z160">
        <v>6431</v>
      </c>
      <c r="AA160">
        <v>2113460101477</v>
      </c>
      <c r="AB160">
        <v>10110</v>
      </c>
      <c r="AC160">
        <v>0</v>
      </c>
      <c r="AD160" t="s">
        <v>94</v>
      </c>
      <c r="AE160" t="s">
        <v>94</v>
      </c>
      <c r="AF160" t="s">
        <v>226</v>
      </c>
      <c r="AG160" t="s">
        <v>226</v>
      </c>
      <c r="AH160">
        <v>-100</v>
      </c>
      <c r="AI160" t="s">
        <v>269</v>
      </c>
      <c r="AJ160" t="s">
        <v>270</v>
      </c>
      <c r="AK160" t="s">
        <v>271</v>
      </c>
      <c r="AL160" t="s">
        <v>272</v>
      </c>
    </row>
    <row r="161" spans="1:38">
      <c r="A161" t="s">
        <v>1041</v>
      </c>
      <c r="B161" t="s">
        <v>1042</v>
      </c>
      <c r="C161" t="s">
        <v>1043</v>
      </c>
      <c r="D161" t="s">
        <v>1044</v>
      </c>
      <c r="E161" t="s">
        <v>1045</v>
      </c>
      <c r="F161" t="s">
        <v>268</v>
      </c>
      <c r="G161">
        <v>3</v>
      </c>
      <c r="H161">
        <v>10</v>
      </c>
      <c r="I161">
        <v>0.02</v>
      </c>
      <c r="J161">
        <v>1</v>
      </c>
      <c r="K161">
        <v>0.25</v>
      </c>
      <c r="L161">
        <v>16</v>
      </c>
      <c r="M161">
        <v>15.88</v>
      </c>
      <c r="N161">
        <v>15.96</v>
      </c>
      <c r="O161">
        <v>15.98</v>
      </c>
      <c r="P161">
        <v>0</v>
      </c>
      <c r="Q161">
        <v>0</v>
      </c>
      <c r="R161">
        <v>0</v>
      </c>
      <c r="S161">
        <v>15.92</v>
      </c>
      <c r="T161">
        <v>16.02</v>
      </c>
      <c r="U161">
        <v>15.8</v>
      </c>
      <c r="V161">
        <v>16.04</v>
      </c>
      <c r="W161">
        <v>89322</v>
      </c>
      <c r="X161">
        <v>15.82</v>
      </c>
      <c r="Y161">
        <v>16</v>
      </c>
      <c r="Z161">
        <v>65</v>
      </c>
      <c r="AA161">
        <v>2093354170</v>
      </c>
      <c r="AB161">
        <v>160</v>
      </c>
      <c r="AC161">
        <v>0</v>
      </c>
      <c r="AD161" t="s">
        <v>94</v>
      </c>
      <c r="AE161" t="s">
        <v>94</v>
      </c>
      <c r="AF161" t="s">
        <v>226</v>
      </c>
      <c r="AG161" t="s">
        <v>226</v>
      </c>
      <c r="AH161">
        <v>9</v>
      </c>
      <c r="AI161" t="s">
        <v>269</v>
      </c>
      <c r="AJ161" t="s">
        <v>270</v>
      </c>
      <c r="AK161" t="s">
        <v>271</v>
      </c>
      <c r="AL161" t="s">
        <v>272</v>
      </c>
    </row>
    <row r="162" spans="1:38">
      <c r="A162" t="s">
        <v>1046</v>
      </c>
      <c r="B162" t="s">
        <v>1047</v>
      </c>
      <c r="C162" t="s">
        <v>1048</v>
      </c>
      <c r="D162" t="s">
        <v>1049</v>
      </c>
      <c r="E162" t="s">
        <v>1050</v>
      </c>
      <c r="F162" t="s">
        <v>268</v>
      </c>
      <c r="G162">
        <v>2</v>
      </c>
      <c r="H162">
        <v>10000</v>
      </c>
      <c r="I162">
        <v>2.0000000000000001E-4</v>
      </c>
      <c r="J162">
        <v>0.1</v>
      </c>
      <c r="K162">
        <v>-1.54</v>
      </c>
      <c r="L162">
        <v>0.29399999999999998</v>
      </c>
      <c r="M162">
        <v>0.29859999999999998</v>
      </c>
      <c r="N162">
        <v>0.29799999999999999</v>
      </c>
      <c r="O162">
        <v>0.29339999999999999</v>
      </c>
      <c r="P162">
        <v>0</v>
      </c>
      <c r="Q162">
        <v>0</v>
      </c>
      <c r="R162">
        <v>0</v>
      </c>
      <c r="S162">
        <v>0.29799999999999999</v>
      </c>
      <c r="T162">
        <v>0.29780000000000001</v>
      </c>
      <c r="U162">
        <v>0.29299999999999998</v>
      </c>
      <c r="V162">
        <v>0.30080000000000001</v>
      </c>
      <c r="W162">
        <v>2982750</v>
      </c>
      <c r="X162">
        <v>0.29320000000000002</v>
      </c>
      <c r="Y162">
        <v>0.29380000000000001</v>
      </c>
      <c r="Z162">
        <v>307</v>
      </c>
      <c r="AA162">
        <v>87430485711</v>
      </c>
      <c r="AB162">
        <v>2940</v>
      </c>
      <c r="AC162">
        <v>0</v>
      </c>
      <c r="AD162" t="s">
        <v>94</v>
      </c>
      <c r="AE162" t="s">
        <v>94</v>
      </c>
      <c r="AF162" t="s">
        <v>226</v>
      </c>
      <c r="AG162" t="s">
        <v>226</v>
      </c>
      <c r="AH162">
        <v>-100</v>
      </c>
      <c r="AI162" t="s">
        <v>269</v>
      </c>
      <c r="AJ162" t="s">
        <v>270</v>
      </c>
      <c r="AK162" t="s">
        <v>271</v>
      </c>
      <c r="AL162" t="s">
        <v>272</v>
      </c>
    </row>
    <row r="163" spans="1:38">
      <c r="A163" t="s">
        <v>1051</v>
      </c>
      <c r="B163" t="s">
        <v>1052</v>
      </c>
      <c r="C163" t="s">
        <v>1053</v>
      </c>
      <c r="D163" t="s">
        <v>109</v>
      </c>
      <c r="E163" t="s">
        <v>110</v>
      </c>
      <c r="F163" t="s">
        <v>268</v>
      </c>
      <c r="G163">
        <v>1</v>
      </c>
      <c r="H163">
        <v>10</v>
      </c>
      <c r="I163">
        <v>0.01</v>
      </c>
      <c r="J163">
        <v>2.5000000000000001E-3</v>
      </c>
      <c r="K163">
        <v>-1.01</v>
      </c>
      <c r="L163">
        <v>52.67</v>
      </c>
      <c r="M163">
        <v>53.83</v>
      </c>
      <c r="N163">
        <v>54.09</v>
      </c>
      <c r="O163">
        <v>52.6</v>
      </c>
      <c r="P163">
        <v>0</v>
      </c>
      <c r="Q163">
        <v>0</v>
      </c>
      <c r="R163">
        <v>0</v>
      </c>
      <c r="S163">
        <v>53.57</v>
      </c>
      <c r="T163">
        <v>53.5</v>
      </c>
      <c r="U163">
        <v>52.43</v>
      </c>
      <c r="V163">
        <v>54.75</v>
      </c>
      <c r="W163">
        <v>245204189</v>
      </c>
      <c r="X163">
        <v>52.67</v>
      </c>
      <c r="Y163">
        <v>52.69</v>
      </c>
      <c r="Z163">
        <v>9794</v>
      </c>
      <c r="AA163">
        <v>3282997929</v>
      </c>
      <c r="AB163">
        <v>2106.8000000000002</v>
      </c>
      <c r="AC163">
        <v>0</v>
      </c>
      <c r="AD163" t="s">
        <v>94</v>
      </c>
      <c r="AE163" t="s">
        <v>94</v>
      </c>
      <c r="AF163" t="s">
        <v>226</v>
      </c>
      <c r="AG163" t="s">
        <v>226</v>
      </c>
      <c r="AH163">
        <v>-100</v>
      </c>
      <c r="AI163" t="s">
        <v>269</v>
      </c>
      <c r="AJ163" t="s">
        <v>270</v>
      </c>
      <c r="AK163" t="s">
        <v>271</v>
      </c>
      <c r="AL163" t="s">
        <v>272</v>
      </c>
    </row>
    <row r="164" spans="1:38">
      <c r="A164" t="s">
        <v>1054</v>
      </c>
      <c r="B164" t="s">
        <v>1055</v>
      </c>
      <c r="C164" t="s">
        <v>1056</v>
      </c>
      <c r="D164" t="s">
        <v>1057</v>
      </c>
      <c r="E164" t="s">
        <v>1058</v>
      </c>
      <c r="F164" t="s">
        <v>438</v>
      </c>
      <c r="G164">
        <v>1</v>
      </c>
      <c r="H164">
        <v>10</v>
      </c>
      <c r="I164">
        <v>0.05</v>
      </c>
      <c r="J164">
        <v>2.5000000000000001E-3</v>
      </c>
      <c r="K164">
        <v>-1.34</v>
      </c>
      <c r="L164">
        <v>47.9</v>
      </c>
      <c r="M164">
        <v>48.9</v>
      </c>
      <c r="N164">
        <v>49.4</v>
      </c>
      <c r="O164">
        <v>47.75</v>
      </c>
      <c r="P164">
        <v>0</v>
      </c>
      <c r="Q164">
        <v>0</v>
      </c>
      <c r="R164">
        <v>0</v>
      </c>
      <c r="S164">
        <v>48.75</v>
      </c>
      <c r="T164">
        <v>50.1</v>
      </c>
      <c r="U164">
        <v>47.65</v>
      </c>
      <c r="V164">
        <v>50.1</v>
      </c>
      <c r="W164">
        <v>58039264</v>
      </c>
      <c r="X164">
        <v>47.85</v>
      </c>
      <c r="Y164">
        <v>47.9</v>
      </c>
      <c r="Z164">
        <v>4119</v>
      </c>
      <c r="AA164">
        <v>209565147</v>
      </c>
      <c r="AB164">
        <v>958</v>
      </c>
      <c r="AC164">
        <v>0</v>
      </c>
      <c r="AD164" t="s">
        <v>94</v>
      </c>
      <c r="AE164" t="s">
        <v>94</v>
      </c>
      <c r="AF164" t="s">
        <v>226</v>
      </c>
      <c r="AG164" t="s">
        <v>226</v>
      </c>
      <c r="AH164">
        <v>-100</v>
      </c>
      <c r="AI164" t="s">
        <v>269</v>
      </c>
      <c r="AJ164" t="s">
        <v>270</v>
      </c>
      <c r="AK164" t="s">
        <v>439</v>
      </c>
      <c r="AL164" t="s">
        <v>272</v>
      </c>
    </row>
    <row r="165" spans="1:38">
      <c r="A165" t="s">
        <v>1059</v>
      </c>
      <c r="B165" t="s">
        <v>1060</v>
      </c>
      <c r="C165" t="s">
        <v>1061</v>
      </c>
      <c r="D165" t="s">
        <v>1062</v>
      </c>
      <c r="E165" t="s">
        <v>1063</v>
      </c>
      <c r="F165" t="s">
        <v>268</v>
      </c>
      <c r="G165">
        <v>2</v>
      </c>
      <c r="H165">
        <v>10000</v>
      </c>
      <c r="I165">
        <v>5.0000000000000002E-5</v>
      </c>
      <c r="J165">
        <v>0.1</v>
      </c>
      <c r="K165">
        <v>-1.2</v>
      </c>
      <c r="L165">
        <v>5.7799999999999997E-2</v>
      </c>
      <c r="M165">
        <v>5.8500000000000003E-2</v>
      </c>
      <c r="N165">
        <v>5.9299999999999999E-2</v>
      </c>
      <c r="O165">
        <v>5.7799999999999997E-2</v>
      </c>
      <c r="P165">
        <v>0</v>
      </c>
      <c r="Q165">
        <v>0</v>
      </c>
      <c r="R165">
        <v>0</v>
      </c>
      <c r="S165">
        <v>5.8650000000000001E-2</v>
      </c>
      <c r="T165">
        <v>5.8500000000000003E-2</v>
      </c>
      <c r="U165">
        <v>5.7799999999999997E-2</v>
      </c>
      <c r="V165">
        <v>5.935E-2</v>
      </c>
      <c r="W165">
        <v>2735590</v>
      </c>
      <c r="X165">
        <v>5.7750000000000003E-2</v>
      </c>
      <c r="Y165">
        <v>5.79E-2</v>
      </c>
      <c r="Z165">
        <v>263</v>
      </c>
      <c r="AA165">
        <v>188307958732</v>
      </c>
      <c r="AB165">
        <v>1734</v>
      </c>
      <c r="AC165">
        <v>0</v>
      </c>
      <c r="AD165" t="s">
        <v>94</v>
      </c>
      <c r="AE165" t="s">
        <v>94</v>
      </c>
      <c r="AF165" t="s">
        <v>226</v>
      </c>
      <c r="AG165" t="s">
        <v>226</v>
      </c>
      <c r="AH165">
        <v>-100</v>
      </c>
      <c r="AI165" t="s">
        <v>269</v>
      </c>
      <c r="AJ165" t="s">
        <v>270</v>
      </c>
      <c r="AK165" t="s">
        <v>271</v>
      </c>
      <c r="AL165" t="s">
        <v>272</v>
      </c>
    </row>
    <row r="166" spans="1:38">
      <c r="A166" t="s">
        <v>1064</v>
      </c>
      <c r="B166" t="s">
        <v>1065</v>
      </c>
      <c r="C166" t="s">
        <v>1066</v>
      </c>
      <c r="D166" t="s">
        <v>1067</v>
      </c>
      <c r="E166" t="s">
        <v>1068</v>
      </c>
      <c r="F166" t="s">
        <v>268</v>
      </c>
      <c r="G166">
        <v>2</v>
      </c>
      <c r="H166">
        <v>1000</v>
      </c>
      <c r="I166">
        <v>5.0000000000000001E-4</v>
      </c>
      <c r="J166">
        <v>0.1</v>
      </c>
      <c r="K166">
        <v>-0.67</v>
      </c>
      <c r="L166">
        <v>0.4415</v>
      </c>
      <c r="M166">
        <v>0.44450000000000001</v>
      </c>
      <c r="N166">
        <v>0.45100000000000001</v>
      </c>
      <c r="O166">
        <v>0.442</v>
      </c>
      <c r="P166">
        <v>0</v>
      </c>
      <c r="Q166">
        <v>0</v>
      </c>
      <c r="R166">
        <v>0</v>
      </c>
      <c r="S166">
        <v>0.44800000000000001</v>
      </c>
      <c r="T166">
        <v>0.44450000000000001</v>
      </c>
      <c r="U166">
        <v>0.435</v>
      </c>
      <c r="V166">
        <v>0.46250000000000002</v>
      </c>
      <c r="W166">
        <v>2052255</v>
      </c>
      <c r="X166">
        <v>0.4415</v>
      </c>
      <c r="Y166">
        <v>0.44400000000000001</v>
      </c>
      <c r="Z166">
        <v>240</v>
      </c>
      <c r="AA166">
        <v>94815163249</v>
      </c>
      <c r="AB166">
        <v>441.5</v>
      </c>
      <c r="AC166">
        <v>0</v>
      </c>
      <c r="AD166" t="s">
        <v>94</v>
      </c>
      <c r="AE166" t="s">
        <v>94</v>
      </c>
      <c r="AF166" t="s">
        <v>226</v>
      </c>
      <c r="AG166" t="s">
        <v>226</v>
      </c>
      <c r="AH166">
        <v>-100</v>
      </c>
      <c r="AI166" t="s">
        <v>269</v>
      </c>
      <c r="AJ166" t="s">
        <v>270</v>
      </c>
      <c r="AK166" t="s">
        <v>271</v>
      </c>
      <c r="AL166" t="s">
        <v>272</v>
      </c>
    </row>
    <row r="167" spans="1:38">
      <c r="A167" t="s">
        <v>1069</v>
      </c>
      <c r="B167" t="s">
        <v>1070</v>
      </c>
      <c r="C167" t="s">
        <v>1071</v>
      </c>
      <c r="D167" t="s">
        <v>1072</v>
      </c>
      <c r="E167" t="s">
        <v>1073</v>
      </c>
      <c r="F167" t="s">
        <v>268</v>
      </c>
      <c r="G167">
        <v>1</v>
      </c>
      <c r="H167">
        <v>1000</v>
      </c>
      <c r="I167">
        <v>1E-4</v>
      </c>
      <c r="J167">
        <v>1</v>
      </c>
      <c r="K167">
        <v>-0.86</v>
      </c>
      <c r="L167">
        <v>0.47310000000000002</v>
      </c>
      <c r="M167">
        <v>0.47799999999999998</v>
      </c>
      <c r="N167">
        <v>0.48230000000000001</v>
      </c>
      <c r="O167">
        <v>0.47210000000000002</v>
      </c>
      <c r="P167">
        <v>0</v>
      </c>
      <c r="Q167">
        <v>0</v>
      </c>
      <c r="R167">
        <v>0</v>
      </c>
      <c r="S167">
        <v>0.47820000000000001</v>
      </c>
      <c r="T167">
        <v>0.47720000000000001</v>
      </c>
      <c r="U167">
        <v>0.47110000000000002</v>
      </c>
      <c r="V167">
        <v>0.48280000000000001</v>
      </c>
      <c r="W167">
        <v>58178921</v>
      </c>
      <c r="X167">
        <v>0.47289999999999999</v>
      </c>
      <c r="Y167">
        <v>0.47310000000000002</v>
      </c>
      <c r="Z167">
        <v>3099</v>
      </c>
      <c r="AA167">
        <v>444793377038</v>
      </c>
      <c r="AB167">
        <v>8515.7999999999993</v>
      </c>
      <c r="AC167">
        <v>0</v>
      </c>
      <c r="AD167" t="s">
        <v>94</v>
      </c>
      <c r="AE167" t="s">
        <v>94</v>
      </c>
      <c r="AF167" t="s">
        <v>226</v>
      </c>
      <c r="AG167" t="s">
        <v>226</v>
      </c>
      <c r="AH167">
        <v>-100</v>
      </c>
      <c r="AI167" t="s">
        <v>269</v>
      </c>
      <c r="AJ167" t="s">
        <v>270</v>
      </c>
      <c r="AK167" t="s">
        <v>271</v>
      </c>
      <c r="AL167" t="s">
        <v>272</v>
      </c>
    </row>
    <row r="168" spans="1:38">
      <c r="A168" t="s">
        <v>1074</v>
      </c>
      <c r="B168" t="s">
        <v>1075</v>
      </c>
      <c r="C168" t="s">
        <v>1076</v>
      </c>
      <c r="D168" t="s">
        <v>1077</v>
      </c>
      <c r="E168" t="s">
        <v>1078</v>
      </c>
      <c r="F168" t="s">
        <v>268</v>
      </c>
      <c r="G168">
        <v>3</v>
      </c>
      <c r="H168">
        <v>1000</v>
      </c>
      <c r="I168">
        <v>2.0000000000000001E-4</v>
      </c>
      <c r="J168">
        <v>0.1</v>
      </c>
      <c r="K168">
        <v>-1.86</v>
      </c>
      <c r="L168">
        <v>0.50739999999999996</v>
      </c>
      <c r="M168">
        <v>0.51700000000000002</v>
      </c>
      <c r="N168">
        <v>0.52780000000000005</v>
      </c>
      <c r="O168">
        <v>0.50719999999999998</v>
      </c>
      <c r="P168">
        <v>0</v>
      </c>
      <c r="Q168">
        <v>0</v>
      </c>
      <c r="R168">
        <v>0</v>
      </c>
      <c r="S168">
        <v>0.51519999999999999</v>
      </c>
      <c r="T168">
        <v>0.51680000000000004</v>
      </c>
      <c r="U168">
        <v>0.50119999999999998</v>
      </c>
      <c r="V168">
        <v>0.52600000000000002</v>
      </c>
      <c r="W168">
        <v>6858598</v>
      </c>
      <c r="X168">
        <v>0.50700000000000001</v>
      </c>
      <c r="Y168">
        <v>0.50800000000000001</v>
      </c>
      <c r="Z168">
        <v>992</v>
      </c>
      <c r="AA168">
        <v>30001000000</v>
      </c>
      <c r="AB168">
        <v>28414.400000000001</v>
      </c>
      <c r="AC168">
        <v>0</v>
      </c>
      <c r="AD168" t="s">
        <v>94</v>
      </c>
      <c r="AE168" t="s">
        <v>94</v>
      </c>
      <c r="AF168" t="s">
        <v>226</v>
      </c>
      <c r="AG168" t="s">
        <v>226</v>
      </c>
      <c r="AH168">
        <v>9</v>
      </c>
      <c r="AI168" t="s">
        <v>269</v>
      </c>
      <c r="AJ168" t="s">
        <v>270</v>
      </c>
      <c r="AK168" t="s">
        <v>271</v>
      </c>
      <c r="AL168" t="s">
        <v>272</v>
      </c>
    </row>
    <row r="169" spans="1:38">
      <c r="A169" t="s">
        <v>1079</v>
      </c>
      <c r="B169" t="s">
        <v>1080</v>
      </c>
      <c r="C169" t="s">
        <v>1081</v>
      </c>
      <c r="D169" t="s">
        <v>1082</v>
      </c>
      <c r="E169" t="s">
        <v>1083</v>
      </c>
      <c r="F169" t="s">
        <v>268</v>
      </c>
      <c r="G169">
        <v>1</v>
      </c>
      <c r="H169">
        <v>1</v>
      </c>
      <c r="I169">
        <v>0.05</v>
      </c>
      <c r="J169">
        <v>0.5</v>
      </c>
      <c r="K169">
        <v>-1.23</v>
      </c>
      <c r="L169">
        <v>104.3</v>
      </c>
      <c r="M169">
        <v>105.9</v>
      </c>
      <c r="N169">
        <v>107.9</v>
      </c>
      <c r="O169">
        <v>104.1</v>
      </c>
      <c r="P169">
        <v>0</v>
      </c>
      <c r="Q169">
        <v>0</v>
      </c>
      <c r="R169">
        <v>0</v>
      </c>
      <c r="S169">
        <v>105.3</v>
      </c>
      <c r="T169">
        <v>105.35</v>
      </c>
      <c r="U169">
        <v>103.65</v>
      </c>
      <c r="V169">
        <v>107.4</v>
      </c>
      <c r="W169">
        <v>473217331</v>
      </c>
      <c r="X169">
        <v>104.2</v>
      </c>
      <c r="Y169">
        <v>104.3</v>
      </c>
      <c r="Z169">
        <v>29171</v>
      </c>
      <c r="AA169">
        <v>294120000</v>
      </c>
      <c r="AB169">
        <v>10430</v>
      </c>
      <c r="AC169">
        <v>0</v>
      </c>
      <c r="AD169" t="s">
        <v>94</v>
      </c>
      <c r="AE169" t="s">
        <v>94</v>
      </c>
      <c r="AF169" t="s">
        <v>226</v>
      </c>
      <c r="AG169" t="s">
        <v>226</v>
      </c>
      <c r="AH169">
        <v>-100</v>
      </c>
      <c r="AI169" t="s">
        <v>269</v>
      </c>
      <c r="AJ169" t="s">
        <v>270</v>
      </c>
      <c r="AK169" t="s">
        <v>271</v>
      </c>
      <c r="AL169" t="s">
        <v>272</v>
      </c>
    </row>
    <row r="170" spans="1:38">
      <c r="A170" t="s">
        <v>1084</v>
      </c>
      <c r="B170" t="s">
        <v>1085</v>
      </c>
      <c r="C170" t="s">
        <v>1086</v>
      </c>
      <c r="D170" t="s">
        <v>1087</v>
      </c>
      <c r="E170" t="s">
        <v>1088</v>
      </c>
      <c r="F170" t="s">
        <v>268</v>
      </c>
      <c r="G170">
        <v>3</v>
      </c>
      <c r="H170">
        <v>100</v>
      </c>
      <c r="I170">
        <v>0.02</v>
      </c>
      <c r="J170">
        <v>0.05</v>
      </c>
      <c r="K170">
        <v>-0.81</v>
      </c>
      <c r="L170">
        <v>26.94</v>
      </c>
      <c r="M170">
        <v>27.16</v>
      </c>
      <c r="N170">
        <v>27.32</v>
      </c>
      <c r="O170">
        <v>26.96</v>
      </c>
      <c r="P170">
        <v>0</v>
      </c>
      <c r="Q170">
        <v>0</v>
      </c>
      <c r="R170">
        <v>0</v>
      </c>
      <c r="S170">
        <v>27.18</v>
      </c>
      <c r="T170">
        <v>27.62</v>
      </c>
      <c r="U170">
        <v>26.94</v>
      </c>
      <c r="V170">
        <v>27.7</v>
      </c>
      <c r="W170">
        <v>492022</v>
      </c>
      <c r="X170">
        <v>26.96</v>
      </c>
      <c r="Y170">
        <v>27.12</v>
      </c>
      <c r="Z170">
        <v>83</v>
      </c>
      <c r="AA170">
        <v>206940220</v>
      </c>
      <c r="AB170">
        <v>8082</v>
      </c>
      <c r="AC170">
        <v>0</v>
      </c>
      <c r="AD170" t="s">
        <v>94</v>
      </c>
      <c r="AE170" t="s">
        <v>94</v>
      </c>
      <c r="AF170" t="s">
        <v>226</v>
      </c>
      <c r="AG170" t="s">
        <v>226</v>
      </c>
      <c r="AH170">
        <v>9</v>
      </c>
      <c r="AI170" t="s">
        <v>269</v>
      </c>
      <c r="AJ170" t="s">
        <v>270</v>
      </c>
      <c r="AK170" t="s">
        <v>271</v>
      </c>
      <c r="AL170" t="s">
        <v>272</v>
      </c>
    </row>
    <row r="171" spans="1:38">
      <c r="A171" t="s">
        <v>1089</v>
      </c>
      <c r="B171" t="s">
        <v>1090</v>
      </c>
      <c r="C171" t="s">
        <v>1091</v>
      </c>
      <c r="D171" t="s">
        <v>1092</v>
      </c>
      <c r="E171" t="s">
        <v>1093</v>
      </c>
      <c r="F171" t="s">
        <v>268</v>
      </c>
      <c r="G171">
        <v>3</v>
      </c>
      <c r="H171">
        <v>1</v>
      </c>
      <c r="I171">
        <v>10</v>
      </c>
      <c r="J171">
        <v>0.25</v>
      </c>
      <c r="K171">
        <v>0</v>
      </c>
      <c r="L171">
        <v>0</v>
      </c>
      <c r="M171">
        <v>7440</v>
      </c>
      <c r="N171">
        <v>0</v>
      </c>
      <c r="O171">
        <v>7440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398272</v>
      </c>
      <c r="AB171">
        <v>0</v>
      </c>
      <c r="AC171">
        <v>0</v>
      </c>
      <c r="AD171" t="s">
        <v>94</v>
      </c>
      <c r="AE171" t="s">
        <v>94</v>
      </c>
      <c r="AF171" t="s">
        <v>226</v>
      </c>
      <c r="AG171" t="s">
        <v>226</v>
      </c>
      <c r="AH171">
        <v>9</v>
      </c>
      <c r="AI171" t="s">
        <v>269</v>
      </c>
      <c r="AJ171" t="s">
        <v>270</v>
      </c>
      <c r="AK171" t="s">
        <v>271</v>
      </c>
      <c r="AL171" t="s">
        <v>272</v>
      </c>
    </row>
    <row r="172" spans="1:38">
      <c r="A172" t="s">
        <v>1094</v>
      </c>
      <c r="B172" t="s">
        <v>1095</v>
      </c>
      <c r="C172" t="s">
        <v>1096</v>
      </c>
      <c r="D172" t="s">
        <v>1097</v>
      </c>
      <c r="E172" t="s">
        <v>1098</v>
      </c>
      <c r="F172" t="s">
        <v>268</v>
      </c>
      <c r="G172">
        <v>2</v>
      </c>
      <c r="H172">
        <v>1</v>
      </c>
      <c r="I172">
        <v>0.5</v>
      </c>
      <c r="J172">
        <v>12.5</v>
      </c>
      <c r="K172">
        <v>0.38</v>
      </c>
      <c r="L172">
        <v>667</v>
      </c>
      <c r="M172">
        <v>668</v>
      </c>
      <c r="N172">
        <v>675</v>
      </c>
      <c r="O172">
        <v>667</v>
      </c>
      <c r="P172">
        <v>0</v>
      </c>
      <c r="Q172">
        <v>0</v>
      </c>
      <c r="R172">
        <v>0</v>
      </c>
      <c r="S172">
        <v>674</v>
      </c>
      <c r="T172">
        <v>664</v>
      </c>
      <c r="U172">
        <v>663</v>
      </c>
      <c r="V172">
        <v>682</v>
      </c>
      <c r="W172">
        <v>33972345</v>
      </c>
      <c r="X172">
        <v>665.5</v>
      </c>
      <c r="Y172">
        <v>667</v>
      </c>
      <c r="Z172">
        <v>1802</v>
      </c>
      <c r="AA172">
        <v>31486001</v>
      </c>
      <c r="AB172">
        <v>667</v>
      </c>
      <c r="AC172">
        <v>0</v>
      </c>
      <c r="AD172" t="s">
        <v>94</v>
      </c>
      <c r="AE172" t="s">
        <v>94</v>
      </c>
      <c r="AF172" t="s">
        <v>226</v>
      </c>
      <c r="AG172" t="s">
        <v>226</v>
      </c>
      <c r="AH172">
        <v>-100</v>
      </c>
      <c r="AI172" t="s">
        <v>269</v>
      </c>
      <c r="AJ172" t="s">
        <v>270</v>
      </c>
      <c r="AK172" t="s">
        <v>271</v>
      </c>
      <c r="AL172" t="s">
        <v>272</v>
      </c>
    </row>
    <row r="173" spans="1:38">
      <c r="A173" t="s">
        <v>1099</v>
      </c>
      <c r="B173" t="s">
        <v>1100</v>
      </c>
      <c r="C173" t="s">
        <v>1101</v>
      </c>
      <c r="D173" t="s">
        <v>1102</v>
      </c>
      <c r="E173" t="s">
        <v>1103</v>
      </c>
      <c r="F173" t="s">
        <v>268</v>
      </c>
      <c r="G173">
        <v>3</v>
      </c>
      <c r="H173">
        <v>1</v>
      </c>
      <c r="I173">
        <v>0.1</v>
      </c>
      <c r="J173">
        <v>3.75</v>
      </c>
      <c r="K173">
        <v>-0.35</v>
      </c>
      <c r="L173">
        <v>114.6</v>
      </c>
      <c r="M173">
        <v>115.7</v>
      </c>
      <c r="N173">
        <v>118</v>
      </c>
      <c r="O173">
        <v>114.6</v>
      </c>
      <c r="P173">
        <v>0</v>
      </c>
      <c r="Q173">
        <v>0</v>
      </c>
      <c r="R173">
        <v>0</v>
      </c>
      <c r="S173">
        <v>115.9</v>
      </c>
      <c r="T173">
        <v>115.3</v>
      </c>
      <c r="U173">
        <v>114.3</v>
      </c>
      <c r="V173">
        <v>117</v>
      </c>
      <c r="W173">
        <v>80834234</v>
      </c>
      <c r="X173">
        <v>114.3</v>
      </c>
      <c r="Y173">
        <v>114.6</v>
      </c>
      <c r="Z173">
        <v>4177</v>
      </c>
      <c r="AA173">
        <v>132843907</v>
      </c>
      <c r="AB173">
        <v>37359.599999999999</v>
      </c>
      <c r="AC173">
        <v>0</v>
      </c>
      <c r="AD173" t="s">
        <v>94</v>
      </c>
      <c r="AE173" t="s">
        <v>94</v>
      </c>
      <c r="AF173" t="s">
        <v>226</v>
      </c>
      <c r="AG173" t="s">
        <v>226</v>
      </c>
      <c r="AH173">
        <v>-100</v>
      </c>
      <c r="AI173" t="s">
        <v>269</v>
      </c>
      <c r="AJ173" t="s">
        <v>270</v>
      </c>
      <c r="AK173" t="s">
        <v>271</v>
      </c>
      <c r="AL173" t="s">
        <v>272</v>
      </c>
    </row>
    <row r="174" spans="1:38">
      <c r="A174" t="s">
        <v>1104</v>
      </c>
      <c r="B174" t="s">
        <v>1105</v>
      </c>
      <c r="C174" t="s">
        <v>1106</v>
      </c>
      <c r="D174" t="s">
        <v>1107</v>
      </c>
      <c r="E174" t="s">
        <v>1108</v>
      </c>
      <c r="F174" t="s">
        <v>268</v>
      </c>
      <c r="G174">
        <v>3</v>
      </c>
      <c r="H174">
        <v>100</v>
      </c>
      <c r="I174">
        <v>5.0000000000000001E-4</v>
      </c>
      <c r="J174">
        <v>1</v>
      </c>
      <c r="K174">
        <v>0.1</v>
      </c>
      <c r="L174">
        <v>1.5495000000000001</v>
      </c>
      <c r="M174">
        <v>1.5389999999999999</v>
      </c>
      <c r="N174">
        <v>1.5605</v>
      </c>
      <c r="O174">
        <v>1.55</v>
      </c>
      <c r="P174">
        <v>0</v>
      </c>
      <c r="Q174">
        <v>0</v>
      </c>
      <c r="R174">
        <v>0</v>
      </c>
      <c r="S174">
        <v>1.552</v>
      </c>
      <c r="T174">
        <v>1.5305</v>
      </c>
      <c r="U174">
        <v>1.53</v>
      </c>
      <c r="V174">
        <v>1.575</v>
      </c>
      <c r="W174">
        <v>3341143</v>
      </c>
      <c r="X174">
        <v>1.5495000000000001</v>
      </c>
      <c r="Y174">
        <v>1.5505</v>
      </c>
      <c r="Z174">
        <v>498</v>
      </c>
      <c r="AA174">
        <v>2203330301</v>
      </c>
      <c r="AB174">
        <v>309.89999999999998</v>
      </c>
      <c r="AC174">
        <v>0</v>
      </c>
      <c r="AD174" t="s">
        <v>94</v>
      </c>
      <c r="AE174" t="s">
        <v>94</v>
      </c>
      <c r="AF174" t="s">
        <v>226</v>
      </c>
      <c r="AG174" t="s">
        <v>226</v>
      </c>
      <c r="AH174">
        <v>9</v>
      </c>
      <c r="AI174" t="s">
        <v>269</v>
      </c>
      <c r="AJ174" t="s">
        <v>270</v>
      </c>
      <c r="AK174" t="s">
        <v>271</v>
      </c>
      <c r="AL174" t="s">
        <v>272</v>
      </c>
    </row>
    <row r="175" spans="1:38">
      <c r="A175" t="s">
        <v>1109</v>
      </c>
      <c r="B175" t="s">
        <v>1110</v>
      </c>
      <c r="C175" t="s">
        <v>1111</v>
      </c>
      <c r="D175" t="s">
        <v>1112</v>
      </c>
      <c r="E175" t="s">
        <v>1113</v>
      </c>
      <c r="F175" t="s">
        <v>268</v>
      </c>
      <c r="G175">
        <v>3</v>
      </c>
      <c r="H175">
        <v>1000</v>
      </c>
      <c r="I175">
        <v>5.0000000000000001E-3</v>
      </c>
      <c r="J175">
        <v>0.25</v>
      </c>
      <c r="K175">
        <v>-1.23</v>
      </c>
      <c r="L175">
        <v>2.82</v>
      </c>
      <c r="M175">
        <v>2.855</v>
      </c>
      <c r="N175">
        <v>2.83</v>
      </c>
      <c r="O175">
        <v>2.82</v>
      </c>
      <c r="P175">
        <v>0</v>
      </c>
      <c r="Q175">
        <v>0</v>
      </c>
      <c r="R175">
        <v>0</v>
      </c>
      <c r="S175">
        <v>2.8149999999999999</v>
      </c>
      <c r="T175">
        <v>2.8450000000000002</v>
      </c>
      <c r="U175">
        <v>2.73</v>
      </c>
      <c r="V175">
        <v>2.9</v>
      </c>
      <c r="W175">
        <v>348875</v>
      </c>
      <c r="X175">
        <v>2.8</v>
      </c>
      <c r="Y175">
        <v>2.83</v>
      </c>
      <c r="Z175">
        <v>35</v>
      </c>
      <c r="AA175">
        <v>3538928532</v>
      </c>
      <c r="AB175">
        <v>14100</v>
      </c>
      <c r="AC175">
        <v>0</v>
      </c>
      <c r="AD175" t="s">
        <v>94</v>
      </c>
      <c r="AE175" t="s">
        <v>94</v>
      </c>
      <c r="AF175" t="s">
        <v>226</v>
      </c>
      <c r="AG175" t="s">
        <v>226</v>
      </c>
      <c r="AH175">
        <v>9</v>
      </c>
      <c r="AI175" t="s">
        <v>269</v>
      </c>
      <c r="AJ175" t="s">
        <v>270</v>
      </c>
      <c r="AK175" t="s">
        <v>271</v>
      </c>
      <c r="AL175" t="s">
        <v>272</v>
      </c>
    </row>
    <row r="176" spans="1:38">
      <c r="A176" t="s">
        <v>1114</v>
      </c>
      <c r="B176" t="s">
        <v>1115</v>
      </c>
      <c r="C176" t="s">
        <v>1116</v>
      </c>
      <c r="D176" t="s">
        <v>1117</v>
      </c>
      <c r="E176" t="s">
        <v>1118</v>
      </c>
      <c r="F176" t="s">
        <v>438</v>
      </c>
      <c r="G176">
        <v>3</v>
      </c>
      <c r="H176">
        <v>1000</v>
      </c>
      <c r="I176">
        <v>5.0000000000000001E-3</v>
      </c>
      <c r="J176">
        <v>0.01</v>
      </c>
      <c r="K176">
        <v>1.76</v>
      </c>
      <c r="L176">
        <v>2.895</v>
      </c>
      <c r="M176">
        <v>2.8450000000000002</v>
      </c>
      <c r="N176">
        <v>2.875</v>
      </c>
      <c r="O176">
        <v>2.895</v>
      </c>
      <c r="P176">
        <v>0</v>
      </c>
      <c r="Q176">
        <v>0</v>
      </c>
      <c r="R176">
        <v>0</v>
      </c>
      <c r="S176">
        <v>2.88</v>
      </c>
      <c r="T176">
        <v>2.85</v>
      </c>
      <c r="U176">
        <v>2.8450000000000002</v>
      </c>
      <c r="V176">
        <v>2.9249999999999998</v>
      </c>
      <c r="W176">
        <v>94980</v>
      </c>
      <c r="X176">
        <v>2.86</v>
      </c>
      <c r="Y176">
        <v>2.89</v>
      </c>
      <c r="Z176">
        <v>20</v>
      </c>
      <c r="AA176">
        <v>521993080</v>
      </c>
      <c r="AB176">
        <v>2895</v>
      </c>
      <c r="AC176">
        <v>0</v>
      </c>
      <c r="AD176" t="s">
        <v>94</v>
      </c>
      <c r="AE176" t="s">
        <v>94</v>
      </c>
      <c r="AF176" t="s">
        <v>226</v>
      </c>
      <c r="AG176" t="s">
        <v>226</v>
      </c>
      <c r="AH176">
        <v>9</v>
      </c>
      <c r="AI176" t="s">
        <v>269</v>
      </c>
      <c r="AJ176" t="s">
        <v>270</v>
      </c>
      <c r="AK176" t="s">
        <v>439</v>
      </c>
      <c r="AL176" t="s">
        <v>272</v>
      </c>
    </row>
    <row r="177" spans="1:38">
      <c r="A177" t="s">
        <v>1119</v>
      </c>
      <c r="B177" t="s">
        <v>1120</v>
      </c>
      <c r="C177" t="s">
        <v>1121</v>
      </c>
      <c r="D177" t="s">
        <v>1122</v>
      </c>
      <c r="E177" t="s">
        <v>1123</v>
      </c>
      <c r="F177" t="s">
        <v>268</v>
      </c>
      <c r="G177">
        <v>1</v>
      </c>
      <c r="H177">
        <v>1</v>
      </c>
      <c r="I177">
        <v>0.5</v>
      </c>
      <c r="J177">
        <v>25</v>
      </c>
      <c r="K177">
        <v>-3.66</v>
      </c>
      <c r="L177">
        <v>934</v>
      </c>
      <c r="M177">
        <v>954</v>
      </c>
      <c r="N177">
        <v>967</v>
      </c>
      <c r="O177">
        <v>933</v>
      </c>
      <c r="P177">
        <v>0</v>
      </c>
      <c r="Q177">
        <v>0</v>
      </c>
      <c r="R177">
        <v>0</v>
      </c>
      <c r="S177">
        <v>957</v>
      </c>
      <c r="T177">
        <v>980</v>
      </c>
      <c r="U177">
        <v>926</v>
      </c>
      <c r="V177">
        <v>982.5</v>
      </c>
      <c r="W177">
        <v>2793117148</v>
      </c>
      <c r="X177">
        <v>934</v>
      </c>
      <c r="Y177">
        <v>934.5</v>
      </c>
      <c r="Z177">
        <v>41474</v>
      </c>
      <c r="AA177">
        <v>61579358</v>
      </c>
      <c r="AB177">
        <v>9340</v>
      </c>
      <c r="AC177">
        <v>0</v>
      </c>
      <c r="AD177" t="s">
        <v>94</v>
      </c>
      <c r="AE177" t="s">
        <v>94</v>
      </c>
      <c r="AF177" t="s">
        <v>226</v>
      </c>
      <c r="AG177" t="s">
        <v>226</v>
      </c>
      <c r="AH177">
        <v>-100</v>
      </c>
      <c r="AI177" t="s">
        <v>269</v>
      </c>
      <c r="AJ177" t="s">
        <v>270</v>
      </c>
      <c r="AK177" t="s">
        <v>271</v>
      </c>
      <c r="AL177" t="s">
        <v>272</v>
      </c>
    </row>
    <row r="178" spans="1:38">
      <c r="A178" t="s">
        <v>1124</v>
      </c>
      <c r="B178" t="s">
        <v>1125</v>
      </c>
      <c r="C178" t="s">
        <v>1126</v>
      </c>
      <c r="D178" t="s">
        <v>1127</v>
      </c>
      <c r="E178" t="s">
        <v>1128</v>
      </c>
      <c r="F178" t="s">
        <v>268</v>
      </c>
      <c r="G178">
        <v>3</v>
      </c>
      <c r="H178">
        <v>1</v>
      </c>
      <c r="I178">
        <v>50</v>
      </c>
      <c r="J178">
        <v>1</v>
      </c>
      <c r="K178">
        <v>0.57999999999999996</v>
      </c>
      <c r="L178">
        <v>8600</v>
      </c>
      <c r="M178">
        <v>8550</v>
      </c>
      <c r="N178">
        <v>8200</v>
      </c>
      <c r="O178">
        <v>8600</v>
      </c>
      <c r="P178">
        <v>0</v>
      </c>
      <c r="Q178">
        <v>0</v>
      </c>
      <c r="R178">
        <v>0</v>
      </c>
      <c r="S178">
        <v>8500</v>
      </c>
      <c r="T178">
        <v>8400</v>
      </c>
      <c r="U178">
        <v>8400</v>
      </c>
      <c r="V178">
        <v>8600</v>
      </c>
      <c r="W178">
        <v>84800</v>
      </c>
      <c r="X178">
        <v>8400</v>
      </c>
      <c r="Y178">
        <v>8550</v>
      </c>
      <c r="Z178">
        <v>9</v>
      </c>
      <c r="AA178">
        <v>748012</v>
      </c>
      <c r="AB178">
        <v>17200</v>
      </c>
      <c r="AC178">
        <v>0</v>
      </c>
      <c r="AD178" t="s">
        <v>94</v>
      </c>
      <c r="AE178" t="s">
        <v>94</v>
      </c>
      <c r="AF178" t="s">
        <v>226</v>
      </c>
      <c r="AG178" t="s">
        <v>226</v>
      </c>
      <c r="AH178">
        <v>9</v>
      </c>
      <c r="AI178" t="s">
        <v>269</v>
      </c>
      <c r="AJ178" t="s">
        <v>270</v>
      </c>
      <c r="AK178" t="s">
        <v>271</v>
      </c>
      <c r="AL178" t="s">
        <v>272</v>
      </c>
    </row>
    <row r="179" spans="1:38">
      <c r="A179" t="s">
        <v>1129</v>
      </c>
      <c r="B179" t="s">
        <v>1130</v>
      </c>
      <c r="C179" t="s">
        <v>1131</v>
      </c>
      <c r="D179" t="s">
        <v>1132</v>
      </c>
      <c r="E179" t="s">
        <v>1133</v>
      </c>
      <c r="F179" t="s">
        <v>438</v>
      </c>
      <c r="G179">
        <v>3</v>
      </c>
      <c r="H179">
        <v>1</v>
      </c>
      <c r="I179">
        <v>20</v>
      </c>
      <c r="J179">
        <v>1</v>
      </c>
      <c r="K179">
        <v>-1.31</v>
      </c>
      <c r="L179">
        <v>7560</v>
      </c>
      <c r="M179">
        <v>7660</v>
      </c>
      <c r="N179">
        <v>7660</v>
      </c>
      <c r="O179">
        <v>7560</v>
      </c>
      <c r="P179">
        <v>0</v>
      </c>
      <c r="Q179">
        <v>0</v>
      </c>
      <c r="R179">
        <v>0</v>
      </c>
      <c r="S179">
        <v>7560</v>
      </c>
      <c r="T179">
        <v>7560</v>
      </c>
      <c r="U179">
        <v>7460</v>
      </c>
      <c r="V179">
        <v>7800</v>
      </c>
      <c r="W179">
        <v>1225760</v>
      </c>
      <c r="X179">
        <v>7520</v>
      </c>
      <c r="Y179">
        <v>7560</v>
      </c>
      <c r="Z179">
        <v>86</v>
      </c>
      <c r="AA179">
        <v>249337</v>
      </c>
      <c r="AB179">
        <v>7560</v>
      </c>
      <c r="AC179">
        <v>0</v>
      </c>
      <c r="AD179" t="s">
        <v>94</v>
      </c>
      <c r="AE179" t="s">
        <v>94</v>
      </c>
      <c r="AF179" t="s">
        <v>226</v>
      </c>
      <c r="AG179" t="s">
        <v>226</v>
      </c>
      <c r="AH179">
        <v>9</v>
      </c>
      <c r="AI179" t="s">
        <v>269</v>
      </c>
      <c r="AJ179" t="s">
        <v>270</v>
      </c>
      <c r="AK179" t="s">
        <v>439</v>
      </c>
      <c r="AL179" t="s">
        <v>272</v>
      </c>
    </row>
    <row r="180" spans="1:38">
      <c r="A180" t="s">
        <v>1134</v>
      </c>
      <c r="B180" t="s">
        <v>1135</v>
      </c>
      <c r="C180" t="s">
        <v>1136</v>
      </c>
      <c r="D180" t="s">
        <v>1137</v>
      </c>
      <c r="E180" t="s">
        <v>1138</v>
      </c>
      <c r="F180" t="s">
        <v>268</v>
      </c>
      <c r="G180">
        <v>3</v>
      </c>
      <c r="H180">
        <v>10000</v>
      </c>
      <c r="I180">
        <v>1E-3</v>
      </c>
      <c r="J180">
        <v>0.02</v>
      </c>
      <c r="K180">
        <v>-5.22</v>
      </c>
      <c r="L180">
        <v>0.32700000000000001</v>
      </c>
      <c r="M180">
        <v>0.33600000000000002</v>
      </c>
      <c r="N180">
        <v>0.34599999999999997</v>
      </c>
      <c r="O180">
        <v>0.32900000000000001</v>
      </c>
      <c r="P180">
        <v>0</v>
      </c>
      <c r="Q180">
        <v>0</v>
      </c>
      <c r="R180">
        <v>0</v>
      </c>
      <c r="S180">
        <v>0.33900000000000002</v>
      </c>
      <c r="T180">
        <v>0.34200000000000003</v>
      </c>
      <c r="U180">
        <v>0.32700000000000001</v>
      </c>
      <c r="V180">
        <v>0.34499999999999997</v>
      </c>
      <c r="W180">
        <v>250660</v>
      </c>
      <c r="X180">
        <v>0.32800000000000001</v>
      </c>
      <c r="Y180">
        <v>0.33800000000000002</v>
      </c>
      <c r="Z180">
        <v>45</v>
      </c>
      <c r="AA180">
        <v>4865127996</v>
      </c>
      <c r="AB180">
        <v>3270</v>
      </c>
      <c r="AC180">
        <v>0</v>
      </c>
      <c r="AD180" t="s">
        <v>94</v>
      </c>
      <c r="AE180" t="s">
        <v>94</v>
      </c>
      <c r="AF180" t="s">
        <v>226</v>
      </c>
      <c r="AG180" t="s">
        <v>226</v>
      </c>
      <c r="AH180">
        <v>9</v>
      </c>
      <c r="AI180" t="s">
        <v>269</v>
      </c>
      <c r="AJ180" t="s">
        <v>270</v>
      </c>
      <c r="AK180" t="s">
        <v>271</v>
      </c>
      <c r="AL180" t="s">
        <v>272</v>
      </c>
    </row>
    <row r="181" spans="1:38">
      <c r="A181" t="s">
        <v>1139</v>
      </c>
      <c r="B181" t="s">
        <v>1140</v>
      </c>
      <c r="C181" t="s">
        <v>1141</v>
      </c>
      <c r="D181" t="s">
        <v>1142</v>
      </c>
      <c r="E181" t="s">
        <v>1143</v>
      </c>
      <c r="F181" t="s">
        <v>438</v>
      </c>
      <c r="G181">
        <v>3</v>
      </c>
      <c r="H181">
        <v>10000</v>
      </c>
      <c r="I181">
        <v>5.0000000000000001E-4</v>
      </c>
      <c r="J181">
        <v>2.1129999999999999E-2</v>
      </c>
      <c r="K181">
        <v>-2.21</v>
      </c>
      <c r="L181">
        <v>0.19950000000000001</v>
      </c>
      <c r="M181">
        <v>0.20399999999999999</v>
      </c>
      <c r="N181">
        <v>0.20699999999999999</v>
      </c>
      <c r="O181">
        <v>0.20150000000000001</v>
      </c>
      <c r="P181">
        <v>0</v>
      </c>
      <c r="Q181">
        <v>0</v>
      </c>
      <c r="R181">
        <v>0</v>
      </c>
      <c r="S181">
        <v>0.20349999999999999</v>
      </c>
      <c r="T181">
        <v>0.20399999999999999</v>
      </c>
      <c r="U181">
        <v>0.19950000000000001</v>
      </c>
      <c r="V181">
        <v>0.21</v>
      </c>
      <c r="W181">
        <v>146695</v>
      </c>
      <c r="X181">
        <v>0.20050000000000001</v>
      </c>
      <c r="Y181">
        <v>0.20449999999999999</v>
      </c>
      <c r="Z181">
        <v>27</v>
      </c>
      <c r="AA181">
        <v>1493316000</v>
      </c>
      <c r="AB181">
        <v>3990</v>
      </c>
      <c r="AC181">
        <v>0</v>
      </c>
      <c r="AD181" t="s">
        <v>94</v>
      </c>
      <c r="AE181" t="s">
        <v>94</v>
      </c>
      <c r="AF181" t="s">
        <v>226</v>
      </c>
      <c r="AG181" t="s">
        <v>226</v>
      </c>
      <c r="AH181">
        <v>9</v>
      </c>
      <c r="AI181" t="s">
        <v>269</v>
      </c>
      <c r="AJ181" t="s">
        <v>270</v>
      </c>
      <c r="AK181" t="s">
        <v>439</v>
      </c>
      <c r="AL181" t="s">
        <v>272</v>
      </c>
    </row>
    <row r="182" spans="1:38">
      <c r="A182" t="s">
        <v>1144</v>
      </c>
      <c r="B182" t="s">
        <v>1145</v>
      </c>
      <c r="C182" t="s">
        <v>1146</v>
      </c>
      <c r="D182" t="s">
        <v>1147</v>
      </c>
      <c r="E182" t="s">
        <v>1148</v>
      </c>
      <c r="F182" t="s">
        <v>268</v>
      </c>
      <c r="G182">
        <v>3</v>
      </c>
      <c r="H182">
        <v>100</v>
      </c>
      <c r="I182">
        <v>5.0000000000000001E-3</v>
      </c>
      <c r="J182">
        <v>10</v>
      </c>
      <c r="K182">
        <v>2.4500000000000002</v>
      </c>
      <c r="L182">
        <v>3.14</v>
      </c>
      <c r="M182">
        <v>3.0649999999999999</v>
      </c>
      <c r="N182">
        <v>3.105</v>
      </c>
      <c r="O182">
        <v>3.14</v>
      </c>
      <c r="P182">
        <v>0</v>
      </c>
      <c r="Q182">
        <v>0</v>
      </c>
      <c r="R182">
        <v>0</v>
      </c>
      <c r="S182">
        <v>3.12</v>
      </c>
      <c r="T182">
        <v>3.0649999999999999</v>
      </c>
      <c r="U182">
        <v>3.0649999999999999</v>
      </c>
      <c r="V182">
        <v>3.145</v>
      </c>
      <c r="W182">
        <v>208441</v>
      </c>
      <c r="X182">
        <v>3.125</v>
      </c>
      <c r="Y182">
        <v>3.145</v>
      </c>
      <c r="Z182">
        <v>71</v>
      </c>
      <c r="AA182">
        <v>1237175444</v>
      </c>
      <c r="AB182">
        <v>314</v>
      </c>
      <c r="AC182">
        <v>0</v>
      </c>
      <c r="AD182" t="s">
        <v>94</v>
      </c>
      <c r="AE182" t="s">
        <v>94</v>
      </c>
      <c r="AF182" t="s">
        <v>226</v>
      </c>
      <c r="AG182" t="s">
        <v>226</v>
      </c>
      <c r="AH182">
        <v>9</v>
      </c>
      <c r="AI182" t="s">
        <v>269</v>
      </c>
      <c r="AJ182" t="s">
        <v>270</v>
      </c>
      <c r="AK182" t="s">
        <v>271</v>
      </c>
      <c r="AL182" t="s">
        <v>272</v>
      </c>
    </row>
    <row r="183" spans="1:38">
      <c r="A183" t="s">
        <v>1149</v>
      </c>
      <c r="B183" t="s">
        <v>1150</v>
      </c>
      <c r="C183" t="s">
        <v>1151</v>
      </c>
      <c r="D183" t="s">
        <v>1152</v>
      </c>
      <c r="E183" t="s">
        <v>1153</v>
      </c>
      <c r="F183" t="s">
        <v>268</v>
      </c>
      <c r="G183">
        <v>1</v>
      </c>
      <c r="H183">
        <v>10</v>
      </c>
      <c r="I183">
        <v>0.01</v>
      </c>
      <c r="J183">
        <v>3</v>
      </c>
      <c r="K183">
        <v>-1.17</v>
      </c>
      <c r="L183">
        <v>228.11</v>
      </c>
      <c r="M183">
        <v>231.52</v>
      </c>
      <c r="N183">
        <v>232.7</v>
      </c>
      <c r="O183">
        <v>228.16</v>
      </c>
      <c r="P183">
        <v>0</v>
      </c>
      <c r="Q183">
        <v>0</v>
      </c>
      <c r="R183">
        <v>0</v>
      </c>
      <c r="S183">
        <v>231.45</v>
      </c>
      <c r="T183">
        <v>231</v>
      </c>
      <c r="U183">
        <v>227.84</v>
      </c>
      <c r="V183">
        <v>233.79</v>
      </c>
      <c r="W183">
        <v>10580129792</v>
      </c>
      <c r="X183">
        <v>228.11</v>
      </c>
      <c r="Y183">
        <v>228.12</v>
      </c>
      <c r="Z183">
        <v>82943</v>
      </c>
      <c r="AA183">
        <v>21586948000</v>
      </c>
      <c r="AB183">
        <v>4562.2</v>
      </c>
      <c r="AC183">
        <v>0</v>
      </c>
      <c r="AD183" t="s">
        <v>94</v>
      </c>
      <c r="AE183" t="s">
        <v>94</v>
      </c>
      <c r="AF183" t="s">
        <v>226</v>
      </c>
      <c r="AG183" t="s">
        <v>226</v>
      </c>
      <c r="AH183">
        <v>-100</v>
      </c>
      <c r="AI183" t="s">
        <v>269</v>
      </c>
      <c r="AJ183" t="s">
        <v>270</v>
      </c>
      <c r="AK183" t="s">
        <v>271</v>
      </c>
      <c r="AL183" t="s">
        <v>272</v>
      </c>
    </row>
    <row r="184" spans="1:38">
      <c r="A184" t="s">
        <v>1154</v>
      </c>
      <c r="B184" t="s">
        <v>1155</v>
      </c>
      <c r="C184" t="s">
        <v>1156</v>
      </c>
      <c r="D184" t="s">
        <v>1157</v>
      </c>
      <c r="E184" t="s">
        <v>1158</v>
      </c>
      <c r="F184" t="s">
        <v>438</v>
      </c>
      <c r="G184">
        <v>1</v>
      </c>
      <c r="H184">
        <v>10</v>
      </c>
      <c r="I184">
        <v>0.01</v>
      </c>
      <c r="J184">
        <v>3</v>
      </c>
      <c r="K184">
        <v>-1.1000000000000001</v>
      </c>
      <c r="L184">
        <v>228.35</v>
      </c>
      <c r="M184">
        <v>232.39</v>
      </c>
      <c r="N184">
        <v>232.24</v>
      </c>
      <c r="O184">
        <v>228.34</v>
      </c>
      <c r="P184">
        <v>0</v>
      </c>
      <c r="Q184">
        <v>0</v>
      </c>
      <c r="R184">
        <v>0</v>
      </c>
      <c r="S184">
        <v>231.12</v>
      </c>
      <c r="T184">
        <v>230.8</v>
      </c>
      <c r="U184">
        <v>228.14</v>
      </c>
      <c r="V184">
        <v>233.66</v>
      </c>
      <c r="W184">
        <v>826002734</v>
      </c>
      <c r="X184">
        <v>228.3</v>
      </c>
      <c r="Y184">
        <v>228.32</v>
      </c>
      <c r="Z184">
        <v>11673</v>
      </c>
      <c r="AA184">
        <v>1000000000</v>
      </c>
      <c r="AB184">
        <v>45670</v>
      </c>
      <c r="AC184">
        <v>0</v>
      </c>
      <c r="AD184" t="s">
        <v>94</v>
      </c>
      <c r="AE184" t="s">
        <v>94</v>
      </c>
      <c r="AF184" t="s">
        <v>226</v>
      </c>
      <c r="AG184" t="s">
        <v>226</v>
      </c>
      <c r="AH184">
        <v>-100</v>
      </c>
      <c r="AI184" t="s">
        <v>269</v>
      </c>
      <c r="AJ184" t="s">
        <v>270</v>
      </c>
      <c r="AK184" t="s">
        <v>439</v>
      </c>
      <c r="AL184" t="s">
        <v>272</v>
      </c>
    </row>
    <row r="185" spans="1:38">
      <c r="A185" t="s">
        <v>1159</v>
      </c>
      <c r="B185" t="s">
        <v>1160</v>
      </c>
      <c r="C185" t="s">
        <v>1161</v>
      </c>
      <c r="D185" t="s">
        <v>1162</v>
      </c>
      <c r="E185" t="s">
        <v>1163</v>
      </c>
      <c r="F185" t="s">
        <v>268</v>
      </c>
      <c r="G185">
        <v>3</v>
      </c>
      <c r="H185">
        <v>1</v>
      </c>
      <c r="I185">
        <v>0.05</v>
      </c>
      <c r="J185">
        <v>1</v>
      </c>
      <c r="K185">
        <v>0</v>
      </c>
      <c r="L185">
        <v>16.850000000000001</v>
      </c>
      <c r="M185">
        <v>16.850000000000001</v>
      </c>
      <c r="N185">
        <v>16.850000000000001</v>
      </c>
      <c r="O185">
        <v>16.899999999999999</v>
      </c>
      <c r="P185">
        <v>0</v>
      </c>
      <c r="Q185">
        <v>0</v>
      </c>
      <c r="R185">
        <v>0</v>
      </c>
      <c r="S185">
        <v>16.899999999999999</v>
      </c>
      <c r="T185">
        <v>16.95</v>
      </c>
      <c r="U185">
        <v>16.75</v>
      </c>
      <c r="V185">
        <v>17.100000000000001</v>
      </c>
      <c r="W185">
        <v>1964198</v>
      </c>
      <c r="X185">
        <v>16.850000000000001</v>
      </c>
      <c r="Y185">
        <v>16.95</v>
      </c>
      <c r="Z185">
        <v>887</v>
      </c>
      <c r="AA185">
        <v>22333500</v>
      </c>
      <c r="AB185">
        <v>14103.45</v>
      </c>
      <c r="AC185">
        <v>0</v>
      </c>
      <c r="AD185" t="s">
        <v>94</v>
      </c>
      <c r="AE185" t="s">
        <v>94</v>
      </c>
      <c r="AF185" t="s">
        <v>226</v>
      </c>
      <c r="AG185" t="s">
        <v>226</v>
      </c>
      <c r="AH185">
        <v>9</v>
      </c>
      <c r="AI185" t="s">
        <v>269</v>
      </c>
      <c r="AJ185" t="s">
        <v>270</v>
      </c>
      <c r="AK185" t="s">
        <v>271</v>
      </c>
      <c r="AL185" t="s">
        <v>272</v>
      </c>
    </row>
    <row r="186" spans="1:38">
      <c r="A186" t="s">
        <v>1164</v>
      </c>
      <c r="B186" t="s">
        <v>1165</v>
      </c>
      <c r="C186" t="s">
        <v>1166</v>
      </c>
      <c r="D186" t="s">
        <v>1167</v>
      </c>
      <c r="E186" t="s">
        <v>1168</v>
      </c>
      <c r="F186" t="s">
        <v>438</v>
      </c>
      <c r="G186">
        <v>3</v>
      </c>
      <c r="H186">
        <v>1</v>
      </c>
      <c r="I186">
        <v>0.05</v>
      </c>
      <c r="J186">
        <v>1</v>
      </c>
      <c r="K186">
        <v>-2.78</v>
      </c>
      <c r="L186">
        <v>17.5</v>
      </c>
      <c r="M186">
        <v>18</v>
      </c>
      <c r="N186">
        <v>18.25</v>
      </c>
      <c r="O186">
        <v>17.5</v>
      </c>
      <c r="P186">
        <v>0</v>
      </c>
      <c r="Q186">
        <v>0</v>
      </c>
      <c r="R186">
        <v>0</v>
      </c>
      <c r="S186">
        <v>17.5</v>
      </c>
      <c r="T186">
        <v>18</v>
      </c>
      <c r="U186">
        <v>17.25</v>
      </c>
      <c r="V186">
        <v>18.05</v>
      </c>
      <c r="W186">
        <v>852760</v>
      </c>
      <c r="X186">
        <v>17.45</v>
      </c>
      <c r="Y186">
        <v>17.5</v>
      </c>
      <c r="Z186">
        <v>403</v>
      </c>
      <c r="AA186">
        <v>2481500</v>
      </c>
      <c r="AB186">
        <v>17.5</v>
      </c>
      <c r="AC186">
        <v>0</v>
      </c>
      <c r="AD186" t="s">
        <v>94</v>
      </c>
      <c r="AE186" t="s">
        <v>94</v>
      </c>
      <c r="AF186" t="s">
        <v>226</v>
      </c>
      <c r="AG186" t="s">
        <v>226</v>
      </c>
      <c r="AH186">
        <v>9</v>
      </c>
      <c r="AI186" t="s">
        <v>269</v>
      </c>
      <c r="AJ186" t="s">
        <v>270</v>
      </c>
      <c r="AK186" t="s">
        <v>439</v>
      </c>
      <c r="AL186" t="s">
        <v>272</v>
      </c>
    </row>
    <row r="187" spans="1:38">
      <c r="A187" t="s">
        <v>1169</v>
      </c>
      <c r="B187" t="s">
        <v>1170</v>
      </c>
      <c r="C187" t="s">
        <v>1171</v>
      </c>
      <c r="D187" t="s">
        <v>1172</v>
      </c>
      <c r="E187" t="s">
        <v>1173</v>
      </c>
      <c r="F187" t="s">
        <v>268</v>
      </c>
      <c r="G187">
        <v>1</v>
      </c>
      <c r="H187">
        <v>1</v>
      </c>
      <c r="I187">
        <v>0.2</v>
      </c>
      <c r="J187">
        <v>0.01</v>
      </c>
      <c r="K187">
        <v>-1.33</v>
      </c>
      <c r="L187">
        <v>1085.4000000000001</v>
      </c>
      <c r="M187">
        <v>1102.8</v>
      </c>
      <c r="N187">
        <v>1115</v>
      </c>
      <c r="O187">
        <v>1081.8</v>
      </c>
      <c r="P187">
        <v>0</v>
      </c>
      <c r="Q187">
        <v>0</v>
      </c>
      <c r="R187">
        <v>0</v>
      </c>
      <c r="S187">
        <v>1090.5999999999999</v>
      </c>
      <c r="T187">
        <v>1097.8</v>
      </c>
      <c r="U187">
        <v>1073.2</v>
      </c>
      <c r="V187">
        <v>1109.2</v>
      </c>
      <c r="W187">
        <v>1092136761</v>
      </c>
      <c r="X187">
        <v>1085</v>
      </c>
      <c r="Y187">
        <v>1085.4000000000001</v>
      </c>
      <c r="Z187">
        <v>34958</v>
      </c>
      <c r="AA187">
        <v>837718660</v>
      </c>
      <c r="AB187">
        <v>3256.2</v>
      </c>
      <c r="AC187">
        <v>0</v>
      </c>
      <c r="AD187" t="s">
        <v>94</v>
      </c>
      <c r="AE187" t="s">
        <v>94</v>
      </c>
      <c r="AF187" t="s">
        <v>226</v>
      </c>
      <c r="AG187" t="s">
        <v>226</v>
      </c>
      <c r="AH187">
        <v>-100</v>
      </c>
      <c r="AI187" t="s">
        <v>269</v>
      </c>
      <c r="AJ187" t="s">
        <v>270</v>
      </c>
      <c r="AK187" t="s">
        <v>271</v>
      </c>
      <c r="AL187" t="s">
        <v>272</v>
      </c>
    </row>
    <row r="188" spans="1:38">
      <c r="A188" t="s">
        <v>1174</v>
      </c>
      <c r="B188" t="s">
        <v>1175</v>
      </c>
      <c r="C188" t="s">
        <v>1176</v>
      </c>
      <c r="D188" t="s">
        <v>1177</v>
      </c>
      <c r="E188" t="s">
        <v>1178</v>
      </c>
      <c r="F188" t="s">
        <v>268</v>
      </c>
      <c r="G188">
        <v>1</v>
      </c>
      <c r="H188">
        <v>100</v>
      </c>
      <c r="I188">
        <v>1E-3</v>
      </c>
      <c r="J188">
        <v>0.1</v>
      </c>
      <c r="K188">
        <v>-2.3199999999999998</v>
      </c>
      <c r="L188">
        <v>1.306</v>
      </c>
      <c r="M188">
        <v>1.345</v>
      </c>
      <c r="N188">
        <v>1.341</v>
      </c>
      <c r="O188">
        <v>1.3049999999999999</v>
      </c>
      <c r="P188">
        <v>0</v>
      </c>
      <c r="Q188">
        <v>0</v>
      </c>
      <c r="R188">
        <v>0</v>
      </c>
      <c r="S188">
        <v>1.3280000000000001</v>
      </c>
      <c r="T188">
        <v>1.329</v>
      </c>
      <c r="U188">
        <v>1.304</v>
      </c>
      <c r="V188">
        <v>1.353</v>
      </c>
      <c r="W188">
        <v>294123181</v>
      </c>
      <c r="X188">
        <v>1.3069999999999999</v>
      </c>
      <c r="Y188">
        <v>1.3080000000000001</v>
      </c>
      <c r="Z188">
        <v>13052</v>
      </c>
      <c r="AA188">
        <v>15690000000</v>
      </c>
      <c r="AB188">
        <v>1175.4000000000001</v>
      </c>
      <c r="AC188">
        <v>0</v>
      </c>
      <c r="AD188" t="s">
        <v>94</v>
      </c>
      <c r="AE188" t="s">
        <v>94</v>
      </c>
      <c r="AF188" t="s">
        <v>226</v>
      </c>
      <c r="AG188" t="s">
        <v>226</v>
      </c>
      <c r="AH188">
        <v>-100</v>
      </c>
      <c r="AI188" t="s">
        <v>269</v>
      </c>
      <c r="AJ188" t="s">
        <v>270</v>
      </c>
      <c r="AK188" t="s">
        <v>271</v>
      </c>
      <c r="AL188" t="s">
        <v>272</v>
      </c>
    </row>
    <row r="189" spans="1:38">
      <c r="A189" t="s">
        <v>1179</v>
      </c>
      <c r="B189" t="s">
        <v>1180</v>
      </c>
      <c r="C189" t="s">
        <v>1181</v>
      </c>
      <c r="D189" t="s">
        <v>1182</v>
      </c>
      <c r="E189" t="s">
        <v>1183</v>
      </c>
      <c r="F189" t="s">
        <v>268</v>
      </c>
      <c r="G189">
        <v>1</v>
      </c>
      <c r="H189">
        <v>10</v>
      </c>
      <c r="I189">
        <v>0.01</v>
      </c>
      <c r="J189">
        <v>1</v>
      </c>
      <c r="K189">
        <v>-0.38</v>
      </c>
      <c r="L189">
        <v>36.4</v>
      </c>
      <c r="M189">
        <v>36.56</v>
      </c>
      <c r="N189">
        <v>36.79</v>
      </c>
      <c r="O189">
        <v>36.340000000000003</v>
      </c>
      <c r="P189">
        <v>0</v>
      </c>
      <c r="Q189">
        <v>0</v>
      </c>
      <c r="R189">
        <v>0</v>
      </c>
      <c r="S189">
        <v>36.840000000000003</v>
      </c>
      <c r="T189">
        <v>36.99</v>
      </c>
      <c r="U189">
        <v>36.229999999999997</v>
      </c>
      <c r="V189">
        <v>37.380000000000003</v>
      </c>
      <c r="W189">
        <v>40337926</v>
      </c>
      <c r="X189">
        <v>36.39</v>
      </c>
      <c r="Y189">
        <v>36.4</v>
      </c>
      <c r="Z189">
        <v>4030</v>
      </c>
      <c r="AA189">
        <v>1030000000</v>
      </c>
      <c r="AB189">
        <v>10920</v>
      </c>
      <c r="AC189">
        <v>0</v>
      </c>
      <c r="AD189" t="s">
        <v>94</v>
      </c>
      <c r="AE189" t="s">
        <v>94</v>
      </c>
      <c r="AF189" t="s">
        <v>226</v>
      </c>
      <c r="AG189" t="s">
        <v>226</v>
      </c>
      <c r="AH189">
        <v>-100</v>
      </c>
      <c r="AI189" t="s">
        <v>269</v>
      </c>
      <c r="AJ189" t="s">
        <v>270</v>
      </c>
      <c r="AK189" t="s">
        <v>271</v>
      </c>
      <c r="AL189" t="s">
        <v>272</v>
      </c>
    </row>
    <row r="190" spans="1:38">
      <c r="A190" t="s">
        <v>1184</v>
      </c>
      <c r="B190" t="s">
        <v>1185</v>
      </c>
      <c r="C190" t="s">
        <v>1186</v>
      </c>
      <c r="D190" t="s">
        <v>1187</v>
      </c>
      <c r="E190" t="s">
        <v>1188</v>
      </c>
      <c r="F190" t="s">
        <v>268</v>
      </c>
      <c r="G190">
        <v>1</v>
      </c>
      <c r="H190">
        <v>100</v>
      </c>
      <c r="I190">
        <v>1E-3</v>
      </c>
      <c r="J190">
        <v>0.09</v>
      </c>
      <c r="K190">
        <v>-1.33</v>
      </c>
      <c r="L190">
        <v>11.913</v>
      </c>
      <c r="M190">
        <v>12.164</v>
      </c>
      <c r="N190">
        <v>12.183</v>
      </c>
      <c r="O190">
        <v>11.884</v>
      </c>
      <c r="P190">
        <v>0</v>
      </c>
      <c r="Q190">
        <v>0</v>
      </c>
      <c r="R190">
        <v>0</v>
      </c>
      <c r="S190">
        <v>11.988</v>
      </c>
      <c r="T190">
        <v>12.064</v>
      </c>
      <c r="U190">
        <v>11.829000000000001</v>
      </c>
      <c r="V190">
        <v>12.173999999999999</v>
      </c>
      <c r="W190">
        <v>1758149737</v>
      </c>
      <c r="X190">
        <v>11.91</v>
      </c>
      <c r="Y190">
        <v>11.919</v>
      </c>
      <c r="Z190">
        <v>32580</v>
      </c>
      <c r="AA190">
        <v>9650000000</v>
      </c>
      <c r="AB190">
        <v>5956.5</v>
      </c>
      <c r="AC190">
        <v>0</v>
      </c>
      <c r="AD190" t="s">
        <v>94</v>
      </c>
      <c r="AE190" t="s">
        <v>94</v>
      </c>
      <c r="AF190" t="s">
        <v>226</v>
      </c>
      <c r="AG190" t="s">
        <v>226</v>
      </c>
      <c r="AH190">
        <v>-100</v>
      </c>
      <c r="AI190" t="s">
        <v>269</v>
      </c>
      <c r="AJ190" t="s">
        <v>270</v>
      </c>
      <c r="AK190" t="s">
        <v>271</v>
      </c>
      <c r="AL190" t="s">
        <v>272</v>
      </c>
    </row>
    <row r="191" spans="1:38">
      <c r="A191" t="s">
        <v>1189</v>
      </c>
      <c r="B191" t="s">
        <v>1190</v>
      </c>
      <c r="C191" t="s">
        <v>1191</v>
      </c>
      <c r="D191" t="s">
        <v>1192</v>
      </c>
      <c r="E191" t="s">
        <v>1193</v>
      </c>
      <c r="F191" t="s">
        <v>438</v>
      </c>
      <c r="G191">
        <v>3</v>
      </c>
      <c r="H191">
        <v>100</v>
      </c>
      <c r="I191">
        <v>0.02</v>
      </c>
      <c r="J191">
        <v>1</v>
      </c>
      <c r="K191">
        <v>-0.92</v>
      </c>
      <c r="L191">
        <v>10.72</v>
      </c>
      <c r="M191">
        <v>10.8</v>
      </c>
      <c r="N191">
        <v>10.82</v>
      </c>
      <c r="O191">
        <v>10.72</v>
      </c>
      <c r="P191">
        <v>0</v>
      </c>
      <c r="Q191">
        <v>0</v>
      </c>
      <c r="R191">
        <v>0</v>
      </c>
      <c r="S191">
        <v>10.76</v>
      </c>
      <c r="T191">
        <v>10.92</v>
      </c>
      <c r="U191">
        <v>10.72</v>
      </c>
      <c r="V191">
        <v>10.92</v>
      </c>
      <c r="W191">
        <v>27984</v>
      </c>
      <c r="X191">
        <v>10.56</v>
      </c>
      <c r="Y191">
        <v>10.8</v>
      </c>
      <c r="Z191">
        <v>10</v>
      </c>
      <c r="AA191">
        <v>310884574</v>
      </c>
      <c r="AB191">
        <v>1072</v>
      </c>
      <c r="AC191">
        <v>0</v>
      </c>
      <c r="AD191" t="s">
        <v>94</v>
      </c>
      <c r="AE191" t="s">
        <v>94</v>
      </c>
      <c r="AF191" t="s">
        <v>226</v>
      </c>
      <c r="AG191" t="s">
        <v>226</v>
      </c>
      <c r="AH191">
        <v>9</v>
      </c>
      <c r="AI191" t="s">
        <v>269</v>
      </c>
      <c r="AJ191" t="s">
        <v>270</v>
      </c>
      <c r="AK191" t="s">
        <v>439</v>
      </c>
      <c r="AL191" t="s">
        <v>272</v>
      </c>
    </row>
    <row r="192" spans="1:38">
      <c r="A192" t="s">
        <v>1194</v>
      </c>
      <c r="B192" t="s">
        <v>1195</v>
      </c>
      <c r="C192" t="s">
        <v>1196</v>
      </c>
      <c r="D192" t="s">
        <v>1197</v>
      </c>
      <c r="E192" t="s">
        <v>1198</v>
      </c>
      <c r="F192" t="s">
        <v>268</v>
      </c>
      <c r="G192">
        <v>3</v>
      </c>
      <c r="H192">
        <v>100</v>
      </c>
      <c r="I192">
        <v>0.05</v>
      </c>
      <c r="J192">
        <v>1</v>
      </c>
      <c r="K192">
        <v>-1.1299999999999999</v>
      </c>
      <c r="L192">
        <v>17.5</v>
      </c>
      <c r="M192">
        <v>17.7</v>
      </c>
      <c r="N192">
        <v>17.2</v>
      </c>
      <c r="O192">
        <v>17.5</v>
      </c>
      <c r="P192">
        <v>0</v>
      </c>
      <c r="Q192">
        <v>0</v>
      </c>
      <c r="R192">
        <v>0</v>
      </c>
      <c r="S192">
        <v>17.55</v>
      </c>
      <c r="T192">
        <v>17.7</v>
      </c>
      <c r="U192">
        <v>17.5</v>
      </c>
      <c r="V192">
        <v>17.7</v>
      </c>
      <c r="W192">
        <v>73720</v>
      </c>
      <c r="X192">
        <v>17.45</v>
      </c>
      <c r="Y192">
        <v>17.7</v>
      </c>
      <c r="Z192">
        <v>17</v>
      </c>
      <c r="AA192">
        <v>932654723</v>
      </c>
      <c r="AB192">
        <v>1750</v>
      </c>
      <c r="AC192">
        <v>0</v>
      </c>
      <c r="AD192" t="s">
        <v>94</v>
      </c>
      <c r="AE192" t="s">
        <v>94</v>
      </c>
      <c r="AF192" t="s">
        <v>226</v>
      </c>
      <c r="AG192" t="s">
        <v>226</v>
      </c>
      <c r="AH192">
        <v>9</v>
      </c>
      <c r="AI192" t="s">
        <v>269</v>
      </c>
      <c r="AJ192" t="s">
        <v>270</v>
      </c>
      <c r="AK192" t="s">
        <v>271</v>
      </c>
      <c r="AL192" t="s">
        <v>272</v>
      </c>
    </row>
    <row r="193" spans="1:38">
      <c r="A193" t="s">
        <v>1199</v>
      </c>
      <c r="B193" t="s">
        <v>1200</v>
      </c>
      <c r="C193" t="s">
        <v>1201</v>
      </c>
      <c r="D193" t="s">
        <v>122</v>
      </c>
      <c r="E193" t="s">
        <v>123</v>
      </c>
      <c r="F193" t="s">
        <v>268</v>
      </c>
      <c r="G193">
        <v>1</v>
      </c>
      <c r="H193">
        <v>100</v>
      </c>
      <c r="I193">
        <v>5.0000000000000001E-3</v>
      </c>
      <c r="J193">
        <v>0.1</v>
      </c>
      <c r="K193">
        <v>-0.55000000000000004</v>
      </c>
      <c r="L193">
        <v>12.58</v>
      </c>
      <c r="M193">
        <v>12.67</v>
      </c>
      <c r="N193">
        <v>12.695</v>
      </c>
      <c r="O193">
        <v>12.57</v>
      </c>
      <c r="P193">
        <v>0</v>
      </c>
      <c r="Q193">
        <v>0</v>
      </c>
      <c r="R193">
        <v>0</v>
      </c>
      <c r="S193">
        <v>12.67</v>
      </c>
      <c r="T193">
        <v>12.7</v>
      </c>
      <c r="U193">
        <v>12.525</v>
      </c>
      <c r="V193">
        <v>12.8</v>
      </c>
      <c r="W193">
        <v>217010101</v>
      </c>
      <c r="X193">
        <v>12.58</v>
      </c>
      <c r="Y193">
        <v>12.59</v>
      </c>
      <c r="Z193">
        <v>11866</v>
      </c>
      <c r="AA193">
        <v>20693945875</v>
      </c>
      <c r="AB193">
        <v>1258</v>
      </c>
      <c r="AC193">
        <v>0</v>
      </c>
      <c r="AD193" t="s">
        <v>94</v>
      </c>
      <c r="AE193" t="s">
        <v>94</v>
      </c>
      <c r="AF193" t="s">
        <v>226</v>
      </c>
      <c r="AG193" t="s">
        <v>226</v>
      </c>
      <c r="AH193">
        <v>-100</v>
      </c>
      <c r="AI193" t="s">
        <v>269</v>
      </c>
      <c r="AJ193" t="s">
        <v>270</v>
      </c>
      <c r="AK193" t="s">
        <v>271</v>
      </c>
      <c r="AL193" t="s">
        <v>272</v>
      </c>
    </row>
    <row r="194" spans="1:38">
      <c r="A194" t="s">
        <v>1202</v>
      </c>
      <c r="B194" t="s">
        <v>1203</v>
      </c>
      <c r="C194" t="s">
        <v>1204</v>
      </c>
      <c r="D194" t="s">
        <v>1205</v>
      </c>
      <c r="E194" t="s">
        <v>1206</v>
      </c>
      <c r="F194" t="s">
        <v>268</v>
      </c>
      <c r="G194">
        <v>1</v>
      </c>
      <c r="H194">
        <v>10</v>
      </c>
      <c r="I194">
        <v>0.01</v>
      </c>
      <c r="J194">
        <v>1</v>
      </c>
      <c r="K194">
        <v>-0.56000000000000005</v>
      </c>
      <c r="L194">
        <v>86.68</v>
      </c>
      <c r="M194">
        <v>86.93</v>
      </c>
      <c r="N194">
        <v>85.57</v>
      </c>
      <c r="O194">
        <v>86.4</v>
      </c>
      <c r="P194">
        <v>0</v>
      </c>
      <c r="Q194">
        <v>0</v>
      </c>
      <c r="R194">
        <v>0</v>
      </c>
      <c r="S194">
        <v>87.95</v>
      </c>
      <c r="T194">
        <v>87.5</v>
      </c>
      <c r="U194">
        <v>86.02</v>
      </c>
      <c r="V194">
        <v>89.34</v>
      </c>
      <c r="W194">
        <v>377068218</v>
      </c>
      <c r="X194">
        <v>86.63</v>
      </c>
      <c r="Y194">
        <v>86.68</v>
      </c>
      <c r="Z194">
        <v>22468</v>
      </c>
      <c r="AA194">
        <v>2374993901</v>
      </c>
      <c r="AB194">
        <v>16469.2</v>
      </c>
      <c r="AC194">
        <v>0</v>
      </c>
      <c r="AD194" t="s">
        <v>94</v>
      </c>
      <c r="AE194" t="s">
        <v>94</v>
      </c>
      <c r="AF194" t="s">
        <v>226</v>
      </c>
      <c r="AG194" t="s">
        <v>226</v>
      </c>
      <c r="AH194">
        <v>-100</v>
      </c>
      <c r="AI194" t="s">
        <v>269</v>
      </c>
      <c r="AJ194" t="s">
        <v>270</v>
      </c>
      <c r="AK194" t="s">
        <v>271</v>
      </c>
      <c r="AL194" t="s">
        <v>272</v>
      </c>
    </row>
    <row r="195" spans="1:38">
      <c r="A195" t="s">
        <v>1207</v>
      </c>
      <c r="B195" t="s">
        <v>1208</v>
      </c>
      <c r="C195" t="s">
        <v>1209</v>
      </c>
      <c r="D195" t="s">
        <v>1210</v>
      </c>
      <c r="E195" t="s">
        <v>1211</v>
      </c>
      <c r="F195" t="s">
        <v>268</v>
      </c>
      <c r="G195">
        <v>3</v>
      </c>
      <c r="H195">
        <v>1000</v>
      </c>
      <c r="I195">
        <v>5.0000000000000001E-3</v>
      </c>
      <c r="J195">
        <v>4.7999999999999996E-3</v>
      </c>
      <c r="K195">
        <v>-0.65</v>
      </c>
      <c r="L195">
        <v>3.0350000000000001</v>
      </c>
      <c r="M195">
        <v>3.0550000000000002</v>
      </c>
      <c r="N195">
        <v>3.08</v>
      </c>
      <c r="O195">
        <v>3.0350000000000001</v>
      </c>
      <c r="P195">
        <v>0</v>
      </c>
      <c r="Q195">
        <v>0</v>
      </c>
      <c r="R195">
        <v>0</v>
      </c>
      <c r="S195">
        <v>3.06</v>
      </c>
      <c r="T195">
        <v>3.1349999999999998</v>
      </c>
      <c r="U195">
        <v>3.01</v>
      </c>
      <c r="V195">
        <v>3.1349999999999998</v>
      </c>
      <c r="W195">
        <v>700335</v>
      </c>
      <c r="X195">
        <v>3.0150000000000001</v>
      </c>
      <c r="Y195">
        <v>3.0350000000000001</v>
      </c>
      <c r="Z195">
        <v>62</v>
      </c>
      <c r="AA195">
        <v>859074636</v>
      </c>
      <c r="AB195">
        <v>3035</v>
      </c>
      <c r="AC195">
        <v>0</v>
      </c>
      <c r="AD195" t="s">
        <v>94</v>
      </c>
      <c r="AE195" t="s">
        <v>94</v>
      </c>
      <c r="AF195" t="s">
        <v>226</v>
      </c>
      <c r="AG195" t="s">
        <v>226</v>
      </c>
      <c r="AH195">
        <v>9</v>
      </c>
      <c r="AI195" t="s">
        <v>269</v>
      </c>
      <c r="AJ195" t="s">
        <v>270</v>
      </c>
      <c r="AK195" t="s">
        <v>271</v>
      </c>
      <c r="AL195" t="s">
        <v>272</v>
      </c>
    </row>
    <row r="196" spans="1:38">
      <c r="A196" t="s">
        <v>1212</v>
      </c>
      <c r="B196" t="s">
        <v>1213</v>
      </c>
      <c r="C196" t="s">
        <v>1214</v>
      </c>
      <c r="D196" t="s">
        <v>1215</v>
      </c>
      <c r="E196" t="s">
        <v>1216</v>
      </c>
      <c r="F196" t="s">
        <v>438</v>
      </c>
      <c r="G196">
        <v>3</v>
      </c>
      <c r="H196">
        <v>1000</v>
      </c>
      <c r="I196">
        <v>5.0000000000000001E-3</v>
      </c>
      <c r="J196">
        <v>4.7999999999999996E-3</v>
      </c>
      <c r="K196">
        <v>-0.15</v>
      </c>
      <c r="L196">
        <v>3.4</v>
      </c>
      <c r="M196">
        <v>3.4049999999999998</v>
      </c>
      <c r="N196">
        <v>3.415</v>
      </c>
      <c r="O196">
        <v>3.395</v>
      </c>
      <c r="P196">
        <v>0</v>
      </c>
      <c r="Q196">
        <v>0</v>
      </c>
      <c r="R196">
        <v>0</v>
      </c>
      <c r="S196">
        <v>3.41</v>
      </c>
      <c r="T196">
        <v>3.45</v>
      </c>
      <c r="U196">
        <v>3.35</v>
      </c>
      <c r="V196">
        <v>3.4849999999999999</v>
      </c>
      <c r="W196">
        <v>1015855</v>
      </c>
      <c r="X196">
        <v>3.39</v>
      </c>
      <c r="Y196">
        <v>3.4</v>
      </c>
      <c r="Z196">
        <v>95</v>
      </c>
      <c r="AA196">
        <v>262100364</v>
      </c>
      <c r="AB196">
        <v>3400</v>
      </c>
      <c r="AC196">
        <v>0</v>
      </c>
      <c r="AD196" t="s">
        <v>94</v>
      </c>
      <c r="AE196" t="s">
        <v>94</v>
      </c>
      <c r="AF196" t="s">
        <v>226</v>
      </c>
      <c r="AG196" t="s">
        <v>226</v>
      </c>
      <c r="AH196">
        <v>9</v>
      </c>
      <c r="AI196" t="s">
        <v>269</v>
      </c>
      <c r="AJ196" t="s">
        <v>270</v>
      </c>
      <c r="AK196" t="s">
        <v>439</v>
      </c>
      <c r="AL196" t="s">
        <v>272</v>
      </c>
    </row>
    <row r="197" spans="1:38">
      <c r="A197" t="s">
        <v>1217</v>
      </c>
      <c r="B197" t="s">
        <v>1218</v>
      </c>
      <c r="C197" t="s">
        <v>1219</v>
      </c>
      <c r="D197" t="s">
        <v>1220</v>
      </c>
      <c r="E197" t="s">
        <v>1221</v>
      </c>
      <c r="F197" t="s">
        <v>268</v>
      </c>
      <c r="G197">
        <v>2</v>
      </c>
      <c r="H197">
        <v>100</v>
      </c>
      <c r="I197">
        <v>5.0000000000000001E-3</v>
      </c>
      <c r="J197">
        <v>1</v>
      </c>
      <c r="K197">
        <v>-1.86</v>
      </c>
      <c r="L197">
        <v>23.175000000000001</v>
      </c>
      <c r="M197">
        <v>23.745000000000001</v>
      </c>
      <c r="N197">
        <v>23.94</v>
      </c>
      <c r="O197">
        <v>23.13</v>
      </c>
      <c r="P197">
        <v>0</v>
      </c>
      <c r="Q197">
        <v>0</v>
      </c>
      <c r="R197">
        <v>0</v>
      </c>
      <c r="S197">
        <v>23.48</v>
      </c>
      <c r="T197">
        <v>23.614999999999998</v>
      </c>
      <c r="U197">
        <v>23.06</v>
      </c>
      <c r="V197">
        <v>23.76</v>
      </c>
      <c r="W197">
        <v>660723921</v>
      </c>
      <c r="X197">
        <v>23.164999999999999</v>
      </c>
      <c r="Y197">
        <v>23.175000000000001</v>
      </c>
      <c r="Z197">
        <v>18929</v>
      </c>
      <c r="AA197">
        <v>35725994705</v>
      </c>
      <c r="AB197">
        <v>71842.5</v>
      </c>
      <c r="AC197">
        <v>0</v>
      </c>
      <c r="AD197" t="s">
        <v>94</v>
      </c>
      <c r="AE197" t="s">
        <v>94</v>
      </c>
      <c r="AF197" t="s">
        <v>226</v>
      </c>
      <c r="AG197" t="s">
        <v>226</v>
      </c>
      <c r="AH197">
        <v>-100</v>
      </c>
      <c r="AI197" t="s">
        <v>269</v>
      </c>
      <c r="AJ197" t="s">
        <v>270</v>
      </c>
      <c r="AK197" t="s">
        <v>271</v>
      </c>
      <c r="AL197" t="s">
        <v>272</v>
      </c>
    </row>
    <row r="198" spans="1:38">
      <c r="A198" t="s">
        <v>1222</v>
      </c>
      <c r="B198" t="s">
        <v>1223</v>
      </c>
      <c r="C198" t="s">
        <v>1224</v>
      </c>
      <c r="D198" t="s">
        <v>112</v>
      </c>
      <c r="E198" t="s">
        <v>113</v>
      </c>
      <c r="F198" t="s">
        <v>438</v>
      </c>
      <c r="G198">
        <v>2</v>
      </c>
      <c r="H198">
        <v>10</v>
      </c>
      <c r="I198">
        <v>5.0000000000000001E-3</v>
      </c>
      <c r="J198">
        <v>1</v>
      </c>
      <c r="K198">
        <v>-1.26</v>
      </c>
      <c r="L198">
        <v>55.975000000000001</v>
      </c>
      <c r="M198">
        <v>57.74</v>
      </c>
      <c r="N198">
        <v>57.765000000000001</v>
      </c>
      <c r="O198">
        <v>55.994999999999997</v>
      </c>
      <c r="P198">
        <v>0</v>
      </c>
      <c r="Q198">
        <v>0</v>
      </c>
      <c r="R198">
        <v>0</v>
      </c>
      <c r="S198">
        <v>56.68</v>
      </c>
      <c r="T198">
        <v>56.75</v>
      </c>
      <c r="U198">
        <v>55.965000000000003</v>
      </c>
      <c r="V198">
        <v>57.19</v>
      </c>
      <c r="W198">
        <v>849437843</v>
      </c>
      <c r="X198">
        <v>55.97</v>
      </c>
      <c r="Y198">
        <v>55.975000000000001</v>
      </c>
      <c r="Z198">
        <v>30584</v>
      </c>
      <c r="AA198">
        <v>7701998235</v>
      </c>
      <c r="AB198">
        <v>7836.5</v>
      </c>
      <c r="AC198">
        <v>0</v>
      </c>
      <c r="AD198" t="s">
        <v>94</v>
      </c>
      <c r="AE198" t="s">
        <v>94</v>
      </c>
      <c r="AF198" t="s">
        <v>226</v>
      </c>
      <c r="AG198" t="s">
        <v>226</v>
      </c>
      <c r="AH198">
        <v>-100</v>
      </c>
      <c r="AI198" t="s">
        <v>269</v>
      </c>
      <c r="AJ198" t="s">
        <v>270</v>
      </c>
      <c r="AK198" t="s">
        <v>439</v>
      </c>
      <c r="AL198" t="s">
        <v>272</v>
      </c>
    </row>
    <row r="199" spans="1:38">
      <c r="A199" t="s">
        <v>1225</v>
      </c>
      <c r="B199" t="s">
        <v>1226</v>
      </c>
      <c r="C199" t="s">
        <v>1227</v>
      </c>
      <c r="D199" t="s">
        <v>1228</v>
      </c>
      <c r="E199" t="s">
        <v>1229</v>
      </c>
      <c r="F199" t="s">
        <v>268</v>
      </c>
      <c r="G199">
        <v>1</v>
      </c>
      <c r="H199">
        <v>100000</v>
      </c>
      <c r="I199">
        <v>1.9999999999999999E-6</v>
      </c>
      <c r="J199">
        <v>0.01</v>
      </c>
      <c r="K199">
        <v>-0.56999999999999995</v>
      </c>
      <c r="L199">
        <v>5.9420000000000002E-3</v>
      </c>
      <c r="M199">
        <v>5.9579999999999998E-3</v>
      </c>
      <c r="N199">
        <v>6.0340000000000003E-3</v>
      </c>
      <c r="O199">
        <v>5.9439999999999996E-3</v>
      </c>
      <c r="P199">
        <v>0</v>
      </c>
      <c r="Q199">
        <v>0</v>
      </c>
      <c r="R199">
        <v>0</v>
      </c>
      <c r="S199">
        <v>5.9760000000000004E-3</v>
      </c>
      <c r="T199">
        <v>5.9719999999999999E-3</v>
      </c>
      <c r="U199">
        <v>5.9379999999999997E-3</v>
      </c>
      <c r="V199">
        <v>6.038E-3</v>
      </c>
      <c r="W199">
        <v>8091241</v>
      </c>
      <c r="X199">
        <v>5.9459999999999999E-3</v>
      </c>
      <c r="Y199">
        <v>5.9560000000000004E-3</v>
      </c>
      <c r="Z199">
        <v>758</v>
      </c>
      <c r="AA199">
        <v>3854341416571</v>
      </c>
      <c r="AB199">
        <v>1782.6</v>
      </c>
      <c r="AC199">
        <v>0</v>
      </c>
      <c r="AD199" t="s">
        <v>94</v>
      </c>
      <c r="AE199" t="s">
        <v>94</v>
      </c>
      <c r="AF199" t="s">
        <v>226</v>
      </c>
      <c r="AG199" t="s">
        <v>226</v>
      </c>
      <c r="AH199">
        <v>-100</v>
      </c>
      <c r="AI199" t="s">
        <v>269</v>
      </c>
      <c r="AJ199" t="s">
        <v>270</v>
      </c>
      <c r="AK199" t="s">
        <v>271</v>
      </c>
      <c r="AL199" t="s">
        <v>272</v>
      </c>
    </row>
    <row r="200" spans="1:38">
      <c r="A200" t="s">
        <v>1230</v>
      </c>
      <c r="B200" t="s">
        <v>1231</v>
      </c>
      <c r="C200" t="s">
        <v>1232</v>
      </c>
      <c r="D200" t="s">
        <v>1233</v>
      </c>
      <c r="E200" t="s">
        <v>1234</v>
      </c>
      <c r="F200" t="s">
        <v>268</v>
      </c>
      <c r="G200">
        <v>2</v>
      </c>
      <c r="H200">
        <v>100000</v>
      </c>
      <c r="I200">
        <v>1.0000000000000001E-5</v>
      </c>
      <c r="J200">
        <v>1E-3</v>
      </c>
      <c r="K200">
        <v>-1.4</v>
      </c>
      <c r="L200">
        <v>7.0299999999999998E-3</v>
      </c>
      <c r="M200">
        <v>7.1300000000000001E-3</v>
      </c>
      <c r="N200">
        <v>7.1700000000000002E-3</v>
      </c>
      <c r="O200">
        <v>7.0299999999999998E-3</v>
      </c>
      <c r="P200">
        <v>0</v>
      </c>
      <c r="Q200">
        <v>0</v>
      </c>
      <c r="R200">
        <v>0</v>
      </c>
      <c r="S200">
        <v>7.1199999999999996E-3</v>
      </c>
      <c r="T200">
        <v>7.0600000000000003E-3</v>
      </c>
      <c r="U200">
        <v>7.0299999999999998E-3</v>
      </c>
      <c r="V200">
        <v>7.2199999999999999E-3</v>
      </c>
      <c r="W200">
        <v>12067321</v>
      </c>
      <c r="X200">
        <v>7.0200000000000002E-3</v>
      </c>
      <c r="Y200">
        <v>7.0600000000000003E-3</v>
      </c>
      <c r="Z200">
        <v>531</v>
      </c>
      <c r="AA200">
        <v>1357945609114</v>
      </c>
      <c r="AB200">
        <v>11248</v>
      </c>
      <c r="AC200">
        <v>0</v>
      </c>
      <c r="AD200" t="s">
        <v>94</v>
      </c>
      <c r="AE200" t="s">
        <v>94</v>
      </c>
      <c r="AF200" t="s">
        <v>226</v>
      </c>
      <c r="AG200" t="s">
        <v>226</v>
      </c>
      <c r="AH200">
        <v>-100</v>
      </c>
      <c r="AI200" t="s">
        <v>269</v>
      </c>
      <c r="AJ200" t="s">
        <v>270</v>
      </c>
      <c r="AK200" t="s">
        <v>271</v>
      </c>
      <c r="AL200" t="s">
        <v>272</v>
      </c>
    </row>
    <row r="201" spans="1:38">
      <c r="A201" t="s">
        <v>1235</v>
      </c>
      <c r="B201" t="s">
        <v>1236</v>
      </c>
      <c r="C201" t="s">
        <v>1237</v>
      </c>
      <c r="D201" t="s">
        <v>1238</v>
      </c>
      <c r="E201" t="s">
        <v>1239</v>
      </c>
      <c r="F201" t="s">
        <v>268</v>
      </c>
      <c r="G201">
        <v>3</v>
      </c>
      <c r="H201">
        <v>1000000</v>
      </c>
      <c r="I201">
        <v>5.0000000000000004E-6</v>
      </c>
      <c r="J201">
        <v>0.01</v>
      </c>
      <c r="K201">
        <v>-2.35</v>
      </c>
      <c r="L201">
        <v>5.5999999999999999E-3</v>
      </c>
      <c r="M201">
        <v>5.7349999999999996E-3</v>
      </c>
      <c r="N201">
        <v>5.7850000000000002E-3</v>
      </c>
      <c r="O201">
        <v>5.5999999999999999E-3</v>
      </c>
      <c r="P201">
        <v>0</v>
      </c>
      <c r="Q201">
        <v>0</v>
      </c>
      <c r="R201">
        <v>0</v>
      </c>
      <c r="S201">
        <v>5.6600000000000001E-3</v>
      </c>
      <c r="T201">
        <v>5.7099999999999998E-3</v>
      </c>
      <c r="U201">
        <v>5.5599999999999998E-3</v>
      </c>
      <c r="V201">
        <v>5.7800000000000004E-3</v>
      </c>
      <c r="W201">
        <v>2304645</v>
      </c>
      <c r="X201">
        <v>5.5900000000000004E-3</v>
      </c>
      <c r="Y201">
        <v>5.6449999999999998E-3</v>
      </c>
      <c r="Z201">
        <v>183</v>
      </c>
      <c r="AA201">
        <v>1458404850747</v>
      </c>
      <c r="AB201">
        <v>5600</v>
      </c>
      <c r="AC201">
        <v>0</v>
      </c>
      <c r="AD201" t="s">
        <v>94</v>
      </c>
      <c r="AE201" t="s">
        <v>94</v>
      </c>
      <c r="AF201" t="s">
        <v>226</v>
      </c>
      <c r="AG201" t="s">
        <v>226</v>
      </c>
      <c r="AH201">
        <v>9</v>
      </c>
      <c r="AI201" t="s">
        <v>269</v>
      </c>
      <c r="AJ201" t="s">
        <v>270</v>
      </c>
      <c r="AK201" t="s">
        <v>271</v>
      </c>
      <c r="AL201" t="s">
        <v>272</v>
      </c>
    </row>
    <row r="202" spans="1:38">
      <c r="A202" t="s">
        <v>1240</v>
      </c>
      <c r="B202" t="s">
        <v>1241</v>
      </c>
      <c r="C202" t="s">
        <v>1242</v>
      </c>
      <c r="D202" t="s">
        <v>1243</v>
      </c>
      <c r="E202" t="s">
        <v>1244</v>
      </c>
      <c r="F202" t="s">
        <v>438</v>
      </c>
      <c r="G202">
        <v>3</v>
      </c>
      <c r="H202">
        <v>100000</v>
      </c>
      <c r="I202">
        <v>1.0000000000000001E-5</v>
      </c>
      <c r="J202">
        <v>0.01</v>
      </c>
      <c r="K202">
        <v>-1.03</v>
      </c>
      <c r="L202">
        <v>9.6299999999999997E-3</v>
      </c>
      <c r="M202">
        <v>9.7300000000000008E-3</v>
      </c>
      <c r="N202">
        <v>9.9699999999999997E-3</v>
      </c>
      <c r="O202">
        <v>9.5999999999999992E-3</v>
      </c>
      <c r="P202">
        <v>0</v>
      </c>
      <c r="Q202">
        <v>0</v>
      </c>
      <c r="R202">
        <v>0</v>
      </c>
      <c r="S202">
        <v>9.8300000000000002E-3</v>
      </c>
      <c r="T202">
        <v>9.6799999999999994E-3</v>
      </c>
      <c r="U202">
        <v>9.4900000000000002E-3</v>
      </c>
      <c r="V202">
        <v>1.0200000000000001E-2</v>
      </c>
      <c r="W202">
        <v>1594659</v>
      </c>
      <c r="X202">
        <v>9.5399999999999999E-3</v>
      </c>
      <c r="Y202">
        <v>9.6799999999999994E-3</v>
      </c>
      <c r="Z202">
        <v>334</v>
      </c>
      <c r="AA202">
        <v>16500533681</v>
      </c>
      <c r="AB202">
        <v>963</v>
      </c>
      <c r="AC202">
        <v>0</v>
      </c>
      <c r="AD202" t="s">
        <v>94</v>
      </c>
      <c r="AE202" t="s">
        <v>94</v>
      </c>
      <c r="AF202" t="s">
        <v>226</v>
      </c>
      <c r="AG202" t="s">
        <v>226</v>
      </c>
      <c r="AH202">
        <v>9</v>
      </c>
      <c r="AI202" t="s">
        <v>269</v>
      </c>
      <c r="AJ202" t="s">
        <v>270</v>
      </c>
      <c r="AK202" t="s">
        <v>439</v>
      </c>
      <c r="AL202" t="s">
        <v>272</v>
      </c>
    </row>
    <row r="203" spans="1:38">
      <c r="A203" t="s">
        <v>1245</v>
      </c>
      <c r="B203" t="s">
        <v>1246</v>
      </c>
      <c r="C203" t="s">
        <v>1247</v>
      </c>
      <c r="D203" t="s">
        <v>1248</v>
      </c>
      <c r="E203" t="s">
        <v>1249</v>
      </c>
      <c r="F203" t="s">
        <v>268</v>
      </c>
      <c r="G203">
        <v>3</v>
      </c>
      <c r="H203">
        <v>10</v>
      </c>
      <c r="I203">
        <v>0.5</v>
      </c>
      <c r="J203">
        <v>10</v>
      </c>
      <c r="K203">
        <v>2.0699999999999998</v>
      </c>
      <c r="L203">
        <v>197</v>
      </c>
      <c r="M203">
        <v>192.5</v>
      </c>
      <c r="N203">
        <v>193.5</v>
      </c>
      <c r="O203">
        <v>197</v>
      </c>
      <c r="P203">
        <v>0</v>
      </c>
      <c r="Q203">
        <v>0</v>
      </c>
      <c r="R203">
        <v>0</v>
      </c>
      <c r="S203">
        <v>196</v>
      </c>
      <c r="T203">
        <v>193.5</v>
      </c>
      <c r="U203">
        <v>192.5</v>
      </c>
      <c r="V203">
        <v>198.5</v>
      </c>
      <c r="W203">
        <v>1296815</v>
      </c>
      <c r="X203">
        <v>196</v>
      </c>
      <c r="Y203">
        <v>197</v>
      </c>
      <c r="Z203">
        <v>110</v>
      </c>
      <c r="AA203">
        <v>8220000</v>
      </c>
      <c r="AB203">
        <v>1970</v>
      </c>
      <c r="AC203">
        <v>0</v>
      </c>
      <c r="AD203" t="s">
        <v>94</v>
      </c>
      <c r="AE203" t="s">
        <v>94</v>
      </c>
      <c r="AF203" t="s">
        <v>226</v>
      </c>
      <c r="AG203" t="s">
        <v>226</v>
      </c>
      <c r="AH203">
        <v>9</v>
      </c>
      <c r="AI203" t="s">
        <v>269</v>
      </c>
      <c r="AJ203" t="s">
        <v>270</v>
      </c>
      <c r="AK203" t="s">
        <v>271</v>
      </c>
      <c r="AL203" t="s">
        <v>272</v>
      </c>
    </row>
    <row r="204" spans="1:38">
      <c r="A204" t="s">
        <v>1250</v>
      </c>
      <c r="B204" t="s">
        <v>1251</v>
      </c>
      <c r="C204" t="s">
        <v>1252</v>
      </c>
      <c r="D204" t="s">
        <v>1253</v>
      </c>
      <c r="E204" t="s">
        <v>1254</v>
      </c>
      <c r="F204" t="s">
        <v>438</v>
      </c>
      <c r="G204">
        <v>3</v>
      </c>
      <c r="H204">
        <v>100</v>
      </c>
      <c r="I204">
        <v>0.02</v>
      </c>
      <c r="J204">
        <v>1</v>
      </c>
      <c r="K204">
        <v>0</v>
      </c>
      <c r="L204">
        <v>12.58</v>
      </c>
      <c r="M204">
        <v>12.6</v>
      </c>
      <c r="N204">
        <v>12.2</v>
      </c>
      <c r="O204">
        <v>12.58</v>
      </c>
      <c r="P204">
        <v>0</v>
      </c>
      <c r="Q204">
        <v>0</v>
      </c>
      <c r="R204">
        <v>0</v>
      </c>
      <c r="S204">
        <v>12.6</v>
      </c>
      <c r="T204">
        <v>12.7</v>
      </c>
      <c r="U204">
        <v>12.58</v>
      </c>
      <c r="V204">
        <v>12.7</v>
      </c>
      <c r="W204">
        <v>23942</v>
      </c>
      <c r="X204">
        <v>12.58</v>
      </c>
      <c r="Y204">
        <v>13.04</v>
      </c>
      <c r="Z204">
        <v>6</v>
      </c>
      <c r="AA204">
        <v>71086000</v>
      </c>
      <c r="AB204">
        <v>5032</v>
      </c>
      <c r="AC204">
        <v>0</v>
      </c>
      <c r="AD204" t="s">
        <v>94</v>
      </c>
      <c r="AE204" t="s">
        <v>94</v>
      </c>
      <c r="AF204" t="s">
        <v>226</v>
      </c>
      <c r="AG204" t="s">
        <v>226</v>
      </c>
      <c r="AH204">
        <v>9</v>
      </c>
      <c r="AI204" t="s">
        <v>269</v>
      </c>
      <c r="AJ204" t="s">
        <v>270</v>
      </c>
      <c r="AK204" t="s">
        <v>439</v>
      </c>
      <c r="AL204" t="s">
        <v>272</v>
      </c>
    </row>
    <row r="205" spans="1:38">
      <c r="A205" t="s">
        <v>1255</v>
      </c>
      <c r="B205" t="s">
        <v>1256</v>
      </c>
      <c r="C205" t="s">
        <v>1257</v>
      </c>
      <c r="D205" t="s">
        <v>114</v>
      </c>
      <c r="E205" t="s">
        <v>115</v>
      </c>
      <c r="F205" t="s">
        <v>268</v>
      </c>
      <c r="G205">
        <v>1</v>
      </c>
      <c r="H205">
        <v>1</v>
      </c>
      <c r="I205">
        <v>0.2</v>
      </c>
      <c r="J205">
        <v>3.6393840000000002</v>
      </c>
      <c r="K205">
        <v>-0.17</v>
      </c>
      <c r="L205">
        <v>2348</v>
      </c>
      <c r="M205">
        <v>2365.8000000000002</v>
      </c>
      <c r="N205">
        <v>2366.1999999999998</v>
      </c>
      <c r="O205">
        <v>2346.4</v>
      </c>
      <c r="P205">
        <v>0</v>
      </c>
      <c r="Q205">
        <v>0</v>
      </c>
      <c r="R205">
        <v>0</v>
      </c>
      <c r="S205">
        <v>2364.6</v>
      </c>
      <c r="T205">
        <v>2354</v>
      </c>
      <c r="U205">
        <v>2340</v>
      </c>
      <c r="V205">
        <v>2386</v>
      </c>
      <c r="W205">
        <v>12343046196</v>
      </c>
      <c r="X205">
        <v>2348</v>
      </c>
      <c r="Y205">
        <v>2348.1999999999998</v>
      </c>
      <c r="Z205">
        <v>126230</v>
      </c>
      <c r="AA205">
        <v>199305492</v>
      </c>
      <c r="AB205">
        <v>46960</v>
      </c>
      <c r="AC205">
        <v>0</v>
      </c>
      <c r="AD205" t="s">
        <v>94</v>
      </c>
      <c r="AE205" t="s">
        <v>94</v>
      </c>
      <c r="AF205" t="s">
        <v>226</v>
      </c>
      <c r="AG205" t="s">
        <v>226</v>
      </c>
      <c r="AH205">
        <v>-100</v>
      </c>
      <c r="AI205" t="s">
        <v>269</v>
      </c>
      <c r="AJ205" t="s">
        <v>270</v>
      </c>
      <c r="AK205" t="s">
        <v>271</v>
      </c>
      <c r="AL205" t="s">
        <v>272</v>
      </c>
    </row>
    <row r="206" spans="1:38">
      <c r="A206" t="s">
        <v>1258</v>
      </c>
      <c r="B206" t="s">
        <v>1259</v>
      </c>
      <c r="C206" t="s">
        <v>1260</v>
      </c>
      <c r="D206" t="s">
        <v>1261</v>
      </c>
      <c r="E206" t="s">
        <v>1262</v>
      </c>
      <c r="F206" t="s">
        <v>268</v>
      </c>
      <c r="G206">
        <v>2</v>
      </c>
      <c r="H206">
        <v>10</v>
      </c>
      <c r="I206">
        <v>0.02</v>
      </c>
      <c r="J206">
        <v>10</v>
      </c>
      <c r="K206">
        <v>-1.66</v>
      </c>
      <c r="L206">
        <v>94.5</v>
      </c>
      <c r="M206">
        <v>96.1</v>
      </c>
      <c r="N206">
        <v>97.58</v>
      </c>
      <c r="O206">
        <v>94.34</v>
      </c>
      <c r="P206">
        <v>0</v>
      </c>
      <c r="Q206">
        <v>0</v>
      </c>
      <c r="R206">
        <v>0</v>
      </c>
      <c r="S206">
        <v>96.04</v>
      </c>
      <c r="T206">
        <v>96</v>
      </c>
      <c r="U206">
        <v>94.16</v>
      </c>
      <c r="V206">
        <v>97.74</v>
      </c>
      <c r="W206">
        <v>122050479</v>
      </c>
      <c r="X206">
        <v>94.5</v>
      </c>
      <c r="Y206">
        <v>94.54</v>
      </c>
      <c r="Z206">
        <v>4200</v>
      </c>
      <c r="AA206">
        <v>1052000000</v>
      </c>
      <c r="AB206">
        <v>9450</v>
      </c>
      <c r="AC206">
        <v>0</v>
      </c>
      <c r="AD206" t="s">
        <v>94</v>
      </c>
      <c r="AE206" t="s">
        <v>94</v>
      </c>
      <c r="AF206" t="s">
        <v>226</v>
      </c>
      <c r="AG206" t="s">
        <v>226</v>
      </c>
      <c r="AH206">
        <v>-100</v>
      </c>
      <c r="AI206" t="s">
        <v>269</v>
      </c>
      <c r="AJ206" t="s">
        <v>270</v>
      </c>
      <c r="AK206" t="s">
        <v>271</v>
      </c>
      <c r="AL206" t="s">
        <v>272</v>
      </c>
    </row>
    <row r="207" spans="1:38">
      <c r="A207" t="s">
        <v>1263</v>
      </c>
      <c r="B207" t="s">
        <v>1264</v>
      </c>
      <c r="C207" t="s">
        <v>1265</v>
      </c>
      <c r="D207" t="s">
        <v>1266</v>
      </c>
      <c r="E207" t="s">
        <v>1267</v>
      </c>
      <c r="F207" t="s">
        <v>268</v>
      </c>
      <c r="G207">
        <v>3</v>
      </c>
      <c r="H207">
        <v>10</v>
      </c>
      <c r="I207">
        <v>0.5</v>
      </c>
      <c r="J207">
        <v>0.56000000000000005</v>
      </c>
      <c r="K207">
        <v>1.3</v>
      </c>
      <c r="L207">
        <v>390</v>
      </c>
      <c r="M207">
        <v>385</v>
      </c>
      <c r="N207">
        <v>395</v>
      </c>
      <c r="O207">
        <v>403.5</v>
      </c>
      <c r="P207">
        <v>0</v>
      </c>
      <c r="Q207">
        <v>0</v>
      </c>
      <c r="R207">
        <v>0</v>
      </c>
      <c r="S207">
        <v>419</v>
      </c>
      <c r="T207">
        <v>395</v>
      </c>
      <c r="U207">
        <v>390</v>
      </c>
      <c r="V207">
        <v>464</v>
      </c>
      <c r="W207">
        <v>3197450</v>
      </c>
      <c r="X207">
        <v>391.5</v>
      </c>
      <c r="Y207">
        <v>397</v>
      </c>
      <c r="Z207">
        <v>257</v>
      </c>
      <c r="AA207">
        <v>17869440</v>
      </c>
      <c r="AB207">
        <v>3900</v>
      </c>
      <c r="AC207">
        <v>0</v>
      </c>
      <c r="AD207" t="s">
        <v>94</v>
      </c>
      <c r="AE207" t="s">
        <v>94</v>
      </c>
      <c r="AF207" t="s">
        <v>226</v>
      </c>
      <c r="AG207" t="s">
        <v>226</v>
      </c>
      <c r="AH207">
        <v>9</v>
      </c>
      <c r="AI207" t="s">
        <v>269</v>
      </c>
      <c r="AJ207" t="s">
        <v>270</v>
      </c>
      <c r="AK207" t="s">
        <v>271</v>
      </c>
      <c r="AL207" t="s">
        <v>272</v>
      </c>
    </row>
    <row r="208" spans="1:38">
      <c r="A208" t="s">
        <v>1268</v>
      </c>
      <c r="B208" t="s">
        <v>1269</v>
      </c>
      <c r="C208" t="s">
        <v>1270</v>
      </c>
      <c r="D208" t="s">
        <v>1271</v>
      </c>
      <c r="E208" t="s">
        <v>1272</v>
      </c>
      <c r="F208" t="s">
        <v>438</v>
      </c>
      <c r="G208">
        <v>3</v>
      </c>
      <c r="H208">
        <v>100</v>
      </c>
      <c r="I208">
        <v>0.1</v>
      </c>
      <c r="J208">
        <v>0.1</v>
      </c>
      <c r="K208">
        <v>3.1</v>
      </c>
      <c r="L208">
        <v>43.3</v>
      </c>
      <c r="M208">
        <v>42</v>
      </c>
      <c r="N208">
        <v>43.7</v>
      </c>
      <c r="O208">
        <v>42.2</v>
      </c>
      <c r="P208">
        <v>0</v>
      </c>
      <c r="Q208">
        <v>0</v>
      </c>
      <c r="R208">
        <v>0</v>
      </c>
      <c r="S208">
        <v>42.5</v>
      </c>
      <c r="T208">
        <v>43.4</v>
      </c>
      <c r="U208">
        <v>41.9</v>
      </c>
      <c r="V208">
        <v>43.9</v>
      </c>
      <c r="W208">
        <v>454800</v>
      </c>
      <c r="X208">
        <v>42.3</v>
      </c>
      <c r="Y208">
        <v>43.3</v>
      </c>
      <c r="Z208">
        <v>48</v>
      </c>
      <c r="AA208">
        <v>10652220</v>
      </c>
      <c r="AB208">
        <v>4330</v>
      </c>
      <c r="AC208">
        <v>0</v>
      </c>
      <c r="AD208" t="s">
        <v>94</v>
      </c>
      <c r="AE208" t="s">
        <v>94</v>
      </c>
      <c r="AF208" t="s">
        <v>226</v>
      </c>
      <c r="AG208" t="s">
        <v>226</v>
      </c>
      <c r="AH208">
        <v>9</v>
      </c>
      <c r="AI208" t="s">
        <v>269</v>
      </c>
      <c r="AJ208" t="s">
        <v>270</v>
      </c>
      <c r="AK208" t="s">
        <v>439</v>
      </c>
      <c r="AL208" t="s">
        <v>272</v>
      </c>
    </row>
    <row r="209" spans="1:38">
      <c r="A209" t="s">
        <v>1273</v>
      </c>
      <c r="B209" t="s">
        <v>1274</v>
      </c>
      <c r="C209" t="s">
        <v>1275</v>
      </c>
      <c r="D209" t="s">
        <v>1276</v>
      </c>
      <c r="E209" t="s">
        <v>1277</v>
      </c>
      <c r="F209" t="s">
        <v>438</v>
      </c>
      <c r="G209">
        <v>3</v>
      </c>
      <c r="H209">
        <v>10</v>
      </c>
      <c r="I209">
        <v>0.2</v>
      </c>
      <c r="J209">
        <v>0.4</v>
      </c>
      <c r="K209">
        <v>-1.07</v>
      </c>
      <c r="L209">
        <v>129.4</v>
      </c>
      <c r="M209">
        <v>130.80000000000001</v>
      </c>
      <c r="N209">
        <v>134.6</v>
      </c>
      <c r="O209">
        <v>129.4</v>
      </c>
      <c r="P209">
        <v>0</v>
      </c>
      <c r="Q209">
        <v>0</v>
      </c>
      <c r="R209">
        <v>0</v>
      </c>
      <c r="S209">
        <v>129.6</v>
      </c>
      <c r="T209">
        <v>130.19999999999999</v>
      </c>
      <c r="U209">
        <v>126.4</v>
      </c>
      <c r="V209">
        <v>131</v>
      </c>
      <c r="W209">
        <v>142450</v>
      </c>
      <c r="X209">
        <v>129.6</v>
      </c>
      <c r="Y209">
        <v>130.6</v>
      </c>
      <c r="Z209">
        <v>38</v>
      </c>
      <c r="AA209">
        <v>18716678</v>
      </c>
      <c r="AB209">
        <v>6470</v>
      </c>
      <c r="AC209">
        <v>0</v>
      </c>
      <c r="AD209" t="s">
        <v>94</v>
      </c>
      <c r="AE209" t="s">
        <v>94</v>
      </c>
      <c r="AF209" t="s">
        <v>226</v>
      </c>
      <c r="AG209" t="s">
        <v>226</v>
      </c>
      <c r="AH209">
        <v>9</v>
      </c>
      <c r="AI209" t="s">
        <v>269</v>
      </c>
      <c r="AJ209" t="s">
        <v>270</v>
      </c>
      <c r="AK209" t="s">
        <v>439</v>
      </c>
      <c r="AL209" t="s">
        <v>272</v>
      </c>
    </row>
    <row r="210" spans="1:38">
      <c r="A210" t="s">
        <v>1278</v>
      </c>
      <c r="B210" t="s">
        <v>1279</v>
      </c>
      <c r="C210" t="s">
        <v>1280</v>
      </c>
      <c r="D210" t="s">
        <v>1281</v>
      </c>
      <c r="E210" t="s">
        <v>1282</v>
      </c>
      <c r="F210" t="s">
        <v>268</v>
      </c>
      <c r="G210">
        <v>3</v>
      </c>
      <c r="H210">
        <v>10</v>
      </c>
      <c r="I210">
        <v>0.5</v>
      </c>
      <c r="J210">
        <v>0.4</v>
      </c>
      <c r="K210">
        <v>1.25</v>
      </c>
      <c r="L210">
        <v>364</v>
      </c>
      <c r="M210">
        <v>359.5</v>
      </c>
      <c r="N210">
        <v>366</v>
      </c>
      <c r="O210">
        <v>362.5</v>
      </c>
      <c r="P210">
        <v>0</v>
      </c>
      <c r="Q210">
        <v>0</v>
      </c>
      <c r="R210">
        <v>0</v>
      </c>
      <c r="S210">
        <v>361.5</v>
      </c>
      <c r="T210">
        <v>353.5</v>
      </c>
      <c r="U210">
        <v>353</v>
      </c>
      <c r="V210">
        <v>370</v>
      </c>
      <c r="W210">
        <v>3935115</v>
      </c>
      <c r="X210">
        <v>361</v>
      </c>
      <c r="Y210">
        <v>364</v>
      </c>
      <c r="Z210">
        <v>394</v>
      </c>
      <c r="AA210">
        <v>56151024</v>
      </c>
      <c r="AB210">
        <v>14560</v>
      </c>
      <c r="AC210">
        <v>0</v>
      </c>
      <c r="AD210" t="s">
        <v>94</v>
      </c>
      <c r="AE210" t="s">
        <v>94</v>
      </c>
      <c r="AF210" t="s">
        <v>226</v>
      </c>
      <c r="AG210" t="s">
        <v>226</v>
      </c>
      <c r="AH210">
        <v>9</v>
      </c>
      <c r="AI210" t="s">
        <v>269</v>
      </c>
      <c r="AJ210" t="s">
        <v>270</v>
      </c>
      <c r="AK210" t="s">
        <v>271</v>
      </c>
      <c r="AL210" t="s">
        <v>272</v>
      </c>
    </row>
    <row r="211" spans="1:38">
      <c r="A211" t="s">
        <v>1283</v>
      </c>
      <c r="B211" t="s">
        <v>1284</v>
      </c>
      <c r="C211" t="s">
        <v>1285</v>
      </c>
      <c r="D211" t="s">
        <v>1286</v>
      </c>
      <c r="E211" t="s">
        <v>1287</v>
      </c>
      <c r="F211" t="s">
        <v>268</v>
      </c>
      <c r="G211">
        <v>3</v>
      </c>
      <c r="H211">
        <v>100</v>
      </c>
      <c r="I211">
        <v>0.1</v>
      </c>
      <c r="J211">
        <v>0.1</v>
      </c>
      <c r="K211">
        <v>0</v>
      </c>
      <c r="L211">
        <v>43</v>
      </c>
      <c r="M211">
        <v>43</v>
      </c>
      <c r="N211">
        <v>43.5</v>
      </c>
      <c r="O211">
        <v>43</v>
      </c>
      <c r="P211">
        <v>0</v>
      </c>
      <c r="Q211">
        <v>0</v>
      </c>
      <c r="R211">
        <v>0</v>
      </c>
      <c r="S211">
        <v>43.4</v>
      </c>
      <c r="T211">
        <v>43</v>
      </c>
      <c r="U211">
        <v>42.8</v>
      </c>
      <c r="V211">
        <v>43.6</v>
      </c>
      <c r="W211">
        <v>91110</v>
      </c>
      <c r="X211">
        <v>42.9</v>
      </c>
      <c r="Y211">
        <v>43.5</v>
      </c>
      <c r="Z211">
        <v>13</v>
      </c>
      <c r="AA211">
        <v>121847780</v>
      </c>
      <c r="AB211">
        <v>4300</v>
      </c>
      <c r="AC211">
        <v>0</v>
      </c>
      <c r="AD211" t="s">
        <v>94</v>
      </c>
      <c r="AE211" t="s">
        <v>94</v>
      </c>
      <c r="AF211" t="s">
        <v>226</v>
      </c>
      <c r="AG211" t="s">
        <v>226</v>
      </c>
      <c r="AH211">
        <v>9</v>
      </c>
      <c r="AI211" t="s">
        <v>269</v>
      </c>
      <c r="AJ211" t="s">
        <v>270</v>
      </c>
      <c r="AK211" t="s">
        <v>271</v>
      </c>
      <c r="AL211" t="s">
        <v>272</v>
      </c>
    </row>
    <row r="212" spans="1:38">
      <c r="A212" t="s">
        <v>1288</v>
      </c>
      <c r="B212" t="s">
        <v>1289</v>
      </c>
      <c r="C212" t="s">
        <v>1290</v>
      </c>
      <c r="D212" t="s">
        <v>1291</v>
      </c>
      <c r="E212" t="s">
        <v>1292</v>
      </c>
      <c r="F212" t="s">
        <v>268</v>
      </c>
      <c r="G212">
        <v>3</v>
      </c>
      <c r="H212">
        <v>1</v>
      </c>
      <c r="I212">
        <v>10</v>
      </c>
      <c r="J212">
        <v>11.88</v>
      </c>
      <c r="K212">
        <v>4.32</v>
      </c>
      <c r="L212">
        <v>3380</v>
      </c>
      <c r="M212">
        <v>3240</v>
      </c>
      <c r="N212">
        <v>3280</v>
      </c>
      <c r="O212">
        <v>3380</v>
      </c>
      <c r="P212">
        <v>0</v>
      </c>
      <c r="Q212">
        <v>0</v>
      </c>
      <c r="R212">
        <v>0</v>
      </c>
      <c r="S212">
        <v>3420</v>
      </c>
      <c r="T212">
        <v>3350</v>
      </c>
      <c r="U212">
        <v>3290</v>
      </c>
      <c r="V212">
        <v>3550</v>
      </c>
      <c r="W212">
        <v>276720</v>
      </c>
      <c r="X212">
        <v>3380</v>
      </c>
      <c r="Y212">
        <v>3450</v>
      </c>
      <c r="Z212">
        <v>40</v>
      </c>
      <c r="AA212">
        <v>3919400</v>
      </c>
      <c r="AB212">
        <v>6760</v>
      </c>
      <c r="AC212">
        <v>0</v>
      </c>
      <c r="AD212" t="s">
        <v>94</v>
      </c>
      <c r="AE212" t="s">
        <v>94</v>
      </c>
      <c r="AF212" t="s">
        <v>226</v>
      </c>
      <c r="AG212" t="s">
        <v>226</v>
      </c>
      <c r="AH212">
        <v>9</v>
      </c>
      <c r="AI212" t="s">
        <v>269</v>
      </c>
      <c r="AJ212" t="s">
        <v>270</v>
      </c>
      <c r="AK212" t="s">
        <v>271</v>
      </c>
      <c r="AL212" t="s">
        <v>272</v>
      </c>
    </row>
    <row r="213" spans="1:38">
      <c r="A213" t="s">
        <v>1293</v>
      </c>
      <c r="B213" t="s">
        <v>1294</v>
      </c>
      <c r="C213" t="s">
        <v>1295</v>
      </c>
      <c r="D213" t="s">
        <v>1296</v>
      </c>
      <c r="E213" t="s">
        <v>1297</v>
      </c>
      <c r="F213" t="s">
        <v>438</v>
      </c>
      <c r="G213">
        <v>3</v>
      </c>
      <c r="H213">
        <v>1</v>
      </c>
      <c r="I213">
        <v>2</v>
      </c>
      <c r="J213">
        <v>11.88</v>
      </c>
      <c r="K213">
        <v>-0.89</v>
      </c>
      <c r="L213">
        <v>1114</v>
      </c>
      <c r="M213">
        <v>1124</v>
      </c>
      <c r="N213">
        <v>1154</v>
      </c>
      <c r="O213">
        <v>1150</v>
      </c>
      <c r="P213">
        <v>0</v>
      </c>
      <c r="Q213">
        <v>0</v>
      </c>
      <c r="R213">
        <v>0</v>
      </c>
      <c r="S213">
        <v>1170</v>
      </c>
      <c r="T213">
        <v>1160</v>
      </c>
      <c r="U213">
        <v>1114</v>
      </c>
      <c r="V213">
        <v>1254</v>
      </c>
      <c r="W213">
        <v>684494</v>
      </c>
      <c r="X213">
        <v>1132</v>
      </c>
      <c r="Y213">
        <v>1158</v>
      </c>
      <c r="Z213">
        <v>225</v>
      </c>
      <c r="AA213">
        <v>1063512</v>
      </c>
      <c r="AB213">
        <v>1114</v>
      </c>
      <c r="AC213">
        <v>0</v>
      </c>
      <c r="AD213" t="s">
        <v>94</v>
      </c>
      <c r="AE213" t="s">
        <v>94</v>
      </c>
      <c r="AF213" t="s">
        <v>226</v>
      </c>
      <c r="AG213" t="s">
        <v>226</v>
      </c>
      <c r="AH213">
        <v>9</v>
      </c>
      <c r="AI213" t="s">
        <v>269</v>
      </c>
      <c r="AJ213" t="s">
        <v>270</v>
      </c>
      <c r="AK213" t="s">
        <v>439</v>
      </c>
      <c r="AL213" t="s">
        <v>272</v>
      </c>
    </row>
    <row r="214" spans="1:38">
      <c r="A214" t="s">
        <v>1298</v>
      </c>
      <c r="B214" t="s">
        <v>1299</v>
      </c>
      <c r="C214" t="s">
        <v>1300</v>
      </c>
      <c r="D214" t="s">
        <v>1301</v>
      </c>
      <c r="E214" t="s">
        <v>1302</v>
      </c>
      <c r="F214" t="s">
        <v>268</v>
      </c>
      <c r="G214">
        <v>3</v>
      </c>
      <c r="H214">
        <v>1000</v>
      </c>
      <c r="I214">
        <v>5.0000000000000001E-3</v>
      </c>
      <c r="J214">
        <v>0.02</v>
      </c>
      <c r="K214">
        <v>-2.54</v>
      </c>
      <c r="L214">
        <v>2.11</v>
      </c>
      <c r="M214">
        <v>2.15</v>
      </c>
      <c r="N214">
        <v>2.11</v>
      </c>
      <c r="O214">
        <v>2.1150000000000002</v>
      </c>
      <c r="P214">
        <v>0</v>
      </c>
      <c r="Q214">
        <v>0</v>
      </c>
      <c r="R214">
        <v>0</v>
      </c>
      <c r="S214">
        <v>2.0699999999999998</v>
      </c>
      <c r="T214">
        <v>2.165</v>
      </c>
      <c r="U214">
        <v>2</v>
      </c>
      <c r="V214">
        <v>2.2349999999999999</v>
      </c>
      <c r="W214">
        <v>1251010</v>
      </c>
      <c r="X214">
        <v>2.11</v>
      </c>
      <c r="Y214">
        <v>2.125</v>
      </c>
      <c r="Z214">
        <v>115</v>
      </c>
      <c r="AA214">
        <v>8128764676</v>
      </c>
      <c r="AB214">
        <v>2110</v>
      </c>
      <c r="AC214">
        <v>0</v>
      </c>
      <c r="AD214" t="s">
        <v>94</v>
      </c>
      <c r="AE214" t="s">
        <v>94</v>
      </c>
      <c r="AF214" t="s">
        <v>226</v>
      </c>
      <c r="AG214" t="s">
        <v>226</v>
      </c>
      <c r="AH214">
        <v>9</v>
      </c>
      <c r="AI214" t="s">
        <v>269</v>
      </c>
      <c r="AJ214" t="s">
        <v>270</v>
      </c>
      <c r="AK214" t="s">
        <v>271</v>
      </c>
      <c r="AL214" t="s">
        <v>272</v>
      </c>
    </row>
    <row r="215" spans="1:38">
      <c r="A215" t="s">
        <v>1303</v>
      </c>
      <c r="B215" t="s">
        <v>1304</v>
      </c>
      <c r="C215" t="s">
        <v>1305</v>
      </c>
      <c r="D215" t="s">
        <v>1306</v>
      </c>
      <c r="E215" t="s">
        <v>1307</v>
      </c>
      <c r="F215" t="s">
        <v>438</v>
      </c>
      <c r="G215">
        <v>3</v>
      </c>
      <c r="H215">
        <v>1000</v>
      </c>
      <c r="I215">
        <v>2E-3</v>
      </c>
      <c r="J215">
        <v>0.02</v>
      </c>
      <c r="K215">
        <v>-3.46</v>
      </c>
      <c r="L215">
        <v>1.1160000000000001</v>
      </c>
      <c r="M215">
        <v>1.1559999999999999</v>
      </c>
      <c r="N215">
        <v>1.1240000000000001</v>
      </c>
      <c r="O215">
        <v>1.1160000000000001</v>
      </c>
      <c r="P215">
        <v>0</v>
      </c>
      <c r="Q215">
        <v>0</v>
      </c>
      <c r="R215">
        <v>0</v>
      </c>
      <c r="S215">
        <v>1.1399999999999999</v>
      </c>
      <c r="T215">
        <v>1.1559999999999999</v>
      </c>
      <c r="U215">
        <v>1.0900000000000001</v>
      </c>
      <c r="V215">
        <v>1.18</v>
      </c>
      <c r="W215">
        <v>3435722</v>
      </c>
      <c r="X215">
        <v>1.1160000000000001</v>
      </c>
      <c r="Y215">
        <v>1.1180000000000001</v>
      </c>
      <c r="Z215">
        <v>394</v>
      </c>
      <c r="AA215">
        <v>925737256</v>
      </c>
      <c r="AB215">
        <v>2232</v>
      </c>
      <c r="AC215">
        <v>0</v>
      </c>
      <c r="AD215" t="s">
        <v>94</v>
      </c>
      <c r="AE215" t="s">
        <v>94</v>
      </c>
      <c r="AF215" t="s">
        <v>226</v>
      </c>
      <c r="AG215" t="s">
        <v>226</v>
      </c>
      <c r="AH215">
        <v>9</v>
      </c>
      <c r="AI215" t="s">
        <v>269</v>
      </c>
      <c r="AJ215" t="s">
        <v>270</v>
      </c>
      <c r="AK215" t="s">
        <v>439</v>
      </c>
      <c r="AL215" t="s">
        <v>272</v>
      </c>
    </row>
    <row r="216" spans="1:38">
      <c r="A216" t="s">
        <v>1308</v>
      </c>
      <c r="B216" t="s">
        <v>1309</v>
      </c>
      <c r="C216" t="s">
        <v>1310</v>
      </c>
      <c r="D216" t="s">
        <v>1311</v>
      </c>
      <c r="E216" t="s">
        <v>1312</v>
      </c>
      <c r="F216" t="s">
        <v>268</v>
      </c>
      <c r="G216">
        <v>3</v>
      </c>
      <c r="H216">
        <v>10</v>
      </c>
      <c r="I216">
        <v>2</v>
      </c>
      <c r="J216">
        <v>1</v>
      </c>
      <c r="K216">
        <v>4.42</v>
      </c>
      <c r="L216">
        <v>662</v>
      </c>
      <c r="M216">
        <v>634</v>
      </c>
      <c r="N216">
        <v>656</v>
      </c>
      <c r="O216">
        <v>662</v>
      </c>
      <c r="P216">
        <v>0</v>
      </c>
      <c r="Q216">
        <v>0</v>
      </c>
      <c r="R216">
        <v>0</v>
      </c>
      <c r="S216">
        <v>664</v>
      </c>
      <c r="T216">
        <v>636</v>
      </c>
      <c r="U216">
        <v>634</v>
      </c>
      <c r="V216">
        <v>680</v>
      </c>
      <c r="W216">
        <v>957100</v>
      </c>
      <c r="X216">
        <v>650</v>
      </c>
      <c r="Y216">
        <v>668</v>
      </c>
      <c r="Z216">
        <v>63</v>
      </c>
      <c r="AA216">
        <v>17143584</v>
      </c>
      <c r="AB216">
        <v>13240</v>
      </c>
      <c r="AC216">
        <v>0</v>
      </c>
      <c r="AD216" t="s">
        <v>94</v>
      </c>
      <c r="AE216" t="s">
        <v>94</v>
      </c>
      <c r="AF216" t="s">
        <v>226</v>
      </c>
      <c r="AG216" t="s">
        <v>226</v>
      </c>
      <c r="AH216">
        <v>9</v>
      </c>
      <c r="AI216" t="s">
        <v>269</v>
      </c>
      <c r="AJ216" t="s">
        <v>270</v>
      </c>
      <c r="AK216" t="s">
        <v>271</v>
      </c>
      <c r="AL216" t="s">
        <v>272</v>
      </c>
    </row>
    <row r="217" spans="1:38">
      <c r="A217" t="s">
        <v>1313</v>
      </c>
      <c r="B217" t="s">
        <v>1314</v>
      </c>
      <c r="C217" t="s">
        <v>1315</v>
      </c>
      <c r="D217" t="s">
        <v>1316</v>
      </c>
      <c r="E217" t="s">
        <v>1317</v>
      </c>
      <c r="F217" t="s">
        <v>438</v>
      </c>
      <c r="G217">
        <v>3</v>
      </c>
      <c r="H217">
        <v>10</v>
      </c>
      <c r="I217">
        <v>0.5</v>
      </c>
      <c r="J217">
        <v>1</v>
      </c>
      <c r="K217">
        <v>-3.99</v>
      </c>
      <c r="L217">
        <v>156.5</v>
      </c>
      <c r="M217">
        <v>163</v>
      </c>
      <c r="N217">
        <v>161</v>
      </c>
      <c r="O217">
        <v>160</v>
      </c>
      <c r="P217">
        <v>0</v>
      </c>
      <c r="Q217">
        <v>0</v>
      </c>
      <c r="R217">
        <v>0</v>
      </c>
      <c r="S217">
        <v>168</v>
      </c>
      <c r="T217">
        <v>160</v>
      </c>
      <c r="U217">
        <v>154</v>
      </c>
      <c r="V217">
        <v>178.5</v>
      </c>
      <c r="W217">
        <v>1815910</v>
      </c>
      <c r="X217">
        <v>156.5</v>
      </c>
      <c r="Y217">
        <v>158.5</v>
      </c>
      <c r="Z217">
        <v>237</v>
      </c>
      <c r="AA217">
        <v>4507320</v>
      </c>
      <c r="AB217">
        <v>1565</v>
      </c>
      <c r="AC217">
        <v>0</v>
      </c>
      <c r="AD217" t="s">
        <v>94</v>
      </c>
      <c r="AE217" t="s">
        <v>94</v>
      </c>
      <c r="AF217" t="s">
        <v>226</v>
      </c>
      <c r="AG217" t="s">
        <v>226</v>
      </c>
      <c r="AH217">
        <v>9</v>
      </c>
      <c r="AI217" t="s">
        <v>269</v>
      </c>
      <c r="AJ217" t="s">
        <v>270</v>
      </c>
      <c r="AK217" t="s">
        <v>439</v>
      </c>
      <c r="AL217" t="s">
        <v>272</v>
      </c>
    </row>
    <row r="218" spans="1:38">
      <c r="A218" t="s">
        <v>1318</v>
      </c>
      <c r="B218" t="s">
        <v>1319</v>
      </c>
      <c r="C218" t="s">
        <v>1320</v>
      </c>
      <c r="D218" t="s">
        <v>1321</v>
      </c>
      <c r="E218" t="s">
        <v>1322</v>
      </c>
      <c r="F218" t="s">
        <v>268</v>
      </c>
      <c r="G218">
        <v>3</v>
      </c>
      <c r="H218">
        <v>1</v>
      </c>
      <c r="I218">
        <v>5</v>
      </c>
      <c r="J218">
        <v>1</v>
      </c>
      <c r="K218">
        <v>0.48</v>
      </c>
      <c r="L218">
        <v>2075</v>
      </c>
      <c r="M218">
        <v>2060</v>
      </c>
      <c r="N218">
        <v>2065</v>
      </c>
      <c r="O218">
        <v>2100</v>
      </c>
      <c r="P218">
        <v>0</v>
      </c>
      <c r="Q218">
        <v>0</v>
      </c>
      <c r="R218">
        <v>0</v>
      </c>
      <c r="S218">
        <v>2040</v>
      </c>
      <c r="T218">
        <v>2035</v>
      </c>
      <c r="U218">
        <v>1985</v>
      </c>
      <c r="V218">
        <v>2145</v>
      </c>
      <c r="W218">
        <v>756450</v>
      </c>
      <c r="X218">
        <v>2070</v>
      </c>
      <c r="Y218">
        <v>2090</v>
      </c>
      <c r="Z218">
        <v>161</v>
      </c>
      <c r="AA218">
        <v>13668239</v>
      </c>
      <c r="AB218">
        <v>2075</v>
      </c>
      <c r="AC218">
        <v>0</v>
      </c>
      <c r="AD218" t="s">
        <v>94</v>
      </c>
      <c r="AE218" t="s">
        <v>94</v>
      </c>
      <c r="AF218" t="s">
        <v>226</v>
      </c>
      <c r="AG218" t="s">
        <v>226</v>
      </c>
      <c r="AH218">
        <v>9</v>
      </c>
      <c r="AI218" t="s">
        <v>269</v>
      </c>
      <c r="AJ218" t="s">
        <v>270</v>
      </c>
      <c r="AK218" t="s">
        <v>271</v>
      </c>
      <c r="AL218" t="s">
        <v>272</v>
      </c>
    </row>
    <row r="219" spans="1:38">
      <c r="A219" t="s">
        <v>1323</v>
      </c>
      <c r="B219" t="s">
        <v>1324</v>
      </c>
      <c r="C219" t="s">
        <v>1325</v>
      </c>
      <c r="D219" t="s">
        <v>1326</v>
      </c>
      <c r="E219" t="s">
        <v>1327</v>
      </c>
      <c r="F219" t="s">
        <v>268</v>
      </c>
      <c r="G219">
        <v>3</v>
      </c>
      <c r="H219">
        <v>1000</v>
      </c>
      <c r="I219">
        <v>2E-3</v>
      </c>
      <c r="J219">
        <v>0.02</v>
      </c>
      <c r="K219">
        <v>1.74</v>
      </c>
      <c r="L219">
        <v>1.17</v>
      </c>
      <c r="M219">
        <v>1.1499999999999999</v>
      </c>
      <c r="N219">
        <v>1.1639999999999999</v>
      </c>
      <c r="O219">
        <v>1.1759999999999999</v>
      </c>
      <c r="P219">
        <v>0</v>
      </c>
      <c r="Q219">
        <v>0</v>
      </c>
      <c r="R219">
        <v>0</v>
      </c>
      <c r="S219">
        <v>1.1759999999999999</v>
      </c>
      <c r="T219">
        <v>1.1559999999999999</v>
      </c>
      <c r="U219">
        <v>1.1140000000000001</v>
      </c>
      <c r="V219">
        <v>1.236</v>
      </c>
      <c r="W219">
        <v>527028</v>
      </c>
      <c r="X219">
        <v>1.1719999999999999</v>
      </c>
      <c r="Y219">
        <v>1.18</v>
      </c>
      <c r="Z219">
        <v>136</v>
      </c>
      <c r="AA219">
        <v>1525986880</v>
      </c>
      <c r="AB219">
        <v>1170</v>
      </c>
      <c r="AC219">
        <v>0</v>
      </c>
      <c r="AD219" t="s">
        <v>94</v>
      </c>
      <c r="AE219" t="s">
        <v>94</v>
      </c>
      <c r="AF219" t="s">
        <v>226</v>
      </c>
      <c r="AG219" t="s">
        <v>226</v>
      </c>
      <c r="AH219">
        <v>9</v>
      </c>
      <c r="AI219" t="s">
        <v>269</v>
      </c>
      <c r="AJ219" t="s">
        <v>270</v>
      </c>
      <c r="AK219" t="s">
        <v>271</v>
      </c>
      <c r="AL219" t="s">
        <v>272</v>
      </c>
    </row>
    <row r="220" spans="1:38">
      <c r="A220" t="s">
        <v>1328</v>
      </c>
      <c r="B220" t="s">
        <v>1329</v>
      </c>
      <c r="C220" t="s">
        <v>1330</v>
      </c>
      <c r="D220" t="s">
        <v>1331</v>
      </c>
      <c r="E220" t="s">
        <v>1332</v>
      </c>
      <c r="F220" t="s">
        <v>438</v>
      </c>
      <c r="G220">
        <v>3</v>
      </c>
      <c r="H220">
        <v>10000</v>
      </c>
      <c r="I220">
        <v>2E-3</v>
      </c>
      <c r="J220">
        <v>0.02</v>
      </c>
      <c r="K220">
        <v>3.28</v>
      </c>
      <c r="L220">
        <v>0.69199999999999995</v>
      </c>
      <c r="M220">
        <v>0.67</v>
      </c>
      <c r="N220">
        <v>0.67600000000000005</v>
      </c>
      <c r="O220">
        <v>0.70599999999999996</v>
      </c>
      <c r="P220">
        <v>0</v>
      </c>
      <c r="Q220">
        <v>0</v>
      </c>
      <c r="R220">
        <v>0</v>
      </c>
      <c r="S220">
        <v>0.69799999999999995</v>
      </c>
      <c r="T220">
        <v>0.68200000000000005</v>
      </c>
      <c r="U220">
        <v>0.66</v>
      </c>
      <c r="V220">
        <v>0.71</v>
      </c>
      <c r="W220">
        <v>202420</v>
      </c>
      <c r="X220">
        <v>0.69</v>
      </c>
      <c r="Y220">
        <v>0.69799999999999995</v>
      </c>
      <c r="Z220">
        <v>21</v>
      </c>
      <c r="AA220">
        <v>217961420</v>
      </c>
      <c r="AB220">
        <v>6920</v>
      </c>
      <c r="AC220">
        <v>0</v>
      </c>
      <c r="AD220" t="s">
        <v>94</v>
      </c>
      <c r="AE220" t="s">
        <v>94</v>
      </c>
      <c r="AF220" t="s">
        <v>226</v>
      </c>
      <c r="AG220" t="s">
        <v>226</v>
      </c>
      <c r="AH220">
        <v>9</v>
      </c>
      <c r="AI220" t="s">
        <v>269</v>
      </c>
      <c r="AJ220" t="s">
        <v>270</v>
      </c>
      <c r="AK220" t="s">
        <v>439</v>
      </c>
      <c r="AL220" t="s">
        <v>272</v>
      </c>
    </row>
    <row r="221" spans="1:38">
      <c r="A221" t="s">
        <v>1333</v>
      </c>
      <c r="B221" t="s">
        <v>1334</v>
      </c>
      <c r="C221" t="s">
        <v>1335</v>
      </c>
      <c r="D221" t="s">
        <v>1336</v>
      </c>
      <c r="E221" t="s">
        <v>1337</v>
      </c>
      <c r="F221" t="s">
        <v>268</v>
      </c>
      <c r="G221">
        <v>1</v>
      </c>
      <c r="H221">
        <v>1</v>
      </c>
      <c r="I221">
        <v>0.1</v>
      </c>
      <c r="J221">
        <v>1</v>
      </c>
      <c r="K221">
        <v>-1.04</v>
      </c>
      <c r="L221">
        <v>532.9</v>
      </c>
      <c r="M221">
        <v>541</v>
      </c>
      <c r="N221">
        <v>542.70000000000005</v>
      </c>
      <c r="O221">
        <v>531.79999999999995</v>
      </c>
      <c r="P221">
        <v>0</v>
      </c>
      <c r="Q221">
        <v>0</v>
      </c>
      <c r="R221">
        <v>0</v>
      </c>
      <c r="S221">
        <v>541.70000000000005</v>
      </c>
      <c r="T221">
        <v>538.5</v>
      </c>
      <c r="U221">
        <v>530.6</v>
      </c>
      <c r="V221">
        <v>549.70000000000005</v>
      </c>
      <c r="W221">
        <v>862774821</v>
      </c>
      <c r="X221">
        <v>532.70000000000005</v>
      </c>
      <c r="Y221">
        <v>532.9</v>
      </c>
      <c r="Z221">
        <v>33224</v>
      </c>
      <c r="AA221">
        <v>2178690700</v>
      </c>
      <c r="AB221">
        <v>1065.8</v>
      </c>
      <c r="AC221">
        <v>0</v>
      </c>
      <c r="AD221" t="s">
        <v>94</v>
      </c>
      <c r="AE221" t="s">
        <v>94</v>
      </c>
      <c r="AF221" t="s">
        <v>226</v>
      </c>
      <c r="AG221" t="s">
        <v>226</v>
      </c>
      <c r="AH221">
        <v>-100</v>
      </c>
      <c r="AI221" t="s">
        <v>269</v>
      </c>
      <c r="AJ221" t="s">
        <v>270</v>
      </c>
      <c r="AK221" t="s">
        <v>271</v>
      </c>
      <c r="AL221" t="s">
        <v>272</v>
      </c>
    </row>
    <row r="222" spans="1:38">
      <c r="A222" t="s">
        <v>1338</v>
      </c>
      <c r="B222" t="s">
        <v>1339</v>
      </c>
      <c r="C222" t="s">
        <v>1340</v>
      </c>
      <c r="D222" t="s">
        <v>126</v>
      </c>
      <c r="E222" t="s">
        <v>127</v>
      </c>
      <c r="F222" t="s">
        <v>438</v>
      </c>
      <c r="G222">
        <v>1</v>
      </c>
      <c r="H222">
        <v>1</v>
      </c>
      <c r="I222">
        <v>0.1</v>
      </c>
      <c r="J222">
        <v>1</v>
      </c>
      <c r="K222">
        <v>-0.91</v>
      </c>
      <c r="L222">
        <v>531.29999999999995</v>
      </c>
      <c r="M222">
        <v>539.6</v>
      </c>
      <c r="N222">
        <v>540.1</v>
      </c>
      <c r="O222">
        <v>530.79999999999995</v>
      </c>
      <c r="P222">
        <v>0</v>
      </c>
      <c r="Q222">
        <v>0</v>
      </c>
      <c r="R222">
        <v>0</v>
      </c>
      <c r="S222">
        <v>539</v>
      </c>
      <c r="T222">
        <v>536.1</v>
      </c>
      <c r="U222">
        <v>529.6</v>
      </c>
      <c r="V222">
        <v>547.5</v>
      </c>
      <c r="W222">
        <v>161433738</v>
      </c>
      <c r="X222">
        <v>531.20000000000005</v>
      </c>
      <c r="Y222">
        <v>531.29999999999995</v>
      </c>
      <c r="Z222">
        <v>8775</v>
      </c>
      <c r="AA222">
        <v>147508500</v>
      </c>
      <c r="AB222">
        <v>19126.8</v>
      </c>
      <c r="AC222">
        <v>0</v>
      </c>
      <c r="AD222" t="s">
        <v>94</v>
      </c>
      <c r="AE222" t="s">
        <v>94</v>
      </c>
      <c r="AF222" t="s">
        <v>226</v>
      </c>
      <c r="AG222" t="s">
        <v>226</v>
      </c>
      <c r="AH222">
        <v>-100</v>
      </c>
      <c r="AI222" t="s">
        <v>269</v>
      </c>
      <c r="AJ222" t="s">
        <v>270</v>
      </c>
      <c r="AK222" t="s">
        <v>439</v>
      </c>
      <c r="AL222" t="s">
        <v>272</v>
      </c>
    </row>
    <row r="223" spans="1:38">
      <c r="A223" t="s">
        <v>1341</v>
      </c>
      <c r="B223" t="s">
        <v>1342</v>
      </c>
      <c r="C223" t="s">
        <v>1343</v>
      </c>
      <c r="D223" t="s">
        <v>1344</v>
      </c>
      <c r="E223" t="s">
        <v>1345</v>
      </c>
      <c r="F223" t="s">
        <v>268</v>
      </c>
      <c r="G223">
        <v>3</v>
      </c>
      <c r="H223">
        <v>1000</v>
      </c>
      <c r="I223">
        <v>5.0000000000000001E-4</v>
      </c>
      <c r="J223">
        <v>0.1</v>
      </c>
      <c r="K223">
        <v>-1.79</v>
      </c>
      <c r="L223">
        <v>0.60399999999999998</v>
      </c>
      <c r="M223">
        <v>0.61499999999999999</v>
      </c>
      <c r="N223">
        <v>0.61550000000000005</v>
      </c>
      <c r="O223">
        <v>0.60450000000000004</v>
      </c>
      <c r="P223">
        <v>0</v>
      </c>
      <c r="Q223">
        <v>0</v>
      </c>
      <c r="R223">
        <v>0</v>
      </c>
      <c r="S223">
        <v>0.60599999999999998</v>
      </c>
      <c r="T223">
        <v>0.60799999999999998</v>
      </c>
      <c r="U223">
        <v>0.60250000000000004</v>
      </c>
      <c r="V223">
        <v>0.61550000000000005</v>
      </c>
      <c r="W223">
        <v>1304768</v>
      </c>
      <c r="X223">
        <v>0.60399999999999998</v>
      </c>
      <c r="Y223">
        <v>0.60599999999999998</v>
      </c>
      <c r="Z223">
        <v>230</v>
      </c>
      <c r="AA223">
        <v>20843976400</v>
      </c>
      <c r="AB223">
        <v>604</v>
      </c>
      <c r="AC223">
        <v>0</v>
      </c>
      <c r="AD223" t="s">
        <v>94</v>
      </c>
      <c r="AE223" t="s">
        <v>94</v>
      </c>
      <c r="AF223" t="s">
        <v>226</v>
      </c>
      <c r="AG223" t="s">
        <v>226</v>
      </c>
      <c r="AH223">
        <v>9</v>
      </c>
      <c r="AI223" t="s">
        <v>269</v>
      </c>
      <c r="AJ223" t="s">
        <v>270</v>
      </c>
      <c r="AK223" t="s">
        <v>271</v>
      </c>
      <c r="AL223" t="s">
        <v>272</v>
      </c>
    </row>
    <row r="224" spans="1:38">
      <c r="A224" t="s">
        <v>1346</v>
      </c>
      <c r="B224" t="s">
        <v>1347</v>
      </c>
      <c r="C224" t="s">
        <v>1348</v>
      </c>
      <c r="D224" t="s">
        <v>1349</v>
      </c>
      <c r="E224" t="s">
        <v>1350</v>
      </c>
      <c r="F224" t="s">
        <v>268</v>
      </c>
      <c r="G224">
        <v>3</v>
      </c>
      <c r="H224">
        <v>100</v>
      </c>
      <c r="I224">
        <v>0.02</v>
      </c>
      <c r="J224">
        <v>1</v>
      </c>
      <c r="K224">
        <v>0.59</v>
      </c>
      <c r="L224">
        <v>10.16</v>
      </c>
      <c r="M224">
        <v>10.08</v>
      </c>
      <c r="N224">
        <v>10.16</v>
      </c>
      <c r="O224">
        <v>10.119999999999999</v>
      </c>
      <c r="P224">
        <v>0</v>
      </c>
      <c r="Q224">
        <v>0</v>
      </c>
      <c r="R224">
        <v>0</v>
      </c>
      <c r="S224">
        <v>10.199999999999999</v>
      </c>
      <c r="T224">
        <v>10.08</v>
      </c>
      <c r="U224">
        <v>10</v>
      </c>
      <c r="V224">
        <v>10.38</v>
      </c>
      <c r="W224">
        <v>1115964</v>
      </c>
      <c r="X224">
        <v>10.119999999999999</v>
      </c>
      <c r="Y224">
        <v>10.14</v>
      </c>
      <c r="Z224">
        <v>227</v>
      </c>
      <c r="AA224">
        <v>166167000</v>
      </c>
      <c r="AB224">
        <v>4064</v>
      </c>
      <c r="AC224">
        <v>0</v>
      </c>
      <c r="AD224" t="s">
        <v>94</v>
      </c>
      <c r="AE224" t="s">
        <v>94</v>
      </c>
      <c r="AF224" t="s">
        <v>226</v>
      </c>
      <c r="AG224" t="s">
        <v>226</v>
      </c>
      <c r="AH224">
        <v>9</v>
      </c>
      <c r="AI224" t="s">
        <v>269</v>
      </c>
      <c r="AJ224" t="s">
        <v>270</v>
      </c>
      <c r="AK224" t="s">
        <v>271</v>
      </c>
      <c r="AL224" t="s">
        <v>272</v>
      </c>
    </row>
    <row r="225" spans="1:38">
      <c r="A225" t="s">
        <v>1351</v>
      </c>
      <c r="B225" t="s">
        <v>1352</v>
      </c>
      <c r="C225" t="s">
        <v>1353</v>
      </c>
      <c r="D225" t="s">
        <v>1354</v>
      </c>
      <c r="E225" t="s">
        <v>1355</v>
      </c>
      <c r="F225" t="s">
        <v>438</v>
      </c>
      <c r="G225">
        <v>3</v>
      </c>
      <c r="H225">
        <v>100</v>
      </c>
      <c r="I225">
        <v>0.02</v>
      </c>
      <c r="J225">
        <v>1</v>
      </c>
      <c r="K225">
        <v>0.3</v>
      </c>
      <c r="L225">
        <v>6.76</v>
      </c>
      <c r="M225">
        <v>6.74</v>
      </c>
      <c r="N225">
        <v>6.74</v>
      </c>
      <c r="O225">
        <v>6.72</v>
      </c>
      <c r="P225">
        <v>0</v>
      </c>
      <c r="Q225">
        <v>0</v>
      </c>
      <c r="R225">
        <v>0</v>
      </c>
      <c r="S225">
        <v>6.78</v>
      </c>
      <c r="T225">
        <v>6.7</v>
      </c>
      <c r="U225">
        <v>6.64</v>
      </c>
      <c r="V225">
        <v>6.94</v>
      </c>
      <c r="W225">
        <v>588502</v>
      </c>
      <c r="X225">
        <v>6.72</v>
      </c>
      <c r="Y225">
        <v>6.76</v>
      </c>
      <c r="Z225">
        <v>211</v>
      </c>
      <c r="AA225">
        <v>55389000</v>
      </c>
      <c r="AB225">
        <v>676</v>
      </c>
      <c r="AC225">
        <v>0</v>
      </c>
      <c r="AD225" t="s">
        <v>94</v>
      </c>
      <c r="AE225" t="s">
        <v>94</v>
      </c>
      <c r="AF225" t="s">
        <v>226</v>
      </c>
      <c r="AG225" t="s">
        <v>226</v>
      </c>
      <c r="AH225">
        <v>9</v>
      </c>
      <c r="AI225" t="s">
        <v>269</v>
      </c>
      <c r="AJ225" t="s">
        <v>270</v>
      </c>
      <c r="AK225" t="s">
        <v>439</v>
      </c>
      <c r="AL225" t="s">
        <v>272</v>
      </c>
    </row>
    <row r="226" spans="1:38">
      <c r="A226" t="s">
        <v>1356</v>
      </c>
      <c r="B226" t="s">
        <v>1357</v>
      </c>
      <c r="C226" t="s">
        <v>1358</v>
      </c>
      <c r="D226" t="s">
        <v>116</v>
      </c>
      <c r="E226" t="s">
        <v>117</v>
      </c>
      <c r="F226" t="s">
        <v>438</v>
      </c>
      <c r="G226">
        <v>1</v>
      </c>
      <c r="H226">
        <v>1</v>
      </c>
      <c r="I226">
        <v>0.5</v>
      </c>
      <c r="J226">
        <v>0.01</v>
      </c>
      <c r="K226">
        <v>-2.23</v>
      </c>
      <c r="L226">
        <v>944.5</v>
      </c>
      <c r="M226">
        <v>970</v>
      </c>
      <c r="N226">
        <v>981</v>
      </c>
      <c r="O226">
        <v>943.5</v>
      </c>
      <c r="P226">
        <v>0</v>
      </c>
      <c r="Q226">
        <v>0</v>
      </c>
      <c r="R226">
        <v>0</v>
      </c>
      <c r="S226">
        <v>956</v>
      </c>
      <c r="T226">
        <v>964</v>
      </c>
      <c r="U226">
        <v>941.5</v>
      </c>
      <c r="V226">
        <v>972.5</v>
      </c>
      <c r="W226">
        <v>1125423513</v>
      </c>
      <c r="X226">
        <v>944</v>
      </c>
      <c r="Y226">
        <v>944.5</v>
      </c>
      <c r="Z226">
        <v>30200</v>
      </c>
      <c r="AA226">
        <v>155487500</v>
      </c>
      <c r="AB226">
        <v>1889</v>
      </c>
      <c r="AC226">
        <v>0</v>
      </c>
      <c r="AD226" t="s">
        <v>94</v>
      </c>
      <c r="AE226" t="s">
        <v>94</v>
      </c>
      <c r="AF226" t="s">
        <v>226</v>
      </c>
      <c r="AG226" t="s">
        <v>226</v>
      </c>
      <c r="AH226">
        <v>-100</v>
      </c>
      <c r="AI226" t="s">
        <v>269</v>
      </c>
      <c r="AJ226" t="s">
        <v>270</v>
      </c>
      <c r="AK226" t="s">
        <v>439</v>
      </c>
      <c r="AL226" t="s">
        <v>272</v>
      </c>
    </row>
    <row r="227" spans="1:38">
      <c r="A227" t="s">
        <v>1359</v>
      </c>
      <c r="B227" t="s">
        <v>1360</v>
      </c>
      <c r="C227" t="s">
        <v>1361</v>
      </c>
      <c r="D227" t="s">
        <v>1362</v>
      </c>
      <c r="E227" t="s">
        <v>1363</v>
      </c>
      <c r="F227" t="s">
        <v>268</v>
      </c>
      <c r="G227">
        <v>3</v>
      </c>
      <c r="H227">
        <v>1</v>
      </c>
      <c r="I227">
        <v>100</v>
      </c>
      <c r="J227">
        <v>1</v>
      </c>
      <c r="K227">
        <v>-3.85</v>
      </c>
      <c r="L227">
        <v>25000</v>
      </c>
      <c r="M227">
        <v>26000</v>
      </c>
      <c r="N227">
        <v>25400</v>
      </c>
      <c r="O227">
        <v>25000</v>
      </c>
      <c r="P227">
        <v>0</v>
      </c>
      <c r="Q227">
        <v>0</v>
      </c>
      <c r="R227">
        <v>0</v>
      </c>
      <c r="S227">
        <v>25000</v>
      </c>
      <c r="T227">
        <v>25100</v>
      </c>
      <c r="U227">
        <v>25000</v>
      </c>
      <c r="V227">
        <v>25100</v>
      </c>
      <c r="W227">
        <v>550200</v>
      </c>
      <c r="X227">
        <v>23500</v>
      </c>
      <c r="Y227">
        <v>25000</v>
      </c>
      <c r="Z227">
        <v>3</v>
      </c>
      <c r="AA227">
        <v>547761</v>
      </c>
      <c r="AB227">
        <v>500000</v>
      </c>
      <c r="AC227">
        <v>0</v>
      </c>
      <c r="AD227" t="s">
        <v>94</v>
      </c>
      <c r="AE227" t="s">
        <v>94</v>
      </c>
      <c r="AF227" t="s">
        <v>226</v>
      </c>
      <c r="AG227" t="s">
        <v>226</v>
      </c>
      <c r="AH227">
        <v>9</v>
      </c>
      <c r="AI227" t="s">
        <v>269</v>
      </c>
      <c r="AJ227" t="s">
        <v>270</v>
      </c>
      <c r="AK227" t="s">
        <v>271</v>
      </c>
      <c r="AL227" t="s">
        <v>272</v>
      </c>
    </row>
    <row r="228" spans="1:38">
      <c r="A228" t="s">
        <v>1364</v>
      </c>
      <c r="B228" t="s">
        <v>1365</v>
      </c>
      <c r="C228" t="s">
        <v>1366</v>
      </c>
      <c r="D228" t="s">
        <v>1367</v>
      </c>
      <c r="E228" t="s">
        <v>1368</v>
      </c>
      <c r="F228" t="s">
        <v>268</v>
      </c>
      <c r="G228">
        <v>3</v>
      </c>
      <c r="H228">
        <v>10000</v>
      </c>
      <c r="I228">
        <v>1E-4</v>
      </c>
      <c r="J228">
        <v>0.1</v>
      </c>
      <c r="K228">
        <v>-0.5</v>
      </c>
      <c r="L228">
        <v>0.15959999999999999</v>
      </c>
      <c r="M228">
        <v>0.16039999999999999</v>
      </c>
      <c r="N228">
        <v>0.16320000000000001</v>
      </c>
      <c r="O228">
        <v>0.15959999999999999</v>
      </c>
      <c r="P228">
        <v>0</v>
      </c>
      <c r="Q228">
        <v>0</v>
      </c>
      <c r="R228">
        <v>0</v>
      </c>
      <c r="S228">
        <v>0.1603</v>
      </c>
      <c r="T228">
        <v>0.16039999999999999</v>
      </c>
      <c r="U228">
        <v>0.15959999999999999</v>
      </c>
      <c r="V228">
        <v>0.1615</v>
      </c>
      <c r="W228">
        <v>702263</v>
      </c>
      <c r="X228">
        <v>0.15959999999999999</v>
      </c>
      <c r="Y228">
        <v>0.16</v>
      </c>
      <c r="Z228">
        <v>42</v>
      </c>
      <c r="AA228">
        <v>360134697357</v>
      </c>
      <c r="AB228">
        <v>1596</v>
      </c>
      <c r="AC228">
        <v>0</v>
      </c>
      <c r="AD228" t="s">
        <v>94</v>
      </c>
      <c r="AE228" t="s">
        <v>94</v>
      </c>
      <c r="AF228" t="s">
        <v>226</v>
      </c>
      <c r="AG228" t="s">
        <v>226</v>
      </c>
      <c r="AH228">
        <v>9</v>
      </c>
      <c r="AI228" t="s">
        <v>269</v>
      </c>
      <c r="AJ228" t="s">
        <v>270</v>
      </c>
      <c r="AK228" t="s">
        <v>271</v>
      </c>
      <c r="AL228" t="s">
        <v>272</v>
      </c>
    </row>
    <row r="229" spans="1:38">
      <c r="A229" t="s">
        <v>1369</v>
      </c>
      <c r="B229" t="s">
        <v>1370</v>
      </c>
      <c r="C229" t="s">
        <v>1371</v>
      </c>
      <c r="D229" t="s">
        <v>1372</v>
      </c>
      <c r="E229" t="s">
        <v>1373</v>
      </c>
      <c r="F229" t="s">
        <v>268</v>
      </c>
      <c r="G229">
        <v>1</v>
      </c>
      <c r="H229">
        <v>1</v>
      </c>
      <c r="I229">
        <v>1</v>
      </c>
      <c r="J229">
        <v>2.5</v>
      </c>
      <c r="K229">
        <v>-2.65</v>
      </c>
      <c r="L229">
        <v>5616</v>
      </c>
      <c r="M229">
        <v>5762</v>
      </c>
      <c r="N229">
        <v>5753</v>
      </c>
      <c r="O229">
        <v>5622</v>
      </c>
      <c r="P229">
        <v>0</v>
      </c>
      <c r="Q229">
        <v>0</v>
      </c>
      <c r="R229">
        <v>0</v>
      </c>
      <c r="S229">
        <v>5733</v>
      </c>
      <c r="T229">
        <v>5769</v>
      </c>
      <c r="U229">
        <v>5611</v>
      </c>
      <c r="V229">
        <v>5840</v>
      </c>
      <c r="W229">
        <v>489571830</v>
      </c>
      <c r="X229">
        <v>5615</v>
      </c>
      <c r="Y229">
        <v>5616</v>
      </c>
      <c r="Z229">
        <v>12553</v>
      </c>
      <c r="AA229">
        <v>129500000</v>
      </c>
      <c r="AB229">
        <v>117936</v>
      </c>
      <c r="AC229">
        <v>0</v>
      </c>
      <c r="AD229" t="s">
        <v>94</v>
      </c>
      <c r="AE229" t="s">
        <v>94</v>
      </c>
      <c r="AF229" t="s">
        <v>226</v>
      </c>
      <c r="AG229" t="s">
        <v>226</v>
      </c>
      <c r="AH229">
        <v>-100</v>
      </c>
      <c r="AI229" t="s">
        <v>269</v>
      </c>
      <c r="AJ229" t="s">
        <v>270</v>
      </c>
      <c r="AK229" t="s">
        <v>271</v>
      </c>
      <c r="AL229" t="s">
        <v>272</v>
      </c>
    </row>
    <row r="230" spans="1:38">
      <c r="A230" t="s">
        <v>1374</v>
      </c>
      <c r="B230" t="s">
        <v>1375</v>
      </c>
      <c r="C230" t="s">
        <v>1376</v>
      </c>
      <c r="D230" t="s">
        <v>1377</v>
      </c>
      <c r="E230" t="s">
        <v>1378</v>
      </c>
      <c r="F230" t="s">
        <v>268</v>
      </c>
      <c r="G230">
        <v>2</v>
      </c>
      <c r="H230">
        <v>1</v>
      </c>
      <c r="I230">
        <v>0.1</v>
      </c>
      <c r="J230">
        <v>50</v>
      </c>
      <c r="K230">
        <v>-1.2</v>
      </c>
      <c r="L230">
        <v>575.5</v>
      </c>
      <c r="M230">
        <v>582.5</v>
      </c>
      <c r="N230">
        <v>584.20000000000005</v>
      </c>
      <c r="O230">
        <v>574.79999999999995</v>
      </c>
      <c r="P230">
        <v>0</v>
      </c>
      <c r="Q230">
        <v>0</v>
      </c>
      <c r="R230">
        <v>0</v>
      </c>
      <c r="S230">
        <v>578.29999999999995</v>
      </c>
      <c r="T230">
        <v>582.5</v>
      </c>
      <c r="U230">
        <v>570.79999999999995</v>
      </c>
      <c r="V230">
        <v>586</v>
      </c>
      <c r="W230">
        <v>22311882</v>
      </c>
      <c r="X230">
        <v>575.20000000000005</v>
      </c>
      <c r="Y230">
        <v>575.5</v>
      </c>
      <c r="Z230">
        <v>3333</v>
      </c>
      <c r="AA230">
        <v>40444445</v>
      </c>
      <c r="AB230">
        <v>1151</v>
      </c>
      <c r="AC230">
        <v>0</v>
      </c>
      <c r="AD230" t="s">
        <v>94</v>
      </c>
      <c r="AE230" t="s">
        <v>94</v>
      </c>
      <c r="AF230" t="s">
        <v>226</v>
      </c>
      <c r="AG230" t="s">
        <v>226</v>
      </c>
      <c r="AH230">
        <v>-100</v>
      </c>
      <c r="AI230" t="s">
        <v>269</v>
      </c>
      <c r="AJ230" t="s">
        <v>270</v>
      </c>
      <c r="AK230" t="s">
        <v>271</v>
      </c>
      <c r="AL230" t="s">
        <v>272</v>
      </c>
    </row>
    <row r="231" spans="1:38">
      <c r="A231" t="s">
        <v>1379</v>
      </c>
      <c r="B231" t="s">
        <v>1380</v>
      </c>
      <c r="C231" t="s">
        <v>1381</v>
      </c>
      <c r="D231" t="s">
        <v>1382</v>
      </c>
      <c r="E231" t="s">
        <v>1383</v>
      </c>
      <c r="F231" t="s">
        <v>438</v>
      </c>
      <c r="G231">
        <v>3</v>
      </c>
      <c r="H231">
        <v>100</v>
      </c>
      <c r="I231">
        <v>0.02</v>
      </c>
      <c r="J231">
        <v>1</v>
      </c>
      <c r="K231">
        <v>0.44</v>
      </c>
      <c r="L231">
        <v>18.28</v>
      </c>
      <c r="M231">
        <v>18.18</v>
      </c>
      <c r="N231">
        <v>17.940000000000001</v>
      </c>
      <c r="O231">
        <v>18.28</v>
      </c>
      <c r="P231">
        <v>0</v>
      </c>
      <c r="Q231">
        <v>0</v>
      </c>
      <c r="R231">
        <v>0</v>
      </c>
      <c r="S231">
        <v>18.3</v>
      </c>
      <c r="T231">
        <v>18</v>
      </c>
      <c r="U231">
        <v>17.899999999999999</v>
      </c>
      <c r="V231">
        <v>18.68</v>
      </c>
      <c r="W231">
        <v>561800</v>
      </c>
      <c r="X231">
        <v>18.100000000000001</v>
      </c>
      <c r="Y231">
        <v>18.28</v>
      </c>
      <c r="Z231">
        <v>73</v>
      </c>
      <c r="AA231">
        <v>229631402</v>
      </c>
      <c r="AB231">
        <v>1828</v>
      </c>
      <c r="AC231">
        <v>0</v>
      </c>
      <c r="AD231" t="s">
        <v>94</v>
      </c>
      <c r="AE231" t="s">
        <v>94</v>
      </c>
      <c r="AF231" t="s">
        <v>226</v>
      </c>
      <c r="AG231" t="s">
        <v>226</v>
      </c>
      <c r="AH231">
        <v>9</v>
      </c>
      <c r="AI231" t="s">
        <v>269</v>
      </c>
      <c r="AJ231" t="s">
        <v>270</v>
      </c>
      <c r="AK231" t="s">
        <v>439</v>
      </c>
      <c r="AL231" t="s">
        <v>272</v>
      </c>
    </row>
    <row r="232" spans="1:38">
      <c r="A232" t="s">
        <v>1384</v>
      </c>
      <c r="B232" t="s">
        <v>1385</v>
      </c>
      <c r="C232" t="s">
        <v>1386</v>
      </c>
      <c r="D232" t="s">
        <v>124</v>
      </c>
      <c r="E232" t="s">
        <v>125</v>
      </c>
      <c r="F232" t="s">
        <v>268</v>
      </c>
      <c r="G232">
        <v>1</v>
      </c>
      <c r="H232">
        <v>1</v>
      </c>
      <c r="I232">
        <v>1</v>
      </c>
      <c r="J232">
        <v>1</v>
      </c>
      <c r="K232">
        <v>-0.78</v>
      </c>
      <c r="L232">
        <v>4200</v>
      </c>
      <c r="M232">
        <v>4233</v>
      </c>
      <c r="N232">
        <v>4251</v>
      </c>
      <c r="O232">
        <v>4187</v>
      </c>
      <c r="P232">
        <v>0</v>
      </c>
      <c r="Q232">
        <v>0</v>
      </c>
      <c r="R232">
        <v>0</v>
      </c>
      <c r="S232">
        <v>4231</v>
      </c>
      <c r="T232">
        <v>4233</v>
      </c>
      <c r="U232">
        <v>4180</v>
      </c>
      <c r="V232">
        <v>4262</v>
      </c>
      <c r="W232">
        <v>534334048</v>
      </c>
      <c r="X232">
        <v>4199</v>
      </c>
      <c r="Y232">
        <v>4200</v>
      </c>
      <c r="Z232">
        <v>10613</v>
      </c>
      <c r="AA232">
        <v>47184918</v>
      </c>
      <c r="AB232">
        <v>33600</v>
      </c>
      <c r="AC232">
        <v>0</v>
      </c>
      <c r="AD232" t="s">
        <v>94</v>
      </c>
      <c r="AE232" t="s">
        <v>94</v>
      </c>
      <c r="AF232" t="s">
        <v>226</v>
      </c>
      <c r="AG232" t="s">
        <v>226</v>
      </c>
      <c r="AH232">
        <v>-100</v>
      </c>
      <c r="AI232" t="s">
        <v>269</v>
      </c>
      <c r="AJ232" t="s">
        <v>270</v>
      </c>
      <c r="AK232" t="s">
        <v>271</v>
      </c>
      <c r="AL232" t="s">
        <v>272</v>
      </c>
    </row>
    <row r="233" spans="1:38">
      <c r="A233" t="s">
        <v>1387</v>
      </c>
      <c r="B233" t="s">
        <v>1388</v>
      </c>
      <c r="C233" t="s">
        <v>1389</v>
      </c>
      <c r="D233" t="s">
        <v>1390</v>
      </c>
      <c r="E233" t="s">
        <v>1391</v>
      </c>
      <c r="F233" t="s">
        <v>268</v>
      </c>
      <c r="G233">
        <v>3</v>
      </c>
      <c r="H233">
        <v>100</v>
      </c>
      <c r="I233">
        <v>0.02</v>
      </c>
      <c r="J233">
        <v>1</v>
      </c>
      <c r="K233">
        <v>-2.02</v>
      </c>
      <c r="L233">
        <v>12.64</v>
      </c>
      <c r="M233">
        <v>12.84</v>
      </c>
      <c r="N233">
        <v>12.44</v>
      </c>
      <c r="O233">
        <v>12.64</v>
      </c>
      <c r="P233">
        <v>0</v>
      </c>
      <c r="Q233">
        <v>0</v>
      </c>
      <c r="R233">
        <v>0</v>
      </c>
      <c r="S233">
        <v>12.7</v>
      </c>
      <c r="T233">
        <v>12.88</v>
      </c>
      <c r="U233">
        <v>12.54</v>
      </c>
      <c r="V233">
        <v>12.88</v>
      </c>
      <c r="W233">
        <v>39346</v>
      </c>
      <c r="X233">
        <v>12.58</v>
      </c>
      <c r="Y233">
        <v>12.64</v>
      </c>
      <c r="Z233">
        <v>10</v>
      </c>
      <c r="AA233">
        <v>1083000000</v>
      </c>
      <c r="AB233">
        <v>2528</v>
      </c>
      <c r="AC233">
        <v>0</v>
      </c>
      <c r="AD233" t="s">
        <v>94</v>
      </c>
      <c r="AE233" t="s">
        <v>94</v>
      </c>
      <c r="AF233" t="s">
        <v>226</v>
      </c>
      <c r="AG233" t="s">
        <v>226</v>
      </c>
      <c r="AH233">
        <v>9</v>
      </c>
      <c r="AI233" t="s">
        <v>269</v>
      </c>
      <c r="AJ233" t="s">
        <v>270</v>
      </c>
      <c r="AK233" t="s">
        <v>271</v>
      </c>
      <c r="AL233" t="s">
        <v>272</v>
      </c>
    </row>
    <row r="234" spans="1:38">
      <c r="A234" t="s">
        <v>1392</v>
      </c>
      <c r="B234" t="s">
        <v>1393</v>
      </c>
      <c r="C234" t="s">
        <v>1394</v>
      </c>
      <c r="D234" t="s">
        <v>1395</v>
      </c>
      <c r="E234" t="s">
        <v>1396</v>
      </c>
      <c r="F234" t="s">
        <v>438</v>
      </c>
      <c r="G234">
        <v>3</v>
      </c>
      <c r="H234">
        <v>100</v>
      </c>
      <c r="I234">
        <v>0.02</v>
      </c>
      <c r="J234">
        <v>1</v>
      </c>
      <c r="K234">
        <v>-0.21</v>
      </c>
      <c r="L234">
        <v>9.56</v>
      </c>
      <c r="M234">
        <v>9.58</v>
      </c>
      <c r="N234">
        <v>9.58</v>
      </c>
      <c r="O234">
        <v>9.5399999999999991</v>
      </c>
      <c r="P234">
        <v>0</v>
      </c>
      <c r="Q234">
        <v>0</v>
      </c>
      <c r="R234">
        <v>0</v>
      </c>
      <c r="S234">
        <v>9.48</v>
      </c>
      <c r="T234">
        <v>9.4600000000000009</v>
      </c>
      <c r="U234">
        <v>9.3800000000000008</v>
      </c>
      <c r="V234">
        <v>9.56</v>
      </c>
      <c r="W234">
        <v>83454</v>
      </c>
      <c r="X234">
        <v>9.5</v>
      </c>
      <c r="Y234">
        <v>9.56</v>
      </c>
      <c r="Z234">
        <v>34</v>
      </c>
      <c r="AA234">
        <v>162000000</v>
      </c>
      <c r="AB234">
        <v>1912</v>
      </c>
      <c r="AC234">
        <v>0</v>
      </c>
      <c r="AD234" t="s">
        <v>94</v>
      </c>
      <c r="AE234" t="s">
        <v>94</v>
      </c>
      <c r="AF234" t="s">
        <v>226</v>
      </c>
      <c r="AG234" t="s">
        <v>226</v>
      </c>
      <c r="AH234">
        <v>9</v>
      </c>
      <c r="AI234" t="s">
        <v>269</v>
      </c>
      <c r="AJ234" t="s">
        <v>270</v>
      </c>
      <c r="AK234" t="s">
        <v>439</v>
      </c>
      <c r="AL234" t="s">
        <v>272</v>
      </c>
    </row>
    <row r="235" spans="1:38">
      <c r="A235" t="s">
        <v>1397</v>
      </c>
      <c r="B235" t="s">
        <v>1398</v>
      </c>
      <c r="C235" t="s">
        <v>1399</v>
      </c>
      <c r="D235" t="s">
        <v>1400</v>
      </c>
      <c r="E235" t="s">
        <v>1401</v>
      </c>
      <c r="F235" t="s">
        <v>268</v>
      </c>
      <c r="G235">
        <v>3</v>
      </c>
      <c r="H235">
        <v>100</v>
      </c>
      <c r="I235">
        <v>2E-3</v>
      </c>
      <c r="J235">
        <v>0.1</v>
      </c>
      <c r="K235">
        <v>9.08</v>
      </c>
      <c r="L235">
        <v>4.18</v>
      </c>
      <c r="M235">
        <v>3.8319999999999999</v>
      </c>
      <c r="N235">
        <v>3.9319999999999999</v>
      </c>
      <c r="O235">
        <v>4.2039999999999997</v>
      </c>
      <c r="P235">
        <v>0</v>
      </c>
      <c r="Q235">
        <v>0</v>
      </c>
      <c r="R235">
        <v>0</v>
      </c>
      <c r="S235">
        <v>4.1559999999999997</v>
      </c>
      <c r="T235">
        <v>3.8780000000000001</v>
      </c>
      <c r="U235">
        <v>3.8319999999999999</v>
      </c>
      <c r="V235">
        <v>4.45</v>
      </c>
      <c r="W235">
        <v>11868445</v>
      </c>
      <c r="X235">
        <v>4.1719999999999997</v>
      </c>
      <c r="Y235">
        <v>4.18</v>
      </c>
      <c r="Z235">
        <v>1804</v>
      </c>
      <c r="AA235">
        <v>838287450</v>
      </c>
      <c r="AB235">
        <v>418</v>
      </c>
      <c r="AC235">
        <v>0</v>
      </c>
      <c r="AD235" t="s">
        <v>94</v>
      </c>
      <c r="AE235" t="s">
        <v>94</v>
      </c>
      <c r="AF235" t="s">
        <v>226</v>
      </c>
      <c r="AG235" t="s">
        <v>226</v>
      </c>
      <c r="AH235">
        <v>9</v>
      </c>
      <c r="AI235" t="s">
        <v>269</v>
      </c>
      <c r="AJ235" t="s">
        <v>270</v>
      </c>
      <c r="AK235" t="s">
        <v>271</v>
      </c>
      <c r="AL235" t="s">
        <v>272</v>
      </c>
    </row>
    <row r="236" spans="1:38">
      <c r="A236" t="s">
        <v>1402</v>
      </c>
      <c r="B236" t="s">
        <v>1403</v>
      </c>
      <c r="C236" t="s">
        <v>1404</v>
      </c>
      <c r="D236" t="s">
        <v>1405</v>
      </c>
      <c r="E236" t="s">
        <v>1406</v>
      </c>
      <c r="F236" t="s">
        <v>268</v>
      </c>
      <c r="G236">
        <v>3</v>
      </c>
      <c r="H236">
        <v>1</v>
      </c>
      <c r="I236">
        <v>50</v>
      </c>
      <c r="J236">
        <v>200</v>
      </c>
      <c r="K236">
        <v>-2.39</v>
      </c>
      <c r="L236">
        <v>16350</v>
      </c>
      <c r="M236">
        <v>16750</v>
      </c>
      <c r="N236">
        <v>16800</v>
      </c>
      <c r="O236">
        <v>16350</v>
      </c>
      <c r="P236">
        <v>0</v>
      </c>
      <c r="Q236">
        <v>0</v>
      </c>
      <c r="R236">
        <v>0</v>
      </c>
      <c r="S236">
        <v>16200</v>
      </c>
      <c r="T236">
        <v>16750</v>
      </c>
      <c r="U236">
        <v>15750</v>
      </c>
      <c r="V236">
        <v>16750</v>
      </c>
      <c r="W236">
        <v>534550</v>
      </c>
      <c r="X236">
        <v>16200</v>
      </c>
      <c r="Y236">
        <v>16350</v>
      </c>
      <c r="Z236">
        <v>25</v>
      </c>
      <c r="AA236">
        <v>600216</v>
      </c>
      <c r="AB236">
        <v>16350</v>
      </c>
      <c r="AC236">
        <v>0</v>
      </c>
      <c r="AD236" t="s">
        <v>94</v>
      </c>
      <c r="AE236" t="s">
        <v>94</v>
      </c>
      <c r="AF236" t="s">
        <v>226</v>
      </c>
      <c r="AG236" t="s">
        <v>226</v>
      </c>
      <c r="AH236">
        <v>9</v>
      </c>
      <c r="AI236" t="s">
        <v>269</v>
      </c>
      <c r="AJ236" t="s">
        <v>270</v>
      </c>
      <c r="AK236" t="s">
        <v>271</v>
      </c>
      <c r="AL236" t="s">
        <v>272</v>
      </c>
    </row>
    <row r="237" spans="1:38">
      <c r="A237" t="s">
        <v>1407</v>
      </c>
      <c r="B237" t="s">
        <v>1408</v>
      </c>
      <c r="C237" t="s">
        <v>1409</v>
      </c>
      <c r="D237" t="s">
        <v>1410</v>
      </c>
      <c r="E237" t="s">
        <v>1411</v>
      </c>
      <c r="F237" t="s">
        <v>268</v>
      </c>
      <c r="G237">
        <v>3</v>
      </c>
      <c r="H237">
        <v>1</v>
      </c>
      <c r="I237">
        <v>5</v>
      </c>
      <c r="J237">
        <v>1</v>
      </c>
      <c r="K237">
        <v>0</v>
      </c>
      <c r="L237">
        <v>4920</v>
      </c>
      <c r="M237">
        <v>4920</v>
      </c>
      <c r="N237">
        <v>4975</v>
      </c>
      <c r="O237">
        <v>4915</v>
      </c>
      <c r="P237">
        <v>0</v>
      </c>
      <c r="Q237">
        <v>0</v>
      </c>
      <c r="R237">
        <v>0</v>
      </c>
      <c r="S237">
        <v>4950</v>
      </c>
      <c r="T237">
        <v>4895</v>
      </c>
      <c r="U237">
        <v>4860</v>
      </c>
      <c r="V237">
        <v>5030</v>
      </c>
      <c r="W237">
        <v>574170</v>
      </c>
      <c r="X237">
        <v>4910</v>
      </c>
      <c r="Y237">
        <v>4940</v>
      </c>
      <c r="Z237">
        <v>60</v>
      </c>
      <c r="AA237">
        <v>3161965</v>
      </c>
      <c r="AB237">
        <v>9840</v>
      </c>
      <c r="AC237">
        <v>0</v>
      </c>
      <c r="AD237" t="s">
        <v>94</v>
      </c>
      <c r="AE237" t="s">
        <v>94</v>
      </c>
      <c r="AF237" t="s">
        <v>226</v>
      </c>
      <c r="AG237" t="s">
        <v>226</v>
      </c>
      <c r="AH237">
        <v>9</v>
      </c>
      <c r="AI237" t="s">
        <v>269</v>
      </c>
      <c r="AJ237" t="s">
        <v>270</v>
      </c>
      <c r="AK237" t="s">
        <v>271</v>
      </c>
      <c r="AL237" t="s">
        <v>272</v>
      </c>
    </row>
    <row r="238" spans="1:38">
      <c r="A238" t="s">
        <v>1412</v>
      </c>
      <c r="B238" t="s">
        <v>1413</v>
      </c>
      <c r="C238" t="s">
        <v>1414</v>
      </c>
      <c r="D238" t="s">
        <v>1415</v>
      </c>
      <c r="E238" t="s">
        <v>1416</v>
      </c>
      <c r="F238" t="s">
        <v>268</v>
      </c>
      <c r="G238">
        <v>3</v>
      </c>
      <c r="H238">
        <v>1</v>
      </c>
      <c r="I238">
        <v>1</v>
      </c>
      <c r="J238">
        <v>0.01</v>
      </c>
      <c r="K238">
        <v>-1.92</v>
      </c>
      <c r="L238">
        <v>3780</v>
      </c>
      <c r="M238">
        <v>3854</v>
      </c>
      <c r="N238">
        <v>3847</v>
      </c>
      <c r="O238">
        <v>3781</v>
      </c>
      <c r="P238">
        <v>0</v>
      </c>
      <c r="Q238">
        <v>0</v>
      </c>
      <c r="R238">
        <v>0</v>
      </c>
      <c r="S238">
        <v>3805</v>
      </c>
      <c r="T238">
        <v>3853</v>
      </c>
      <c r="U238">
        <v>3779</v>
      </c>
      <c r="V238">
        <v>3854</v>
      </c>
      <c r="W238">
        <v>6042789</v>
      </c>
      <c r="X238">
        <v>3780</v>
      </c>
      <c r="Y238">
        <v>3785</v>
      </c>
      <c r="Z238">
        <v>482</v>
      </c>
      <c r="AA238">
        <v>42222042</v>
      </c>
      <c r="AB238">
        <v>3780</v>
      </c>
      <c r="AC238">
        <v>0</v>
      </c>
      <c r="AD238" t="s">
        <v>94</v>
      </c>
      <c r="AE238" t="s">
        <v>94</v>
      </c>
      <c r="AF238" t="s">
        <v>226</v>
      </c>
      <c r="AG238" t="s">
        <v>226</v>
      </c>
      <c r="AH238">
        <v>9</v>
      </c>
      <c r="AI238" t="s">
        <v>269</v>
      </c>
      <c r="AJ238" t="s">
        <v>270</v>
      </c>
      <c r="AK238" t="s">
        <v>271</v>
      </c>
      <c r="AL238" t="s">
        <v>272</v>
      </c>
    </row>
    <row r="239" spans="1:38">
      <c r="A239" t="s">
        <v>1417</v>
      </c>
      <c r="B239" t="s">
        <v>1418</v>
      </c>
      <c r="C239" t="s">
        <v>1419</v>
      </c>
      <c r="D239" t="s">
        <v>1420</v>
      </c>
      <c r="E239" t="s">
        <v>1421</v>
      </c>
      <c r="F239" t="s">
        <v>268</v>
      </c>
      <c r="G239">
        <v>1</v>
      </c>
      <c r="H239">
        <v>1000</v>
      </c>
      <c r="I239">
        <v>2.0000000000000001E-4</v>
      </c>
      <c r="J239">
        <v>1</v>
      </c>
      <c r="K239">
        <v>-0.88</v>
      </c>
      <c r="L239">
        <v>0.47160000000000002</v>
      </c>
      <c r="M239">
        <v>0.47360000000000002</v>
      </c>
      <c r="N239">
        <v>0.47620000000000001</v>
      </c>
      <c r="O239">
        <v>0.4708</v>
      </c>
      <c r="P239">
        <v>0</v>
      </c>
      <c r="Q239">
        <v>0</v>
      </c>
      <c r="R239">
        <v>0</v>
      </c>
      <c r="S239">
        <v>0.47660000000000002</v>
      </c>
      <c r="T239">
        <v>0.47739999999999999</v>
      </c>
      <c r="U239">
        <v>0.46899999999999997</v>
      </c>
      <c r="V239">
        <v>0.48259999999999997</v>
      </c>
      <c r="W239">
        <v>11728827</v>
      </c>
      <c r="X239">
        <v>0.4708</v>
      </c>
      <c r="Y239">
        <v>0.4718</v>
      </c>
      <c r="Z239">
        <v>801</v>
      </c>
      <c r="AA239">
        <v>35371898370</v>
      </c>
      <c r="AB239">
        <v>18392.400000000001</v>
      </c>
      <c r="AC239">
        <v>0</v>
      </c>
      <c r="AD239" t="s">
        <v>94</v>
      </c>
      <c r="AE239" t="s">
        <v>94</v>
      </c>
      <c r="AF239" t="s">
        <v>226</v>
      </c>
      <c r="AG239" t="s">
        <v>226</v>
      </c>
      <c r="AH239">
        <v>-100</v>
      </c>
      <c r="AI239" t="s">
        <v>269</v>
      </c>
      <c r="AJ239" t="s">
        <v>270</v>
      </c>
      <c r="AK239" t="s">
        <v>271</v>
      </c>
      <c r="AL239" t="s">
        <v>272</v>
      </c>
    </row>
    <row r="240" spans="1:38">
      <c r="A240" t="s">
        <v>1422</v>
      </c>
      <c r="B240" t="s">
        <v>1423</v>
      </c>
      <c r="C240" t="s">
        <v>1424</v>
      </c>
      <c r="D240" t="s">
        <v>1425</v>
      </c>
      <c r="E240" t="s">
        <v>1426</v>
      </c>
      <c r="F240" t="s">
        <v>268</v>
      </c>
      <c r="G240">
        <v>1</v>
      </c>
      <c r="H240">
        <v>1</v>
      </c>
      <c r="I240">
        <v>0.05</v>
      </c>
      <c r="J240">
        <v>6.9999999999999994E-5</v>
      </c>
      <c r="K240">
        <v>-1.0900000000000001</v>
      </c>
      <c r="L240">
        <v>294.5</v>
      </c>
      <c r="M240">
        <v>297.5</v>
      </c>
      <c r="N240">
        <v>297.10000000000002</v>
      </c>
      <c r="O240">
        <v>292.39999999999998</v>
      </c>
      <c r="P240">
        <v>0</v>
      </c>
      <c r="Q240">
        <v>0</v>
      </c>
      <c r="R240">
        <v>0</v>
      </c>
      <c r="S240">
        <v>297</v>
      </c>
      <c r="T240">
        <v>297.7</v>
      </c>
      <c r="U240">
        <v>291.60000000000002</v>
      </c>
      <c r="V240">
        <v>300.25</v>
      </c>
      <c r="W240">
        <v>42991748</v>
      </c>
      <c r="X240">
        <v>294.5</v>
      </c>
      <c r="Y240">
        <v>294.64999999999998</v>
      </c>
      <c r="Z240">
        <v>3262</v>
      </c>
      <c r="AA240">
        <v>638848896</v>
      </c>
      <c r="AB240">
        <v>42702.5</v>
      </c>
      <c r="AC240">
        <v>0</v>
      </c>
      <c r="AD240" t="s">
        <v>2</v>
      </c>
      <c r="AE240" t="s">
        <v>94</v>
      </c>
      <c r="AF240" t="s">
        <v>226</v>
      </c>
      <c r="AG240" t="s">
        <v>226</v>
      </c>
      <c r="AH240">
        <v>-100</v>
      </c>
      <c r="AI240" t="s">
        <v>269</v>
      </c>
      <c r="AJ240" t="s">
        <v>270</v>
      </c>
      <c r="AK240" t="s">
        <v>271</v>
      </c>
      <c r="AL240" t="s">
        <v>272</v>
      </c>
    </row>
    <row r="241" spans="1:38">
      <c r="A241" t="s">
        <v>1427</v>
      </c>
      <c r="B241" t="s">
        <v>1428</v>
      </c>
      <c r="C241" t="s">
        <v>1429</v>
      </c>
      <c r="D241" t="s">
        <v>1430</v>
      </c>
      <c r="E241" t="s">
        <v>1431</v>
      </c>
      <c r="F241" t="s">
        <v>268</v>
      </c>
      <c r="G241">
        <v>3</v>
      </c>
      <c r="H241">
        <v>1000</v>
      </c>
      <c r="I241">
        <v>5.0000000000000002E-5</v>
      </c>
      <c r="J241">
        <v>0.05</v>
      </c>
      <c r="K241">
        <v>-0.17</v>
      </c>
      <c r="L241">
        <v>0.14535000000000001</v>
      </c>
      <c r="M241">
        <v>0.14560000000000001</v>
      </c>
      <c r="N241">
        <v>0.1462</v>
      </c>
      <c r="O241">
        <v>0.14535000000000001</v>
      </c>
      <c r="P241">
        <v>0</v>
      </c>
      <c r="Q241">
        <v>0</v>
      </c>
      <c r="R241">
        <v>0</v>
      </c>
      <c r="S241">
        <v>0.14549999999999999</v>
      </c>
      <c r="T241">
        <v>0.14749999999999999</v>
      </c>
      <c r="U241">
        <v>0.14485000000000001</v>
      </c>
      <c r="V241">
        <v>0.14749999999999999</v>
      </c>
      <c r="W241">
        <v>3619739</v>
      </c>
      <c r="X241">
        <v>0.14535000000000001</v>
      </c>
      <c r="Y241">
        <v>0.14545</v>
      </c>
      <c r="Z241">
        <v>819</v>
      </c>
      <c r="AA241">
        <v>469725539040</v>
      </c>
      <c r="AB241">
        <v>290.7</v>
      </c>
      <c r="AC241">
        <v>0</v>
      </c>
      <c r="AD241" t="s">
        <v>94</v>
      </c>
      <c r="AE241" t="s">
        <v>94</v>
      </c>
      <c r="AF241" t="s">
        <v>226</v>
      </c>
      <c r="AG241" t="s">
        <v>226</v>
      </c>
      <c r="AH241">
        <v>-100</v>
      </c>
      <c r="AI241" t="s">
        <v>269</v>
      </c>
      <c r="AJ241" t="s">
        <v>270</v>
      </c>
      <c r="AK241" t="s">
        <v>271</v>
      </c>
      <c r="AL241" t="s">
        <v>272</v>
      </c>
    </row>
    <row r="242" spans="1:38">
      <c r="A242" t="s">
        <v>1432</v>
      </c>
      <c r="B242" t="s">
        <v>1433</v>
      </c>
      <c r="C242" t="s">
        <v>1434</v>
      </c>
      <c r="D242" t="s">
        <v>1435</v>
      </c>
      <c r="E242" t="s">
        <v>1436</v>
      </c>
      <c r="F242" t="s">
        <v>268</v>
      </c>
      <c r="G242">
        <v>3</v>
      </c>
      <c r="H242">
        <v>1</v>
      </c>
      <c r="I242">
        <v>10</v>
      </c>
      <c r="J242">
        <v>1000</v>
      </c>
      <c r="K242">
        <v>-1.17</v>
      </c>
      <c r="L242">
        <v>15270</v>
      </c>
      <c r="M242">
        <v>15450</v>
      </c>
      <c r="N242">
        <v>15440</v>
      </c>
      <c r="O242">
        <v>15210</v>
      </c>
      <c r="P242">
        <v>0</v>
      </c>
      <c r="Q242">
        <v>0</v>
      </c>
      <c r="R242">
        <v>0</v>
      </c>
      <c r="S242">
        <v>15260</v>
      </c>
      <c r="T242">
        <v>15310</v>
      </c>
      <c r="U242">
        <v>15160</v>
      </c>
      <c r="V242">
        <v>15390</v>
      </c>
      <c r="W242">
        <v>870080</v>
      </c>
      <c r="X242">
        <v>15220</v>
      </c>
      <c r="Y242">
        <v>15290</v>
      </c>
      <c r="Z242">
        <v>46</v>
      </c>
      <c r="AA242">
        <v>1811073</v>
      </c>
      <c r="AB242">
        <v>15270</v>
      </c>
      <c r="AC242">
        <v>0</v>
      </c>
      <c r="AD242" t="s">
        <v>94</v>
      </c>
      <c r="AE242" t="s">
        <v>94</v>
      </c>
      <c r="AF242" t="s">
        <v>226</v>
      </c>
      <c r="AG242" t="s">
        <v>226</v>
      </c>
      <c r="AH242">
        <v>9</v>
      </c>
      <c r="AI242" t="s">
        <v>269</v>
      </c>
      <c r="AJ242" t="s">
        <v>270</v>
      </c>
      <c r="AK242" t="s">
        <v>271</v>
      </c>
      <c r="AL242" t="s">
        <v>272</v>
      </c>
    </row>
    <row r="243" spans="1:38">
      <c r="A243" t="s">
        <v>1437</v>
      </c>
      <c r="B243" t="s">
        <v>1438</v>
      </c>
      <c r="C243" t="s">
        <v>1439</v>
      </c>
      <c r="D243" t="s">
        <v>1440</v>
      </c>
      <c r="E243" t="s">
        <v>1441</v>
      </c>
      <c r="F243" t="s">
        <v>268</v>
      </c>
      <c r="G243">
        <v>1</v>
      </c>
      <c r="H243">
        <v>1</v>
      </c>
      <c r="I243">
        <v>0.2</v>
      </c>
      <c r="J243">
        <v>0.67</v>
      </c>
      <c r="K243">
        <v>0</v>
      </c>
      <c r="L243">
        <v>1371.4</v>
      </c>
      <c r="M243">
        <v>1373</v>
      </c>
      <c r="N243">
        <v>1372</v>
      </c>
      <c r="O243">
        <v>1367.8</v>
      </c>
      <c r="P243">
        <v>0</v>
      </c>
      <c r="Q243">
        <v>0</v>
      </c>
      <c r="R243">
        <v>0</v>
      </c>
      <c r="S243">
        <v>1376.8</v>
      </c>
      <c r="T243">
        <v>1372.2</v>
      </c>
      <c r="U243">
        <v>1359</v>
      </c>
      <c r="V243">
        <v>1386</v>
      </c>
      <c r="W243">
        <v>132226893</v>
      </c>
      <c r="X243">
        <v>1370.4</v>
      </c>
      <c r="Y243">
        <v>1371.4</v>
      </c>
      <c r="Z243">
        <v>10706</v>
      </c>
      <c r="AA243">
        <v>50237005</v>
      </c>
      <c r="AB243">
        <v>1371.4</v>
      </c>
      <c r="AC243">
        <v>0</v>
      </c>
      <c r="AD243" t="s">
        <v>94</v>
      </c>
      <c r="AE243" t="s">
        <v>94</v>
      </c>
      <c r="AF243" t="s">
        <v>226</v>
      </c>
      <c r="AG243" t="s">
        <v>226</v>
      </c>
      <c r="AH243">
        <v>-100</v>
      </c>
      <c r="AI243" t="s">
        <v>269</v>
      </c>
      <c r="AJ243" t="s">
        <v>270</v>
      </c>
      <c r="AK243" t="s">
        <v>271</v>
      </c>
      <c r="AL243" t="s">
        <v>272</v>
      </c>
    </row>
    <row r="244" spans="1:38">
      <c r="A244" t="s">
        <v>1442</v>
      </c>
      <c r="B244" t="s">
        <v>1443</v>
      </c>
      <c r="C244" t="s">
        <v>1444</v>
      </c>
      <c r="D244" t="s">
        <v>1445</v>
      </c>
      <c r="E244" t="s">
        <v>1446</v>
      </c>
      <c r="F244" t="s">
        <v>268</v>
      </c>
      <c r="G244">
        <v>2</v>
      </c>
      <c r="H244">
        <v>1000</v>
      </c>
      <c r="I244">
        <v>1E-4</v>
      </c>
      <c r="J244">
        <v>1E-3</v>
      </c>
      <c r="K244">
        <v>-1.3</v>
      </c>
      <c r="L244">
        <v>0.62970000000000004</v>
      </c>
      <c r="M244">
        <v>0.63800000000000001</v>
      </c>
      <c r="N244">
        <v>0.64890000000000003</v>
      </c>
      <c r="O244">
        <v>0.62649999999999995</v>
      </c>
      <c r="P244">
        <v>0</v>
      </c>
      <c r="Q244">
        <v>0</v>
      </c>
      <c r="R244">
        <v>0</v>
      </c>
      <c r="S244">
        <v>0.6361</v>
      </c>
      <c r="T244">
        <v>0.64500000000000002</v>
      </c>
      <c r="U244">
        <v>0.62329999999999997</v>
      </c>
      <c r="V244">
        <v>0.64510000000000001</v>
      </c>
      <c r="W244">
        <v>264065955</v>
      </c>
      <c r="X244">
        <v>0.62939999999999996</v>
      </c>
      <c r="Y244">
        <v>0.62980000000000003</v>
      </c>
      <c r="Z244">
        <v>15249</v>
      </c>
      <c r="AA244">
        <v>222778849052</v>
      </c>
      <c r="AB244">
        <v>629.70000000000005</v>
      </c>
      <c r="AC244">
        <v>0</v>
      </c>
      <c r="AD244" t="s">
        <v>94</v>
      </c>
      <c r="AE244" t="s">
        <v>94</v>
      </c>
      <c r="AF244" t="s">
        <v>226</v>
      </c>
      <c r="AG244" t="s">
        <v>226</v>
      </c>
      <c r="AH244">
        <v>-100</v>
      </c>
      <c r="AI244" t="s">
        <v>269</v>
      </c>
      <c r="AJ244" t="s">
        <v>270</v>
      </c>
      <c r="AK244" t="s">
        <v>271</v>
      </c>
      <c r="AL244" t="s">
        <v>272</v>
      </c>
    </row>
    <row r="245" spans="1:38">
      <c r="A245" t="s">
        <v>1447</v>
      </c>
      <c r="B245" t="s">
        <v>1448</v>
      </c>
      <c r="C245" t="s">
        <v>1449</v>
      </c>
      <c r="D245" t="s">
        <v>1450</v>
      </c>
      <c r="E245" t="s">
        <v>1451</v>
      </c>
      <c r="F245" t="s">
        <v>268</v>
      </c>
      <c r="G245">
        <v>3</v>
      </c>
      <c r="H245">
        <v>100</v>
      </c>
      <c r="I245">
        <v>0.01</v>
      </c>
      <c r="J245">
        <v>1</v>
      </c>
      <c r="K245">
        <v>0.61</v>
      </c>
      <c r="L245">
        <v>14.93</v>
      </c>
      <c r="M245">
        <v>14.84</v>
      </c>
      <c r="N245">
        <v>15</v>
      </c>
      <c r="O245">
        <v>14.93</v>
      </c>
      <c r="P245">
        <v>0</v>
      </c>
      <c r="Q245">
        <v>0</v>
      </c>
      <c r="R245">
        <v>0</v>
      </c>
      <c r="S245">
        <v>14.89</v>
      </c>
      <c r="T245">
        <v>14.91</v>
      </c>
      <c r="U245">
        <v>14.51</v>
      </c>
      <c r="V245">
        <v>15.29</v>
      </c>
      <c r="W245">
        <v>2194559</v>
      </c>
      <c r="X245">
        <v>14.89</v>
      </c>
      <c r="Y245">
        <v>14.93</v>
      </c>
      <c r="Z245">
        <v>216</v>
      </c>
      <c r="AA245">
        <v>7896123268</v>
      </c>
      <c r="AB245">
        <v>11944</v>
      </c>
      <c r="AC245">
        <v>0</v>
      </c>
      <c r="AD245" t="s">
        <v>94</v>
      </c>
      <c r="AE245" t="s">
        <v>94</v>
      </c>
      <c r="AF245" t="s">
        <v>226</v>
      </c>
      <c r="AG245" t="s">
        <v>226</v>
      </c>
      <c r="AH245">
        <v>9</v>
      </c>
      <c r="AI245" t="s">
        <v>269</v>
      </c>
      <c r="AJ245" t="s">
        <v>270</v>
      </c>
      <c r="AK245" t="s">
        <v>271</v>
      </c>
      <c r="AL245" t="s">
        <v>272</v>
      </c>
    </row>
    <row r="246" spans="1:38">
      <c r="A246" t="s">
        <v>1452</v>
      </c>
      <c r="B246" t="s">
        <v>1453</v>
      </c>
      <c r="C246" t="s">
        <v>1454</v>
      </c>
      <c r="D246" t="s">
        <v>1455</v>
      </c>
      <c r="E246" t="s">
        <v>1456</v>
      </c>
      <c r="F246" t="s">
        <v>268</v>
      </c>
      <c r="G246">
        <v>3</v>
      </c>
      <c r="H246">
        <v>1</v>
      </c>
      <c r="I246">
        <v>10</v>
      </c>
      <c r="J246">
        <v>1</v>
      </c>
      <c r="K246">
        <v>1.38</v>
      </c>
      <c r="L246">
        <v>5130</v>
      </c>
      <c r="M246">
        <v>5060</v>
      </c>
      <c r="N246">
        <v>5100</v>
      </c>
      <c r="O246">
        <v>5140</v>
      </c>
      <c r="P246">
        <v>0</v>
      </c>
      <c r="Q246">
        <v>0</v>
      </c>
      <c r="R246">
        <v>0</v>
      </c>
      <c r="S246">
        <v>5300</v>
      </c>
      <c r="T246">
        <v>5000</v>
      </c>
      <c r="U246">
        <v>4970</v>
      </c>
      <c r="V246">
        <v>5580</v>
      </c>
      <c r="W246">
        <v>5753020</v>
      </c>
      <c r="X246">
        <v>5140</v>
      </c>
      <c r="Y246">
        <v>5170</v>
      </c>
      <c r="Z246">
        <v>511</v>
      </c>
      <c r="AA246">
        <v>599737</v>
      </c>
      <c r="AB246">
        <v>25650</v>
      </c>
      <c r="AC246">
        <v>0</v>
      </c>
      <c r="AD246" t="s">
        <v>94</v>
      </c>
      <c r="AE246" t="s">
        <v>94</v>
      </c>
      <c r="AF246" t="s">
        <v>226</v>
      </c>
      <c r="AG246" t="s">
        <v>226</v>
      </c>
      <c r="AH246">
        <v>9</v>
      </c>
      <c r="AI246" t="s">
        <v>269</v>
      </c>
      <c r="AJ246" t="s">
        <v>270</v>
      </c>
      <c r="AK246" t="s">
        <v>271</v>
      </c>
      <c r="AL246" t="s">
        <v>272</v>
      </c>
    </row>
    <row r="247" spans="1:38">
      <c r="A247" t="s">
        <v>1457</v>
      </c>
      <c r="B247" t="s">
        <v>1458</v>
      </c>
      <c r="C247" t="s">
        <v>1459</v>
      </c>
      <c r="D247" t="s">
        <v>1460</v>
      </c>
      <c r="E247" t="s">
        <v>1461</v>
      </c>
      <c r="F247" t="s">
        <v>268</v>
      </c>
      <c r="G247">
        <v>3</v>
      </c>
      <c r="H247">
        <v>1</v>
      </c>
      <c r="I247">
        <v>2</v>
      </c>
      <c r="J247">
        <v>0.04</v>
      </c>
      <c r="K247">
        <v>1.57</v>
      </c>
      <c r="L247">
        <v>1034</v>
      </c>
      <c r="M247">
        <v>1018</v>
      </c>
      <c r="N247">
        <v>1012</v>
      </c>
      <c r="O247">
        <v>1032</v>
      </c>
      <c r="P247">
        <v>0</v>
      </c>
      <c r="Q247">
        <v>0</v>
      </c>
      <c r="R247">
        <v>0</v>
      </c>
      <c r="S247">
        <v>1022</v>
      </c>
      <c r="T247">
        <v>1014</v>
      </c>
      <c r="U247">
        <v>1012</v>
      </c>
      <c r="V247">
        <v>1034</v>
      </c>
      <c r="W247">
        <v>37808</v>
      </c>
      <c r="X247">
        <v>1026</v>
      </c>
      <c r="Y247">
        <v>1036</v>
      </c>
      <c r="Z247">
        <v>19</v>
      </c>
      <c r="AA247">
        <v>36149002</v>
      </c>
      <c r="AB247">
        <v>1034</v>
      </c>
      <c r="AC247">
        <v>0</v>
      </c>
      <c r="AD247" t="s">
        <v>94</v>
      </c>
      <c r="AE247" t="s">
        <v>94</v>
      </c>
      <c r="AF247" t="s">
        <v>226</v>
      </c>
      <c r="AG247" t="s">
        <v>226</v>
      </c>
      <c r="AH247">
        <v>9</v>
      </c>
      <c r="AI247" t="s">
        <v>269</v>
      </c>
      <c r="AJ247" t="s">
        <v>270</v>
      </c>
      <c r="AK247" t="s">
        <v>271</v>
      </c>
      <c r="AL247" t="s">
        <v>272</v>
      </c>
    </row>
    <row r="248" spans="1:38">
      <c r="A248" t="s">
        <v>1462</v>
      </c>
      <c r="B248" t="s">
        <v>1463</v>
      </c>
      <c r="C248" t="s">
        <v>1464</v>
      </c>
      <c r="D248" t="s">
        <v>40</v>
      </c>
      <c r="E248" t="s">
        <v>1465</v>
      </c>
      <c r="F248" t="s">
        <v>268</v>
      </c>
      <c r="G248">
        <v>1</v>
      </c>
      <c r="H248">
        <v>1000</v>
      </c>
      <c r="I248">
        <v>1E-3</v>
      </c>
      <c r="J248">
        <v>0.4</v>
      </c>
      <c r="K248">
        <v>0</v>
      </c>
      <c r="L248">
        <v>1.6539999999999999</v>
      </c>
      <c r="M248">
        <v>1.667</v>
      </c>
      <c r="N248">
        <v>1.6679999999999999</v>
      </c>
      <c r="O248">
        <v>1.6479999999999999</v>
      </c>
      <c r="P248">
        <v>0</v>
      </c>
      <c r="Q248">
        <v>0</v>
      </c>
      <c r="R248">
        <v>0</v>
      </c>
      <c r="S248">
        <v>1.66</v>
      </c>
      <c r="T248">
        <v>1.6559999999999999</v>
      </c>
      <c r="U248">
        <v>1.645</v>
      </c>
      <c r="V248">
        <v>1.67</v>
      </c>
      <c r="W248">
        <v>86258453</v>
      </c>
      <c r="X248">
        <v>1.6539999999999999</v>
      </c>
      <c r="Y248">
        <v>1.655</v>
      </c>
      <c r="Z248">
        <v>4149</v>
      </c>
      <c r="AA248">
        <v>63048706145</v>
      </c>
      <c r="AB248">
        <v>3308</v>
      </c>
      <c r="AC248">
        <v>0</v>
      </c>
      <c r="AD248" t="s">
        <v>94</v>
      </c>
      <c r="AE248" t="s">
        <v>94</v>
      </c>
      <c r="AF248" t="s">
        <v>226</v>
      </c>
      <c r="AG248" t="s">
        <v>226</v>
      </c>
      <c r="AH248">
        <v>-100</v>
      </c>
      <c r="AI248" t="s">
        <v>269</v>
      </c>
      <c r="AJ248" t="s">
        <v>270</v>
      </c>
      <c r="AK248" t="s">
        <v>271</v>
      </c>
      <c r="AL248" t="s">
        <v>272</v>
      </c>
    </row>
    <row r="249" spans="1:38">
      <c r="A249" t="s">
        <v>1466</v>
      </c>
      <c r="B249" t="s">
        <v>1467</v>
      </c>
      <c r="C249" t="s">
        <v>1468</v>
      </c>
      <c r="D249" t="s">
        <v>118</v>
      </c>
      <c r="E249" t="s">
        <v>119</v>
      </c>
      <c r="F249" t="s">
        <v>268</v>
      </c>
      <c r="G249">
        <v>1</v>
      </c>
      <c r="H249">
        <v>1</v>
      </c>
      <c r="I249">
        <v>0.5</v>
      </c>
      <c r="J249">
        <v>0.4</v>
      </c>
      <c r="K249">
        <v>-1.46</v>
      </c>
      <c r="L249">
        <v>3330.5</v>
      </c>
      <c r="M249">
        <v>3363</v>
      </c>
      <c r="N249">
        <v>3386.5</v>
      </c>
      <c r="O249">
        <v>3330.5</v>
      </c>
      <c r="P249">
        <v>0</v>
      </c>
      <c r="Q249">
        <v>0</v>
      </c>
      <c r="R249">
        <v>0</v>
      </c>
      <c r="S249">
        <v>3368</v>
      </c>
      <c r="T249">
        <v>3371</v>
      </c>
      <c r="U249">
        <v>3326</v>
      </c>
      <c r="V249">
        <v>3405.5</v>
      </c>
      <c r="W249">
        <v>1757125145</v>
      </c>
      <c r="X249">
        <v>3330.5</v>
      </c>
      <c r="Y249">
        <v>3331</v>
      </c>
      <c r="Z249">
        <v>20592</v>
      </c>
      <c r="AA249">
        <v>379453795</v>
      </c>
      <c r="AB249">
        <v>199830</v>
      </c>
      <c r="AC249">
        <v>0</v>
      </c>
      <c r="AD249" t="s">
        <v>94</v>
      </c>
      <c r="AE249" t="s">
        <v>94</v>
      </c>
      <c r="AF249" t="s">
        <v>226</v>
      </c>
      <c r="AG249" t="s">
        <v>226</v>
      </c>
      <c r="AH249">
        <v>-100</v>
      </c>
      <c r="AI249" t="s">
        <v>269</v>
      </c>
      <c r="AJ249" t="s">
        <v>270</v>
      </c>
      <c r="AK249" t="s">
        <v>271</v>
      </c>
      <c r="AL249" t="s">
        <v>272</v>
      </c>
    </row>
    <row r="250" spans="1:38">
      <c r="A250" t="s">
        <v>1469</v>
      </c>
      <c r="B250" t="s">
        <v>1470</v>
      </c>
      <c r="C250" t="s">
        <v>1471</v>
      </c>
      <c r="D250" t="s">
        <v>1472</v>
      </c>
      <c r="E250" t="s">
        <v>1473</v>
      </c>
      <c r="F250" t="s">
        <v>268</v>
      </c>
      <c r="G250">
        <v>3</v>
      </c>
      <c r="H250">
        <v>10</v>
      </c>
      <c r="I250">
        <v>0.05</v>
      </c>
      <c r="J250">
        <v>1</v>
      </c>
      <c r="K250">
        <v>-2.4900000000000002</v>
      </c>
      <c r="L250">
        <v>50.9</v>
      </c>
      <c r="M250">
        <v>52.2</v>
      </c>
      <c r="N250">
        <v>52.9</v>
      </c>
      <c r="O250">
        <v>51.1</v>
      </c>
      <c r="P250">
        <v>0</v>
      </c>
      <c r="Q250">
        <v>0</v>
      </c>
      <c r="R250">
        <v>0</v>
      </c>
      <c r="S250">
        <v>51.45</v>
      </c>
      <c r="T250">
        <v>52</v>
      </c>
      <c r="U250">
        <v>50.55</v>
      </c>
      <c r="V250">
        <v>52.4</v>
      </c>
      <c r="W250">
        <v>573505</v>
      </c>
      <c r="X250">
        <v>50.6</v>
      </c>
      <c r="Y250">
        <v>50.85</v>
      </c>
      <c r="Z250">
        <v>196</v>
      </c>
      <c r="AA250">
        <v>826919375</v>
      </c>
      <c r="AB250">
        <v>7126</v>
      </c>
      <c r="AC250">
        <v>0</v>
      </c>
      <c r="AD250" t="s">
        <v>94</v>
      </c>
      <c r="AE250" t="s">
        <v>94</v>
      </c>
      <c r="AF250" t="s">
        <v>226</v>
      </c>
      <c r="AG250" t="s">
        <v>226</v>
      </c>
      <c r="AH250">
        <v>9</v>
      </c>
      <c r="AI250" t="s">
        <v>269</v>
      </c>
      <c r="AJ250" t="s">
        <v>270</v>
      </c>
      <c r="AK250" t="s">
        <v>271</v>
      </c>
      <c r="AL250" t="s">
        <v>272</v>
      </c>
    </row>
    <row r="251" spans="1:38">
      <c r="A251" t="s">
        <v>1474</v>
      </c>
      <c r="B251" t="s">
        <v>1475</v>
      </c>
      <c r="C251" t="s">
        <v>1476</v>
      </c>
      <c r="D251" t="s">
        <v>1477</v>
      </c>
      <c r="E251" t="s">
        <v>1478</v>
      </c>
      <c r="F251" t="s">
        <v>268</v>
      </c>
      <c r="G251">
        <v>3</v>
      </c>
      <c r="H251">
        <v>100</v>
      </c>
      <c r="I251">
        <v>0.05</v>
      </c>
      <c r="J251">
        <v>3</v>
      </c>
      <c r="K251">
        <v>-0.84</v>
      </c>
      <c r="L251">
        <v>23.5</v>
      </c>
      <c r="M251">
        <v>23.9</v>
      </c>
      <c r="N251">
        <v>24.1</v>
      </c>
      <c r="O251">
        <v>23.45</v>
      </c>
      <c r="P251">
        <v>0</v>
      </c>
      <c r="Q251">
        <v>0</v>
      </c>
      <c r="R251">
        <v>0</v>
      </c>
      <c r="S251">
        <v>23.9</v>
      </c>
      <c r="T251">
        <v>24</v>
      </c>
      <c r="U251">
        <v>23.2</v>
      </c>
      <c r="V251">
        <v>24.4</v>
      </c>
      <c r="W251">
        <v>113196385</v>
      </c>
      <c r="X251">
        <v>23.5</v>
      </c>
      <c r="Y251">
        <v>23.55</v>
      </c>
      <c r="Z251">
        <v>3197</v>
      </c>
      <c r="AA251">
        <v>12051279624</v>
      </c>
      <c r="AB251">
        <v>16450</v>
      </c>
      <c r="AC251">
        <v>0</v>
      </c>
      <c r="AD251" t="s">
        <v>94</v>
      </c>
      <c r="AE251" t="s">
        <v>94</v>
      </c>
      <c r="AF251" t="s">
        <v>226</v>
      </c>
      <c r="AG251" t="s">
        <v>226</v>
      </c>
      <c r="AH251">
        <v>9</v>
      </c>
      <c r="AI251" t="s">
        <v>269</v>
      </c>
      <c r="AJ251" t="s">
        <v>270</v>
      </c>
      <c r="AK251" t="s">
        <v>271</v>
      </c>
      <c r="AL251" t="s">
        <v>272</v>
      </c>
    </row>
    <row r="252" spans="1:38">
      <c r="A252" t="s">
        <v>1479</v>
      </c>
      <c r="B252" t="s">
        <v>1480</v>
      </c>
      <c r="C252" t="s">
        <v>1481</v>
      </c>
      <c r="D252" t="s">
        <v>1482</v>
      </c>
      <c r="E252" t="s">
        <v>1483</v>
      </c>
      <c r="F252" t="s">
        <v>438</v>
      </c>
      <c r="G252">
        <v>3</v>
      </c>
      <c r="H252">
        <v>10000</v>
      </c>
      <c r="I252">
        <v>1E-3</v>
      </c>
      <c r="J252">
        <v>2.2200000000000002</v>
      </c>
      <c r="K252">
        <v>-0.24</v>
      </c>
      <c r="L252">
        <v>0.40799999999999997</v>
      </c>
      <c r="M252">
        <v>0.40600000000000003</v>
      </c>
      <c r="N252">
        <v>0.41099999999999998</v>
      </c>
      <c r="O252">
        <v>0.40799999999999997</v>
      </c>
      <c r="P252">
        <v>0</v>
      </c>
      <c r="Q252">
        <v>0</v>
      </c>
      <c r="R252">
        <v>0</v>
      </c>
      <c r="S252">
        <v>0.40799999999999997</v>
      </c>
      <c r="T252">
        <v>0.40699999999999997</v>
      </c>
      <c r="U252">
        <v>0.40600000000000003</v>
      </c>
      <c r="V252">
        <v>0.41199999999999998</v>
      </c>
      <c r="W252">
        <v>28560</v>
      </c>
      <c r="X252">
        <v>0.40799999999999997</v>
      </c>
      <c r="Y252">
        <v>0.40899999999999997</v>
      </c>
      <c r="Z252">
        <v>4</v>
      </c>
      <c r="AA252">
        <v>1332635125</v>
      </c>
      <c r="AB252">
        <v>12240</v>
      </c>
      <c r="AC252">
        <v>0</v>
      </c>
      <c r="AD252" t="s">
        <v>94</v>
      </c>
      <c r="AE252" t="s">
        <v>94</v>
      </c>
      <c r="AF252" t="s">
        <v>226</v>
      </c>
      <c r="AG252" t="s">
        <v>226</v>
      </c>
      <c r="AH252">
        <v>9</v>
      </c>
      <c r="AI252" t="s">
        <v>269</v>
      </c>
      <c r="AJ252" t="s">
        <v>270</v>
      </c>
      <c r="AK252" t="s">
        <v>439</v>
      </c>
      <c r="AL252" t="s">
        <v>272</v>
      </c>
    </row>
    <row r="253" spans="1:38">
      <c r="A253" t="s">
        <v>1484</v>
      </c>
      <c r="B253" t="s">
        <v>1485</v>
      </c>
      <c r="C253" t="s">
        <v>1486</v>
      </c>
      <c r="D253" t="s">
        <v>1487</v>
      </c>
      <c r="E253" t="s">
        <v>1488</v>
      </c>
      <c r="F253" t="s">
        <v>268</v>
      </c>
      <c r="G253">
        <v>3</v>
      </c>
      <c r="H253">
        <v>10000</v>
      </c>
      <c r="I253">
        <v>1E-3</v>
      </c>
      <c r="J253">
        <v>2.2200000000000002</v>
      </c>
      <c r="K253">
        <v>-0.9</v>
      </c>
      <c r="L253">
        <v>0.44</v>
      </c>
      <c r="M253">
        <v>0.44400000000000001</v>
      </c>
      <c r="N253">
        <v>0.45600000000000002</v>
      </c>
      <c r="O253">
        <v>0.44</v>
      </c>
      <c r="P253">
        <v>0</v>
      </c>
      <c r="Q253">
        <v>0</v>
      </c>
      <c r="R253">
        <v>0</v>
      </c>
      <c r="S253">
        <v>0.442</v>
      </c>
      <c r="T253">
        <v>0.44</v>
      </c>
      <c r="U253">
        <v>0.437</v>
      </c>
      <c r="V253">
        <v>0.44400000000000001</v>
      </c>
      <c r="W253">
        <v>198860</v>
      </c>
      <c r="X253">
        <v>0.439</v>
      </c>
      <c r="Y253">
        <v>0.44400000000000001</v>
      </c>
      <c r="Z253">
        <v>23</v>
      </c>
      <c r="AA253">
        <v>10187741424</v>
      </c>
      <c r="AB253">
        <v>4400</v>
      </c>
      <c r="AC253">
        <v>0</v>
      </c>
      <c r="AD253" t="s">
        <v>94</v>
      </c>
      <c r="AE253" t="s">
        <v>94</v>
      </c>
      <c r="AF253" t="s">
        <v>226</v>
      </c>
      <c r="AG253" t="s">
        <v>226</v>
      </c>
      <c r="AH253">
        <v>9</v>
      </c>
      <c r="AI253" t="s">
        <v>269</v>
      </c>
      <c r="AJ253" t="s">
        <v>270</v>
      </c>
      <c r="AK253" t="s">
        <v>271</v>
      </c>
      <c r="AL253" t="s">
        <v>272</v>
      </c>
    </row>
    <row r="254" spans="1:38">
      <c r="A254" t="s">
        <v>1489</v>
      </c>
      <c r="B254" t="s">
        <v>1490</v>
      </c>
      <c r="C254" t="s">
        <v>1491</v>
      </c>
      <c r="D254" t="s">
        <v>1492</v>
      </c>
      <c r="E254" t="s">
        <v>1493</v>
      </c>
      <c r="F254" t="s">
        <v>268</v>
      </c>
      <c r="G254">
        <v>3</v>
      </c>
      <c r="H254">
        <v>100</v>
      </c>
      <c r="I254">
        <v>0.01</v>
      </c>
      <c r="J254">
        <v>0.01</v>
      </c>
      <c r="K254">
        <v>-3.4</v>
      </c>
      <c r="L254">
        <v>13.37</v>
      </c>
      <c r="M254">
        <v>13.84</v>
      </c>
      <c r="N254">
        <v>13.91</v>
      </c>
      <c r="O254">
        <v>13.37</v>
      </c>
      <c r="P254">
        <v>0</v>
      </c>
      <c r="Q254">
        <v>0</v>
      </c>
      <c r="R254">
        <v>0</v>
      </c>
      <c r="S254">
        <v>13.61</v>
      </c>
      <c r="T254">
        <v>13.65</v>
      </c>
      <c r="U254">
        <v>13.36</v>
      </c>
      <c r="V254">
        <v>13.81</v>
      </c>
      <c r="W254">
        <v>11984062</v>
      </c>
      <c r="X254">
        <v>13.37</v>
      </c>
      <c r="Y254">
        <v>13.41</v>
      </c>
      <c r="Z254">
        <v>1006</v>
      </c>
      <c r="AA254">
        <v>1150000000</v>
      </c>
      <c r="AB254">
        <v>2674</v>
      </c>
      <c r="AC254">
        <v>0</v>
      </c>
      <c r="AD254" t="s">
        <v>94</v>
      </c>
      <c r="AE254" t="s">
        <v>94</v>
      </c>
      <c r="AF254" t="s">
        <v>226</v>
      </c>
      <c r="AG254" t="s">
        <v>1494</v>
      </c>
      <c r="AH254">
        <v>9</v>
      </c>
      <c r="AI254" t="s">
        <v>1495</v>
      </c>
      <c r="AJ254" t="s">
        <v>1496</v>
      </c>
      <c r="AK254" t="s">
        <v>271</v>
      </c>
      <c r="AL254" t="s">
        <v>272</v>
      </c>
    </row>
    <row r="255" spans="1:38">
      <c r="A255" t="s">
        <v>1497</v>
      </c>
      <c r="B255" t="s">
        <v>1498</v>
      </c>
      <c r="C255" t="s">
        <v>1499</v>
      </c>
      <c r="D255" t="s">
        <v>1500</v>
      </c>
      <c r="E255" t="s">
        <v>1501</v>
      </c>
      <c r="F255" t="s">
        <v>268</v>
      </c>
      <c r="G255">
        <v>3</v>
      </c>
      <c r="H255">
        <v>10</v>
      </c>
      <c r="I255">
        <v>1</v>
      </c>
      <c r="J255">
        <v>1</v>
      </c>
      <c r="K255">
        <v>0.81</v>
      </c>
      <c r="L255">
        <v>625</v>
      </c>
      <c r="M255">
        <v>620</v>
      </c>
      <c r="N255">
        <v>620</v>
      </c>
      <c r="O255">
        <v>625</v>
      </c>
      <c r="P255">
        <v>0</v>
      </c>
      <c r="Q255">
        <v>0</v>
      </c>
      <c r="R255">
        <v>0</v>
      </c>
      <c r="S255">
        <v>663</v>
      </c>
      <c r="T255">
        <v>606</v>
      </c>
      <c r="U255">
        <v>606</v>
      </c>
      <c r="V255">
        <v>719</v>
      </c>
      <c r="W255">
        <v>2832660</v>
      </c>
      <c r="X255">
        <v>625</v>
      </c>
      <c r="Y255">
        <v>658</v>
      </c>
      <c r="Z255">
        <v>121</v>
      </c>
      <c r="AA255">
        <v>18520260</v>
      </c>
      <c r="AB255">
        <v>6250</v>
      </c>
      <c r="AC255">
        <v>0</v>
      </c>
      <c r="AD255" t="s">
        <v>94</v>
      </c>
      <c r="AE255" t="s">
        <v>94</v>
      </c>
      <c r="AF255" t="s">
        <v>226</v>
      </c>
      <c r="AG255" t="s">
        <v>1494</v>
      </c>
      <c r="AH255">
        <v>9</v>
      </c>
      <c r="AI255" t="s">
        <v>1495</v>
      </c>
      <c r="AJ255" t="s">
        <v>1496</v>
      </c>
      <c r="AK255" t="s">
        <v>271</v>
      </c>
      <c r="AL255" t="s">
        <v>272</v>
      </c>
    </row>
    <row r="256" spans="1:38">
      <c r="A256" t="s">
        <v>1502</v>
      </c>
      <c r="B256" t="s">
        <v>1503</v>
      </c>
      <c r="C256" t="s">
        <v>1504</v>
      </c>
      <c r="D256" t="s">
        <v>1505</v>
      </c>
      <c r="E256" t="s">
        <v>1506</v>
      </c>
      <c r="F256" t="s">
        <v>438</v>
      </c>
      <c r="G256">
        <v>3</v>
      </c>
      <c r="H256">
        <v>10</v>
      </c>
      <c r="I256">
        <v>0.5</v>
      </c>
      <c r="J256">
        <v>1</v>
      </c>
      <c r="K256">
        <v>-4.71</v>
      </c>
      <c r="L256">
        <v>394.5</v>
      </c>
      <c r="M256">
        <v>414</v>
      </c>
      <c r="N256">
        <v>405.5</v>
      </c>
      <c r="O256">
        <v>395</v>
      </c>
      <c r="P256">
        <v>0</v>
      </c>
      <c r="Q256">
        <v>0</v>
      </c>
      <c r="R256">
        <v>0</v>
      </c>
      <c r="S256">
        <v>414.5</v>
      </c>
      <c r="T256">
        <v>413</v>
      </c>
      <c r="U256">
        <v>393</v>
      </c>
      <c r="V256">
        <v>438</v>
      </c>
      <c r="W256">
        <v>6411150</v>
      </c>
      <c r="X256">
        <v>394</v>
      </c>
      <c r="Y256">
        <v>399</v>
      </c>
      <c r="Z256">
        <v>225</v>
      </c>
      <c r="AA256">
        <v>1453500</v>
      </c>
      <c r="AB256">
        <v>3945</v>
      </c>
      <c r="AC256">
        <v>0</v>
      </c>
      <c r="AD256" t="s">
        <v>94</v>
      </c>
      <c r="AE256" t="s">
        <v>94</v>
      </c>
      <c r="AF256" t="s">
        <v>226</v>
      </c>
      <c r="AG256" t="s">
        <v>1494</v>
      </c>
      <c r="AH256">
        <v>9</v>
      </c>
      <c r="AI256" t="s">
        <v>1495</v>
      </c>
      <c r="AJ256" t="s">
        <v>1496</v>
      </c>
      <c r="AK256" t="s">
        <v>439</v>
      </c>
      <c r="AL256" t="s">
        <v>272</v>
      </c>
    </row>
    <row r="257" spans="1:38">
      <c r="A257" t="s">
        <v>1507</v>
      </c>
      <c r="B257" t="s">
        <v>1508</v>
      </c>
      <c r="C257" t="s">
        <v>1509</v>
      </c>
      <c r="D257" t="s">
        <v>1510</v>
      </c>
      <c r="E257" t="s">
        <v>1511</v>
      </c>
      <c r="F257" t="s">
        <v>268</v>
      </c>
      <c r="G257">
        <v>3</v>
      </c>
      <c r="H257">
        <v>100</v>
      </c>
      <c r="I257">
        <v>5.0000000000000001E-3</v>
      </c>
      <c r="J257">
        <v>6.4000000000000005E-4</v>
      </c>
      <c r="K257">
        <v>-0.78</v>
      </c>
      <c r="L257">
        <v>10.210000000000001</v>
      </c>
      <c r="M257">
        <v>10.29</v>
      </c>
      <c r="N257">
        <v>10.4</v>
      </c>
      <c r="O257">
        <v>10.175000000000001</v>
      </c>
      <c r="P257">
        <v>0</v>
      </c>
      <c r="Q257">
        <v>0</v>
      </c>
      <c r="R257">
        <v>0</v>
      </c>
      <c r="S257">
        <v>10.38</v>
      </c>
      <c r="T257">
        <v>10.220000000000001</v>
      </c>
      <c r="U257">
        <v>10.08</v>
      </c>
      <c r="V257">
        <v>10.7</v>
      </c>
      <c r="W257">
        <v>18501942</v>
      </c>
      <c r="X257">
        <v>10.18</v>
      </c>
      <c r="Y257">
        <v>10.19</v>
      </c>
      <c r="Z257">
        <v>1461</v>
      </c>
      <c r="AA257">
        <v>365631010</v>
      </c>
      <c r="AB257">
        <v>10210</v>
      </c>
      <c r="AC257">
        <v>0</v>
      </c>
      <c r="AD257" t="s">
        <v>94</v>
      </c>
      <c r="AE257" t="s">
        <v>94</v>
      </c>
      <c r="AF257" t="s">
        <v>226</v>
      </c>
      <c r="AG257" t="s">
        <v>1494</v>
      </c>
      <c r="AH257">
        <v>9</v>
      </c>
      <c r="AI257" t="s">
        <v>1495</v>
      </c>
      <c r="AJ257" t="s">
        <v>1496</v>
      </c>
      <c r="AK257" t="s">
        <v>271</v>
      </c>
      <c r="AL257" t="s">
        <v>272</v>
      </c>
    </row>
    <row r="258" spans="1:38">
      <c r="A258" t="s">
        <v>1512</v>
      </c>
      <c r="B258" t="s">
        <v>1513</v>
      </c>
      <c r="C258" t="s">
        <v>1514</v>
      </c>
      <c r="D258" t="s">
        <v>1515</v>
      </c>
      <c r="E258" t="s">
        <v>1516</v>
      </c>
      <c r="F258" t="s">
        <v>268</v>
      </c>
      <c r="G258">
        <v>3</v>
      </c>
      <c r="H258">
        <v>10</v>
      </c>
      <c r="I258">
        <v>0.02</v>
      </c>
      <c r="J258">
        <v>4.0000000000000002E-4</v>
      </c>
      <c r="K258">
        <v>0</v>
      </c>
      <c r="L258">
        <v>0</v>
      </c>
      <c r="M258">
        <v>51.02</v>
      </c>
      <c r="N258">
        <v>51.02</v>
      </c>
      <c r="O258">
        <v>51.02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739000000</v>
      </c>
      <c r="AB258">
        <v>0</v>
      </c>
      <c r="AC258">
        <v>0</v>
      </c>
      <c r="AD258" t="s">
        <v>94</v>
      </c>
      <c r="AE258" t="s">
        <v>94</v>
      </c>
      <c r="AF258" t="s">
        <v>226</v>
      </c>
      <c r="AG258" t="s">
        <v>1494</v>
      </c>
      <c r="AH258">
        <v>9</v>
      </c>
      <c r="AI258" t="s">
        <v>1495</v>
      </c>
      <c r="AJ258" t="s">
        <v>1496</v>
      </c>
      <c r="AK258" t="s">
        <v>271</v>
      </c>
      <c r="AL258" t="s">
        <v>1020</v>
      </c>
    </row>
    <row r="259" spans="1:38">
      <c r="A259" t="s">
        <v>1517</v>
      </c>
      <c r="B259" t="s">
        <v>1518</v>
      </c>
      <c r="C259" t="s">
        <v>1519</v>
      </c>
      <c r="D259" t="s">
        <v>1519</v>
      </c>
      <c r="E259" t="s">
        <v>1520</v>
      </c>
      <c r="F259" t="s">
        <v>1521</v>
      </c>
      <c r="G259">
        <v>3</v>
      </c>
      <c r="H259">
        <v>1</v>
      </c>
      <c r="I259">
        <v>20</v>
      </c>
      <c r="J259" t="s">
        <v>226</v>
      </c>
      <c r="K259">
        <v>-1.63</v>
      </c>
      <c r="L259">
        <v>10860</v>
      </c>
      <c r="M259">
        <v>11040</v>
      </c>
      <c r="N259">
        <v>11080</v>
      </c>
      <c r="O259">
        <v>10860</v>
      </c>
      <c r="P259">
        <v>0</v>
      </c>
      <c r="Q259">
        <v>0</v>
      </c>
      <c r="R259">
        <v>0</v>
      </c>
      <c r="S259">
        <v>10660</v>
      </c>
      <c r="T259">
        <v>10660</v>
      </c>
      <c r="U259">
        <v>10660</v>
      </c>
      <c r="V259">
        <v>10860</v>
      </c>
      <c r="W259">
        <v>928020</v>
      </c>
      <c r="X259">
        <v>10560</v>
      </c>
      <c r="Y259">
        <v>10860</v>
      </c>
      <c r="Z259">
        <v>3</v>
      </c>
      <c r="AA259">
        <v>0</v>
      </c>
      <c r="AB259">
        <v>21720</v>
      </c>
      <c r="AC259">
        <v>0</v>
      </c>
      <c r="AD259" t="s">
        <v>94</v>
      </c>
      <c r="AE259" t="s">
        <v>94</v>
      </c>
      <c r="AF259" t="s">
        <v>226</v>
      </c>
      <c r="AG259" t="s">
        <v>1494</v>
      </c>
      <c r="AH259">
        <v>5</v>
      </c>
      <c r="AI259" t="s">
        <v>1495</v>
      </c>
      <c r="AJ259" t="s">
        <v>1496</v>
      </c>
      <c r="AK259" t="s">
        <v>1522</v>
      </c>
      <c r="AL259" t="s">
        <v>272</v>
      </c>
    </row>
    <row r="260" spans="1:38">
      <c r="A260" t="s">
        <v>1523</v>
      </c>
      <c r="B260" t="s">
        <v>1524</v>
      </c>
      <c r="C260" t="s">
        <v>1525</v>
      </c>
      <c r="D260" t="s">
        <v>1525</v>
      </c>
      <c r="E260" t="s">
        <v>1526</v>
      </c>
      <c r="F260" t="s">
        <v>1521</v>
      </c>
      <c r="G260">
        <v>3</v>
      </c>
      <c r="H260">
        <v>1</v>
      </c>
      <c r="I260">
        <v>2</v>
      </c>
      <c r="J260" t="s">
        <v>226</v>
      </c>
      <c r="K260">
        <v>-4.08</v>
      </c>
      <c r="L260">
        <v>94</v>
      </c>
      <c r="M260">
        <v>98</v>
      </c>
      <c r="N260">
        <v>102</v>
      </c>
      <c r="O260">
        <v>92</v>
      </c>
      <c r="P260">
        <v>0</v>
      </c>
      <c r="Q260">
        <v>0</v>
      </c>
      <c r="R260">
        <v>0</v>
      </c>
      <c r="S260">
        <v>92</v>
      </c>
      <c r="T260">
        <v>98</v>
      </c>
      <c r="U260">
        <v>66</v>
      </c>
      <c r="V260">
        <v>98</v>
      </c>
      <c r="W260">
        <v>1912</v>
      </c>
      <c r="X260">
        <v>98</v>
      </c>
      <c r="Y260">
        <v>100</v>
      </c>
      <c r="Z260">
        <v>11</v>
      </c>
      <c r="AA260">
        <v>4638146</v>
      </c>
      <c r="AB260">
        <v>94</v>
      </c>
      <c r="AC260">
        <v>0</v>
      </c>
      <c r="AD260" t="s">
        <v>94</v>
      </c>
      <c r="AE260" t="s">
        <v>94</v>
      </c>
      <c r="AF260" t="s">
        <v>226</v>
      </c>
      <c r="AG260" t="s">
        <v>1494</v>
      </c>
      <c r="AH260">
        <v>5</v>
      </c>
      <c r="AI260" t="s">
        <v>1495</v>
      </c>
      <c r="AJ260" t="s">
        <v>1496</v>
      </c>
      <c r="AK260" t="s">
        <v>1522</v>
      </c>
      <c r="AL260" t="s">
        <v>272</v>
      </c>
    </row>
    <row r="261" spans="1:38">
      <c r="A261" t="s">
        <v>1527</v>
      </c>
      <c r="B261" t="s">
        <v>1528</v>
      </c>
      <c r="C261" t="s">
        <v>1529</v>
      </c>
      <c r="D261" t="s">
        <v>1529</v>
      </c>
      <c r="E261" t="s">
        <v>1530</v>
      </c>
      <c r="F261" t="s">
        <v>1531</v>
      </c>
      <c r="G261">
        <v>3</v>
      </c>
      <c r="H261">
        <v>1</v>
      </c>
      <c r="I261">
        <v>50</v>
      </c>
      <c r="J261" t="s">
        <v>226</v>
      </c>
      <c r="K261">
        <v>0</v>
      </c>
      <c r="L261">
        <v>0</v>
      </c>
      <c r="M261">
        <v>3000</v>
      </c>
      <c r="N261">
        <v>0</v>
      </c>
      <c r="O261">
        <v>3000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 t="s">
        <v>94</v>
      </c>
      <c r="AE261" t="s">
        <v>94</v>
      </c>
      <c r="AF261" t="s">
        <v>226</v>
      </c>
      <c r="AG261" t="s">
        <v>1494</v>
      </c>
      <c r="AH261">
        <v>-1</v>
      </c>
      <c r="AI261" t="s">
        <v>1495</v>
      </c>
      <c r="AJ261" t="s">
        <v>1496</v>
      </c>
      <c r="AK261" t="s">
        <v>1532</v>
      </c>
      <c r="AL261" t="s">
        <v>272</v>
      </c>
    </row>
    <row r="262" spans="1:38">
      <c r="A262" t="s">
        <v>1533</v>
      </c>
      <c r="B262" t="s">
        <v>1534</v>
      </c>
      <c r="C262" t="s">
        <v>1535</v>
      </c>
      <c r="D262" t="s">
        <v>1536</v>
      </c>
      <c r="E262" t="s">
        <v>1537</v>
      </c>
      <c r="F262" t="s">
        <v>268</v>
      </c>
      <c r="G262">
        <v>3</v>
      </c>
      <c r="H262">
        <v>100</v>
      </c>
      <c r="I262">
        <v>0.05</v>
      </c>
      <c r="J262">
        <v>0.22</v>
      </c>
      <c r="K262">
        <v>0.89</v>
      </c>
      <c r="L262">
        <v>62.5</v>
      </c>
      <c r="M262">
        <v>61.95</v>
      </c>
      <c r="N262">
        <v>62.4</v>
      </c>
      <c r="O262">
        <v>62.55</v>
      </c>
      <c r="P262">
        <v>0</v>
      </c>
      <c r="Q262">
        <v>0</v>
      </c>
      <c r="R262">
        <v>0</v>
      </c>
      <c r="S262">
        <v>63.05</v>
      </c>
      <c r="T262">
        <v>63</v>
      </c>
      <c r="U262">
        <v>62.25</v>
      </c>
      <c r="V262">
        <v>64</v>
      </c>
      <c r="W262">
        <v>1645960</v>
      </c>
      <c r="X262">
        <v>62.4</v>
      </c>
      <c r="Y262">
        <v>62.8</v>
      </c>
      <c r="Z262">
        <v>122</v>
      </c>
      <c r="AA262">
        <v>155521950</v>
      </c>
      <c r="AB262">
        <v>6250</v>
      </c>
      <c r="AC262">
        <v>0</v>
      </c>
      <c r="AD262" t="s">
        <v>94</v>
      </c>
      <c r="AE262" t="s">
        <v>94</v>
      </c>
      <c r="AF262" t="s">
        <v>226</v>
      </c>
      <c r="AG262" t="s">
        <v>1494</v>
      </c>
      <c r="AH262">
        <v>9</v>
      </c>
      <c r="AI262" t="s">
        <v>1495</v>
      </c>
      <c r="AJ262" t="s">
        <v>1496</v>
      </c>
      <c r="AK262" t="s">
        <v>271</v>
      </c>
      <c r="AL262" t="s">
        <v>272</v>
      </c>
    </row>
    <row r="263" spans="1:38">
      <c r="A263" t="s">
        <v>1538</v>
      </c>
      <c r="B263" t="s">
        <v>1539</v>
      </c>
      <c r="C263" t="s">
        <v>1540</v>
      </c>
      <c r="D263" t="s">
        <v>1541</v>
      </c>
      <c r="E263" t="s">
        <v>1542</v>
      </c>
      <c r="F263" t="s">
        <v>268</v>
      </c>
      <c r="G263">
        <v>3</v>
      </c>
      <c r="H263">
        <v>1</v>
      </c>
      <c r="I263">
        <v>0.05</v>
      </c>
      <c r="J263">
        <v>1</v>
      </c>
      <c r="K263">
        <v>-0.64</v>
      </c>
      <c r="L263">
        <v>46.7</v>
      </c>
      <c r="M263">
        <v>47.1</v>
      </c>
      <c r="N263">
        <v>47.45</v>
      </c>
      <c r="O263">
        <v>46.6</v>
      </c>
      <c r="P263">
        <v>0</v>
      </c>
      <c r="Q263">
        <v>0</v>
      </c>
      <c r="R263">
        <v>0</v>
      </c>
      <c r="S263">
        <v>47.5</v>
      </c>
      <c r="T263">
        <v>46.95</v>
      </c>
      <c r="U263">
        <v>46.45</v>
      </c>
      <c r="V263">
        <v>48.2</v>
      </c>
      <c r="W263">
        <v>317737066</v>
      </c>
      <c r="X263">
        <v>46.7</v>
      </c>
      <c r="Y263">
        <v>46.75</v>
      </c>
      <c r="Z263">
        <v>8864</v>
      </c>
      <c r="AA263">
        <v>2905885544</v>
      </c>
      <c r="AB263">
        <v>5183.7</v>
      </c>
      <c r="AC263">
        <v>0</v>
      </c>
      <c r="AD263" t="s">
        <v>94</v>
      </c>
      <c r="AE263" t="s">
        <v>94</v>
      </c>
      <c r="AF263" t="s">
        <v>226</v>
      </c>
      <c r="AG263" t="s">
        <v>1494</v>
      </c>
      <c r="AH263">
        <v>9</v>
      </c>
      <c r="AI263" t="s">
        <v>1495</v>
      </c>
      <c r="AJ263" t="s">
        <v>1496</v>
      </c>
      <c r="AK263" t="s">
        <v>271</v>
      </c>
      <c r="AL263" t="s">
        <v>272</v>
      </c>
    </row>
    <row r="264" spans="1:38">
      <c r="A264" t="s">
        <v>1543</v>
      </c>
      <c r="B264" t="s">
        <v>1544</v>
      </c>
      <c r="C264" t="s">
        <v>1545</v>
      </c>
      <c r="D264" t="s">
        <v>1545</v>
      </c>
      <c r="E264" t="s">
        <v>1546</v>
      </c>
      <c r="F264" t="s">
        <v>1521</v>
      </c>
      <c r="G264">
        <v>3</v>
      </c>
      <c r="H264">
        <v>1</v>
      </c>
      <c r="I264">
        <v>200</v>
      </c>
      <c r="J264" t="s">
        <v>226</v>
      </c>
      <c r="K264">
        <v>0</v>
      </c>
      <c r="L264">
        <v>0</v>
      </c>
      <c r="M264">
        <v>6800</v>
      </c>
      <c r="N264">
        <v>0</v>
      </c>
      <c r="O264">
        <v>6800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4200</v>
      </c>
      <c r="Y264">
        <v>0</v>
      </c>
      <c r="Z264">
        <v>0</v>
      </c>
      <c r="AA264">
        <v>0</v>
      </c>
      <c r="AB264">
        <v>0</v>
      </c>
      <c r="AC264">
        <v>0</v>
      </c>
      <c r="AD264" t="s">
        <v>94</v>
      </c>
      <c r="AE264" t="s">
        <v>94</v>
      </c>
      <c r="AF264" t="s">
        <v>226</v>
      </c>
      <c r="AG264" t="s">
        <v>1494</v>
      </c>
      <c r="AH264">
        <v>5</v>
      </c>
      <c r="AI264" t="s">
        <v>1495</v>
      </c>
      <c r="AJ264" t="s">
        <v>1496</v>
      </c>
      <c r="AK264" t="s">
        <v>1522</v>
      </c>
      <c r="AL264" t="s">
        <v>272</v>
      </c>
    </row>
    <row r="265" spans="1:38">
      <c r="A265" t="s">
        <v>1547</v>
      </c>
      <c r="B265" t="s">
        <v>1548</v>
      </c>
      <c r="C265" t="s">
        <v>1549</v>
      </c>
      <c r="D265" t="s">
        <v>1550</v>
      </c>
      <c r="E265" t="s">
        <v>1551</v>
      </c>
      <c r="F265" t="s">
        <v>268</v>
      </c>
      <c r="G265">
        <v>3</v>
      </c>
      <c r="H265">
        <v>1</v>
      </c>
      <c r="I265">
        <v>20</v>
      </c>
      <c r="J265">
        <v>415</v>
      </c>
      <c r="K265">
        <v>-1.34</v>
      </c>
      <c r="L265">
        <v>7340</v>
      </c>
      <c r="M265">
        <v>7380</v>
      </c>
      <c r="N265">
        <v>7400</v>
      </c>
      <c r="O265">
        <v>7340</v>
      </c>
      <c r="P265">
        <v>0</v>
      </c>
      <c r="Q265">
        <v>0</v>
      </c>
      <c r="R265">
        <v>0</v>
      </c>
      <c r="S265">
        <v>7360</v>
      </c>
      <c r="T265">
        <v>7280</v>
      </c>
      <c r="U265">
        <v>7280</v>
      </c>
      <c r="V265">
        <v>7460</v>
      </c>
      <c r="W265">
        <v>44160</v>
      </c>
      <c r="X265">
        <v>7340</v>
      </c>
      <c r="Y265">
        <v>7440</v>
      </c>
      <c r="Z265">
        <v>6</v>
      </c>
      <c r="AA265">
        <v>1567904</v>
      </c>
      <c r="AB265">
        <v>7340</v>
      </c>
      <c r="AC265">
        <v>0</v>
      </c>
      <c r="AD265" t="s">
        <v>94</v>
      </c>
      <c r="AE265" t="s">
        <v>94</v>
      </c>
      <c r="AF265" t="s">
        <v>226</v>
      </c>
      <c r="AG265" t="s">
        <v>1494</v>
      </c>
      <c r="AH265">
        <v>9</v>
      </c>
      <c r="AI265" t="s">
        <v>1495</v>
      </c>
      <c r="AJ265" t="s">
        <v>1496</v>
      </c>
      <c r="AK265" t="s">
        <v>271</v>
      </c>
      <c r="AL265" t="s">
        <v>272</v>
      </c>
    </row>
    <row r="266" spans="1:38">
      <c r="A266" t="s">
        <v>1552</v>
      </c>
      <c r="B266" t="s">
        <v>1553</v>
      </c>
      <c r="C266" t="s">
        <v>1554</v>
      </c>
      <c r="D266" t="s">
        <v>1554</v>
      </c>
      <c r="E266" t="s">
        <v>1555</v>
      </c>
      <c r="F266" t="s">
        <v>1521</v>
      </c>
      <c r="G266">
        <v>3</v>
      </c>
      <c r="H266">
        <v>1</v>
      </c>
      <c r="I266">
        <v>200</v>
      </c>
      <c r="J266" t="s">
        <v>226</v>
      </c>
      <c r="K266">
        <v>-0.55000000000000004</v>
      </c>
      <c r="L266">
        <v>72600</v>
      </c>
      <c r="M266">
        <v>73000</v>
      </c>
      <c r="N266">
        <v>72800</v>
      </c>
      <c r="O266">
        <v>72200</v>
      </c>
      <c r="P266">
        <v>0</v>
      </c>
      <c r="Q266">
        <v>0</v>
      </c>
      <c r="R266">
        <v>0</v>
      </c>
      <c r="S266">
        <v>72600</v>
      </c>
      <c r="T266">
        <v>73000</v>
      </c>
      <c r="U266">
        <v>72000</v>
      </c>
      <c r="V266">
        <v>73600</v>
      </c>
      <c r="W266">
        <v>6903600</v>
      </c>
      <c r="X266">
        <v>72200</v>
      </c>
      <c r="Y266">
        <v>72800</v>
      </c>
      <c r="Z266">
        <v>40</v>
      </c>
      <c r="AA266">
        <v>0</v>
      </c>
      <c r="AB266">
        <v>145200</v>
      </c>
      <c r="AC266">
        <v>0</v>
      </c>
      <c r="AD266" t="s">
        <v>94</v>
      </c>
      <c r="AE266" t="s">
        <v>94</v>
      </c>
      <c r="AF266" t="s">
        <v>226</v>
      </c>
      <c r="AG266" t="s">
        <v>1494</v>
      </c>
      <c r="AH266">
        <v>5</v>
      </c>
      <c r="AI266" t="s">
        <v>1495</v>
      </c>
      <c r="AJ266" t="s">
        <v>1496</v>
      </c>
      <c r="AK266" t="s">
        <v>1522</v>
      </c>
      <c r="AL266" t="s">
        <v>272</v>
      </c>
    </row>
    <row r="267" spans="1:38">
      <c r="A267" t="s">
        <v>1556</v>
      </c>
      <c r="B267" t="s">
        <v>1557</v>
      </c>
      <c r="C267" t="s">
        <v>1558</v>
      </c>
      <c r="D267" t="s">
        <v>1558</v>
      </c>
      <c r="E267" t="s">
        <v>1559</v>
      </c>
      <c r="F267" t="s">
        <v>1521</v>
      </c>
      <c r="G267">
        <v>3</v>
      </c>
      <c r="H267">
        <v>1</v>
      </c>
      <c r="I267">
        <v>20000</v>
      </c>
      <c r="J267" t="s">
        <v>226</v>
      </c>
      <c r="K267">
        <v>0</v>
      </c>
      <c r="L267">
        <v>0</v>
      </c>
      <c r="M267">
        <v>4520000</v>
      </c>
      <c r="N267">
        <v>0</v>
      </c>
      <c r="O267">
        <v>4520000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 t="s">
        <v>94</v>
      </c>
      <c r="AE267" t="s">
        <v>94</v>
      </c>
      <c r="AF267" t="s">
        <v>226</v>
      </c>
      <c r="AG267" t="s">
        <v>1494</v>
      </c>
      <c r="AH267">
        <v>5</v>
      </c>
      <c r="AI267" t="s">
        <v>1495</v>
      </c>
      <c r="AJ267" t="s">
        <v>1496</v>
      </c>
      <c r="AK267" t="s">
        <v>1522</v>
      </c>
      <c r="AL267" t="s">
        <v>272</v>
      </c>
    </row>
    <row r="268" spans="1:38">
      <c r="A268" t="s">
        <v>1560</v>
      </c>
      <c r="B268" t="s">
        <v>1561</v>
      </c>
      <c r="C268" t="s">
        <v>1562</v>
      </c>
      <c r="D268" t="s">
        <v>1562</v>
      </c>
      <c r="E268" t="s">
        <v>1563</v>
      </c>
      <c r="F268" t="s">
        <v>1521</v>
      </c>
      <c r="G268">
        <v>3</v>
      </c>
      <c r="H268">
        <v>1</v>
      </c>
      <c r="I268">
        <v>5000</v>
      </c>
      <c r="J268" t="s">
        <v>226</v>
      </c>
      <c r="K268">
        <v>0</v>
      </c>
      <c r="L268">
        <v>0</v>
      </c>
      <c r="M268">
        <v>120000</v>
      </c>
      <c r="N268">
        <v>0</v>
      </c>
      <c r="O268">
        <v>120000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 t="s">
        <v>94</v>
      </c>
      <c r="AE268" t="s">
        <v>94</v>
      </c>
      <c r="AF268" t="s">
        <v>226</v>
      </c>
      <c r="AG268" t="s">
        <v>1494</v>
      </c>
      <c r="AH268">
        <v>5</v>
      </c>
      <c r="AI268" t="s">
        <v>1495</v>
      </c>
      <c r="AJ268" t="s">
        <v>1496</v>
      </c>
      <c r="AK268" t="s">
        <v>1522</v>
      </c>
      <c r="AL268" t="s">
        <v>272</v>
      </c>
    </row>
    <row r="269" spans="1:38">
      <c r="A269" t="s">
        <v>1564</v>
      </c>
      <c r="B269" t="s">
        <v>1565</v>
      </c>
      <c r="C269" t="s">
        <v>1566</v>
      </c>
      <c r="D269" t="s">
        <v>1567</v>
      </c>
      <c r="E269" t="s">
        <v>1568</v>
      </c>
      <c r="F269" t="s">
        <v>268</v>
      </c>
      <c r="G269">
        <v>3</v>
      </c>
      <c r="H269">
        <v>100</v>
      </c>
      <c r="I269">
        <v>5.0000000000000001E-3</v>
      </c>
      <c r="J269">
        <v>5</v>
      </c>
      <c r="K269">
        <v>0.16</v>
      </c>
      <c r="L269">
        <v>3.09</v>
      </c>
      <c r="M269">
        <v>3.085</v>
      </c>
      <c r="N269">
        <v>3.0950000000000002</v>
      </c>
      <c r="O269">
        <v>3.09</v>
      </c>
      <c r="P269">
        <v>0</v>
      </c>
      <c r="Q269">
        <v>0</v>
      </c>
      <c r="R269">
        <v>0</v>
      </c>
      <c r="S269">
        <v>3.0950000000000002</v>
      </c>
      <c r="T269">
        <v>3.105</v>
      </c>
      <c r="U269">
        <v>3.05</v>
      </c>
      <c r="V269">
        <v>3.12</v>
      </c>
      <c r="W269">
        <v>1908018</v>
      </c>
      <c r="X269">
        <v>3.09</v>
      </c>
      <c r="Y269">
        <v>3.1</v>
      </c>
      <c r="Z269">
        <v>370</v>
      </c>
      <c r="AA269">
        <v>440394854</v>
      </c>
      <c r="AB269">
        <v>6180</v>
      </c>
      <c r="AC269">
        <v>0</v>
      </c>
      <c r="AD269" t="s">
        <v>94</v>
      </c>
      <c r="AE269" t="s">
        <v>94</v>
      </c>
      <c r="AF269" t="s">
        <v>226</v>
      </c>
      <c r="AG269" t="s">
        <v>1494</v>
      </c>
      <c r="AH269">
        <v>9</v>
      </c>
      <c r="AI269" t="s">
        <v>1495</v>
      </c>
      <c r="AJ269" t="s">
        <v>1496</v>
      </c>
      <c r="AK269" t="s">
        <v>271</v>
      </c>
      <c r="AL269" t="s">
        <v>272</v>
      </c>
    </row>
    <row r="270" spans="1:38">
      <c r="A270" t="s">
        <v>1569</v>
      </c>
      <c r="B270" t="s">
        <v>1570</v>
      </c>
      <c r="C270" t="s">
        <v>1571</v>
      </c>
      <c r="D270" t="s">
        <v>99</v>
      </c>
      <c r="E270" t="s">
        <v>188</v>
      </c>
      <c r="F270" t="s">
        <v>1572</v>
      </c>
      <c r="G270">
        <v>1</v>
      </c>
      <c r="H270">
        <v>1</v>
      </c>
      <c r="I270">
        <v>1E-4</v>
      </c>
      <c r="J270" t="s">
        <v>226</v>
      </c>
      <c r="K270">
        <v>0.06</v>
      </c>
      <c r="L270">
        <v>1.5396000000000001</v>
      </c>
      <c r="M270">
        <v>1.5387</v>
      </c>
      <c r="N270">
        <v>1.5387</v>
      </c>
      <c r="O270">
        <v>1.5396000000000001</v>
      </c>
      <c r="P270">
        <v>0</v>
      </c>
      <c r="Q270">
        <v>0</v>
      </c>
      <c r="R270">
        <v>0</v>
      </c>
      <c r="S270">
        <v>1.5396000000000001</v>
      </c>
      <c r="T270">
        <v>1.5396000000000001</v>
      </c>
      <c r="U270">
        <v>1.5395000000000001</v>
      </c>
      <c r="V270">
        <v>1.5396000000000001</v>
      </c>
      <c r="W270">
        <v>4732237465</v>
      </c>
      <c r="X270">
        <v>1.5395000000000001</v>
      </c>
      <c r="Y270">
        <v>1.5396000000000001</v>
      </c>
      <c r="Z270">
        <v>124807</v>
      </c>
      <c r="AA270">
        <v>0</v>
      </c>
      <c r="AB270">
        <v>1.54</v>
      </c>
      <c r="AC270">
        <v>0</v>
      </c>
      <c r="AD270" t="s">
        <v>94</v>
      </c>
      <c r="AE270" t="s">
        <v>94</v>
      </c>
      <c r="AF270" t="s">
        <v>226</v>
      </c>
      <c r="AG270" t="s">
        <v>226</v>
      </c>
      <c r="AH270">
        <v>-100</v>
      </c>
      <c r="AI270" t="s">
        <v>1573</v>
      </c>
      <c r="AJ270" t="s">
        <v>1574</v>
      </c>
      <c r="AK270" t="s">
        <v>1575</v>
      </c>
      <c r="AL270" t="s">
        <v>272</v>
      </c>
    </row>
    <row r="271" spans="1:38">
      <c r="A271" t="s">
        <v>1576</v>
      </c>
      <c r="B271" t="s">
        <v>1577</v>
      </c>
      <c r="C271" t="s">
        <v>1578</v>
      </c>
      <c r="D271" t="s">
        <v>1579</v>
      </c>
      <c r="E271" t="s">
        <v>1580</v>
      </c>
      <c r="F271" t="s">
        <v>1572</v>
      </c>
      <c r="G271">
        <v>1</v>
      </c>
      <c r="H271">
        <v>1</v>
      </c>
      <c r="I271">
        <v>0.01</v>
      </c>
      <c r="J271" t="s">
        <v>226</v>
      </c>
      <c r="K271">
        <v>-1.05</v>
      </c>
      <c r="L271">
        <v>94.74</v>
      </c>
      <c r="M271">
        <v>95.38</v>
      </c>
      <c r="N271">
        <v>97.68</v>
      </c>
      <c r="O271">
        <v>94.76</v>
      </c>
      <c r="P271">
        <v>0</v>
      </c>
      <c r="Q271">
        <v>0</v>
      </c>
      <c r="R271">
        <v>0</v>
      </c>
      <c r="S271">
        <v>95.01</v>
      </c>
      <c r="T271">
        <v>96.09</v>
      </c>
      <c r="U271">
        <v>94.74</v>
      </c>
      <c r="V271">
        <v>96.15</v>
      </c>
      <c r="W271">
        <v>55961</v>
      </c>
      <c r="X271">
        <v>94.67</v>
      </c>
      <c r="Y271">
        <v>95.08</v>
      </c>
      <c r="Z271">
        <v>38</v>
      </c>
      <c r="AA271">
        <v>0</v>
      </c>
      <c r="AB271">
        <v>32685.3</v>
      </c>
      <c r="AC271">
        <v>0</v>
      </c>
      <c r="AD271" t="s">
        <v>94</v>
      </c>
      <c r="AE271" t="s">
        <v>94</v>
      </c>
      <c r="AF271" t="s">
        <v>226</v>
      </c>
      <c r="AG271" t="s">
        <v>226</v>
      </c>
      <c r="AH271">
        <v>-100</v>
      </c>
      <c r="AI271" t="s">
        <v>1581</v>
      </c>
      <c r="AJ271" t="s">
        <v>1582</v>
      </c>
      <c r="AK271" t="s">
        <v>1575</v>
      </c>
      <c r="AL271" t="s">
        <v>272</v>
      </c>
    </row>
    <row r="272" spans="1:38">
      <c r="A272" t="s">
        <v>1583</v>
      </c>
      <c r="B272" t="s">
        <v>1584</v>
      </c>
      <c r="C272" t="s">
        <v>1585</v>
      </c>
      <c r="D272" t="s">
        <v>1586</v>
      </c>
      <c r="E272" t="s">
        <v>1587</v>
      </c>
      <c r="F272" t="s">
        <v>1572</v>
      </c>
      <c r="G272">
        <v>1</v>
      </c>
      <c r="H272">
        <v>1</v>
      </c>
      <c r="I272">
        <v>0.01</v>
      </c>
      <c r="J272" t="s">
        <v>226</v>
      </c>
      <c r="K272">
        <v>0.56000000000000005</v>
      </c>
      <c r="L272">
        <v>99.55</v>
      </c>
      <c r="M272">
        <v>99.12</v>
      </c>
      <c r="N272">
        <v>99.57</v>
      </c>
      <c r="O272">
        <v>99.55</v>
      </c>
      <c r="P272">
        <v>0</v>
      </c>
      <c r="Q272">
        <v>0</v>
      </c>
      <c r="R272">
        <v>0</v>
      </c>
      <c r="S272">
        <v>99.18</v>
      </c>
      <c r="T272">
        <v>99.12</v>
      </c>
      <c r="U272">
        <v>99.12</v>
      </c>
      <c r="V272">
        <v>99.57</v>
      </c>
      <c r="W272">
        <v>50183</v>
      </c>
      <c r="X272">
        <v>99.32</v>
      </c>
      <c r="Y272">
        <v>99.55</v>
      </c>
      <c r="Z272">
        <v>41</v>
      </c>
      <c r="AA272">
        <v>0</v>
      </c>
      <c r="AB272">
        <v>99.55</v>
      </c>
      <c r="AC272">
        <v>0</v>
      </c>
      <c r="AD272" t="s">
        <v>94</v>
      </c>
      <c r="AE272" t="s">
        <v>94</v>
      </c>
      <c r="AF272" t="s">
        <v>226</v>
      </c>
      <c r="AG272" t="s">
        <v>226</v>
      </c>
      <c r="AH272">
        <v>-100</v>
      </c>
      <c r="AI272" t="s">
        <v>1581</v>
      </c>
      <c r="AJ272" t="s">
        <v>1582</v>
      </c>
      <c r="AK272" t="s">
        <v>1575</v>
      </c>
      <c r="AL272" t="s">
        <v>272</v>
      </c>
    </row>
    <row r="273" spans="1:38">
      <c r="A273" t="s">
        <v>1588</v>
      </c>
      <c r="B273" t="s">
        <v>1589</v>
      </c>
      <c r="C273" t="s">
        <v>1590</v>
      </c>
      <c r="D273" t="s">
        <v>1591</v>
      </c>
      <c r="E273" t="s">
        <v>1592</v>
      </c>
      <c r="F273" t="s">
        <v>1572</v>
      </c>
      <c r="G273">
        <v>1</v>
      </c>
      <c r="H273">
        <v>1</v>
      </c>
      <c r="I273">
        <v>0.02</v>
      </c>
      <c r="J273" t="s">
        <v>226</v>
      </c>
      <c r="K273">
        <v>-0.52</v>
      </c>
      <c r="L273">
        <v>202.26</v>
      </c>
      <c r="M273">
        <v>203.32</v>
      </c>
      <c r="N273">
        <v>205.18</v>
      </c>
      <c r="O273">
        <v>202.24</v>
      </c>
      <c r="P273">
        <v>0</v>
      </c>
      <c r="Q273">
        <v>0</v>
      </c>
      <c r="R273">
        <v>0</v>
      </c>
      <c r="S273">
        <v>201.1</v>
      </c>
      <c r="T273">
        <v>203.32</v>
      </c>
      <c r="U273">
        <v>200.24</v>
      </c>
      <c r="V273">
        <v>205</v>
      </c>
      <c r="W273">
        <v>22044248</v>
      </c>
      <c r="X273">
        <v>202.24</v>
      </c>
      <c r="Y273">
        <v>202.48</v>
      </c>
      <c r="Z273">
        <v>1597</v>
      </c>
      <c r="AA273">
        <v>0</v>
      </c>
      <c r="AB273">
        <v>202.26</v>
      </c>
      <c r="AC273">
        <v>0</v>
      </c>
      <c r="AD273" t="s">
        <v>94</v>
      </c>
      <c r="AE273" t="s">
        <v>94</v>
      </c>
      <c r="AF273" t="s">
        <v>226</v>
      </c>
      <c r="AG273" t="s">
        <v>226</v>
      </c>
      <c r="AH273">
        <v>-100</v>
      </c>
      <c r="AI273" t="s">
        <v>1581</v>
      </c>
      <c r="AJ273" t="s">
        <v>1582</v>
      </c>
      <c r="AK273" t="s">
        <v>1575</v>
      </c>
      <c r="AL273" t="s">
        <v>272</v>
      </c>
    </row>
    <row r="274" spans="1:38">
      <c r="A274" t="s">
        <v>1593</v>
      </c>
      <c r="B274" t="s">
        <v>1594</v>
      </c>
      <c r="C274" t="s">
        <v>1595</v>
      </c>
      <c r="D274" t="s">
        <v>1596</v>
      </c>
      <c r="E274" t="s">
        <v>1597</v>
      </c>
      <c r="F274" t="s">
        <v>1572</v>
      </c>
      <c r="G274">
        <v>1</v>
      </c>
      <c r="H274">
        <v>1</v>
      </c>
      <c r="I274">
        <v>0.01</v>
      </c>
      <c r="J274" t="s">
        <v>226</v>
      </c>
      <c r="K274">
        <v>-1.36</v>
      </c>
      <c r="L274">
        <v>86.5</v>
      </c>
      <c r="M274">
        <v>87.69</v>
      </c>
      <c r="N274">
        <v>89.49</v>
      </c>
      <c r="O274">
        <v>86.5</v>
      </c>
      <c r="P274">
        <v>0</v>
      </c>
      <c r="Q274">
        <v>0</v>
      </c>
      <c r="R274">
        <v>0</v>
      </c>
      <c r="S274">
        <v>87.75</v>
      </c>
      <c r="T274">
        <v>87.11</v>
      </c>
      <c r="U274">
        <v>86.5</v>
      </c>
      <c r="V274">
        <v>87.96</v>
      </c>
      <c r="W274">
        <v>78011</v>
      </c>
      <c r="X274">
        <v>86.23</v>
      </c>
      <c r="Y274">
        <v>86.74</v>
      </c>
      <c r="Z274">
        <v>32</v>
      </c>
      <c r="AA274">
        <v>0</v>
      </c>
      <c r="AB274">
        <v>86.5</v>
      </c>
      <c r="AC274">
        <v>0</v>
      </c>
      <c r="AD274" t="s">
        <v>94</v>
      </c>
      <c r="AE274" t="s">
        <v>94</v>
      </c>
      <c r="AF274" t="s">
        <v>226</v>
      </c>
      <c r="AG274" t="s">
        <v>226</v>
      </c>
      <c r="AH274">
        <v>-100</v>
      </c>
      <c r="AI274" t="s">
        <v>1581</v>
      </c>
      <c r="AJ274" t="s">
        <v>1582</v>
      </c>
      <c r="AK274" t="s">
        <v>1575</v>
      </c>
      <c r="AL274" t="s">
        <v>272</v>
      </c>
    </row>
    <row r="275" spans="1:38">
      <c r="A275" t="s">
        <v>1598</v>
      </c>
      <c r="B275" t="s">
        <v>1599</v>
      </c>
      <c r="C275" t="s">
        <v>1600</v>
      </c>
      <c r="D275" t="s">
        <v>1601</v>
      </c>
      <c r="E275" t="s">
        <v>1602</v>
      </c>
      <c r="F275" t="s">
        <v>1572</v>
      </c>
      <c r="G275">
        <v>1</v>
      </c>
      <c r="H275">
        <v>1</v>
      </c>
      <c r="I275">
        <v>0.01</v>
      </c>
      <c r="J275" t="s">
        <v>226</v>
      </c>
      <c r="K275">
        <v>0.05</v>
      </c>
      <c r="L275">
        <v>131.79</v>
      </c>
      <c r="M275">
        <v>131.71</v>
      </c>
      <c r="N275">
        <v>131.72</v>
      </c>
      <c r="O275">
        <v>131.80000000000001</v>
      </c>
      <c r="P275">
        <v>0</v>
      </c>
      <c r="Q275">
        <v>0</v>
      </c>
      <c r="R275">
        <v>0</v>
      </c>
      <c r="S275">
        <v>131.79</v>
      </c>
      <c r="T275">
        <v>131.79</v>
      </c>
      <c r="U275">
        <v>131.79</v>
      </c>
      <c r="V275">
        <v>131.80000000000001</v>
      </c>
      <c r="W275">
        <v>5015074477</v>
      </c>
      <c r="X275">
        <v>131.79</v>
      </c>
      <c r="Y275">
        <v>131.80000000000001</v>
      </c>
      <c r="Z275">
        <v>92478</v>
      </c>
      <c r="AA275">
        <v>0</v>
      </c>
      <c r="AB275">
        <v>131.79</v>
      </c>
      <c r="AC275">
        <v>0</v>
      </c>
      <c r="AD275" t="s">
        <v>94</v>
      </c>
      <c r="AE275" t="s">
        <v>94</v>
      </c>
      <c r="AF275" t="s">
        <v>226</v>
      </c>
      <c r="AG275" t="s">
        <v>226</v>
      </c>
      <c r="AH275">
        <v>-100</v>
      </c>
      <c r="AI275" t="s">
        <v>1581</v>
      </c>
      <c r="AJ275" t="s">
        <v>1582</v>
      </c>
      <c r="AK275" t="s">
        <v>1575</v>
      </c>
      <c r="AL275" t="s">
        <v>272</v>
      </c>
    </row>
    <row r="276" spans="1:38">
      <c r="A276" t="s">
        <v>1603</v>
      </c>
      <c r="B276" t="s">
        <v>1604</v>
      </c>
      <c r="C276" t="s">
        <v>1605</v>
      </c>
      <c r="D276" t="s">
        <v>1606</v>
      </c>
      <c r="E276" t="s">
        <v>1607</v>
      </c>
      <c r="F276" t="s">
        <v>1572</v>
      </c>
      <c r="G276">
        <v>1</v>
      </c>
      <c r="H276">
        <v>1</v>
      </c>
      <c r="I276">
        <v>0.01</v>
      </c>
      <c r="J276" t="s">
        <v>226</v>
      </c>
      <c r="K276">
        <v>-0.63</v>
      </c>
      <c r="L276">
        <v>67.86</v>
      </c>
      <c r="M276">
        <v>68.28</v>
      </c>
      <c r="N276">
        <v>68.16</v>
      </c>
      <c r="O276">
        <v>67.930000000000007</v>
      </c>
      <c r="P276">
        <v>0</v>
      </c>
      <c r="Q276">
        <v>0</v>
      </c>
      <c r="R276">
        <v>0</v>
      </c>
      <c r="S276">
        <v>68.72</v>
      </c>
      <c r="T276">
        <v>68.58</v>
      </c>
      <c r="U276">
        <v>67.8</v>
      </c>
      <c r="V276">
        <v>69.05</v>
      </c>
      <c r="W276">
        <v>258320</v>
      </c>
      <c r="X276">
        <v>67.88</v>
      </c>
      <c r="Y276">
        <v>67.989999999999995</v>
      </c>
      <c r="Z276">
        <v>207</v>
      </c>
      <c r="AA276">
        <v>0</v>
      </c>
      <c r="AB276">
        <v>67.86</v>
      </c>
      <c r="AC276">
        <v>0</v>
      </c>
      <c r="AD276" t="s">
        <v>94</v>
      </c>
      <c r="AE276" t="s">
        <v>94</v>
      </c>
      <c r="AF276" t="s">
        <v>226</v>
      </c>
      <c r="AG276" t="s">
        <v>226</v>
      </c>
      <c r="AH276">
        <v>-100</v>
      </c>
      <c r="AI276" t="s">
        <v>1581</v>
      </c>
      <c r="AJ276" t="s">
        <v>1582</v>
      </c>
      <c r="AK276" t="s">
        <v>1575</v>
      </c>
      <c r="AL276" t="s">
        <v>272</v>
      </c>
    </row>
    <row r="277" spans="1:38">
      <c r="A277" t="s">
        <v>1608</v>
      </c>
      <c r="B277" t="s">
        <v>1609</v>
      </c>
      <c r="C277" t="s">
        <v>1610</v>
      </c>
      <c r="D277" t="s">
        <v>1611</v>
      </c>
      <c r="E277" t="s">
        <v>1612</v>
      </c>
      <c r="F277" t="s">
        <v>1572</v>
      </c>
      <c r="G277">
        <v>1</v>
      </c>
      <c r="H277">
        <v>1</v>
      </c>
      <c r="I277">
        <v>0.01</v>
      </c>
      <c r="J277" t="s">
        <v>226</v>
      </c>
      <c r="K277">
        <v>-0.39</v>
      </c>
      <c r="L277">
        <v>10.119999999999999</v>
      </c>
      <c r="M277">
        <v>10.17</v>
      </c>
      <c r="N277">
        <v>10.210000000000001</v>
      </c>
      <c r="O277">
        <v>10.11</v>
      </c>
      <c r="P277">
        <v>0</v>
      </c>
      <c r="Q277">
        <v>0</v>
      </c>
      <c r="R277">
        <v>0</v>
      </c>
      <c r="S277">
        <v>10.18</v>
      </c>
      <c r="T277">
        <v>10.16</v>
      </c>
      <c r="U277">
        <v>10.11</v>
      </c>
      <c r="V277">
        <v>10.31</v>
      </c>
      <c r="W277">
        <v>5167715</v>
      </c>
      <c r="X277">
        <v>10.119999999999999</v>
      </c>
      <c r="Y277">
        <v>10.15</v>
      </c>
      <c r="Z277">
        <v>7498</v>
      </c>
      <c r="AA277">
        <v>0</v>
      </c>
      <c r="AB277">
        <v>374.44</v>
      </c>
      <c r="AC277">
        <v>0</v>
      </c>
      <c r="AD277" t="s">
        <v>94</v>
      </c>
      <c r="AE277" t="s">
        <v>94</v>
      </c>
      <c r="AF277" t="s">
        <v>226</v>
      </c>
      <c r="AG277" t="s">
        <v>226</v>
      </c>
      <c r="AH277">
        <v>-100</v>
      </c>
      <c r="AI277" t="s">
        <v>1581</v>
      </c>
      <c r="AJ277" t="s">
        <v>1582</v>
      </c>
      <c r="AK277" t="s">
        <v>1575</v>
      </c>
      <c r="AL277" t="s">
        <v>272</v>
      </c>
    </row>
    <row r="278" spans="1:38">
      <c r="A278" t="s">
        <v>1613</v>
      </c>
      <c r="B278" t="s">
        <v>1614</v>
      </c>
      <c r="C278" t="s">
        <v>1615</v>
      </c>
      <c r="D278" t="s">
        <v>1616</v>
      </c>
      <c r="E278" t="s">
        <v>1617</v>
      </c>
      <c r="F278" t="s">
        <v>1572</v>
      </c>
      <c r="G278">
        <v>1</v>
      </c>
      <c r="H278">
        <v>1</v>
      </c>
      <c r="I278">
        <v>1E-3</v>
      </c>
      <c r="J278" t="s">
        <v>226</v>
      </c>
      <c r="K278">
        <v>0.06</v>
      </c>
      <c r="L278">
        <v>115.783</v>
      </c>
      <c r="M278">
        <v>115.718</v>
      </c>
      <c r="N278">
        <v>115.715</v>
      </c>
      <c r="O278">
        <v>115.782</v>
      </c>
      <c r="P278">
        <v>0</v>
      </c>
      <c r="Q278">
        <v>0</v>
      </c>
      <c r="R278">
        <v>0</v>
      </c>
      <c r="S278">
        <v>115.782</v>
      </c>
      <c r="T278">
        <v>115.78</v>
      </c>
      <c r="U278">
        <v>115.77</v>
      </c>
      <c r="V278">
        <v>115.783</v>
      </c>
      <c r="W278">
        <v>479474245</v>
      </c>
      <c r="X278">
        <v>115.782</v>
      </c>
      <c r="Y278">
        <v>115.783</v>
      </c>
      <c r="Z278">
        <v>221</v>
      </c>
      <c r="AA278">
        <v>0</v>
      </c>
      <c r="AB278">
        <v>1042.05</v>
      </c>
      <c r="AC278">
        <v>0</v>
      </c>
      <c r="AD278" t="s">
        <v>94</v>
      </c>
      <c r="AE278" t="s">
        <v>94</v>
      </c>
      <c r="AF278" t="s">
        <v>226</v>
      </c>
      <c r="AG278" t="s">
        <v>226</v>
      </c>
      <c r="AH278">
        <v>-100</v>
      </c>
      <c r="AI278" t="s">
        <v>1581</v>
      </c>
      <c r="AJ278" t="s">
        <v>1582</v>
      </c>
      <c r="AK278" t="s">
        <v>1575</v>
      </c>
      <c r="AL278" t="s">
        <v>272</v>
      </c>
    </row>
    <row r="279" spans="1:38">
      <c r="A279" t="s">
        <v>1618</v>
      </c>
      <c r="B279" t="s">
        <v>1619</v>
      </c>
      <c r="C279" t="s">
        <v>1620</v>
      </c>
      <c r="D279" t="s">
        <v>1621</v>
      </c>
      <c r="E279" t="s">
        <v>1622</v>
      </c>
      <c r="F279" t="s">
        <v>1572</v>
      </c>
      <c r="G279">
        <v>1</v>
      </c>
      <c r="H279">
        <v>1</v>
      </c>
      <c r="I279">
        <v>0.01</v>
      </c>
      <c r="J279" t="s">
        <v>226</v>
      </c>
      <c r="K279">
        <v>-1.55</v>
      </c>
      <c r="L279">
        <v>1491.28</v>
      </c>
      <c r="M279">
        <v>1514.85</v>
      </c>
      <c r="N279">
        <v>1528.45</v>
      </c>
      <c r="O279">
        <v>1491.29</v>
      </c>
      <c r="P279">
        <v>0</v>
      </c>
      <c r="Q279">
        <v>0</v>
      </c>
      <c r="R279">
        <v>0</v>
      </c>
      <c r="S279">
        <v>1503.31</v>
      </c>
      <c r="T279">
        <v>1516.02</v>
      </c>
      <c r="U279">
        <v>1485.07</v>
      </c>
      <c r="V279">
        <v>1516.02</v>
      </c>
      <c r="W279">
        <v>648835018</v>
      </c>
      <c r="X279">
        <v>1491.69</v>
      </c>
      <c r="Y279">
        <v>1492.28</v>
      </c>
      <c r="Z279">
        <v>142</v>
      </c>
      <c r="AA279">
        <v>0</v>
      </c>
      <c r="AB279">
        <v>134215.20000000001</v>
      </c>
      <c r="AC279">
        <v>0</v>
      </c>
      <c r="AD279" t="s">
        <v>94</v>
      </c>
      <c r="AE279" t="s">
        <v>94</v>
      </c>
      <c r="AF279" t="s">
        <v>226</v>
      </c>
      <c r="AG279" t="s">
        <v>226</v>
      </c>
      <c r="AH279">
        <v>-100</v>
      </c>
      <c r="AI279" t="s">
        <v>1581</v>
      </c>
      <c r="AJ279" t="s">
        <v>1582</v>
      </c>
      <c r="AK279" t="s">
        <v>1575</v>
      </c>
      <c r="AL279" t="s">
        <v>272</v>
      </c>
    </row>
    <row r="280" spans="1:38">
      <c r="A280" t="s">
        <v>1623</v>
      </c>
      <c r="B280" t="s">
        <v>1624</v>
      </c>
      <c r="C280" t="s">
        <v>1625</v>
      </c>
      <c r="D280" t="s">
        <v>1626</v>
      </c>
      <c r="E280" t="s">
        <v>1627</v>
      </c>
      <c r="F280" t="s">
        <v>1572</v>
      </c>
      <c r="G280">
        <v>1</v>
      </c>
      <c r="H280">
        <v>1</v>
      </c>
      <c r="I280">
        <v>0.1</v>
      </c>
      <c r="J280" t="s">
        <v>226</v>
      </c>
      <c r="K280">
        <v>-1.75</v>
      </c>
      <c r="L280">
        <v>89.6</v>
      </c>
      <c r="M280">
        <v>91.2</v>
      </c>
      <c r="N280">
        <v>92.4</v>
      </c>
      <c r="O280">
        <v>89.8</v>
      </c>
      <c r="P280">
        <v>0</v>
      </c>
      <c r="Q280">
        <v>0</v>
      </c>
      <c r="R280">
        <v>0</v>
      </c>
      <c r="S280">
        <v>91.2</v>
      </c>
      <c r="T280">
        <v>90.9</v>
      </c>
      <c r="U280">
        <v>89.6</v>
      </c>
      <c r="V280">
        <v>91.6</v>
      </c>
      <c r="W280">
        <v>67845</v>
      </c>
      <c r="X280">
        <v>89.8</v>
      </c>
      <c r="Y280">
        <v>90.1</v>
      </c>
      <c r="Z280">
        <v>54</v>
      </c>
      <c r="AA280">
        <v>0</v>
      </c>
      <c r="AB280">
        <v>179.2</v>
      </c>
      <c r="AC280">
        <v>0</v>
      </c>
      <c r="AD280" t="s">
        <v>94</v>
      </c>
      <c r="AE280" t="s">
        <v>94</v>
      </c>
      <c r="AF280" t="s">
        <v>226</v>
      </c>
      <c r="AG280" t="s">
        <v>226</v>
      </c>
      <c r="AH280">
        <v>-100</v>
      </c>
      <c r="AI280" t="s">
        <v>1581</v>
      </c>
      <c r="AJ280" t="s">
        <v>1582</v>
      </c>
      <c r="AK280" t="s">
        <v>1575</v>
      </c>
      <c r="AL280" t="s">
        <v>272</v>
      </c>
    </row>
    <row r="281" spans="1:38">
      <c r="A281" t="s">
        <v>1628</v>
      </c>
      <c r="B281" t="s">
        <v>1629</v>
      </c>
      <c r="C281" t="s">
        <v>1630</v>
      </c>
      <c r="D281" t="s">
        <v>1631</v>
      </c>
      <c r="E281" t="s">
        <v>1632</v>
      </c>
      <c r="F281" t="s">
        <v>1572</v>
      </c>
      <c r="G281">
        <v>1</v>
      </c>
      <c r="H281">
        <v>1</v>
      </c>
      <c r="I281">
        <v>0.1</v>
      </c>
      <c r="J281" t="s">
        <v>226</v>
      </c>
      <c r="K281">
        <v>0.17</v>
      </c>
      <c r="L281">
        <v>120.2</v>
      </c>
      <c r="M281">
        <v>120</v>
      </c>
      <c r="N281">
        <v>119.6</v>
      </c>
      <c r="O281">
        <v>120.2</v>
      </c>
      <c r="P281">
        <v>0</v>
      </c>
      <c r="Q281">
        <v>0</v>
      </c>
      <c r="R281">
        <v>0</v>
      </c>
      <c r="S281">
        <v>120.1</v>
      </c>
      <c r="T281">
        <v>120.2</v>
      </c>
      <c r="U281">
        <v>120</v>
      </c>
      <c r="V281">
        <v>120.2</v>
      </c>
      <c r="W281">
        <v>5046</v>
      </c>
      <c r="X281">
        <v>120</v>
      </c>
      <c r="Y281">
        <v>120.2</v>
      </c>
      <c r="Z281">
        <v>9</v>
      </c>
      <c r="AA281">
        <v>0</v>
      </c>
      <c r="AB281">
        <v>120.2</v>
      </c>
      <c r="AC281">
        <v>0</v>
      </c>
      <c r="AD281" t="s">
        <v>94</v>
      </c>
      <c r="AE281" t="s">
        <v>94</v>
      </c>
      <c r="AF281" t="s">
        <v>226</v>
      </c>
      <c r="AG281" t="s">
        <v>226</v>
      </c>
      <c r="AH281">
        <v>-100</v>
      </c>
      <c r="AI281" t="s">
        <v>1581</v>
      </c>
      <c r="AJ281" t="s">
        <v>1582</v>
      </c>
      <c r="AK281" t="s">
        <v>1575</v>
      </c>
      <c r="AL281" t="s">
        <v>272</v>
      </c>
    </row>
    <row r="282" spans="1:38">
      <c r="A282" t="s">
        <v>1633</v>
      </c>
      <c r="B282" t="s">
        <v>1634</v>
      </c>
      <c r="C282" t="s">
        <v>1635</v>
      </c>
      <c r="D282" t="s">
        <v>1636</v>
      </c>
      <c r="E282" t="s">
        <v>1637</v>
      </c>
      <c r="F282" t="s">
        <v>1572</v>
      </c>
      <c r="G282">
        <v>1</v>
      </c>
      <c r="H282">
        <v>1</v>
      </c>
      <c r="I282">
        <v>2E-3</v>
      </c>
      <c r="J282" t="s">
        <v>226</v>
      </c>
      <c r="K282">
        <v>0.5</v>
      </c>
      <c r="L282">
        <v>11.34</v>
      </c>
      <c r="M282">
        <v>11.336</v>
      </c>
      <c r="N282">
        <v>11.326000000000001</v>
      </c>
      <c r="O282">
        <v>11.358000000000001</v>
      </c>
      <c r="P282">
        <v>0</v>
      </c>
      <c r="Q282">
        <v>0</v>
      </c>
      <c r="R282">
        <v>0</v>
      </c>
      <c r="S282">
        <v>11.334</v>
      </c>
      <c r="T282">
        <v>11.42</v>
      </c>
      <c r="U282">
        <v>11.332000000000001</v>
      </c>
      <c r="V282">
        <v>11.44</v>
      </c>
      <c r="W282">
        <v>1910859</v>
      </c>
      <c r="X282">
        <v>11.34</v>
      </c>
      <c r="Y282">
        <v>11.352</v>
      </c>
      <c r="Z282">
        <v>177</v>
      </c>
      <c r="AA282">
        <v>0</v>
      </c>
      <c r="AB282">
        <v>11.34</v>
      </c>
      <c r="AC282">
        <v>0</v>
      </c>
      <c r="AD282" t="s">
        <v>94</v>
      </c>
      <c r="AE282" t="s">
        <v>94</v>
      </c>
      <c r="AF282" t="s">
        <v>226</v>
      </c>
      <c r="AG282" t="s">
        <v>226</v>
      </c>
      <c r="AH282">
        <v>-100</v>
      </c>
      <c r="AI282" t="s">
        <v>1581</v>
      </c>
      <c r="AJ282" t="s">
        <v>1582</v>
      </c>
      <c r="AK282" t="s">
        <v>1575</v>
      </c>
      <c r="AL282" t="s">
        <v>272</v>
      </c>
    </row>
    <row r="283" spans="1:38">
      <c r="A283" t="s">
        <v>1638</v>
      </c>
      <c r="B283" t="s">
        <v>1639</v>
      </c>
      <c r="C283" t="s">
        <v>1640</v>
      </c>
      <c r="D283" t="s">
        <v>1641</v>
      </c>
      <c r="E283" t="s">
        <v>1642</v>
      </c>
      <c r="F283" t="s">
        <v>1572</v>
      </c>
      <c r="G283">
        <v>1</v>
      </c>
      <c r="H283">
        <v>1</v>
      </c>
      <c r="I283">
        <v>1E-3</v>
      </c>
      <c r="J283" t="s">
        <v>226</v>
      </c>
      <c r="K283">
        <v>7.0000000000000007E-2</v>
      </c>
      <c r="L283">
        <v>10.635</v>
      </c>
      <c r="M283">
        <v>10.629</v>
      </c>
      <c r="N283">
        <v>10.629</v>
      </c>
      <c r="O283">
        <v>10.635999999999999</v>
      </c>
      <c r="P283">
        <v>0</v>
      </c>
      <c r="Q283">
        <v>0</v>
      </c>
      <c r="R283">
        <v>0</v>
      </c>
      <c r="S283">
        <v>10.635999999999999</v>
      </c>
      <c r="T283">
        <v>10.635999999999999</v>
      </c>
      <c r="U283">
        <v>10.634</v>
      </c>
      <c r="V283">
        <v>10.635999999999999</v>
      </c>
      <c r="W283">
        <v>411075306</v>
      </c>
      <c r="X283">
        <v>10.635</v>
      </c>
      <c r="Y283">
        <v>10.635999999999999</v>
      </c>
      <c r="Z283">
        <v>1639</v>
      </c>
      <c r="AA283">
        <v>0</v>
      </c>
      <c r="AB283">
        <v>21270</v>
      </c>
      <c r="AC283">
        <v>0</v>
      </c>
      <c r="AD283" t="s">
        <v>94</v>
      </c>
      <c r="AE283" t="s">
        <v>94</v>
      </c>
      <c r="AF283" t="s">
        <v>226</v>
      </c>
      <c r="AG283" t="s">
        <v>226</v>
      </c>
      <c r="AH283">
        <v>-100</v>
      </c>
      <c r="AI283" t="s">
        <v>1581</v>
      </c>
      <c r="AJ283" t="s">
        <v>1582</v>
      </c>
      <c r="AK283" t="s">
        <v>1575</v>
      </c>
      <c r="AL283" t="s">
        <v>272</v>
      </c>
    </row>
    <row r="284" spans="1:38">
      <c r="A284" t="s">
        <v>1643</v>
      </c>
      <c r="B284" t="s">
        <v>1644</v>
      </c>
      <c r="C284" t="s">
        <v>1645</v>
      </c>
      <c r="D284" t="s">
        <v>1646</v>
      </c>
      <c r="E284" t="s">
        <v>1647</v>
      </c>
      <c r="F284" t="s">
        <v>1572</v>
      </c>
      <c r="G284">
        <v>1</v>
      </c>
      <c r="H284">
        <v>1</v>
      </c>
      <c r="I284">
        <v>0.01</v>
      </c>
      <c r="J284" t="s">
        <v>226</v>
      </c>
      <c r="K284">
        <v>-1.03</v>
      </c>
      <c r="L284">
        <v>9.6</v>
      </c>
      <c r="M284">
        <v>9.73</v>
      </c>
      <c r="N284">
        <v>9.8800000000000008</v>
      </c>
      <c r="O284">
        <v>9.6</v>
      </c>
      <c r="P284">
        <v>0</v>
      </c>
      <c r="Q284">
        <v>0</v>
      </c>
      <c r="R284">
        <v>0</v>
      </c>
      <c r="S284">
        <v>9.73</v>
      </c>
      <c r="T284">
        <v>9.7200000000000006</v>
      </c>
      <c r="U284">
        <v>9.59</v>
      </c>
      <c r="V284">
        <v>9.7899999999999991</v>
      </c>
      <c r="W284">
        <v>281780</v>
      </c>
      <c r="X284">
        <v>9.6</v>
      </c>
      <c r="Y284">
        <v>9.6300000000000008</v>
      </c>
      <c r="Z284">
        <v>116</v>
      </c>
      <c r="AA284">
        <v>0</v>
      </c>
      <c r="AB284">
        <v>86.4</v>
      </c>
      <c r="AC284">
        <v>0</v>
      </c>
      <c r="AD284" t="s">
        <v>94</v>
      </c>
      <c r="AE284" t="s">
        <v>94</v>
      </c>
      <c r="AF284" t="s">
        <v>226</v>
      </c>
      <c r="AG284" t="s">
        <v>226</v>
      </c>
      <c r="AH284">
        <v>-100</v>
      </c>
      <c r="AI284" t="s">
        <v>1581</v>
      </c>
      <c r="AJ284" t="s">
        <v>1582</v>
      </c>
      <c r="AK284" t="s">
        <v>1575</v>
      </c>
      <c r="AL284" t="s">
        <v>272</v>
      </c>
    </row>
    <row r="285" spans="1:38">
      <c r="A285" t="s">
        <v>1648</v>
      </c>
      <c r="B285" t="s">
        <v>1649</v>
      </c>
      <c r="C285" t="s">
        <v>1650</v>
      </c>
      <c r="D285" t="s">
        <v>1651</v>
      </c>
      <c r="E285" t="s">
        <v>1652</v>
      </c>
      <c r="F285" t="s">
        <v>1572</v>
      </c>
      <c r="G285">
        <v>1</v>
      </c>
      <c r="H285">
        <v>1</v>
      </c>
      <c r="I285">
        <v>0.2</v>
      </c>
      <c r="J285" t="s">
        <v>226</v>
      </c>
      <c r="K285">
        <v>0.36</v>
      </c>
      <c r="L285">
        <v>1110</v>
      </c>
      <c r="M285">
        <v>1106</v>
      </c>
      <c r="N285">
        <v>1103.2</v>
      </c>
      <c r="O285">
        <v>1110</v>
      </c>
      <c r="P285">
        <v>0</v>
      </c>
      <c r="Q285">
        <v>0</v>
      </c>
      <c r="R285">
        <v>0</v>
      </c>
      <c r="S285">
        <v>1107</v>
      </c>
      <c r="T285">
        <v>1106</v>
      </c>
      <c r="U285">
        <v>1106</v>
      </c>
      <c r="V285">
        <v>1111</v>
      </c>
      <c r="W285">
        <v>502581</v>
      </c>
      <c r="X285">
        <v>1110.2</v>
      </c>
      <c r="Y285">
        <v>1111</v>
      </c>
      <c r="Z285">
        <v>29</v>
      </c>
      <c r="AA285">
        <v>0</v>
      </c>
      <c r="AB285">
        <v>8880</v>
      </c>
      <c r="AC285">
        <v>0</v>
      </c>
      <c r="AD285" t="s">
        <v>94</v>
      </c>
      <c r="AE285" t="s">
        <v>94</v>
      </c>
      <c r="AF285" t="s">
        <v>226</v>
      </c>
      <c r="AG285" t="s">
        <v>226</v>
      </c>
      <c r="AH285">
        <v>-100</v>
      </c>
      <c r="AI285" t="s">
        <v>1581</v>
      </c>
      <c r="AJ285" t="s">
        <v>1582</v>
      </c>
      <c r="AK285" t="s">
        <v>1575</v>
      </c>
      <c r="AL285" t="s">
        <v>272</v>
      </c>
    </row>
    <row r="286" spans="1:38">
      <c r="A286" t="s">
        <v>1653</v>
      </c>
      <c r="B286" t="s">
        <v>1654</v>
      </c>
      <c r="C286" t="s">
        <v>1655</v>
      </c>
      <c r="D286" t="s">
        <v>1656</v>
      </c>
      <c r="E286" t="s">
        <v>1657</v>
      </c>
      <c r="F286" t="s">
        <v>1572</v>
      </c>
      <c r="G286">
        <v>1</v>
      </c>
      <c r="H286">
        <v>1</v>
      </c>
      <c r="I286">
        <v>1E-4</v>
      </c>
      <c r="J286" t="s">
        <v>226</v>
      </c>
      <c r="K286">
        <v>0.04</v>
      </c>
      <c r="L286">
        <v>10.157999999999999</v>
      </c>
      <c r="M286">
        <v>10.154199999999999</v>
      </c>
      <c r="N286">
        <v>10.1701</v>
      </c>
      <c r="O286">
        <v>10.157999999999999</v>
      </c>
      <c r="P286">
        <v>0</v>
      </c>
      <c r="Q286">
        <v>0</v>
      </c>
      <c r="R286">
        <v>0</v>
      </c>
      <c r="S286">
        <v>10.158099999999999</v>
      </c>
      <c r="T286">
        <v>10.157999999999999</v>
      </c>
      <c r="U286">
        <v>10.157</v>
      </c>
      <c r="V286">
        <v>10.35</v>
      </c>
      <c r="W286">
        <v>72006396</v>
      </c>
      <c r="X286">
        <v>10.157</v>
      </c>
      <c r="Y286">
        <v>10.157999999999999</v>
      </c>
      <c r="Z286">
        <v>221</v>
      </c>
      <c r="AA286">
        <v>0</v>
      </c>
      <c r="AB286">
        <v>335.21</v>
      </c>
      <c r="AC286">
        <v>0</v>
      </c>
      <c r="AD286" t="s">
        <v>94</v>
      </c>
      <c r="AE286" t="s">
        <v>94</v>
      </c>
      <c r="AF286" t="s">
        <v>226</v>
      </c>
      <c r="AG286" t="s">
        <v>226</v>
      </c>
      <c r="AH286">
        <v>-100</v>
      </c>
      <c r="AI286" t="s">
        <v>1581</v>
      </c>
      <c r="AJ286" t="s">
        <v>1582</v>
      </c>
      <c r="AK286" t="s">
        <v>1575</v>
      </c>
      <c r="AL286" t="s">
        <v>272</v>
      </c>
    </row>
    <row r="287" spans="1:38">
      <c r="A287" t="s">
        <v>1658</v>
      </c>
      <c r="B287" t="s">
        <v>1659</v>
      </c>
      <c r="C287" t="s">
        <v>1660</v>
      </c>
      <c r="D287" t="s">
        <v>1661</v>
      </c>
      <c r="E287" t="s">
        <v>1662</v>
      </c>
      <c r="F287" t="s">
        <v>1572</v>
      </c>
      <c r="G287">
        <v>1</v>
      </c>
      <c r="H287">
        <v>1</v>
      </c>
      <c r="I287">
        <v>0.01</v>
      </c>
      <c r="J287" t="s">
        <v>226</v>
      </c>
      <c r="K287">
        <v>-0.97</v>
      </c>
      <c r="L287">
        <v>163.16</v>
      </c>
      <c r="M287">
        <v>165.81</v>
      </c>
      <c r="N287">
        <v>166.52</v>
      </c>
      <c r="O287">
        <v>163.30000000000001</v>
      </c>
      <c r="P287">
        <v>0</v>
      </c>
      <c r="Q287">
        <v>0</v>
      </c>
      <c r="R287">
        <v>0</v>
      </c>
      <c r="S287">
        <v>164.33</v>
      </c>
      <c r="T287">
        <v>165.2</v>
      </c>
      <c r="U287">
        <v>162.32</v>
      </c>
      <c r="V287">
        <v>165.2</v>
      </c>
      <c r="W287">
        <v>34206901</v>
      </c>
      <c r="X287">
        <v>163.15</v>
      </c>
      <c r="Y287">
        <v>163.16</v>
      </c>
      <c r="Z287">
        <v>1067</v>
      </c>
      <c r="AA287">
        <v>0</v>
      </c>
      <c r="AB287">
        <v>122696.32000000001</v>
      </c>
      <c r="AC287">
        <v>0</v>
      </c>
      <c r="AD287" t="s">
        <v>1663</v>
      </c>
      <c r="AE287" t="s">
        <v>94</v>
      </c>
      <c r="AF287" t="s">
        <v>226</v>
      </c>
      <c r="AG287" t="s">
        <v>226</v>
      </c>
      <c r="AH287">
        <v>-100</v>
      </c>
      <c r="AI287" t="s">
        <v>1581</v>
      </c>
      <c r="AJ287" t="s">
        <v>1582</v>
      </c>
      <c r="AK287" t="s">
        <v>1575</v>
      </c>
      <c r="AL287" t="s">
        <v>272</v>
      </c>
    </row>
    <row r="288" spans="1:38">
      <c r="A288" t="s">
        <v>1664</v>
      </c>
      <c r="B288" t="s">
        <v>1665</v>
      </c>
      <c r="C288" t="s">
        <v>1666</v>
      </c>
      <c r="D288" t="s">
        <v>1667</v>
      </c>
      <c r="E288" t="s">
        <v>1668</v>
      </c>
      <c r="F288" t="s">
        <v>1572</v>
      </c>
      <c r="G288">
        <v>1</v>
      </c>
      <c r="H288">
        <v>1</v>
      </c>
      <c r="I288">
        <v>0.05</v>
      </c>
      <c r="J288" t="s">
        <v>226</v>
      </c>
      <c r="K288">
        <v>-0.92</v>
      </c>
      <c r="L288">
        <v>119</v>
      </c>
      <c r="M288">
        <v>120.3</v>
      </c>
      <c r="N288">
        <v>120.75</v>
      </c>
      <c r="O288">
        <v>118.85</v>
      </c>
      <c r="P288">
        <v>0</v>
      </c>
      <c r="Q288">
        <v>0</v>
      </c>
      <c r="R288">
        <v>0</v>
      </c>
      <c r="S288">
        <v>120.1</v>
      </c>
      <c r="T288">
        <v>120.45</v>
      </c>
      <c r="U288">
        <v>118.55</v>
      </c>
      <c r="V288">
        <v>121</v>
      </c>
      <c r="W288">
        <v>74162903</v>
      </c>
      <c r="X288">
        <v>118.95</v>
      </c>
      <c r="Y288">
        <v>119</v>
      </c>
      <c r="Z288">
        <v>2380</v>
      </c>
      <c r="AA288">
        <v>0</v>
      </c>
      <c r="AB288">
        <v>238</v>
      </c>
      <c r="AC288">
        <v>0</v>
      </c>
      <c r="AD288" t="s">
        <v>94</v>
      </c>
      <c r="AE288" t="s">
        <v>94</v>
      </c>
      <c r="AF288" t="s">
        <v>226</v>
      </c>
      <c r="AG288" t="s">
        <v>226</v>
      </c>
      <c r="AH288">
        <v>-100</v>
      </c>
      <c r="AI288" t="s">
        <v>1581</v>
      </c>
      <c r="AJ288" t="s">
        <v>1582</v>
      </c>
      <c r="AK288" t="s">
        <v>1575</v>
      </c>
      <c r="AL288" t="s">
        <v>272</v>
      </c>
    </row>
    <row r="289" spans="1:38">
      <c r="A289" t="s">
        <v>1669</v>
      </c>
      <c r="B289" t="s">
        <v>1670</v>
      </c>
      <c r="C289" t="s">
        <v>1671</v>
      </c>
      <c r="D289" t="s">
        <v>1672</v>
      </c>
      <c r="E289" t="s">
        <v>1673</v>
      </c>
      <c r="F289" t="s">
        <v>1572</v>
      </c>
      <c r="G289">
        <v>1</v>
      </c>
      <c r="H289">
        <v>1</v>
      </c>
      <c r="I289">
        <v>0.01</v>
      </c>
      <c r="J289" t="s">
        <v>226</v>
      </c>
      <c r="K289">
        <v>-0.94</v>
      </c>
      <c r="L289">
        <v>73.61</v>
      </c>
      <c r="M289">
        <v>74.75</v>
      </c>
      <c r="N289">
        <v>75.27</v>
      </c>
      <c r="O289">
        <v>73.56</v>
      </c>
      <c r="P289">
        <v>0</v>
      </c>
      <c r="Q289">
        <v>0</v>
      </c>
      <c r="R289">
        <v>0</v>
      </c>
      <c r="S289">
        <v>74.73</v>
      </c>
      <c r="T289">
        <v>74.16</v>
      </c>
      <c r="U289">
        <v>73.5</v>
      </c>
      <c r="V289">
        <v>75.040000000000006</v>
      </c>
      <c r="W289">
        <v>225164</v>
      </c>
      <c r="X289">
        <v>73.61</v>
      </c>
      <c r="Y289">
        <v>73.62</v>
      </c>
      <c r="Z289">
        <v>131</v>
      </c>
      <c r="AA289">
        <v>0</v>
      </c>
      <c r="AB289">
        <v>73.61</v>
      </c>
      <c r="AC289">
        <v>0</v>
      </c>
      <c r="AD289" t="s">
        <v>94</v>
      </c>
      <c r="AE289" t="s">
        <v>94</v>
      </c>
      <c r="AF289" t="s">
        <v>226</v>
      </c>
      <c r="AG289" t="s">
        <v>226</v>
      </c>
      <c r="AH289">
        <v>-100</v>
      </c>
      <c r="AI289" t="s">
        <v>1581</v>
      </c>
      <c r="AJ289" t="s">
        <v>1582</v>
      </c>
      <c r="AK289" t="s">
        <v>1575</v>
      </c>
      <c r="AL289" t="s">
        <v>272</v>
      </c>
    </row>
    <row r="290" spans="1:38">
      <c r="A290" t="s">
        <v>1674</v>
      </c>
      <c r="B290" t="s">
        <v>1675</v>
      </c>
      <c r="C290" t="s">
        <v>1676</v>
      </c>
      <c r="D290" t="s">
        <v>1677</v>
      </c>
      <c r="E290" t="s">
        <v>1678</v>
      </c>
      <c r="F290" t="s">
        <v>1572</v>
      </c>
      <c r="G290">
        <v>1</v>
      </c>
      <c r="H290">
        <v>1</v>
      </c>
      <c r="I290">
        <v>0.5</v>
      </c>
      <c r="J290" t="s">
        <v>226</v>
      </c>
      <c r="K290">
        <v>0.33</v>
      </c>
      <c r="L290">
        <v>1072.5</v>
      </c>
      <c r="M290">
        <v>1069</v>
      </c>
      <c r="N290">
        <v>1121</v>
      </c>
      <c r="O290">
        <v>1072.5</v>
      </c>
      <c r="P290">
        <v>0</v>
      </c>
      <c r="Q290">
        <v>0</v>
      </c>
      <c r="R290">
        <v>0</v>
      </c>
      <c r="S290">
        <v>1073</v>
      </c>
      <c r="T290">
        <v>1072.5</v>
      </c>
      <c r="U290">
        <v>1069</v>
      </c>
      <c r="V290">
        <v>1080.5</v>
      </c>
      <c r="W290">
        <v>19311</v>
      </c>
      <c r="X290">
        <v>1056</v>
      </c>
      <c r="Y290">
        <v>1061.5</v>
      </c>
      <c r="Z290">
        <v>6</v>
      </c>
      <c r="AA290">
        <v>0</v>
      </c>
      <c r="AB290">
        <v>1072.5</v>
      </c>
      <c r="AC290">
        <v>0</v>
      </c>
      <c r="AD290" t="s">
        <v>94</v>
      </c>
      <c r="AE290" t="s">
        <v>94</v>
      </c>
      <c r="AF290" t="s">
        <v>226</v>
      </c>
      <c r="AG290" t="s">
        <v>226</v>
      </c>
      <c r="AH290">
        <v>-100</v>
      </c>
      <c r="AI290" t="s">
        <v>1581</v>
      </c>
      <c r="AJ290" t="s">
        <v>1582</v>
      </c>
      <c r="AK290" t="s">
        <v>1575</v>
      </c>
      <c r="AL290" t="s">
        <v>272</v>
      </c>
    </row>
    <row r="291" spans="1:38">
      <c r="A291" t="s">
        <v>1679</v>
      </c>
      <c r="B291" t="s">
        <v>1680</v>
      </c>
      <c r="C291" t="s">
        <v>1681</v>
      </c>
      <c r="D291" t="s">
        <v>1682</v>
      </c>
      <c r="E291" t="s">
        <v>1683</v>
      </c>
      <c r="F291" t="s">
        <v>1572</v>
      </c>
      <c r="G291">
        <v>1</v>
      </c>
      <c r="H291">
        <v>1</v>
      </c>
      <c r="I291">
        <v>0.01</v>
      </c>
      <c r="J291" t="s">
        <v>226</v>
      </c>
      <c r="K291">
        <v>-1.07</v>
      </c>
      <c r="L291">
        <v>900.1</v>
      </c>
      <c r="M291">
        <v>910.35</v>
      </c>
      <c r="N291">
        <v>929</v>
      </c>
      <c r="O291">
        <v>900.1</v>
      </c>
      <c r="P291">
        <v>0</v>
      </c>
      <c r="Q291">
        <v>0</v>
      </c>
      <c r="R291">
        <v>0</v>
      </c>
      <c r="S291">
        <v>903.84</v>
      </c>
      <c r="T291">
        <v>902.5</v>
      </c>
      <c r="U291">
        <v>900.1</v>
      </c>
      <c r="V291">
        <v>912.4</v>
      </c>
      <c r="W291">
        <v>16269</v>
      </c>
      <c r="X291">
        <v>894.61</v>
      </c>
      <c r="Y291">
        <v>900.85</v>
      </c>
      <c r="Z291">
        <v>10</v>
      </c>
      <c r="AA291">
        <v>0</v>
      </c>
      <c r="AB291">
        <v>900.1</v>
      </c>
      <c r="AC291">
        <v>0</v>
      </c>
      <c r="AD291" t="s">
        <v>94</v>
      </c>
      <c r="AE291" t="s">
        <v>94</v>
      </c>
      <c r="AF291" t="s">
        <v>226</v>
      </c>
      <c r="AG291" t="s">
        <v>226</v>
      </c>
      <c r="AH291">
        <v>-100</v>
      </c>
      <c r="AI291" t="s">
        <v>1581</v>
      </c>
      <c r="AJ291" t="s">
        <v>1582</v>
      </c>
      <c r="AK291" t="s">
        <v>1575</v>
      </c>
      <c r="AL291" t="s">
        <v>272</v>
      </c>
    </row>
    <row r="292" spans="1:38">
      <c r="A292" t="s">
        <v>1684</v>
      </c>
      <c r="B292" t="s">
        <v>1685</v>
      </c>
      <c r="C292" t="s">
        <v>1686</v>
      </c>
      <c r="D292" t="s">
        <v>1687</v>
      </c>
      <c r="E292" t="s">
        <v>1688</v>
      </c>
      <c r="F292" t="s">
        <v>1572</v>
      </c>
      <c r="G292">
        <v>1</v>
      </c>
      <c r="H292">
        <v>1</v>
      </c>
      <c r="I292">
        <v>2.0000000000000001E-4</v>
      </c>
      <c r="J292" t="s">
        <v>226</v>
      </c>
      <c r="K292">
        <v>-0.27</v>
      </c>
      <c r="L292">
        <v>1.3122</v>
      </c>
      <c r="M292">
        <v>1.3151999999999999</v>
      </c>
      <c r="N292">
        <v>1.3164</v>
      </c>
      <c r="O292">
        <v>1.3120000000000001</v>
      </c>
      <c r="P292">
        <v>0</v>
      </c>
      <c r="Q292">
        <v>0</v>
      </c>
      <c r="R292">
        <v>0</v>
      </c>
      <c r="S292">
        <v>1.3142</v>
      </c>
      <c r="T292">
        <v>1.3158000000000001</v>
      </c>
      <c r="U292">
        <v>1.3113999999999999</v>
      </c>
      <c r="V292">
        <v>1.3182</v>
      </c>
      <c r="W292">
        <v>19996902</v>
      </c>
      <c r="X292">
        <v>1.3120000000000001</v>
      </c>
      <c r="Y292">
        <v>1.3122</v>
      </c>
      <c r="Z292">
        <v>10601</v>
      </c>
      <c r="AA292">
        <v>0</v>
      </c>
      <c r="AB292">
        <v>1.31</v>
      </c>
      <c r="AC292">
        <v>0</v>
      </c>
      <c r="AD292" t="s">
        <v>94</v>
      </c>
      <c r="AE292" t="s">
        <v>94</v>
      </c>
      <c r="AF292" t="s">
        <v>226</v>
      </c>
      <c r="AG292" t="s">
        <v>226</v>
      </c>
      <c r="AH292">
        <v>-100</v>
      </c>
      <c r="AI292" t="s">
        <v>1581</v>
      </c>
      <c r="AJ292" t="s">
        <v>1582</v>
      </c>
      <c r="AK292" t="s">
        <v>1575</v>
      </c>
      <c r="AL292" t="s">
        <v>272</v>
      </c>
    </row>
    <row r="293" spans="1:38">
      <c r="A293" t="s">
        <v>1689</v>
      </c>
      <c r="B293" t="s">
        <v>1690</v>
      </c>
      <c r="C293" t="s">
        <v>1691</v>
      </c>
      <c r="D293" t="s">
        <v>1692</v>
      </c>
      <c r="E293" t="s">
        <v>1693</v>
      </c>
      <c r="F293" t="s">
        <v>1572</v>
      </c>
      <c r="G293">
        <v>1</v>
      </c>
      <c r="H293">
        <v>1</v>
      </c>
      <c r="I293">
        <v>0.02</v>
      </c>
      <c r="J293" t="s">
        <v>226</v>
      </c>
      <c r="K293">
        <v>-0.89</v>
      </c>
      <c r="L293">
        <v>158.04</v>
      </c>
      <c r="M293">
        <v>159.4</v>
      </c>
      <c r="N293">
        <v>159.84</v>
      </c>
      <c r="O293">
        <v>157.88</v>
      </c>
      <c r="P293">
        <v>0</v>
      </c>
      <c r="Q293">
        <v>0</v>
      </c>
      <c r="R293">
        <v>0</v>
      </c>
      <c r="S293">
        <v>159.36000000000001</v>
      </c>
      <c r="T293">
        <v>159.46</v>
      </c>
      <c r="U293">
        <v>157.5</v>
      </c>
      <c r="V293">
        <v>160.47999999999999</v>
      </c>
      <c r="W293">
        <v>21464190</v>
      </c>
      <c r="X293">
        <v>157.9</v>
      </c>
      <c r="Y293">
        <v>158.04</v>
      </c>
      <c r="Z293">
        <v>1537</v>
      </c>
      <c r="AA293">
        <v>0</v>
      </c>
      <c r="AB293">
        <v>158.04</v>
      </c>
      <c r="AC293">
        <v>0</v>
      </c>
      <c r="AD293" t="s">
        <v>94</v>
      </c>
      <c r="AE293" t="s">
        <v>94</v>
      </c>
      <c r="AF293" t="s">
        <v>226</v>
      </c>
      <c r="AG293" t="s">
        <v>226</v>
      </c>
      <c r="AH293">
        <v>-100</v>
      </c>
      <c r="AI293" t="s">
        <v>1581</v>
      </c>
      <c r="AJ293" t="s">
        <v>1582</v>
      </c>
      <c r="AK293" t="s">
        <v>1575</v>
      </c>
      <c r="AL293" t="s">
        <v>272</v>
      </c>
    </row>
    <row r="294" spans="1:38">
      <c r="A294" t="s">
        <v>1694</v>
      </c>
      <c r="B294" t="s">
        <v>1695</v>
      </c>
      <c r="C294" t="s">
        <v>1696</v>
      </c>
      <c r="D294" t="s">
        <v>1697</v>
      </c>
      <c r="E294" t="s">
        <v>1698</v>
      </c>
      <c r="F294" t="s">
        <v>1572</v>
      </c>
      <c r="G294">
        <v>1</v>
      </c>
      <c r="H294">
        <v>1</v>
      </c>
      <c r="I294">
        <v>0.2</v>
      </c>
      <c r="J294" t="s">
        <v>226</v>
      </c>
      <c r="K294">
        <v>-1.63</v>
      </c>
      <c r="L294">
        <v>989</v>
      </c>
      <c r="M294">
        <v>1007.8</v>
      </c>
      <c r="N294">
        <v>1003.2</v>
      </c>
      <c r="O294">
        <v>990.6</v>
      </c>
      <c r="P294">
        <v>0</v>
      </c>
      <c r="Q294">
        <v>0</v>
      </c>
      <c r="R294">
        <v>0</v>
      </c>
      <c r="S294">
        <v>1000.4</v>
      </c>
      <c r="T294">
        <v>1002</v>
      </c>
      <c r="U294">
        <v>989</v>
      </c>
      <c r="V294">
        <v>1009</v>
      </c>
      <c r="W294">
        <v>951444</v>
      </c>
      <c r="X294">
        <v>989</v>
      </c>
      <c r="Y294">
        <v>991.8</v>
      </c>
      <c r="Z294">
        <v>162</v>
      </c>
      <c r="AA294">
        <v>0</v>
      </c>
      <c r="AB294">
        <v>989</v>
      </c>
      <c r="AC294">
        <v>0</v>
      </c>
      <c r="AD294" t="s">
        <v>94</v>
      </c>
      <c r="AE294" t="s">
        <v>94</v>
      </c>
      <c r="AF294" t="s">
        <v>226</v>
      </c>
      <c r="AG294" t="s">
        <v>226</v>
      </c>
      <c r="AH294">
        <v>-100</v>
      </c>
      <c r="AI294" t="s">
        <v>1581</v>
      </c>
      <c r="AJ294" t="s">
        <v>1582</v>
      </c>
      <c r="AK294" t="s">
        <v>1575</v>
      </c>
      <c r="AL294" t="s">
        <v>272</v>
      </c>
    </row>
    <row r="295" spans="1:38">
      <c r="A295" t="s">
        <v>1699</v>
      </c>
      <c r="B295" t="s">
        <v>1700</v>
      </c>
      <c r="C295" t="s">
        <v>1701</v>
      </c>
      <c r="D295" t="s">
        <v>1702</v>
      </c>
      <c r="E295" t="s">
        <v>1703</v>
      </c>
      <c r="F295" t="s">
        <v>1572</v>
      </c>
      <c r="G295">
        <v>1</v>
      </c>
      <c r="H295">
        <v>1</v>
      </c>
      <c r="I295">
        <v>0.5</v>
      </c>
      <c r="J295" t="s">
        <v>226</v>
      </c>
      <c r="K295">
        <v>-1.49</v>
      </c>
      <c r="L295">
        <v>692</v>
      </c>
      <c r="M295">
        <v>699.5</v>
      </c>
      <c r="N295">
        <v>708.5</v>
      </c>
      <c r="O295">
        <v>693</v>
      </c>
      <c r="P295">
        <v>0</v>
      </c>
      <c r="Q295">
        <v>0</v>
      </c>
      <c r="R295">
        <v>0</v>
      </c>
      <c r="S295">
        <v>703.5</v>
      </c>
      <c r="T295">
        <v>700</v>
      </c>
      <c r="U295">
        <v>692</v>
      </c>
      <c r="V295">
        <v>706</v>
      </c>
      <c r="W295">
        <v>433298</v>
      </c>
      <c r="X295">
        <v>691</v>
      </c>
      <c r="Y295">
        <v>693.5</v>
      </c>
      <c r="Z295">
        <v>49</v>
      </c>
      <c r="AA295">
        <v>0</v>
      </c>
      <c r="AB295">
        <v>1384</v>
      </c>
      <c r="AC295">
        <v>0</v>
      </c>
      <c r="AD295" t="s">
        <v>94</v>
      </c>
      <c r="AE295" t="s">
        <v>94</v>
      </c>
      <c r="AF295" t="s">
        <v>226</v>
      </c>
      <c r="AG295" t="s">
        <v>226</v>
      </c>
      <c r="AH295">
        <v>-100</v>
      </c>
      <c r="AI295" t="s">
        <v>1581</v>
      </c>
      <c r="AJ295" t="s">
        <v>1582</v>
      </c>
      <c r="AK295" t="s">
        <v>1575</v>
      </c>
      <c r="AL295" t="s">
        <v>272</v>
      </c>
    </row>
    <row r="296" spans="1:38">
      <c r="A296" t="s">
        <v>1704</v>
      </c>
      <c r="B296" t="s">
        <v>1705</v>
      </c>
      <c r="C296" t="s">
        <v>1706</v>
      </c>
      <c r="D296" t="s">
        <v>1707</v>
      </c>
      <c r="E296" t="s">
        <v>1708</v>
      </c>
      <c r="F296" t="s">
        <v>1572</v>
      </c>
      <c r="G296">
        <v>1</v>
      </c>
      <c r="H296">
        <v>1</v>
      </c>
      <c r="I296">
        <v>0.1</v>
      </c>
      <c r="J296" t="s">
        <v>226</v>
      </c>
      <c r="K296">
        <v>0</v>
      </c>
      <c r="L296">
        <v>1048</v>
      </c>
      <c r="M296">
        <v>1048</v>
      </c>
      <c r="N296">
        <v>1045.3</v>
      </c>
      <c r="O296">
        <v>1048</v>
      </c>
      <c r="P296">
        <v>0</v>
      </c>
      <c r="Q296">
        <v>0</v>
      </c>
      <c r="R296">
        <v>0</v>
      </c>
      <c r="S296">
        <v>1048</v>
      </c>
      <c r="T296">
        <v>1048</v>
      </c>
      <c r="U296">
        <v>1048</v>
      </c>
      <c r="V296">
        <v>1048</v>
      </c>
      <c r="W296">
        <v>4192</v>
      </c>
      <c r="X296">
        <v>1048</v>
      </c>
      <c r="Y296">
        <v>1054</v>
      </c>
      <c r="Z296">
        <v>1</v>
      </c>
      <c r="AA296">
        <v>0</v>
      </c>
      <c r="AB296">
        <v>4192</v>
      </c>
      <c r="AC296">
        <v>0</v>
      </c>
      <c r="AD296" t="s">
        <v>94</v>
      </c>
      <c r="AE296" t="s">
        <v>94</v>
      </c>
      <c r="AF296" t="s">
        <v>226</v>
      </c>
      <c r="AG296" t="s">
        <v>226</v>
      </c>
      <c r="AH296">
        <v>-100</v>
      </c>
      <c r="AI296" t="s">
        <v>1581</v>
      </c>
      <c r="AJ296" t="s">
        <v>1582</v>
      </c>
      <c r="AK296" t="s">
        <v>1575</v>
      </c>
      <c r="AL296" t="s">
        <v>272</v>
      </c>
    </row>
    <row r="297" spans="1:38">
      <c r="A297" t="s">
        <v>1709</v>
      </c>
      <c r="B297" t="s">
        <v>1710</v>
      </c>
      <c r="C297" t="s">
        <v>1711</v>
      </c>
      <c r="D297" t="s">
        <v>1712</v>
      </c>
      <c r="E297" t="s">
        <v>1713</v>
      </c>
      <c r="F297" t="s">
        <v>1572</v>
      </c>
      <c r="G297">
        <v>3</v>
      </c>
      <c r="H297">
        <v>1</v>
      </c>
      <c r="I297">
        <v>1E-3</v>
      </c>
      <c r="J297" t="s">
        <v>226</v>
      </c>
      <c r="K297">
        <v>0.05</v>
      </c>
      <c r="L297">
        <v>10.287000000000001</v>
      </c>
      <c r="M297">
        <v>10.282</v>
      </c>
      <c r="N297">
        <v>10.281000000000001</v>
      </c>
      <c r="O297">
        <v>10.288</v>
      </c>
      <c r="P297">
        <v>0</v>
      </c>
      <c r="Q297">
        <v>0</v>
      </c>
      <c r="R297">
        <v>0</v>
      </c>
      <c r="S297">
        <v>10.287000000000001</v>
      </c>
      <c r="T297">
        <v>10.285</v>
      </c>
      <c r="U297">
        <v>10.285</v>
      </c>
      <c r="V297">
        <v>10.288</v>
      </c>
      <c r="W297">
        <v>26983970</v>
      </c>
      <c r="X297">
        <v>10.287000000000001</v>
      </c>
      <c r="Y297">
        <v>10.288</v>
      </c>
      <c r="Z297">
        <v>617</v>
      </c>
      <c r="AA297">
        <v>0</v>
      </c>
      <c r="AB297">
        <v>51.44</v>
      </c>
      <c r="AC297">
        <v>0</v>
      </c>
      <c r="AD297" t="s">
        <v>94</v>
      </c>
      <c r="AE297" t="s">
        <v>94</v>
      </c>
      <c r="AF297" t="s">
        <v>226</v>
      </c>
      <c r="AG297" t="s">
        <v>226</v>
      </c>
      <c r="AH297">
        <v>-100</v>
      </c>
      <c r="AI297" t="s">
        <v>1581</v>
      </c>
      <c r="AJ297" t="s">
        <v>1582</v>
      </c>
      <c r="AK297" t="s">
        <v>1575</v>
      </c>
      <c r="AL297" t="s">
        <v>272</v>
      </c>
    </row>
    <row r="298" spans="1:38">
      <c r="A298" t="s">
        <v>1714</v>
      </c>
      <c r="B298" t="s">
        <v>1715</v>
      </c>
      <c r="C298" t="s">
        <v>1716</v>
      </c>
      <c r="D298" t="s">
        <v>1717</v>
      </c>
      <c r="E298" t="s">
        <v>1718</v>
      </c>
      <c r="F298" t="s">
        <v>1572</v>
      </c>
      <c r="G298">
        <v>1</v>
      </c>
      <c r="H298">
        <v>1</v>
      </c>
      <c r="I298">
        <v>5.0000000000000001E-4</v>
      </c>
      <c r="J298" t="s">
        <v>226</v>
      </c>
      <c r="K298">
        <v>0.36</v>
      </c>
      <c r="L298">
        <v>2.226</v>
      </c>
      <c r="M298">
        <v>2.23</v>
      </c>
      <c r="N298">
        <v>2.2364999999999999</v>
      </c>
      <c r="O298">
        <v>2.2244999999999999</v>
      </c>
      <c r="P298">
        <v>0</v>
      </c>
      <c r="Q298">
        <v>0</v>
      </c>
      <c r="R298">
        <v>0</v>
      </c>
      <c r="S298">
        <v>2.2080000000000002</v>
      </c>
      <c r="T298">
        <v>2.2250000000000001</v>
      </c>
      <c r="U298">
        <v>2.1949999999999998</v>
      </c>
      <c r="V298">
        <v>2.2290000000000001</v>
      </c>
      <c r="W298">
        <v>72049196</v>
      </c>
      <c r="X298">
        <v>2.2254999999999998</v>
      </c>
      <c r="Y298">
        <v>2.226</v>
      </c>
      <c r="Z298">
        <v>9532</v>
      </c>
      <c r="AA298">
        <v>0</v>
      </c>
      <c r="AB298">
        <v>33.39</v>
      </c>
      <c r="AC298">
        <v>0</v>
      </c>
      <c r="AD298" t="s">
        <v>2</v>
      </c>
      <c r="AE298" t="s">
        <v>94</v>
      </c>
      <c r="AF298" t="s">
        <v>226</v>
      </c>
      <c r="AG298" t="s">
        <v>226</v>
      </c>
      <c r="AH298">
        <v>-100</v>
      </c>
      <c r="AI298" t="s">
        <v>1581</v>
      </c>
      <c r="AJ298" t="s">
        <v>1582</v>
      </c>
      <c r="AK298" t="s">
        <v>1575</v>
      </c>
      <c r="AL298" t="s">
        <v>272</v>
      </c>
    </row>
    <row r="299" spans="1:38">
      <c r="A299" t="s">
        <v>1719</v>
      </c>
      <c r="B299" t="s">
        <v>1720</v>
      </c>
      <c r="C299" t="s">
        <v>1721</v>
      </c>
      <c r="D299" t="s">
        <v>1722</v>
      </c>
      <c r="E299" t="s">
        <v>1723</v>
      </c>
      <c r="F299" t="s">
        <v>1572</v>
      </c>
      <c r="G299">
        <v>1</v>
      </c>
      <c r="H299">
        <v>1</v>
      </c>
      <c r="I299">
        <v>0.02</v>
      </c>
      <c r="J299" t="s">
        <v>226</v>
      </c>
      <c r="K299">
        <v>-0.48</v>
      </c>
      <c r="L299">
        <v>99.56</v>
      </c>
      <c r="M299">
        <v>100.04</v>
      </c>
      <c r="N299">
        <v>97.42</v>
      </c>
      <c r="O299">
        <v>99.4</v>
      </c>
      <c r="P299">
        <v>0</v>
      </c>
      <c r="Q299">
        <v>0</v>
      </c>
      <c r="R299">
        <v>0</v>
      </c>
      <c r="S299">
        <v>99</v>
      </c>
      <c r="T299">
        <v>99.54</v>
      </c>
      <c r="U299">
        <v>98.82</v>
      </c>
      <c r="V299">
        <v>99.56</v>
      </c>
      <c r="W299">
        <v>20590</v>
      </c>
      <c r="X299">
        <v>98.94</v>
      </c>
      <c r="Y299">
        <v>99.66</v>
      </c>
      <c r="Z299">
        <v>25</v>
      </c>
      <c r="AA299">
        <v>0</v>
      </c>
      <c r="AB299">
        <v>199.12</v>
      </c>
      <c r="AC299">
        <v>0</v>
      </c>
      <c r="AD299" t="s">
        <v>94</v>
      </c>
      <c r="AE299" t="s">
        <v>94</v>
      </c>
      <c r="AF299" t="s">
        <v>226</v>
      </c>
      <c r="AG299" t="s">
        <v>226</v>
      </c>
      <c r="AH299">
        <v>-100</v>
      </c>
      <c r="AI299" t="s">
        <v>1581</v>
      </c>
      <c r="AJ299" t="s">
        <v>1582</v>
      </c>
      <c r="AK299" t="s">
        <v>1575</v>
      </c>
      <c r="AL299" t="s">
        <v>272</v>
      </c>
    </row>
    <row r="300" spans="1:38">
      <c r="A300" t="s">
        <v>1724</v>
      </c>
      <c r="B300" t="s">
        <v>1725</v>
      </c>
      <c r="C300" t="s">
        <v>1726</v>
      </c>
      <c r="D300" t="s">
        <v>1727</v>
      </c>
      <c r="E300" t="s">
        <v>1728</v>
      </c>
      <c r="F300" t="s">
        <v>1572</v>
      </c>
      <c r="G300">
        <v>1</v>
      </c>
      <c r="H300">
        <v>1</v>
      </c>
      <c r="I300">
        <v>0.05</v>
      </c>
      <c r="J300" t="s">
        <v>226</v>
      </c>
      <c r="K300">
        <v>-0.13</v>
      </c>
      <c r="L300">
        <v>116.5</v>
      </c>
      <c r="M300">
        <v>116.65</v>
      </c>
      <c r="N300">
        <v>116.45</v>
      </c>
      <c r="O300">
        <v>116.6</v>
      </c>
      <c r="P300">
        <v>0</v>
      </c>
      <c r="Q300">
        <v>0</v>
      </c>
      <c r="R300">
        <v>0</v>
      </c>
      <c r="S300">
        <v>116.65</v>
      </c>
      <c r="T300">
        <v>117.6</v>
      </c>
      <c r="U300">
        <v>116.5</v>
      </c>
      <c r="V300">
        <v>117.6</v>
      </c>
      <c r="W300">
        <v>1006753</v>
      </c>
      <c r="X300">
        <v>116.5</v>
      </c>
      <c r="Y300">
        <v>116.6</v>
      </c>
      <c r="Z300">
        <v>234</v>
      </c>
      <c r="AA300">
        <v>0</v>
      </c>
      <c r="AB300">
        <v>116.5</v>
      </c>
      <c r="AC300">
        <v>0</v>
      </c>
      <c r="AD300" t="s">
        <v>94</v>
      </c>
      <c r="AE300" t="s">
        <v>94</v>
      </c>
      <c r="AF300" t="s">
        <v>226</v>
      </c>
      <c r="AG300" t="s">
        <v>226</v>
      </c>
      <c r="AH300">
        <v>-100</v>
      </c>
      <c r="AI300" t="s">
        <v>1581</v>
      </c>
      <c r="AJ300" t="s">
        <v>1582</v>
      </c>
      <c r="AK300" t="s">
        <v>1575</v>
      </c>
      <c r="AL300" t="s">
        <v>272</v>
      </c>
    </row>
    <row r="301" spans="1:38">
      <c r="A301" t="s">
        <v>1729</v>
      </c>
      <c r="B301" t="s">
        <v>1730</v>
      </c>
      <c r="C301" t="s">
        <v>1731</v>
      </c>
      <c r="D301" t="s">
        <v>1732</v>
      </c>
      <c r="E301" t="s">
        <v>1733</v>
      </c>
      <c r="F301" t="s">
        <v>1572</v>
      </c>
      <c r="G301">
        <v>1</v>
      </c>
      <c r="H301">
        <v>1</v>
      </c>
      <c r="I301">
        <v>1</v>
      </c>
      <c r="J301" t="s">
        <v>226</v>
      </c>
      <c r="K301">
        <v>1.1200000000000001</v>
      </c>
      <c r="L301">
        <v>900</v>
      </c>
      <c r="M301">
        <v>894</v>
      </c>
      <c r="N301">
        <v>913</v>
      </c>
      <c r="O301">
        <v>900</v>
      </c>
      <c r="P301">
        <v>0</v>
      </c>
      <c r="Q301">
        <v>0</v>
      </c>
      <c r="R301">
        <v>0</v>
      </c>
      <c r="S301">
        <v>900</v>
      </c>
      <c r="T301">
        <v>900</v>
      </c>
      <c r="U301">
        <v>900</v>
      </c>
      <c r="V301">
        <v>900</v>
      </c>
      <c r="W301">
        <v>15300</v>
      </c>
      <c r="X301">
        <v>883</v>
      </c>
      <c r="Y301">
        <v>888</v>
      </c>
      <c r="Z301">
        <v>4</v>
      </c>
      <c r="AA301">
        <v>0</v>
      </c>
      <c r="AB301">
        <v>900</v>
      </c>
      <c r="AC301">
        <v>0</v>
      </c>
      <c r="AD301" t="s">
        <v>94</v>
      </c>
      <c r="AE301" t="s">
        <v>94</v>
      </c>
      <c r="AF301" t="s">
        <v>226</v>
      </c>
      <c r="AG301" t="s">
        <v>226</v>
      </c>
      <c r="AH301">
        <v>-100</v>
      </c>
      <c r="AI301" t="s">
        <v>1581</v>
      </c>
      <c r="AJ301" t="s">
        <v>1582</v>
      </c>
      <c r="AK301" t="s">
        <v>1575</v>
      </c>
      <c r="AL301" t="s">
        <v>272</v>
      </c>
    </row>
    <row r="302" spans="1:38">
      <c r="A302" t="s">
        <v>1734</v>
      </c>
      <c r="B302" t="s">
        <v>1735</v>
      </c>
      <c r="C302" t="s">
        <v>1736</v>
      </c>
      <c r="D302" t="s">
        <v>1737</v>
      </c>
      <c r="E302" t="s">
        <v>1738</v>
      </c>
      <c r="F302" t="s">
        <v>1572</v>
      </c>
      <c r="G302">
        <v>1</v>
      </c>
      <c r="H302">
        <v>1</v>
      </c>
      <c r="I302">
        <v>0.02</v>
      </c>
      <c r="J302" t="s">
        <v>226</v>
      </c>
      <c r="K302">
        <v>0.31</v>
      </c>
      <c r="L302">
        <v>142.22</v>
      </c>
      <c r="M302">
        <v>141.76</v>
      </c>
      <c r="N302">
        <v>141.84</v>
      </c>
      <c r="O302">
        <v>142.22</v>
      </c>
      <c r="P302">
        <v>0</v>
      </c>
      <c r="Q302">
        <v>0</v>
      </c>
      <c r="R302">
        <v>0</v>
      </c>
      <c r="S302">
        <v>142.08000000000001</v>
      </c>
      <c r="T302">
        <v>141.78</v>
      </c>
      <c r="U302">
        <v>141.76</v>
      </c>
      <c r="V302">
        <v>142.47999999999999</v>
      </c>
      <c r="W302">
        <v>6466535</v>
      </c>
      <c r="X302">
        <v>142.22</v>
      </c>
      <c r="Y302">
        <v>142.24</v>
      </c>
      <c r="Z302">
        <v>515</v>
      </c>
      <c r="AA302">
        <v>0</v>
      </c>
      <c r="AB302">
        <v>142.22</v>
      </c>
      <c r="AC302">
        <v>0</v>
      </c>
      <c r="AD302" t="s">
        <v>94</v>
      </c>
      <c r="AE302" t="s">
        <v>94</v>
      </c>
      <c r="AF302" t="s">
        <v>226</v>
      </c>
      <c r="AG302" t="s">
        <v>226</v>
      </c>
      <c r="AH302">
        <v>-100</v>
      </c>
      <c r="AI302" t="s">
        <v>1581</v>
      </c>
      <c r="AJ302" t="s">
        <v>1582</v>
      </c>
      <c r="AK302" t="s">
        <v>1575</v>
      </c>
      <c r="AL302" t="s">
        <v>272</v>
      </c>
    </row>
    <row r="303" spans="1:38">
      <c r="A303" t="s">
        <v>1739</v>
      </c>
      <c r="B303" t="s">
        <v>1740</v>
      </c>
      <c r="C303" t="s">
        <v>1741</v>
      </c>
      <c r="D303" t="s">
        <v>1742</v>
      </c>
      <c r="E303" t="s">
        <v>1743</v>
      </c>
      <c r="F303" t="s">
        <v>1572</v>
      </c>
      <c r="G303">
        <v>1</v>
      </c>
      <c r="H303">
        <v>1</v>
      </c>
      <c r="I303">
        <v>0.02</v>
      </c>
      <c r="J303" t="s">
        <v>226</v>
      </c>
      <c r="K303">
        <v>-0.4</v>
      </c>
      <c r="L303">
        <v>84.18</v>
      </c>
      <c r="M303">
        <v>84.14</v>
      </c>
      <c r="N303">
        <v>83.18</v>
      </c>
      <c r="O303">
        <v>84.18</v>
      </c>
      <c r="P303">
        <v>0</v>
      </c>
      <c r="Q303">
        <v>0</v>
      </c>
      <c r="R303">
        <v>0</v>
      </c>
      <c r="S303">
        <v>84.14</v>
      </c>
      <c r="T303">
        <v>84.12</v>
      </c>
      <c r="U303">
        <v>84.12</v>
      </c>
      <c r="V303">
        <v>84.18</v>
      </c>
      <c r="W303">
        <v>505</v>
      </c>
      <c r="X303">
        <v>84.16</v>
      </c>
      <c r="Y303">
        <v>84.18</v>
      </c>
      <c r="Z303">
        <v>2</v>
      </c>
      <c r="AA303">
        <v>0</v>
      </c>
      <c r="AB303">
        <v>84.18</v>
      </c>
      <c r="AC303">
        <v>0</v>
      </c>
      <c r="AD303" t="s">
        <v>94</v>
      </c>
      <c r="AE303" t="s">
        <v>94</v>
      </c>
      <c r="AF303" t="s">
        <v>226</v>
      </c>
      <c r="AG303" t="s">
        <v>226</v>
      </c>
      <c r="AH303">
        <v>-100</v>
      </c>
      <c r="AI303" t="s">
        <v>1581</v>
      </c>
      <c r="AJ303" t="s">
        <v>1582</v>
      </c>
      <c r="AK303" t="s">
        <v>1575</v>
      </c>
      <c r="AL303" t="s">
        <v>272</v>
      </c>
    </row>
    <row r="304" spans="1:38">
      <c r="A304" t="s">
        <v>1744</v>
      </c>
      <c r="B304" t="s">
        <v>1745</v>
      </c>
      <c r="C304" t="s">
        <v>1746</v>
      </c>
      <c r="D304" t="s">
        <v>1747</v>
      </c>
      <c r="E304" t="s">
        <v>1748</v>
      </c>
      <c r="F304" t="s">
        <v>1572</v>
      </c>
      <c r="G304">
        <v>1</v>
      </c>
      <c r="H304">
        <v>1</v>
      </c>
      <c r="I304">
        <v>0.02</v>
      </c>
      <c r="J304" t="s">
        <v>226</v>
      </c>
      <c r="K304">
        <v>-0.14000000000000001</v>
      </c>
      <c r="L304">
        <v>85.06</v>
      </c>
      <c r="M304">
        <v>85.18</v>
      </c>
      <c r="N304">
        <v>81.92</v>
      </c>
      <c r="O304">
        <v>85.06</v>
      </c>
      <c r="P304">
        <v>0</v>
      </c>
      <c r="Q304">
        <v>0</v>
      </c>
      <c r="R304">
        <v>0</v>
      </c>
      <c r="S304">
        <v>85.12</v>
      </c>
      <c r="T304">
        <v>85.18</v>
      </c>
      <c r="U304">
        <v>84.96</v>
      </c>
      <c r="V304">
        <v>85.56</v>
      </c>
      <c r="W304">
        <v>87933</v>
      </c>
      <c r="X304">
        <v>84.58</v>
      </c>
      <c r="Y304">
        <v>84.66</v>
      </c>
      <c r="Z304">
        <v>20</v>
      </c>
      <c r="AA304">
        <v>0</v>
      </c>
      <c r="AB304">
        <v>85.06</v>
      </c>
      <c r="AC304">
        <v>0</v>
      </c>
      <c r="AD304" t="s">
        <v>94</v>
      </c>
      <c r="AE304" t="s">
        <v>94</v>
      </c>
      <c r="AF304" t="s">
        <v>226</v>
      </c>
      <c r="AG304" t="s">
        <v>226</v>
      </c>
      <c r="AH304">
        <v>-100</v>
      </c>
      <c r="AI304" t="s">
        <v>1581</v>
      </c>
      <c r="AJ304" t="s">
        <v>1582</v>
      </c>
      <c r="AK304" t="s">
        <v>1575</v>
      </c>
      <c r="AL304" t="s">
        <v>272</v>
      </c>
    </row>
    <row r="305" spans="1:38">
      <c r="A305" t="s">
        <v>1749</v>
      </c>
      <c r="B305" t="s">
        <v>1750</v>
      </c>
      <c r="C305" t="s">
        <v>1751</v>
      </c>
      <c r="D305" t="s">
        <v>1752</v>
      </c>
      <c r="E305" t="s">
        <v>1753</v>
      </c>
      <c r="F305" t="s">
        <v>1572</v>
      </c>
      <c r="G305">
        <v>1</v>
      </c>
      <c r="H305">
        <v>1</v>
      </c>
      <c r="I305">
        <v>1</v>
      </c>
      <c r="J305" t="s">
        <v>226</v>
      </c>
      <c r="K305">
        <v>-2.0299999999999998</v>
      </c>
      <c r="L305">
        <v>967</v>
      </c>
      <c r="M305">
        <v>987</v>
      </c>
      <c r="N305">
        <v>992</v>
      </c>
      <c r="O305">
        <v>967</v>
      </c>
      <c r="P305">
        <v>0</v>
      </c>
      <c r="Q305">
        <v>0</v>
      </c>
      <c r="R305">
        <v>0</v>
      </c>
      <c r="S305">
        <v>967</v>
      </c>
      <c r="T305">
        <v>967</v>
      </c>
      <c r="U305">
        <v>967</v>
      </c>
      <c r="V305">
        <v>974</v>
      </c>
      <c r="W305">
        <v>21281</v>
      </c>
      <c r="X305">
        <v>951</v>
      </c>
      <c r="Y305">
        <v>958</v>
      </c>
      <c r="Z305">
        <v>4</v>
      </c>
      <c r="AA305">
        <v>0</v>
      </c>
      <c r="AB305">
        <v>3868</v>
      </c>
      <c r="AC305">
        <v>0</v>
      </c>
      <c r="AD305" t="s">
        <v>2</v>
      </c>
      <c r="AE305" t="s">
        <v>94</v>
      </c>
      <c r="AF305" t="s">
        <v>226</v>
      </c>
      <c r="AG305" t="s">
        <v>226</v>
      </c>
      <c r="AH305">
        <v>-100</v>
      </c>
      <c r="AI305" t="s">
        <v>1581</v>
      </c>
      <c r="AJ305" t="s">
        <v>1582</v>
      </c>
      <c r="AK305" t="s">
        <v>1575</v>
      </c>
      <c r="AL305" t="s">
        <v>272</v>
      </c>
    </row>
    <row r="306" spans="1:38">
      <c r="A306" t="s">
        <v>1754</v>
      </c>
      <c r="B306" t="s">
        <v>1755</v>
      </c>
      <c r="C306" t="s">
        <v>1756</v>
      </c>
      <c r="D306" t="s">
        <v>1757</v>
      </c>
      <c r="E306" t="s">
        <v>1758</v>
      </c>
      <c r="F306" t="s">
        <v>1572</v>
      </c>
      <c r="G306">
        <v>1</v>
      </c>
      <c r="H306">
        <v>1</v>
      </c>
      <c r="I306">
        <v>1E-3</v>
      </c>
      <c r="J306" t="s">
        <v>226</v>
      </c>
      <c r="K306">
        <v>0.06</v>
      </c>
      <c r="L306">
        <v>10.855</v>
      </c>
      <c r="M306">
        <v>10.848000000000001</v>
      </c>
      <c r="N306">
        <v>10.848000000000001</v>
      </c>
      <c r="O306">
        <v>10.853999999999999</v>
      </c>
      <c r="P306">
        <v>0</v>
      </c>
      <c r="Q306">
        <v>0</v>
      </c>
      <c r="R306">
        <v>0</v>
      </c>
      <c r="S306">
        <v>10.855</v>
      </c>
      <c r="T306">
        <v>10.852</v>
      </c>
      <c r="U306">
        <v>10.852</v>
      </c>
      <c r="V306">
        <v>10.855</v>
      </c>
      <c r="W306">
        <v>22986262</v>
      </c>
      <c r="X306">
        <v>10.853999999999999</v>
      </c>
      <c r="Y306">
        <v>10.855</v>
      </c>
      <c r="Z306">
        <v>204</v>
      </c>
      <c r="AA306">
        <v>0</v>
      </c>
      <c r="AB306">
        <v>151.97</v>
      </c>
      <c r="AC306">
        <v>0</v>
      </c>
      <c r="AD306" t="s">
        <v>94</v>
      </c>
      <c r="AE306" t="s">
        <v>94</v>
      </c>
      <c r="AF306" t="s">
        <v>226</v>
      </c>
      <c r="AG306" t="s">
        <v>226</v>
      </c>
      <c r="AH306">
        <v>-100</v>
      </c>
      <c r="AI306" t="s">
        <v>1581</v>
      </c>
      <c r="AJ306" t="s">
        <v>1582</v>
      </c>
      <c r="AK306" t="s">
        <v>1575</v>
      </c>
      <c r="AL306" t="s">
        <v>272</v>
      </c>
    </row>
    <row r="307" spans="1:38">
      <c r="A307" t="s">
        <v>1759</v>
      </c>
      <c r="B307" t="s">
        <v>1760</v>
      </c>
      <c r="C307" t="s">
        <v>1761</v>
      </c>
      <c r="D307" t="s">
        <v>1762</v>
      </c>
      <c r="E307" t="s">
        <v>1763</v>
      </c>
      <c r="F307" t="s">
        <v>1572</v>
      </c>
      <c r="G307">
        <v>1</v>
      </c>
      <c r="H307">
        <v>1</v>
      </c>
      <c r="I307">
        <v>1E-3</v>
      </c>
      <c r="J307" t="s">
        <v>226</v>
      </c>
      <c r="K307">
        <v>-1.0900000000000001</v>
      </c>
      <c r="L307">
        <v>10.044</v>
      </c>
      <c r="M307">
        <v>10.154999999999999</v>
      </c>
      <c r="N307">
        <v>0</v>
      </c>
      <c r="O307">
        <v>10.044</v>
      </c>
      <c r="P307">
        <v>0</v>
      </c>
      <c r="Q307">
        <v>0</v>
      </c>
      <c r="R307">
        <v>0</v>
      </c>
      <c r="S307">
        <v>10.039</v>
      </c>
      <c r="T307">
        <v>10.154999999999999</v>
      </c>
      <c r="U307">
        <v>9.9450000000000003</v>
      </c>
      <c r="V307">
        <v>10.180999999999999</v>
      </c>
      <c r="W307">
        <v>327403</v>
      </c>
      <c r="X307">
        <v>10.000999999999999</v>
      </c>
      <c r="Y307">
        <v>10.044</v>
      </c>
      <c r="Z307">
        <v>70</v>
      </c>
      <c r="AA307">
        <v>0</v>
      </c>
      <c r="AB307">
        <v>16130.66</v>
      </c>
      <c r="AC307">
        <v>0</v>
      </c>
      <c r="AD307" t="s">
        <v>94</v>
      </c>
      <c r="AE307" t="s">
        <v>94</v>
      </c>
      <c r="AF307" t="s">
        <v>226</v>
      </c>
      <c r="AG307" t="s">
        <v>226</v>
      </c>
      <c r="AH307">
        <v>-100</v>
      </c>
      <c r="AI307" t="s">
        <v>1581</v>
      </c>
      <c r="AJ307" t="s">
        <v>1582</v>
      </c>
      <c r="AK307" t="s">
        <v>1575</v>
      </c>
      <c r="AL307" t="s">
        <v>272</v>
      </c>
    </row>
    <row r="308" spans="1:38">
      <c r="A308" t="s">
        <v>1764</v>
      </c>
      <c r="B308" t="s">
        <v>1765</v>
      </c>
      <c r="C308" t="s">
        <v>1766</v>
      </c>
      <c r="D308" t="s">
        <v>1767</v>
      </c>
      <c r="E308" t="s">
        <v>1768</v>
      </c>
      <c r="F308" t="s">
        <v>1572</v>
      </c>
      <c r="G308">
        <v>1</v>
      </c>
      <c r="H308">
        <v>1</v>
      </c>
      <c r="I308">
        <v>1</v>
      </c>
      <c r="J308" t="s">
        <v>226</v>
      </c>
      <c r="K308">
        <v>0</v>
      </c>
      <c r="L308">
        <v>0</v>
      </c>
      <c r="M308">
        <v>2368</v>
      </c>
      <c r="N308">
        <v>2365</v>
      </c>
      <c r="O308">
        <v>2368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 t="s">
        <v>94</v>
      </c>
      <c r="AE308" t="s">
        <v>94</v>
      </c>
      <c r="AF308" t="s">
        <v>226</v>
      </c>
      <c r="AG308" t="s">
        <v>226</v>
      </c>
      <c r="AH308">
        <v>-100</v>
      </c>
      <c r="AI308" t="s">
        <v>1581</v>
      </c>
      <c r="AJ308" t="s">
        <v>1582</v>
      </c>
      <c r="AK308" t="s">
        <v>1575</v>
      </c>
      <c r="AL308" t="s">
        <v>1020</v>
      </c>
    </row>
    <row r="309" spans="1:38">
      <c r="A309" t="s">
        <v>1769</v>
      </c>
      <c r="B309" t="s">
        <v>1770</v>
      </c>
      <c r="C309" t="s">
        <v>1771</v>
      </c>
      <c r="D309" t="s">
        <v>1772</v>
      </c>
      <c r="E309" t="s">
        <v>1773</v>
      </c>
      <c r="F309" t="s">
        <v>1572</v>
      </c>
      <c r="G309">
        <v>1</v>
      </c>
      <c r="H309">
        <v>1</v>
      </c>
      <c r="I309">
        <v>0.05</v>
      </c>
      <c r="J309" t="s">
        <v>226</v>
      </c>
      <c r="K309">
        <v>0</v>
      </c>
      <c r="L309">
        <v>0</v>
      </c>
      <c r="M309">
        <v>119.85</v>
      </c>
      <c r="N309">
        <v>123.7</v>
      </c>
      <c r="O309">
        <v>119.85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 t="s">
        <v>94</v>
      </c>
      <c r="AE309" t="s">
        <v>94</v>
      </c>
      <c r="AF309" t="s">
        <v>226</v>
      </c>
      <c r="AG309" t="s">
        <v>226</v>
      </c>
      <c r="AH309">
        <v>-100</v>
      </c>
      <c r="AI309" t="s">
        <v>1581</v>
      </c>
      <c r="AJ309" t="s">
        <v>1582</v>
      </c>
      <c r="AK309" t="s">
        <v>1575</v>
      </c>
      <c r="AL309" t="s">
        <v>1020</v>
      </c>
    </row>
    <row r="310" spans="1:38">
      <c r="A310" t="s">
        <v>1774</v>
      </c>
      <c r="B310" t="s">
        <v>1775</v>
      </c>
      <c r="C310" t="s">
        <v>1776</v>
      </c>
      <c r="D310" t="s">
        <v>1777</v>
      </c>
      <c r="E310" t="s">
        <v>1778</v>
      </c>
      <c r="F310" t="s">
        <v>1572</v>
      </c>
      <c r="G310">
        <v>1</v>
      </c>
      <c r="H310">
        <v>1</v>
      </c>
      <c r="I310">
        <v>2</v>
      </c>
      <c r="J310" t="s">
        <v>226</v>
      </c>
      <c r="K310">
        <v>0</v>
      </c>
      <c r="L310">
        <v>0</v>
      </c>
      <c r="M310">
        <v>962</v>
      </c>
      <c r="N310">
        <v>966</v>
      </c>
      <c r="O310">
        <v>962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 t="s">
        <v>94</v>
      </c>
      <c r="AE310" t="s">
        <v>94</v>
      </c>
      <c r="AF310" t="s">
        <v>226</v>
      </c>
      <c r="AG310" t="s">
        <v>226</v>
      </c>
      <c r="AH310">
        <v>-100</v>
      </c>
      <c r="AI310" t="s">
        <v>1581</v>
      </c>
      <c r="AJ310" t="s">
        <v>1582</v>
      </c>
      <c r="AK310" t="s">
        <v>1575</v>
      </c>
      <c r="AL310" t="s">
        <v>1020</v>
      </c>
    </row>
    <row r="311" spans="1:38">
      <c r="A311" t="s">
        <v>1779</v>
      </c>
      <c r="B311" t="s">
        <v>1780</v>
      </c>
      <c r="C311" t="s">
        <v>1781</v>
      </c>
      <c r="D311" t="s">
        <v>1782</v>
      </c>
      <c r="E311" t="s">
        <v>1783</v>
      </c>
      <c r="F311" t="s">
        <v>1572</v>
      </c>
      <c r="G311">
        <v>3</v>
      </c>
      <c r="H311">
        <v>1</v>
      </c>
      <c r="I311">
        <v>0.5</v>
      </c>
      <c r="J311" t="s">
        <v>226</v>
      </c>
      <c r="K311">
        <v>0</v>
      </c>
      <c r="L311">
        <v>0</v>
      </c>
      <c r="M311">
        <v>1253</v>
      </c>
      <c r="N311">
        <v>1253.5</v>
      </c>
      <c r="O311">
        <v>1253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 t="s">
        <v>94</v>
      </c>
      <c r="AE311" t="s">
        <v>94</v>
      </c>
      <c r="AF311" t="s">
        <v>226</v>
      </c>
      <c r="AG311" t="s">
        <v>226</v>
      </c>
      <c r="AH311">
        <v>-100</v>
      </c>
      <c r="AI311" t="s">
        <v>1581</v>
      </c>
      <c r="AJ311" t="s">
        <v>1582</v>
      </c>
      <c r="AK311" t="s">
        <v>1575</v>
      </c>
      <c r="AL311" t="s">
        <v>1020</v>
      </c>
    </row>
    <row r="312" spans="1:38">
      <c r="A312" t="s">
        <v>1784</v>
      </c>
      <c r="B312" t="s">
        <v>1785</v>
      </c>
      <c r="C312" t="s">
        <v>1786</v>
      </c>
      <c r="D312" t="s">
        <v>1787</v>
      </c>
      <c r="E312" t="s">
        <v>1788</v>
      </c>
      <c r="F312" t="s">
        <v>1572</v>
      </c>
      <c r="G312">
        <v>1</v>
      </c>
      <c r="H312">
        <v>1</v>
      </c>
      <c r="I312">
        <v>0.02</v>
      </c>
      <c r="J312" t="s">
        <v>226</v>
      </c>
      <c r="K312">
        <v>-1.1499999999999999</v>
      </c>
      <c r="L312">
        <v>125.1</v>
      </c>
      <c r="M312">
        <v>126.56</v>
      </c>
      <c r="N312">
        <v>126.64</v>
      </c>
      <c r="O312">
        <v>125.4</v>
      </c>
      <c r="P312">
        <v>0</v>
      </c>
      <c r="Q312">
        <v>0</v>
      </c>
      <c r="R312">
        <v>0</v>
      </c>
      <c r="S312">
        <v>125.92</v>
      </c>
      <c r="T312">
        <v>126.56</v>
      </c>
      <c r="U312">
        <v>125.1</v>
      </c>
      <c r="V312">
        <v>126.94</v>
      </c>
      <c r="W312">
        <v>61193</v>
      </c>
      <c r="X312">
        <v>125.08</v>
      </c>
      <c r="Y312">
        <v>125.64</v>
      </c>
      <c r="Z312">
        <v>63</v>
      </c>
      <c r="AA312">
        <v>0</v>
      </c>
      <c r="AB312">
        <v>125.1</v>
      </c>
      <c r="AC312">
        <v>0</v>
      </c>
      <c r="AD312" t="s">
        <v>2</v>
      </c>
      <c r="AE312" t="s">
        <v>94</v>
      </c>
      <c r="AF312" t="s">
        <v>226</v>
      </c>
      <c r="AG312" t="s">
        <v>226</v>
      </c>
      <c r="AH312">
        <v>-100</v>
      </c>
      <c r="AI312" t="s">
        <v>1581</v>
      </c>
      <c r="AJ312" t="s">
        <v>1582</v>
      </c>
      <c r="AK312" t="s">
        <v>1575</v>
      </c>
      <c r="AL312" t="s">
        <v>272</v>
      </c>
    </row>
    <row r="313" spans="1:38">
      <c r="A313" t="s">
        <v>1789</v>
      </c>
      <c r="B313" t="s">
        <v>1790</v>
      </c>
      <c r="C313" t="s">
        <v>1791</v>
      </c>
      <c r="D313" t="s">
        <v>1792</v>
      </c>
      <c r="E313" t="s">
        <v>1793</v>
      </c>
      <c r="F313" t="s">
        <v>1572</v>
      </c>
      <c r="G313">
        <v>1</v>
      </c>
      <c r="H313">
        <v>1</v>
      </c>
      <c r="I313">
        <v>2E-3</v>
      </c>
      <c r="J313" t="s">
        <v>226</v>
      </c>
      <c r="K313">
        <v>-0.99</v>
      </c>
      <c r="L313">
        <v>11.448</v>
      </c>
      <c r="M313">
        <v>11.561999999999999</v>
      </c>
      <c r="N313">
        <v>11.664</v>
      </c>
      <c r="O313">
        <v>11.44</v>
      </c>
      <c r="P313">
        <v>0</v>
      </c>
      <c r="Q313">
        <v>0</v>
      </c>
      <c r="R313">
        <v>0</v>
      </c>
      <c r="S313">
        <v>11.506</v>
      </c>
      <c r="T313">
        <v>11.561999999999999</v>
      </c>
      <c r="U313">
        <v>11.266</v>
      </c>
      <c r="V313">
        <v>11.561999999999999</v>
      </c>
      <c r="W313">
        <v>2247187</v>
      </c>
      <c r="X313">
        <v>11.442</v>
      </c>
      <c r="Y313">
        <v>11.448</v>
      </c>
      <c r="Z313">
        <v>525</v>
      </c>
      <c r="AA313">
        <v>0</v>
      </c>
      <c r="AB313">
        <v>11.45</v>
      </c>
      <c r="AC313">
        <v>0</v>
      </c>
      <c r="AD313" t="s">
        <v>1663</v>
      </c>
      <c r="AE313" t="s">
        <v>94</v>
      </c>
      <c r="AF313" t="s">
        <v>226</v>
      </c>
      <c r="AG313" t="s">
        <v>226</v>
      </c>
      <c r="AH313">
        <v>-100</v>
      </c>
      <c r="AI313" t="s">
        <v>1581</v>
      </c>
      <c r="AJ313" t="s">
        <v>1582</v>
      </c>
      <c r="AK313" t="s">
        <v>1575</v>
      </c>
      <c r="AL313" t="s">
        <v>272</v>
      </c>
    </row>
    <row r="314" spans="1:38">
      <c r="A314" t="s">
        <v>1794</v>
      </c>
      <c r="B314" t="s">
        <v>1795</v>
      </c>
      <c r="C314" t="s">
        <v>1796</v>
      </c>
      <c r="D314" t="s">
        <v>1797</v>
      </c>
      <c r="E314" t="s">
        <v>1798</v>
      </c>
      <c r="F314" t="s">
        <v>1572</v>
      </c>
      <c r="G314">
        <v>1</v>
      </c>
      <c r="H314">
        <v>1</v>
      </c>
      <c r="I314">
        <v>0.5</v>
      </c>
      <c r="J314" t="s">
        <v>226</v>
      </c>
      <c r="K314">
        <v>-3.45</v>
      </c>
      <c r="L314">
        <v>1453.5</v>
      </c>
      <c r="M314">
        <v>1506.5</v>
      </c>
      <c r="N314">
        <v>1520</v>
      </c>
      <c r="O314">
        <v>1454</v>
      </c>
      <c r="P314">
        <v>0</v>
      </c>
      <c r="Q314">
        <v>0</v>
      </c>
      <c r="R314">
        <v>0</v>
      </c>
      <c r="S314">
        <v>1454.5</v>
      </c>
      <c r="T314">
        <v>1495.5</v>
      </c>
      <c r="U314">
        <v>1429.5</v>
      </c>
      <c r="V314">
        <v>1497.5</v>
      </c>
      <c r="W314">
        <v>8563804</v>
      </c>
      <c r="X314">
        <v>1453.5</v>
      </c>
      <c r="Y314">
        <v>1464</v>
      </c>
      <c r="Z314">
        <v>323</v>
      </c>
      <c r="AA314">
        <v>0</v>
      </c>
      <c r="AB314">
        <v>11628</v>
      </c>
      <c r="AC314">
        <v>0</v>
      </c>
      <c r="AD314" t="s">
        <v>2</v>
      </c>
      <c r="AE314" t="s">
        <v>94</v>
      </c>
      <c r="AF314" t="s">
        <v>226</v>
      </c>
      <c r="AG314" t="s">
        <v>226</v>
      </c>
      <c r="AH314">
        <v>-100</v>
      </c>
      <c r="AI314" t="s">
        <v>1581</v>
      </c>
      <c r="AJ314" t="s">
        <v>1582</v>
      </c>
      <c r="AK314" t="s">
        <v>1575</v>
      </c>
      <c r="AL314" t="s">
        <v>272</v>
      </c>
    </row>
    <row r="315" spans="1:38">
      <c r="A315" t="s">
        <v>1799</v>
      </c>
      <c r="B315" t="s">
        <v>1800</v>
      </c>
      <c r="C315" t="s">
        <v>1801</v>
      </c>
      <c r="D315" t="s">
        <v>1802</v>
      </c>
      <c r="E315" t="s">
        <v>1803</v>
      </c>
      <c r="F315" t="s">
        <v>1572</v>
      </c>
      <c r="G315">
        <v>1</v>
      </c>
      <c r="H315">
        <v>1</v>
      </c>
      <c r="I315">
        <v>1E-3</v>
      </c>
      <c r="J315" t="s">
        <v>226</v>
      </c>
      <c r="K315">
        <v>-0.68</v>
      </c>
      <c r="L315">
        <v>15.301</v>
      </c>
      <c r="M315">
        <v>15.404999999999999</v>
      </c>
      <c r="N315">
        <v>15.561</v>
      </c>
      <c r="O315">
        <v>15.318</v>
      </c>
      <c r="P315">
        <v>0</v>
      </c>
      <c r="Q315">
        <v>0</v>
      </c>
      <c r="R315">
        <v>0</v>
      </c>
      <c r="S315">
        <v>15.388</v>
      </c>
      <c r="T315">
        <v>15.4</v>
      </c>
      <c r="U315">
        <v>15.090999999999999</v>
      </c>
      <c r="V315">
        <v>15.624000000000001</v>
      </c>
      <c r="W315">
        <v>62392114</v>
      </c>
      <c r="X315">
        <v>15.302</v>
      </c>
      <c r="Y315">
        <v>15.317</v>
      </c>
      <c r="Z315">
        <v>1329</v>
      </c>
      <c r="AA315">
        <v>0</v>
      </c>
      <c r="AB315">
        <v>15.3</v>
      </c>
      <c r="AC315">
        <v>0</v>
      </c>
      <c r="AD315" t="s">
        <v>1663</v>
      </c>
      <c r="AE315" t="s">
        <v>94</v>
      </c>
      <c r="AF315" t="s">
        <v>226</v>
      </c>
      <c r="AG315" t="s">
        <v>226</v>
      </c>
      <c r="AH315">
        <v>-100</v>
      </c>
      <c r="AI315" t="s">
        <v>1581</v>
      </c>
      <c r="AJ315" t="s">
        <v>1582</v>
      </c>
      <c r="AK315" t="s">
        <v>1575</v>
      </c>
      <c r="AL315" t="s">
        <v>272</v>
      </c>
    </row>
    <row r="316" spans="1:38">
      <c r="A316" t="s">
        <v>1804</v>
      </c>
      <c r="B316" t="s">
        <v>1805</v>
      </c>
      <c r="C316" t="s">
        <v>1806</v>
      </c>
      <c r="D316" t="s">
        <v>1807</v>
      </c>
      <c r="E316" t="s">
        <v>1808</v>
      </c>
      <c r="F316" t="s">
        <v>1572</v>
      </c>
      <c r="G316">
        <v>1</v>
      </c>
      <c r="H316">
        <v>1</v>
      </c>
      <c r="I316">
        <v>5.0000000000000001E-3</v>
      </c>
      <c r="J316" t="s">
        <v>226</v>
      </c>
      <c r="K316">
        <v>0</v>
      </c>
      <c r="L316">
        <v>13.605</v>
      </c>
      <c r="M316">
        <v>13.605</v>
      </c>
      <c r="N316">
        <v>13.61</v>
      </c>
      <c r="O316">
        <v>13.605</v>
      </c>
      <c r="P316">
        <v>0</v>
      </c>
      <c r="Q316">
        <v>0</v>
      </c>
      <c r="R316">
        <v>0</v>
      </c>
      <c r="S316">
        <v>13.62</v>
      </c>
      <c r="T316">
        <v>13.61</v>
      </c>
      <c r="U316">
        <v>13.595000000000001</v>
      </c>
      <c r="V316">
        <v>13.64</v>
      </c>
      <c r="W316">
        <v>4150717</v>
      </c>
      <c r="X316">
        <v>13.605</v>
      </c>
      <c r="Y316">
        <v>13.615</v>
      </c>
      <c r="Z316">
        <v>3810</v>
      </c>
      <c r="AA316">
        <v>0</v>
      </c>
      <c r="AB316">
        <v>312.92</v>
      </c>
      <c r="AC316">
        <v>0</v>
      </c>
      <c r="AD316" t="s">
        <v>94</v>
      </c>
      <c r="AE316" t="s">
        <v>94</v>
      </c>
      <c r="AF316" t="s">
        <v>226</v>
      </c>
      <c r="AG316" t="s">
        <v>226</v>
      </c>
      <c r="AH316">
        <v>-100</v>
      </c>
      <c r="AI316" t="s">
        <v>1581</v>
      </c>
      <c r="AJ316" t="s">
        <v>1582</v>
      </c>
      <c r="AK316" t="s">
        <v>1575</v>
      </c>
      <c r="AL316" t="s">
        <v>272</v>
      </c>
    </row>
    <row r="317" spans="1:38">
      <c r="A317" t="s">
        <v>1809</v>
      </c>
      <c r="B317" t="s">
        <v>1810</v>
      </c>
      <c r="C317" t="s">
        <v>1811</v>
      </c>
      <c r="D317" t="s">
        <v>1812</v>
      </c>
      <c r="E317" t="s">
        <v>1813</v>
      </c>
      <c r="F317" t="s">
        <v>1572</v>
      </c>
      <c r="G317">
        <v>1</v>
      </c>
      <c r="H317">
        <v>1</v>
      </c>
      <c r="I317">
        <v>5.0000000000000001E-3</v>
      </c>
      <c r="J317" t="s">
        <v>226</v>
      </c>
      <c r="K317">
        <v>-0.68</v>
      </c>
      <c r="L317">
        <v>2.93</v>
      </c>
      <c r="M317">
        <v>2.95</v>
      </c>
      <c r="N317">
        <v>2.9649999999999999</v>
      </c>
      <c r="O317">
        <v>2.915</v>
      </c>
      <c r="P317">
        <v>0</v>
      </c>
      <c r="Q317">
        <v>0</v>
      </c>
      <c r="R317">
        <v>0</v>
      </c>
      <c r="S317">
        <v>2.94</v>
      </c>
      <c r="T317">
        <v>2.95</v>
      </c>
      <c r="U317">
        <v>2.915</v>
      </c>
      <c r="V317">
        <v>2.9649999999999999</v>
      </c>
      <c r="W317">
        <v>44654</v>
      </c>
      <c r="X317">
        <v>2.915</v>
      </c>
      <c r="Y317">
        <v>2.93</v>
      </c>
      <c r="Z317">
        <v>153</v>
      </c>
      <c r="AA317">
        <v>0</v>
      </c>
      <c r="AB317">
        <v>17.579999999999998</v>
      </c>
      <c r="AC317">
        <v>0</v>
      </c>
      <c r="AD317" t="s">
        <v>94</v>
      </c>
      <c r="AE317" t="s">
        <v>94</v>
      </c>
      <c r="AF317" t="s">
        <v>226</v>
      </c>
      <c r="AG317" t="s">
        <v>226</v>
      </c>
      <c r="AH317">
        <v>-100</v>
      </c>
      <c r="AI317" t="s">
        <v>1581</v>
      </c>
      <c r="AJ317" t="s">
        <v>1582</v>
      </c>
      <c r="AK317" t="s">
        <v>1575</v>
      </c>
      <c r="AL317" t="s">
        <v>272</v>
      </c>
    </row>
    <row r="318" spans="1:38">
      <c r="A318" t="s">
        <v>1814</v>
      </c>
      <c r="B318" t="s">
        <v>1815</v>
      </c>
      <c r="C318" t="s">
        <v>1816</v>
      </c>
      <c r="D318" t="s">
        <v>1817</v>
      </c>
      <c r="E318" t="s">
        <v>1818</v>
      </c>
      <c r="F318" t="s">
        <v>1572</v>
      </c>
      <c r="G318">
        <v>1</v>
      </c>
      <c r="H318">
        <v>1</v>
      </c>
      <c r="I318">
        <v>2E-3</v>
      </c>
      <c r="J318" t="s">
        <v>226</v>
      </c>
      <c r="K318">
        <v>0.14000000000000001</v>
      </c>
      <c r="L318">
        <v>11.214</v>
      </c>
      <c r="M318">
        <v>11.198</v>
      </c>
      <c r="N318">
        <v>11.196</v>
      </c>
      <c r="O318">
        <v>11.21</v>
      </c>
      <c r="P318">
        <v>0</v>
      </c>
      <c r="Q318">
        <v>0</v>
      </c>
      <c r="R318">
        <v>0</v>
      </c>
      <c r="S318">
        <v>11.214</v>
      </c>
      <c r="T318">
        <v>11.2</v>
      </c>
      <c r="U318">
        <v>11.196</v>
      </c>
      <c r="V318">
        <v>11.244</v>
      </c>
      <c r="W318">
        <v>1568062</v>
      </c>
      <c r="X318">
        <v>11.21</v>
      </c>
      <c r="Y318">
        <v>11.214</v>
      </c>
      <c r="Z318">
        <v>646</v>
      </c>
      <c r="AA318">
        <v>0</v>
      </c>
      <c r="AB318">
        <v>874.69</v>
      </c>
      <c r="AC318">
        <v>0</v>
      </c>
      <c r="AD318" t="s">
        <v>94</v>
      </c>
      <c r="AE318" t="s">
        <v>94</v>
      </c>
      <c r="AF318" t="s">
        <v>226</v>
      </c>
      <c r="AG318" t="s">
        <v>226</v>
      </c>
      <c r="AH318">
        <v>-100</v>
      </c>
      <c r="AI318" t="s">
        <v>1581</v>
      </c>
      <c r="AJ318" t="s">
        <v>1582</v>
      </c>
      <c r="AK318" t="s">
        <v>1575</v>
      </c>
      <c r="AL318" t="s">
        <v>272</v>
      </c>
    </row>
    <row r="319" spans="1:38">
      <c r="A319" t="s">
        <v>1819</v>
      </c>
      <c r="B319" t="s">
        <v>1820</v>
      </c>
      <c r="C319" t="s">
        <v>1821</v>
      </c>
      <c r="D319" t="s">
        <v>1822</v>
      </c>
      <c r="E319" t="s">
        <v>1823</v>
      </c>
      <c r="F319" t="s">
        <v>1572</v>
      </c>
      <c r="G319">
        <v>1</v>
      </c>
      <c r="H319">
        <v>1</v>
      </c>
      <c r="I319">
        <v>1E-3</v>
      </c>
      <c r="J319" t="s">
        <v>226</v>
      </c>
      <c r="K319">
        <v>-0.05</v>
      </c>
      <c r="L319">
        <v>10.965</v>
      </c>
      <c r="M319">
        <v>10.97</v>
      </c>
      <c r="N319">
        <v>10.956</v>
      </c>
      <c r="O319">
        <v>10.968999999999999</v>
      </c>
      <c r="P319">
        <v>0</v>
      </c>
      <c r="Q319">
        <v>0</v>
      </c>
      <c r="R319">
        <v>0</v>
      </c>
      <c r="S319">
        <v>10.965999999999999</v>
      </c>
      <c r="T319">
        <v>10.98</v>
      </c>
      <c r="U319">
        <v>10.94</v>
      </c>
      <c r="V319">
        <v>10.999000000000001</v>
      </c>
      <c r="W319">
        <v>547339</v>
      </c>
      <c r="X319">
        <v>10.965</v>
      </c>
      <c r="Y319">
        <v>10.968999999999999</v>
      </c>
      <c r="Z319">
        <v>404</v>
      </c>
      <c r="AA319">
        <v>0</v>
      </c>
      <c r="AB319">
        <v>65.790000000000006</v>
      </c>
      <c r="AC319">
        <v>0</v>
      </c>
      <c r="AD319" t="s">
        <v>94</v>
      </c>
      <c r="AE319" t="s">
        <v>94</v>
      </c>
      <c r="AF319" t="s">
        <v>226</v>
      </c>
      <c r="AG319" t="s">
        <v>226</v>
      </c>
      <c r="AH319">
        <v>-100</v>
      </c>
      <c r="AI319" t="s">
        <v>1581</v>
      </c>
      <c r="AJ319" t="s">
        <v>1582</v>
      </c>
      <c r="AK319" t="s">
        <v>1575</v>
      </c>
      <c r="AL319" t="s">
        <v>272</v>
      </c>
    </row>
    <row r="320" spans="1:38">
      <c r="A320" t="s">
        <v>1824</v>
      </c>
      <c r="B320" t="s">
        <v>1825</v>
      </c>
      <c r="C320" t="s">
        <v>1826</v>
      </c>
      <c r="D320" t="s">
        <v>1827</v>
      </c>
      <c r="E320" t="s">
        <v>1828</v>
      </c>
      <c r="F320" t="s">
        <v>1572</v>
      </c>
      <c r="G320">
        <v>1</v>
      </c>
      <c r="H320">
        <v>1</v>
      </c>
      <c r="I320">
        <v>5.0000000000000001E-3</v>
      </c>
      <c r="J320" t="s">
        <v>226</v>
      </c>
      <c r="K320">
        <v>-1.32</v>
      </c>
      <c r="L320">
        <v>26.18</v>
      </c>
      <c r="M320">
        <v>26.53</v>
      </c>
      <c r="N320">
        <v>26.63</v>
      </c>
      <c r="O320">
        <v>26.155000000000001</v>
      </c>
      <c r="P320">
        <v>0</v>
      </c>
      <c r="Q320">
        <v>0</v>
      </c>
      <c r="R320">
        <v>0</v>
      </c>
      <c r="S320">
        <v>26.01</v>
      </c>
      <c r="T320">
        <v>26.574999999999999</v>
      </c>
      <c r="U320">
        <v>25.785</v>
      </c>
      <c r="V320">
        <v>26.574999999999999</v>
      </c>
      <c r="W320">
        <v>56304210</v>
      </c>
      <c r="X320">
        <v>26.175000000000001</v>
      </c>
      <c r="Y320">
        <v>26.18</v>
      </c>
      <c r="Z320">
        <v>5020</v>
      </c>
      <c r="AA320">
        <v>0</v>
      </c>
      <c r="AB320">
        <v>130.9</v>
      </c>
      <c r="AC320">
        <v>0</v>
      </c>
      <c r="AD320" t="s">
        <v>94</v>
      </c>
      <c r="AE320" t="s">
        <v>94</v>
      </c>
      <c r="AF320" t="s">
        <v>226</v>
      </c>
      <c r="AG320" t="s">
        <v>226</v>
      </c>
      <c r="AH320">
        <v>-100</v>
      </c>
      <c r="AI320" t="s">
        <v>1581</v>
      </c>
      <c r="AJ320" t="s">
        <v>1582</v>
      </c>
      <c r="AK320" t="s">
        <v>1575</v>
      </c>
      <c r="AL320" t="s">
        <v>272</v>
      </c>
    </row>
    <row r="321" spans="1:38">
      <c r="A321" t="s">
        <v>1829</v>
      </c>
      <c r="B321" t="s">
        <v>1830</v>
      </c>
      <c r="C321" t="s">
        <v>1831</v>
      </c>
      <c r="D321" t="s">
        <v>1832</v>
      </c>
      <c r="E321" t="s">
        <v>1833</v>
      </c>
      <c r="F321" t="s">
        <v>1572</v>
      </c>
      <c r="G321">
        <v>1</v>
      </c>
      <c r="H321">
        <v>1</v>
      </c>
      <c r="I321">
        <v>2E-3</v>
      </c>
      <c r="J321" t="s">
        <v>226</v>
      </c>
      <c r="K321">
        <v>-0.99</v>
      </c>
      <c r="L321">
        <v>7.3840000000000003</v>
      </c>
      <c r="M321">
        <v>7.4640000000000004</v>
      </c>
      <c r="N321">
        <v>7.6079999999999997</v>
      </c>
      <c r="O321">
        <v>7.4080000000000004</v>
      </c>
      <c r="P321">
        <v>0</v>
      </c>
      <c r="Q321">
        <v>0</v>
      </c>
      <c r="R321">
        <v>0</v>
      </c>
      <c r="S321">
        <v>7.45</v>
      </c>
      <c r="T321">
        <v>7.4960000000000004</v>
      </c>
      <c r="U321">
        <v>7.3760000000000003</v>
      </c>
      <c r="V321">
        <v>7.5419999999999998</v>
      </c>
      <c r="W321">
        <v>423734</v>
      </c>
      <c r="X321">
        <v>7.3879999999999999</v>
      </c>
      <c r="Y321">
        <v>7.4080000000000004</v>
      </c>
      <c r="Z321">
        <v>543</v>
      </c>
      <c r="AA321">
        <v>0</v>
      </c>
      <c r="AB321">
        <v>7.38</v>
      </c>
      <c r="AC321">
        <v>0</v>
      </c>
      <c r="AD321" t="s">
        <v>94</v>
      </c>
      <c r="AE321" t="s">
        <v>94</v>
      </c>
      <c r="AF321" t="s">
        <v>226</v>
      </c>
      <c r="AG321" t="s">
        <v>226</v>
      </c>
      <c r="AH321">
        <v>-100</v>
      </c>
      <c r="AI321" t="s">
        <v>1581</v>
      </c>
      <c r="AJ321" t="s">
        <v>1582</v>
      </c>
      <c r="AK321" t="s">
        <v>1575</v>
      </c>
      <c r="AL321" t="s">
        <v>272</v>
      </c>
    </row>
    <row r="322" spans="1:38">
      <c r="A322" t="s">
        <v>1834</v>
      </c>
      <c r="B322" t="s">
        <v>1835</v>
      </c>
      <c r="C322" t="s">
        <v>1836</v>
      </c>
      <c r="D322" t="s">
        <v>1837</v>
      </c>
      <c r="E322" t="s">
        <v>1838</v>
      </c>
      <c r="F322" t="s">
        <v>1572</v>
      </c>
      <c r="G322">
        <v>1</v>
      </c>
      <c r="H322">
        <v>1</v>
      </c>
      <c r="I322">
        <v>2E-3</v>
      </c>
      <c r="J322" t="s">
        <v>226</v>
      </c>
      <c r="K322">
        <v>-0.13</v>
      </c>
      <c r="L322">
        <v>9.25</v>
      </c>
      <c r="M322">
        <v>9.2620000000000005</v>
      </c>
      <c r="N322">
        <v>9.2579999999999991</v>
      </c>
      <c r="O322">
        <v>9.2479999999999993</v>
      </c>
      <c r="P322">
        <v>0</v>
      </c>
      <c r="Q322">
        <v>0</v>
      </c>
      <c r="R322">
        <v>0</v>
      </c>
      <c r="S322">
        <v>9.25</v>
      </c>
      <c r="T322">
        <v>9.2620000000000005</v>
      </c>
      <c r="U322">
        <v>9.2240000000000002</v>
      </c>
      <c r="V322">
        <v>9.2859999999999996</v>
      </c>
      <c r="W322">
        <v>455879</v>
      </c>
      <c r="X322">
        <v>9.2520000000000007</v>
      </c>
      <c r="Y322">
        <v>9.2639999999999993</v>
      </c>
      <c r="Z322">
        <v>298</v>
      </c>
      <c r="AA322">
        <v>0</v>
      </c>
      <c r="AB322">
        <v>9.25</v>
      </c>
      <c r="AC322">
        <v>0</v>
      </c>
      <c r="AD322" t="s">
        <v>94</v>
      </c>
      <c r="AE322" t="s">
        <v>94</v>
      </c>
      <c r="AF322" t="s">
        <v>226</v>
      </c>
      <c r="AG322" t="s">
        <v>226</v>
      </c>
      <c r="AH322">
        <v>-100</v>
      </c>
      <c r="AI322" t="s">
        <v>1581</v>
      </c>
      <c r="AJ322" t="s">
        <v>1582</v>
      </c>
      <c r="AK322" t="s">
        <v>1575</v>
      </c>
      <c r="AL322" t="s">
        <v>272</v>
      </c>
    </row>
    <row r="323" spans="1:38">
      <c r="A323" t="s">
        <v>1839</v>
      </c>
      <c r="B323" t="s">
        <v>1840</v>
      </c>
      <c r="C323" t="s">
        <v>1841</v>
      </c>
      <c r="D323" t="s">
        <v>1842</v>
      </c>
      <c r="E323" t="s">
        <v>1843</v>
      </c>
      <c r="F323" t="s">
        <v>1572</v>
      </c>
      <c r="G323">
        <v>1</v>
      </c>
      <c r="H323">
        <v>1</v>
      </c>
      <c r="I323">
        <v>5.0000000000000001E-4</v>
      </c>
      <c r="J323" t="s">
        <v>226</v>
      </c>
      <c r="K323">
        <v>0.06</v>
      </c>
      <c r="L323">
        <v>14.311</v>
      </c>
      <c r="M323">
        <v>14.303000000000001</v>
      </c>
      <c r="N323">
        <v>14.3025</v>
      </c>
      <c r="O323">
        <v>14.311</v>
      </c>
      <c r="P323">
        <v>0</v>
      </c>
      <c r="Q323">
        <v>0</v>
      </c>
      <c r="R323">
        <v>0</v>
      </c>
      <c r="S323">
        <v>14.310499999999999</v>
      </c>
      <c r="T323">
        <v>14.31</v>
      </c>
      <c r="U323">
        <v>14.31</v>
      </c>
      <c r="V323">
        <v>14.311</v>
      </c>
      <c r="W323">
        <v>1901374173</v>
      </c>
      <c r="X323">
        <v>14.310499999999999</v>
      </c>
      <c r="Y323">
        <v>14.311</v>
      </c>
      <c r="Z323">
        <v>29560</v>
      </c>
      <c r="AA323">
        <v>0</v>
      </c>
      <c r="AB323">
        <v>16514.89</v>
      </c>
      <c r="AC323">
        <v>0</v>
      </c>
      <c r="AD323" t="s">
        <v>94</v>
      </c>
      <c r="AE323" t="s">
        <v>94</v>
      </c>
      <c r="AF323" t="s">
        <v>226</v>
      </c>
      <c r="AG323" t="s">
        <v>226</v>
      </c>
      <c r="AH323">
        <v>-100</v>
      </c>
      <c r="AI323" t="s">
        <v>1581</v>
      </c>
      <c r="AJ323" t="s">
        <v>1582</v>
      </c>
      <c r="AK323" t="s">
        <v>1575</v>
      </c>
      <c r="AL323" t="s">
        <v>272</v>
      </c>
    </row>
    <row r="324" spans="1:38">
      <c r="A324" t="s">
        <v>1844</v>
      </c>
      <c r="B324" t="s">
        <v>1845</v>
      </c>
      <c r="C324" t="s">
        <v>1846</v>
      </c>
      <c r="D324" t="s">
        <v>1847</v>
      </c>
      <c r="E324" t="s">
        <v>1848</v>
      </c>
      <c r="F324" t="s">
        <v>1572</v>
      </c>
      <c r="G324">
        <v>1</v>
      </c>
      <c r="H324">
        <v>1</v>
      </c>
      <c r="I324">
        <v>1E-3</v>
      </c>
      <c r="J324" t="s">
        <v>226</v>
      </c>
      <c r="K324">
        <v>-0.03</v>
      </c>
      <c r="L324">
        <v>15.496</v>
      </c>
      <c r="M324">
        <v>15.5</v>
      </c>
      <c r="N324">
        <v>15.731999999999999</v>
      </c>
      <c r="O324">
        <v>15.428000000000001</v>
      </c>
      <c r="P324">
        <v>0</v>
      </c>
      <c r="Q324">
        <v>0</v>
      </c>
      <c r="R324">
        <v>0</v>
      </c>
      <c r="S324">
        <v>15.593</v>
      </c>
      <c r="T324">
        <v>15.715999999999999</v>
      </c>
      <c r="U324">
        <v>15.42</v>
      </c>
      <c r="V324">
        <v>15.782</v>
      </c>
      <c r="W324">
        <v>60068854</v>
      </c>
      <c r="X324">
        <v>15.48</v>
      </c>
      <c r="Y324">
        <v>15.494</v>
      </c>
      <c r="Z324">
        <v>2704</v>
      </c>
      <c r="AA324">
        <v>0</v>
      </c>
      <c r="AB324">
        <v>15.5</v>
      </c>
      <c r="AC324">
        <v>0</v>
      </c>
      <c r="AD324" t="s">
        <v>94</v>
      </c>
      <c r="AE324" t="s">
        <v>94</v>
      </c>
      <c r="AF324" t="s">
        <v>226</v>
      </c>
      <c r="AG324" t="s">
        <v>226</v>
      </c>
      <c r="AH324">
        <v>-100</v>
      </c>
      <c r="AI324" t="s">
        <v>1581</v>
      </c>
      <c r="AJ324" t="s">
        <v>1582</v>
      </c>
      <c r="AK324" t="s">
        <v>1575</v>
      </c>
      <c r="AL324" t="s">
        <v>272</v>
      </c>
    </row>
    <row r="325" spans="1:38">
      <c r="A325" t="s">
        <v>1849</v>
      </c>
      <c r="B325" t="s">
        <v>1850</v>
      </c>
      <c r="C325" t="s">
        <v>1851</v>
      </c>
      <c r="D325" t="s">
        <v>1852</v>
      </c>
      <c r="E325" t="s">
        <v>1853</v>
      </c>
      <c r="F325" t="s">
        <v>1572</v>
      </c>
      <c r="G325">
        <v>1</v>
      </c>
      <c r="H325">
        <v>1</v>
      </c>
      <c r="I325">
        <v>5.0000000000000001E-3</v>
      </c>
      <c r="J325" t="s">
        <v>226</v>
      </c>
      <c r="K325">
        <v>-1.28</v>
      </c>
      <c r="L325">
        <v>2.31</v>
      </c>
      <c r="M325">
        <v>2.34</v>
      </c>
      <c r="N325">
        <v>2.3050000000000002</v>
      </c>
      <c r="O325">
        <v>2.3199999999999998</v>
      </c>
      <c r="P325">
        <v>0</v>
      </c>
      <c r="Q325">
        <v>0</v>
      </c>
      <c r="R325">
        <v>0</v>
      </c>
      <c r="S325">
        <v>2.34</v>
      </c>
      <c r="T325">
        <v>2.34</v>
      </c>
      <c r="U325">
        <v>2.31</v>
      </c>
      <c r="V325">
        <v>2.35</v>
      </c>
      <c r="W325">
        <v>61530</v>
      </c>
      <c r="X325">
        <v>2.31</v>
      </c>
      <c r="Y325">
        <v>2.3199999999999998</v>
      </c>
      <c r="Z325">
        <v>250</v>
      </c>
      <c r="AA325">
        <v>0</v>
      </c>
      <c r="AB325">
        <v>2.31</v>
      </c>
      <c r="AC325">
        <v>0</v>
      </c>
      <c r="AD325" t="s">
        <v>94</v>
      </c>
      <c r="AE325" t="s">
        <v>94</v>
      </c>
      <c r="AF325" t="s">
        <v>226</v>
      </c>
      <c r="AG325" t="s">
        <v>226</v>
      </c>
      <c r="AH325">
        <v>-100</v>
      </c>
      <c r="AI325" t="s">
        <v>1581</v>
      </c>
      <c r="AJ325" t="s">
        <v>1582</v>
      </c>
      <c r="AK325" t="s">
        <v>1575</v>
      </c>
      <c r="AL325" t="s">
        <v>272</v>
      </c>
    </row>
    <row r="326" spans="1:38">
      <c r="A326" t="s">
        <v>1854</v>
      </c>
      <c r="B326" t="s">
        <v>1855</v>
      </c>
      <c r="C326" t="s">
        <v>1856</v>
      </c>
      <c r="D326" t="s">
        <v>1857</v>
      </c>
      <c r="E326" t="s">
        <v>1858</v>
      </c>
      <c r="F326" t="s">
        <v>1572</v>
      </c>
      <c r="G326">
        <v>1</v>
      </c>
      <c r="H326">
        <v>1</v>
      </c>
      <c r="I326">
        <v>1E-3</v>
      </c>
      <c r="J326" t="s">
        <v>226</v>
      </c>
      <c r="K326">
        <v>-0.21</v>
      </c>
      <c r="L326">
        <v>13.192</v>
      </c>
      <c r="M326">
        <v>13.22</v>
      </c>
      <c r="N326">
        <v>13.226000000000001</v>
      </c>
      <c r="O326">
        <v>13.212999999999999</v>
      </c>
      <c r="P326">
        <v>0</v>
      </c>
      <c r="Q326">
        <v>0</v>
      </c>
      <c r="R326">
        <v>0</v>
      </c>
      <c r="S326">
        <v>13.205</v>
      </c>
      <c r="T326">
        <v>13.215999999999999</v>
      </c>
      <c r="U326">
        <v>13.19</v>
      </c>
      <c r="V326">
        <v>13.257</v>
      </c>
      <c r="W326">
        <v>518542</v>
      </c>
      <c r="X326">
        <v>13.196</v>
      </c>
      <c r="Y326">
        <v>13.212</v>
      </c>
      <c r="Z326">
        <v>439</v>
      </c>
      <c r="AA326">
        <v>0</v>
      </c>
      <c r="AB326">
        <v>13.19</v>
      </c>
      <c r="AC326">
        <v>0</v>
      </c>
      <c r="AD326" t="s">
        <v>94</v>
      </c>
      <c r="AE326" t="s">
        <v>94</v>
      </c>
      <c r="AF326" t="s">
        <v>226</v>
      </c>
      <c r="AG326" t="s">
        <v>226</v>
      </c>
      <c r="AH326">
        <v>-100</v>
      </c>
      <c r="AI326" t="s">
        <v>1581</v>
      </c>
      <c r="AJ326" t="s">
        <v>1582</v>
      </c>
      <c r="AK326" t="s">
        <v>1575</v>
      </c>
      <c r="AL326" t="s">
        <v>272</v>
      </c>
    </row>
    <row r="327" spans="1:38">
      <c r="A327" t="s">
        <v>1859</v>
      </c>
      <c r="B327" t="s">
        <v>1860</v>
      </c>
      <c r="C327" t="s">
        <v>1861</v>
      </c>
      <c r="D327" t="s">
        <v>1862</v>
      </c>
      <c r="E327" t="s">
        <v>1863</v>
      </c>
      <c r="F327" t="s">
        <v>1572</v>
      </c>
      <c r="G327">
        <v>1</v>
      </c>
      <c r="H327">
        <v>1</v>
      </c>
      <c r="I327">
        <v>2E-3</v>
      </c>
      <c r="J327" t="s">
        <v>226</v>
      </c>
      <c r="K327">
        <v>-1.79</v>
      </c>
      <c r="L327">
        <v>10.204000000000001</v>
      </c>
      <c r="M327">
        <v>10.39</v>
      </c>
      <c r="N327">
        <v>10.45</v>
      </c>
      <c r="O327">
        <v>10.226000000000001</v>
      </c>
      <c r="P327">
        <v>0</v>
      </c>
      <c r="Q327">
        <v>0</v>
      </c>
      <c r="R327">
        <v>0</v>
      </c>
      <c r="S327">
        <v>10.378</v>
      </c>
      <c r="T327">
        <v>10.39</v>
      </c>
      <c r="U327">
        <v>10.202</v>
      </c>
      <c r="V327">
        <v>10.438000000000001</v>
      </c>
      <c r="W327">
        <v>89520</v>
      </c>
      <c r="X327">
        <v>10.204000000000001</v>
      </c>
      <c r="Y327">
        <v>10.23</v>
      </c>
      <c r="Z327">
        <v>156</v>
      </c>
      <c r="AA327">
        <v>0</v>
      </c>
      <c r="AB327">
        <v>10.199999999999999</v>
      </c>
      <c r="AC327">
        <v>0</v>
      </c>
      <c r="AD327" t="s">
        <v>94</v>
      </c>
      <c r="AE327" t="s">
        <v>94</v>
      </c>
      <c r="AF327" t="s">
        <v>226</v>
      </c>
      <c r="AG327" t="s">
        <v>226</v>
      </c>
      <c r="AH327">
        <v>-100</v>
      </c>
      <c r="AI327" t="s">
        <v>1581</v>
      </c>
      <c r="AJ327" t="s">
        <v>1582</v>
      </c>
      <c r="AK327" t="s">
        <v>1575</v>
      </c>
      <c r="AL327" t="s">
        <v>272</v>
      </c>
    </row>
    <row r="328" spans="1:38">
      <c r="A328" t="s">
        <v>1864</v>
      </c>
      <c r="B328" t="s">
        <v>1865</v>
      </c>
      <c r="C328" t="s">
        <v>1866</v>
      </c>
      <c r="D328" t="s">
        <v>1867</v>
      </c>
      <c r="E328" t="s">
        <v>1868</v>
      </c>
      <c r="F328" t="s">
        <v>1572</v>
      </c>
      <c r="G328">
        <v>1</v>
      </c>
      <c r="H328">
        <v>1</v>
      </c>
      <c r="I328">
        <v>5.0000000000000001E-3</v>
      </c>
      <c r="J328" t="s">
        <v>226</v>
      </c>
      <c r="K328">
        <v>0.23</v>
      </c>
      <c r="L328">
        <v>10.705</v>
      </c>
      <c r="M328">
        <v>10.675000000000001</v>
      </c>
      <c r="N328">
        <v>10.63</v>
      </c>
      <c r="O328">
        <v>10.7</v>
      </c>
      <c r="P328">
        <v>0</v>
      </c>
      <c r="Q328">
        <v>0</v>
      </c>
      <c r="R328">
        <v>0</v>
      </c>
      <c r="S328">
        <v>10.734999999999999</v>
      </c>
      <c r="T328">
        <v>10.685</v>
      </c>
      <c r="U328">
        <v>10.67</v>
      </c>
      <c r="V328">
        <v>10.74</v>
      </c>
      <c r="W328">
        <v>77920</v>
      </c>
      <c r="X328">
        <v>10.7</v>
      </c>
      <c r="Y328">
        <v>10.705</v>
      </c>
      <c r="Z328">
        <v>136</v>
      </c>
      <c r="AA328">
        <v>0</v>
      </c>
      <c r="AB328">
        <v>21.41</v>
      </c>
      <c r="AC328">
        <v>0</v>
      </c>
      <c r="AD328" t="s">
        <v>94</v>
      </c>
      <c r="AE328" t="s">
        <v>94</v>
      </c>
      <c r="AF328" t="s">
        <v>226</v>
      </c>
      <c r="AG328" t="s">
        <v>226</v>
      </c>
      <c r="AH328">
        <v>-100</v>
      </c>
      <c r="AI328" t="s">
        <v>1581</v>
      </c>
      <c r="AJ328" t="s">
        <v>1582</v>
      </c>
      <c r="AK328" t="s">
        <v>1575</v>
      </c>
      <c r="AL328" t="s">
        <v>272</v>
      </c>
    </row>
    <row r="329" spans="1:38">
      <c r="A329" t="s">
        <v>1869</v>
      </c>
      <c r="B329" t="s">
        <v>1870</v>
      </c>
      <c r="C329" t="s">
        <v>1871</v>
      </c>
      <c r="D329" t="s">
        <v>1872</v>
      </c>
      <c r="E329" t="s">
        <v>1873</v>
      </c>
      <c r="F329" t="s">
        <v>1572</v>
      </c>
      <c r="G329">
        <v>1</v>
      </c>
      <c r="H329">
        <v>1</v>
      </c>
      <c r="I329">
        <v>1E-3</v>
      </c>
      <c r="J329" t="s">
        <v>226</v>
      </c>
      <c r="K329">
        <v>-1.1299999999999999</v>
      </c>
      <c r="L329">
        <v>7.2640000000000002</v>
      </c>
      <c r="M329">
        <v>7.3479999999999999</v>
      </c>
      <c r="N329">
        <v>7.3849999999999998</v>
      </c>
      <c r="O329">
        <v>7.2489999999999997</v>
      </c>
      <c r="P329">
        <v>0</v>
      </c>
      <c r="Q329">
        <v>0</v>
      </c>
      <c r="R329">
        <v>0</v>
      </c>
      <c r="S329">
        <v>7.3289999999999997</v>
      </c>
      <c r="T329">
        <v>7.3470000000000004</v>
      </c>
      <c r="U329">
        <v>7.242</v>
      </c>
      <c r="V329">
        <v>7.41</v>
      </c>
      <c r="W329">
        <v>742983</v>
      </c>
      <c r="X329">
        <v>7.2350000000000003</v>
      </c>
      <c r="Y329">
        <v>7.2629999999999999</v>
      </c>
      <c r="Z329">
        <v>428</v>
      </c>
      <c r="AA329">
        <v>0</v>
      </c>
      <c r="AB329">
        <v>14.53</v>
      </c>
      <c r="AC329">
        <v>0</v>
      </c>
      <c r="AD329" t="s">
        <v>94</v>
      </c>
      <c r="AE329" t="s">
        <v>94</v>
      </c>
      <c r="AF329" t="s">
        <v>226</v>
      </c>
      <c r="AG329" t="s">
        <v>226</v>
      </c>
      <c r="AH329">
        <v>-100</v>
      </c>
      <c r="AI329" t="s">
        <v>1581</v>
      </c>
      <c r="AJ329" t="s">
        <v>1582</v>
      </c>
      <c r="AK329" t="s">
        <v>1575</v>
      </c>
      <c r="AL329" t="s">
        <v>272</v>
      </c>
    </row>
    <row r="330" spans="1:38">
      <c r="A330" t="s">
        <v>1874</v>
      </c>
      <c r="B330" t="s">
        <v>1875</v>
      </c>
      <c r="C330" t="s">
        <v>1876</v>
      </c>
      <c r="D330" t="s">
        <v>1877</v>
      </c>
      <c r="E330" t="s">
        <v>1878</v>
      </c>
      <c r="F330" t="s">
        <v>1572</v>
      </c>
      <c r="G330">
        <v>1</v>
      </c>
      <c r="H330">
        <v>1</v>
      </c>
      <c r="I330">
        <v>5.0000000000000001E-3</v>
      </c>
      <c r="J330" t="s">
        <v>226</v>
      </c>
      <c r="K330">
        <v>-0.15</v>
      </c>
      <c r="L330">
        <v>3.34</v>
      </c>
      <c r="M330">
        <v>3.34</v>
      </c>
      <c r="N330">
        <v>3.3149999999999999</v>
      </c>
      <c r="O330">
        <v>3.34</v>
      </c>
      <c r="P330">
        <v>0</v>
      </c>
      <c r="Q330">
        <v>0</v>
      </c>
      <c r="R330">
        <v>0</v>
      </c>
      <c r="S330">
        <v>3.35</v>
      </c>
      <c r="T330">
        <v>3.35</v>
      </c>
      <c r="U330">
        <v>3.335</v>
      </c>
      <c r="V330">
        <v>3.36</v>
      </c>
      <c r="W330">
        <v>6085</v>
      </c>
      <c r="X330">
        <v>3.33</v>
      </c>
      <c r="Y330">
        <v>3.34</v>
      </c>
      <c r="Z330">
        <v>132</v>
      </c>
      <c r="AA330">
        <v>0</v>
      </c>
      <c r="AB330">
        <v>3.34</v>
      </c>
      <c r="AC330">
        <v>0</v>
      </c>
      <c r="AD330" t="s">
        <v>94</v>
      </c>
      <c r="AE330" t="s">
        <v>94</v>
      </c>
      <c r="AF330" t="s">
        <v>226</v>
      </c>
      <c r="AG330" t="s">
        <v>226</v>
      </c>
      <c r="AH330">
        <v>-100</v>
      </c>
      <c r="AI330" t="s">
        <v>1581</v>
      </c>
      <c r="AJ330" t="s">
        <v>1582</v>
      </c>
      <c r="AK330" t="s">
        <v>1575</v>
      </c>
      <c r="AL330" t="s">
        <v>272</v>
      </c>
    </row>
    <row r="331" spans="1:38">
      <c r="A331" t="s">
        <v>1879</v>
      </c>
      <c r="B331" t="s">
        <v>1880</v>
      </c>
      <c r="C331" t="s">
        <v>1881</v>
      </c>
      <c r="D331" t="s">
        <v>1882</v>
      </c>
      <c r="E331" t="s">
        <v>1883</v>
      </c>
      <c r="F331" t="s">
        <v>1572</v>
      </c>
      <c r="G331">
        <v>1</v>
      </c>
      <c r="H331">
        <v>1</v>
      </c>
      <c r="I331">
        <v>2E-3</v>
      </c>
      <c r="J331" t="s">
        <v>226</v>
      </c>
      <c r="K331">
        <v>-1.44</v>
      </c>
      <c r="L331">
        <v>4.0979999999999999</v>
      </c>
      <c r="M331">
        <v>4.1580000000000004</v>
      </c>
      <c r="N331">
        <v>4.4000000000000004</v>
      </c>
      <c r="O331">
        <v>4.09</v>
      </c>
      <c r="P331">
        <v>0</v>
      </c>
      <c r="Q331">
        <v>0</v>
      </c>
      <c r="R331">
        <v>0</v>
      </c>
      <c r="S331">
        <v>4.1539999999999999</v>
      </c>
      <c r="T331">
        <v>4.1500000000000004</v>
      </c>
      <c r="U331">
        <v>4.0880000000000001</v>
      </c>
      <c r="V331">
        <v>4.17</v>
      </c>
      <c r="W331">
        <v>3115</v>
      </c>
      <c r="X331">
        <v>4.0860000000000003</v>
      </c>
      <c r="Y331">
        <v>4.0979999999999999</v>
      </c>
      <c r="Z331">
        <v>40</v>
      </c>
      <c r="AA331">
        <v>0</v>
      </c>
      <c r="AB331">
        <v>4.0999999999999996</v>
      </c>
      <c r="AC331">
        <v>0</v>
      </c>
      <c r="AD331" t="s">
        <v>94</v>
      </c>
      <c r="AE331" t="s">
        <v>94</v>
      </c>
      <c r="AF331" t="s">
        <v>226</v>
      </c>
      <c r="AG331" t="s">
        <v>226</v>
      </c>
      <c r="AH331">
        <v>-100</v>
      </c>
      <c r="AI331" t="s">
        <v>1581</v>
      </c>
      <c r="AJ331" t="s">
        <v>1582</v>
      </c>
      <c r="AK331" t="s">
        <v>1575</v>
      </c>
      <c r="AL331" t="s">
        <v>272</v>
      </c>
    </row>
    <row r="332" spans="1:38">
      <c r="A332" t="s">
        <v>1884</v>
      </c>
      <c r="B332" t="s">
        <v>1885</v>
      </c>
      <c r="C332" t="s">
        <v>1886</v>
      </c>
      <c r="D332" t="s">
        <v>1887</v>
      </c>
      <c r="E332" t="s">
        <v>1888</v>
      </c>
      <c r="F332" t="s">
        <v>1572</v>
      </c>
      <c r="G332">
        <v>1</v>
      </c>
      <c r="H332">
        <v>1</v>
      </c>
      <c r="I332">
        <v>5.0000000000000001E-4</v>
      </c>
      <c r="J332" t="s">
        <v>226</v>
      </c>
      <c r="K332">
        <v>0.08</v>
      </c>
      <c r="L332">
        <v>5.3440000000000003</v>
      </c>
      <c r="M332">
        <v>5.3410000000000002</v>
      </c>
      <c r="N332">
        <v>5.3410000000000002</v>
      </c>
      <c r="O332">
        <v>5.3440000000000003</v>
      </c>
      <c r="P332">
        <v>0</v>
      </c>
      <c r="Q332">
        <v>0</v>
      </c>
      <c r="R332">
        <v>0</v>
      </c>
      <c r="S332">
        <v>5.3434999999999997</v>
      </c>
      <c r="T332">
        <v>5.3440000000000003</v>
      </c>
      <c r="U332">
        <v>5.3425000000000002</v>
      </c>
      <c r="V332">
        <v>5.3440000000000003</v>
      </c>
      <c r="W332">
        <v>21722</v>
      </c>
      <c r="X332">
        <v>5.3425000000000002</v>
      </c>
      <c r="Y332">
        <v>5.3440000000000003</v>
      </c>
      <c r="Z332">
        <v>112</v>
      </c>
      <c r="AA332">
        <v>0</v>
      </c>
      <c r="AB332">
        <v>5.34</v>
      </c>
      <c r="AC332">
        <v>0</v>
      </c>
      <c r="AD332" t="s">
        <v>94</v>
      </c>
      <c r="AE332" t="s">
        <v>94</v>
      </c>
      <c r="AF332" t="s">
        <v>226</v>
      </c>
      <c r="AG332" t="s">
        <v>226</v>
      </c>
      <c r="AH332">
        <v>-100</v>
      </c>
      <c r="AI332" t="s">
        <v>1581</v>
      </c>
      <c r="AJ332" t="s">
        <v>1582</v>
      </c>
      <c r="AK332" t="s">
        <v>1575</v>
      </c>
      <c r="AL332" t="s">
        <v>272</v>
      </c>
    </row>
    <row r="333" spans="1:38">
      <c r="A333" t="s">
        <v>1889</v>
      </c>
      <c r="B333" t="s">
        <v>1890</v>
      </c>
      <c r="C333" t="s">
        <v>1891</v>
      </c>
      <c r="D333" t="s">
        <v>1892</v>
      </c>
      <c r="E333" t="s">
        <v>1893</v>
      </c>
      <c r="F333" t="s">
        <v>1572</v>
      </c>
      <c r="G333">
        <v>1</v>
      </c>
      <c r="H333">
        <v>1</v>
      </c>
      <c r="I333">
        <v>1E-3</v>
      </c>
      <c r="J333" t="s">
        <v>226</v>
      </c>
      <c r="K333">
        <v>-0.23</v>
      </c>
      <c r="L333">
        <v>7.2370000000000001</v>
      </c>
      <c r="M333">
        <v>7.282</v>
      </c>
      <c r="N333">
        <v>7.4089999999999998</v>
      </c>
      <c r="O333">
        <v>7.2389999999999999</v>
      </c>
      <c r="P333">
        <v>0</v>
      </c>
      <c r="Q333">
        <v>0</v>
      </c>
      <c r="R333">
        <v>0</v>
      </c>
      <c r="S333">
        <v>7.2549999999999999</v>
      </c>
      <c r="T333">
        <v>7.2539999999999996</v>
      </c>
      <c r="U333">
        <v>7.2009999999999996</v>
      </c>
      <c r="V333">
        <v>7.32</v>
      </c>
      <c r="W333">
        <v>95495</v>
      </c>
      <c r="X333">
        <v>7.2290000000000001</v>
      </c>
      <c r="Y333">
        <v>7.2370000000000001</v>
      </c>
      <c r="Z333">
        <v>323</v>
      </c>
      <c r="AA333">
        <v>0</v>
      </c>
      <c r="AB333">
        <v>28.95</v>
      </c>
      <c r="AC333">
        <v>0</v>
      </c>
      <c r="AD333" t="s">
        <v>94</v>
      </c>
      <c r="AE333" t="s">
        <v>94</v>
      </c>
      <c r="AF333" t="s">
        <v>226</v>
      </c>
      <c r="AG333" t="s">
        <v>226</v>
      </c>
      <c r="AH333">
        <v>-100</v>
      </c>
      <c r="AI333" t="s">
        <v>1581</v>
      </c>
      <c r="AJ333" t="s">
        <v>1582</v>
      </c>
      <c r="AK333" t="s">
        <v>1575</v>
      </c>
      <c r="AL333" t="s">
        <v>272</v>
      </c>
    </row>
    <row r="334" spans="1:38">
      <c r="A334" t="s">
        <v>1894</v>
      </c>
      <c r="B334" t="s">
        <v>1895</v>
      </c>
      <c r="C334" t="s">
        <v>1896</v>
      </c>
      <c r="D334" t="s">
        <v>1897</v>
      </c>
      <c r="E334" t="s">
        <v>1898</v>
      </c>
      <c r="F334" t="s">
        <v>1572</v>
      </c>
      <c r="G334">
        <v>1</v>
      </c>
      <c r="H334">
        <v>1</v>
      </c>
      <c r="I334">
        <v>0.5</v>
      </c>
      <c r="J334" t="s">
        <v>226</v>
      </c>
      <c r="K334">
        <v>0.79</v>
      </c>
      <c r="L334">
        <v>1088</v>
      </c>
      <c r="M334">
        <v>1088</v>
      </c>
      <c r="N334">
        <v>1080.5</v>
      </c>
      <c r="O334">
        <v>1088</v>
      </c>
      <c r="P334">
        <v>0</v>
      </c>
      <c r="Q334">
        <v>0</v>
      </c>
      <c r="R334">
        <v>0</v>
      </c>
      <c r="S334">
        <v>1088</v>
      </c>
      <c r="T334">
        <v>1088</v>
      </c>
      <c r="U334">
        <v>1088</v>
      </c>
      <c r="V334">
        <v>1088</v>
      </c>
      <c r="W334">
        <v>1088</v>
      </c>
      <c r="X334">
        <v>1082</v>
      </c>
      <c r="Y334">
        <v>1088</v>
      </c>
      <c r="Z334">
        <v>1</v>
      </c>
      <c r="AA334">
        <v>0</v>
      </c>
      <c r="AB334">
        <v>1088</v>
      </c>
      <c r="AC334">
        <v>0</v>
      </c>
      <c r="AD334" t="s">
        <v>94</v>
      </c>
      <c r="AE334" t="s">
        <v>94</v>
      </c>
      <c r="AF334" t="s">
        <v>226</v>
      </c>
      <c r="AG334" t="s">
        <v>226</v>
      </c>
      <c r="AH334">
        <v>-100</v>
      </c>
      <c r="AI334" t="s">
        <v>1581</v>
      </c>
      <c r="AJ334" t="s">
        <v>1582</v>
      </c>
      <c r="AK334" t="s">
        <v>1575</v>
      </c>
      <c r="AL334" t="s">
        <v>272</v>
      </c>
    </row>
    <row r="335" spans="1:38">
      <c r="A335" t="s">
        <v>1899</v>
      </c>
      <c r="B335" t="s">
        <v>1900</v>
      </c>
      <c r="C335" t="s">
        <v>1901</v>
      </c>
      <c r="D335" t="s">
        <v>1902</v>
      </c>
      <c r="E335" t="s">
        <v>1903</v>
      </c>
      <c r="F335" t="s">
        <v>1572</v>
      </c>
      <c r="G335">
        <v>1</v>
      </c>
      <c r="H335">
        <v>1</v>
      </c>
      <c r="I335">
        <v>0.01</v>
      </c>
      <c r="J335" t="s">
        <v>226</v>
      </c>
      <c r="K335">
        <v>-0.12</v>
      </c>
      <c r="L335">
        <v>8.6199999999999992</v>
      </c>
      <c r="M335">
        <v>8.6199999999999992</v>
      </c>
      <c r="N335">
        <v>8.61</v>
      </c>
      <c r="O335">
        <v>8.6199999999999992</v>
      </c>
      <c r="P335">
        <v>0</v>
      </c>
      <c r="Q335">
        <v>0</v>
      </c>
      <c r="R335">
        <v>0</v>
      </c>
      <c r="S335">
        <v>8.6199999999999992</v>
      </c>
      <c r="T335">
        <v>8.6</v>
      </c>
      <c r="U335">
        <v>8.6</v>
      </c>
      <c r="V335">
        <v>8.65</v>
      </c>
      <c r="W335">
        <v>39479</v>
      </c>
      <c r="X335">
        <v>8.6199999999999992</v>
      </c>
      <c r="Y335">
        <v>8.6300000000000008</v>
      </c>
      <c r="Z335">
        <v>62</v>
      </c>
      <c r="AA335">
        <v>0</v>
      </c>
      <c r="AB335">
        <v>8.6199999999999992</v>
      </c>
      <c r="AC335">
        <v>0</v>
      </c>
      <c r="AD335" t="s">
        <v>94</v>
      </c>
      <c r="AE335" t="s">
        <v>94</v>
      </c>
      <c r="AF335" t="s">
        <v>226</v>
      </c>
      <c r="AG335" t="s">
        <v>226</v>
      </c>
      <c r="AH335">
        <v>-100</v>
      </c>
      <c r="AI335" t="s">
        <v>1581</v>
      </c>
      <c r="AJ335" t="s">
        <v>1582</v>
      </c>
      <c r="AK335" t="s">
        <v>1575</v>
      </c>
      <c r="AL335" t="s">
        <v>272</v>
      </c>
    </row>
    <row r="336" spans="1:38">
      <c r="A336" t="s">
        <v>1904</v>
      </c>
      <c r="B336" t="s">
        <v>1905</v>
      </c>
      <c r="C336" t="s">
        <v>1906</v>
      </c>
      <c r="D336" t="s">
        <v>1907</v>
      </c>
      <c r="E336" t="s">
        <v>1908</v>
      </c>
      <c r="F336" t="s">
        <v>1572</v>
      </c>
      <c r="G336">
        <v>1</v>
      </c>
      <c r="H336">
        <v>1</v>
      </c>
      <c r="I336">
        <v>0.01</v>
      </c>
      <c r="J336" t="s">
        <v>226</v>
      </c>
      <c r="K336">
        <v>0.18</v>
      </c>
      <c r="L336">
        <v>5.68</v>
      </c>
      <c r="M336">
        <v>5.67</v>
      </c>
      <c r="N336">
        <v>5.67</v>
      </c>
      <c r="O336">
        <v>5.67</v>
      </c>
      <c r="P336">
        <v>0</v>
      </c>
      <c r="Q336">
        <v>0</v>
      </c>
      <c r="R336">
        <v>0</v>
      </c>
      <c r="S336">
        <v>5.67</v>
      </c>
      <c r="T336">
        <v>5.67</v>
      </c>
      <c r="U336">
        <v>5.66</v>
      </c>
      <c r="V336">
        <v>5.68</v>
      </c>
      <c r="W336">
        <v>11227024</v>
      </c>
      <c r="X336">
        <v>5.67</v>
      </c>
      <c r="Y336">
        <v>5.68</v>
      </c>
      <c r="Z336">
        <v>4195</v>
      </c>
      <c r="AA336">
        <v>0</v>
      </c>
      <c r="AB336">
        <v>5.68</v>
      </c>
      <c r="AC336">
        <v>0</v>
      </c>
      <c r="AD336" t="s">
        <v>94</v>
      </c>
      <c r="AE336" t="s">
        <v>94</v>
      </c>
      <c r="AF336" t="s">
        <v>226</v>
      </c>
      <c r="AG336" t="s">
        <v>226</v>
      </c>
      <c r="AH336">
        <v>-100</v>
      </c>
      <c r="AI336" t="s">
        <v>1581</v>
      </c>
      <c r="AJ336" t="s">
        <v>1582</v>
      </c>
      <c r="AK336" t="s">
        <v>1575</v>
      </c>
      <c r="AL336" t="s">
        <v>272</v>
      </c>
    </row>
    <row r="337" spans="1:38">
      <c r="A337" t="s">
        <v>1909</v>
      </c>
      <c r="B337" t="s">
        <v>1910</v>
      </c>
      <c r="C337" t="s">
        <v>1911</v>
      </c>
      <c r="D337" t="s">
        <v>1912</v>
      </c>
      <c r="E337" t="s">
        <v>1913</v>
      </c>
      <c r="F337" t="s">
        <v>1572</v>
      </c>
      <c r="G337">
        <v>1</v>
      </c>
      <c r="H337">
        <v>1</v>
      </c>
      <c r="I337">
        <v>0.01</v>
      </c>
      <c r="J337" t="s">
        <v>226</v>
      </c>
      <c r="K337">
        <v>-0.7</v>
      </c>
      <c r="L337">
        <v>8.52</v>
      </c>
      <c r="M337">
        <v>8.59</v>
      </c>
      <c r="N337">
        <v>8.65</v>
      </c>
      <c r="O337">
        <v>8.52</v>
      </c>
      <c r="P337">
        <v>0</v>
      </c>
      <c r="Q337">
        <v>0</v>
      </c>
      <c r="R337">
        <v>0</v>
      </c>
      <c r="S337">
        <v>8.6</v>
      </c>
      <c r="T337">
        <v>8.59</v>
      </c>
      <c r="U337">
        <v>8.51</v>
      </c>
      <c r="V337">
        <v>8.65</v>
      </c>
      <c r="W337">
        <v>7081926</v>
      </c>
      <c r="X337">
        <v>8.52</v>
      </c>
      <c r="Y337">
        <v>8.5299999999999994</v>
      </c>
      <c r="Z337">
        <v>4519</v>
      </c>
      <c r="AA337">
        <v>0</v>
      </c>
      <c r="AB337">
        <v>136.32</v>
      </c>
      <c r="AC337">
        <v>0</v>
      </c>
      <c r="AD337" t="s">
        <v>94</v>
      </c>
      <c r="AE337" t="s">
        <v>94</v>
      </c>
      <c r="AF337" t="s">
        <v>226</v>
      </c>
      <c r="AG337" t="s">
        <v>226</v>
      </c>
      <c r="AH337">
        <v>-100</v>
      </c>
      <c r="AI337" t="s">
        <v>1581</v>
      </c>
      <c r="AJ337" t="s">
        <v>1582</v>
      </c>
      <c r="AK337" t="s">
        <v>1575</v>
      </c>
      <c r="AL337" t="s">
        <v>272</v>
      </c>
    </row>
    <row r="338" spans="1:38">
      <c r="A338" t="s">
        <v>1914</v>
      </c>
      <c r="B338" t="s">
        <v>1915</v>
      </c>
      <c r="C338" t="s">
        <v>1916</v>
      </c>
      <c r="D338" t="s">
        <v>1917</v>
      </c>
      <c r="E338" t="s">
        <v>1918</v>
      </c>
      <c r="F338" t="s">
        <v>1572</v>
      </c>
      <c r="G338">
        <v>1</v>
      </c>
      <c r="H338">
        <v>1</v>
      </c>
      <c r="I338">
        <v>0.01</v>
      </c>
      <c r="J338" t="s">
        <v>226</v>
      </c>
      <c r="K338">
        <v>0.39</v>
      </c>
      <c r="L338">
        <v>5.16</v>
      </c>
      <c r="M338">
        <v>5.15</v>
      </c>
      <c r="N338">
        <v>5.15</v>
      </c>
      <c r="O338">
        <v>5.16</v>
      </c>
      <c r="P338">
        <v>0</v>
      </c>
      <c r="Q338">
        <v>0</v>
      </c>
      <c r="R338">
        <v>0</v>
      </c>
      <c r="S338">
        <v>5.16</v>
      </c>
      <c r="T338">
        <v>5.14</v>
      </c>
      <c r="U338">
        <v>5.14</v>
      </c>
      <c r="V338">
        <v>5.17</v>
      </c>
      <c r="W338">
        <v>3014645</v>
      </c>
      <c r="X338">
        <v>5.16</v>
      </c>
      <c r="Y338">
        <v>5.17</v>
      </c>
      <c r="Z338">
        <v>377</v>
      </c>
      <c r="AA338">
        <v>0</v>
      </c>
      <c r="AB338">
        <v>392.16</v>
      </c>
      <c r="AC338">
        <v>0</v>
      </c>
      <c r="AD338" t="s">
        <v>94</v>
      </c>
      <c r="AE338" t="s">
        <v>94</v>
      </c>
      <c r="AF338" t="s">
        <v>226</v>
      </c>
      <c r="AG338" t="s">
        <v>226</v>
      </c>
      <c r="AH338">
        <v>-100</v>
      </c>
      <c r="AI338" t="s">
        <v>1581</v>
      </c>
      <c r="AJ338" t="s">
        <v>1582</v>
      </c>
      <c r="AK338" t="s">
        <v>1575</v>
      </c>
      <c r="AL338" t="s">
        <v>272</v>
      </c>
    </row>
    <row r="339" spans="1:38">
      <c r="A339" t="s">
        <v>1919</v>
      </c>
      <c r="B339" t="s">
        <v>1920</v>
      </c>
      <c r="C339" t="s">
        <v>1921</v>
      </c>
      <c r="D339" t="s">
        <v>1922</v>
      </c>
      <c r="E339" t="s">
        <v>1923</v>
      </c>
      <c r="F339" t="s">
        <v>1572</v>
      </c>
      <c r="G339">
        <v>1</v>
      </c>
      <c r="H339">
        <v>1</v>
      </c>
      <c r="I339">
        <v>0.01</v>
      </c>
      <c r="J339" t="s">
        <v>226</v>
      </c>
      <c r="K339">
        <v>-0.71</v>
      </c>
      <c r="L339">
        <v>11.21</v>
      </c>
      <c r="M339">
        <v>11.29</v>
      </c>
      <c r="N339">
        <v>11.33</v>
      </c>
      <c r="O339">
        <v>11.18</v>
      </c>
      <c r="P339">
        <v>0</v>
      </c>
      <c r="Q339">
        <v>0</v>
      </c>
      <c r="R339">
        <v>0</v>
      </c>
      <c r="S339">
        <v>11.14</v>
      </c>
      <c r="T339">
        <v>11.28</v>
      </c>
      <c r="U339">
        <v>11.07</v>
      </c>
      <c r="V339">
        <v>11.28</v>
      </c>
      <c r="W339">
        <v>1033147726</v>
      </c>
      <c r="X339">
        <v>11.2</v>
      </c>
      <c r="Y339">
        <v>11.21</v>
      </c>
      <c r="Z339">
        <v>46758</v>
      </c>
      <c r="AA339">
        <v>0</v>
      </c>
      <c r="AB339">
        <v>89.68</v>
      </c>
      <c r="AC339">
        <v>0</v>
      </c>
      <c r="AD339" t="s">
        <v>94</v>
      </c>
      <c r="AE339" t="s">
        <v>94</v>
      </c>
      <c r="AF339" t="s">
        <v>226</v>
      </c>
      <c r="AG339" t="s">
        <v>226</v>
      </c>
      <c r="AH339">
        <v>-100</v>
      </c>
      <c r="AI339" t="s">
        <v>1581</v>
      </c>
      <c r="AJ339" t="s">
        <v>1582</v>
      </c>
      <c r="AK339" t="s">
        <v>1575</v>
      </c>
      <c r="AL339" t="s">
        <v>272</v>
      </c>
    </row>
    <row r="340" spans="1:38">
      <c r="A340" t="s">
        <v>1924</v>
      </c>
      <c r="B340" t="s">
        <v>1925</v>
      </c>
      <c r="C340" t="s">
        <v>1926</v>
      </c>
      <c r="D340" t="s">
        <v>1927</v>
      </c>
      <c r="E340" t="s">
        <v>1928</v>
      </c>
      <c r="F340" t="s">
        <v>1572</v>
      </c>
      <c r="G340">
        <v>1</v>
      </c>
      <c r="H340">
        <v>1</v>
      </c>
      <c r="I340">
        <v>0.01</v>
      </c>
      <c r="J340" t="s">
        <v>226</v>
      </c>
      <c r="K340">
        <v>-1.1100000000000001</v>
      </c>
      <c r="L340">
        <v>6.21</v>
      </c>
      <c r="M340">
        <v>6.3</v>
      </c>
      <c r="N340">
        <v>6.36</v>
      </c>
      <c r="O340">
        <v>6.21</v>
      </c>
      <c r="P340">
        <v>0</v>
      </c>
      <c r="Q340">
        <v>0</v>
      </c>
      <c r="R340">
        <v>0</v>
      </c>
      <c r="S340">
        <v>6.27</v>
      </c>
      <c r="T340">
        <v>6.28</v>
      </c>
      <c r="U340">
        <v>6.2</v>
      </c>
      <c r="V340">
        <v>6.32</v>
      </c>
      <c r="W340">
        <v>2556896</v>
      </c>
      <c r="X340">
        <v>6.2</v>
      </c>
      <c r="Y340">
        <v>6.21</v>
      </c>
      <c r="Z340">
        <v>3080</v>
      </c>
      <c r="AA340">
        <v>0</v>
      </c>
      <c r="AB340">
        <v>496.8</v>
      </c>
      <c r="AC340">
        <v>0</v>
      </c>
      <c r="AD340" t="s">
        <v>94</v>
      </c>
      <c r="AE340" t="s">
        <v>94</v>
      </c>
      <c r="AF340" t="s">
        <v>226</v>
      </c>
      <c r="AG340" t="s">
        <v>226</v>
      </c>
      <c r="AH340">
        <v>-100</v>
      </c>
      <c r="AI340" t="s">
        <v>1581</v>
      </c>
      <c r="AJ340" t="s">
        <v>1582</v>
      </c>
      <c r="AK340" t="s">
        <v>1575</v>
      </c>
      <c r="AL340" t="s">
        <v>272</v>
      </c>
    </row>
    <row r="341" spans="1:38">
      <c r="A341" t="s">
        <v>1929</v>
      </c>
      <c r="B341" t="s">
        <v>1930</v>
      </c>
      <c r="C341" t="s">
        <v>1931</v>
      </c>
      <c r="D341" t="s">
        <v>1932</v>
      </c>
      <c r="E341" t="s">
        <v>1933</v>
      </c>
      <c r="F341" t="s">
        <v>1572</v>
      </c>
      <c r="G341">
        <v>1</v>
      </c>
      <c r="H341">
        <v>1</v>
      </c>
      <c r="I341">
        <v>0.01</v>
      </c>
      <c r="J341" t="s">
        <v>226</v>
      </c>
      <c r="K341">
        <v>-2.13</v>
      </c>
      <c r="L341">
        <v>10.55</v>
      </c>
      <c r="M341">
        <v>10.78</v>
      </c>
      <c r="N341">
        <v>10.83</v>
      </c>
      <c r="O341">
        <v>10.57</v>
      </c>
      <c r="P341">
        <v>0</v>
      </c>
      <c r="Q341">
        <v>0</v>
      </c>
      <c r="R341">
        <v>0</v>
      </c>
      <c r="S341">
        <v>10.63</v>
      </c>
      <c r="T341">
        <v>10.74</v>
      </c>
      <c r="U341">
        <v>10.55</v>
      </c>
      <c r="V341">
        <v>10.78</v>
      </c>
      <c r="W341">
        <v>19531918</v>
      </c>
      <c r="X341">
        <v>10.55</v>
      </c>
      <c r="Y341">
        <v>10.56</v>
      </c>
      <c r="Z341">
        <v>36007</v>
      </c>
      <c r="AA341">
        <v>0</v>
      </c>
      <c r="AB341">
        <v>10.55</v>
      </c>
      <c r="AC341">
        <v>0</v>
      </c>
      <c r="AD341" t="s">
        <v>94</v>
      </c>
      <c r="AE341" t="s">
        <v>94</v>
      </c>
      <c r="AF341" t="s">
        <v>226</v>
      </c>
      <c r="AG341" t="s">
        <v>226</v>
      </c>
      <c r="AH341">
        <v>-100</v>
      </c>
      <c r="AI341" t="s">
        <v>1581</v>
      </c>
      <c r="AJ341" t="s">
        <v>1582</v>
      </c>
      <c r="AK341" t="s">
        <v>1575</v>
      </c>
      <c r="AL341" t="s">
        <v>272</v>
      </c>
    </row>
    <row r="342" spans="1:38">
      <c r="A342" t="s">
        <v>1934</v>
      </c>
      <c r="B342" t="s">
        <v>1935</v>
      </c>
      <c r="C342" t="s">
        <v>1936</v>
      </c>
      <c r="D342" t="s">
        <v>1937</v>
      </c>
      <c r="E342" t="s">
        <v>1938</v>
      </c>
      <c r="F342" t="s">
        <v>1572</v>
      </c>
      <c r="G342">
        <v>1</v>
      </c>
      <c r="H342">
        <v>1</v>
      </c>
      <c r="I342">
        <v>0.01</v>
      </c>
      <c r="J342" t="s">
        <v>226</v>
      </c>
      <c r="K342">
        <v>0.18</v>
      </c>
      <c r="L342">
        <v>123.45</v>
      </c>
      <c r="M342">
        <v>123.33</v>
      </c>
      <c r="N342">
        <v>123.33</v>
      </c>
      <c r="O342">
        <v>123.44</v>
      </c>
      <c r="P342">
        <v>0</v>
      </c>
      <c r="Q342">
        <v>0</v>
      </c>
      <c r="R342">
        <v>0</v>
      </c>
      <c r="S342">
        <v>123.43</v>
      </c>
      <c r="T342">
        <v>123.23</v>
      </c>
      <c r="U342">
        <v>123.08</v>
      </c>
      <c r="V342">
        <v>123.52</v>
      </c>
      <c r="W342">
        <v>2109965</v>
      </c>
      <c r="X342">
        <v>123.24</v>
      </c>
      <c r="Y342">
        <v>123.46</v>
      </c>
      <c r="Z342">
        <v>150</v>
      </c>
      <c r="AA342">
        <v>0</v>
      </c>
      <c r="AB342">
        <v>493.8</v>
      </c>
      <c r="AC342">
        <v>0</v>
      </c>
      <c r="AD342" t="s">
        <v>94</v>
      </c>
      <c r="AE342" t="s">
        <v>94</v>
      </c>
      <c r="AF342" t="s">
        <v>226</v>
      </c>
      <c r="AG342" t="s">
        <v>226</v>
      </c>
      <c r="AH342">
        <v>-100</v>
      </c>
      <c r="AI342" t="s">
        <v>1581</v>
      </c>
      <c r="AJ342" t="s">
        <v>1582</v>
      </c>
      <c r="AK342" t="s">
        <v>1575</v>
      </c>
      <c r="AL342" t="s">
        <v>272</v>
      </c>
    </row>
    <row r="343" spans="1:38">
      <c r="A343" t="s">
        <v>1939</v>
      </c>
      <c r="B343" t="s">
        <v>1940</v>
      </c>
      <c r="C343" t="s">
        <v>1941</v>
      </c>
      <c r="D343" t="s">
        <v>1942</v>
      </c>
      <c r="E343" t="s">
        <v>1943</v>
      </c>
      <c r="F343" t="s">
        <v>1572</v>
      </c>
      <c r="G343">
        <v>1</v>
      </c>
      <c r="H343">
        <v>1</v>
      </c>
      <c r="I343">
        <v>0.01</v>
      </c>
      <c r="J343" t="s">
        <v>226</v>
      </c>
      <c r="K343">
        <v>-0.55000000000000004</v>
      </c>
      <c r="L343">
        <v>5.41</v>
      </c>
      <c r="M343">
        <v>5.46</v>
      </c>
      <c r="N343">
        <v>5.48</v>
      </c>
      <c r="O343">
        <v>5.39</v>
      </c>
      <c r="P343">
        <v>0</v>
      </c>
      <c r="Q343">
        <v>0</v>
      </c>
      <c r="R343">
        <v>0</v>
      </c>
      <c r="S343">
        <v>5.45</v>
      </c>
      <c r="T343">
        <v>5.44</v>
      </c>
      <c r="U343">
        <v>5.38</v>
      </c>
      <c r="V343">
        <v>5.5</v>
      </c>
      <c r="W343">
        <v>92616039</v>
      </c>
      <c r="X343">
        <v>5.4</v>
      </c>
      <c r="Y343">
        <v>5.41</v>
      </c>
      <c r="Z343">
        <v>100381</v>
      </c>
      <c r="AA343">
        <v>0</v>
      </c>
      <c r="AB343">
        <v>48.69</v>
      </c>
      <c r="AC343">
        <v>0</v>
      </c>
      <c r="AD343" t="s">
        <v>94</v>
      </c>
      <c r="AE343" t="s">
        <v>94</v>
      </c>
      <c r="AF343" t="s">
        <v>226</v>
      </c>
      <c r="AG343" t="s">
        <v>226</v>
      </c>
      <c r="AH343">
        <v>-100</v>
      </c>
      <c r="AI343" t="s">
        <v>1581</v>
      </c>
      <c r="AJ343" t="s">
        <v>1582</v>
      </c>
      <c r="AK343" t="s">
        <v>1575</v>
      </c>
      <c r="AL343" t="s">
        <v>272</v>
      </c>
    </row>
    <row r="344" spans="1:38">
      <c r="A344" t="s">
        <v>1944</v>
      </c>
      <c r="B344" t="s">
        <v>1945</v>
      </c>
      <c r="C344" t="s">
        <v>1946</v>
      </c>
      <c r="D344" t="s">
        <v>1947</v>
      </c>
      <c r="E344" t="s">
        <v>1948</v>
      </c>
      <c r="F344" t="s">
        <v>1572</v>
      </c>
      <c r="G344">
        <v>1</v>
      </c>
      <c r="H344">
        <v>1</v>
      </c>
      <c r="I344">
        <v>0.01</v>
      </c>
      <c r="J344" t="s">
        <v>226</v>
      </c>
      <c r="K344">
        <v>0.02</v>
      </c>
      <c r="L344">
        <v>95.66</v>
      </c>
      <c r="M344">
        <v>95.58</v>
      </c>
      <c r="N344">
        <v>95.63</v>
      </c>
      <c r="O344">
        <v>95.67</v>
      </c>
      <c r="P344">
        <v>0</v>
      </c>
      <c r="Q344">
        <v>0</v>
      </c>
      <c r="R344">
        <v>0</v>
      </c>
      <c r="S344">
        <v>95.71</v>
      </c>
      <c r="T344">
        <v>95.64</v>
      </c>
      <c r="U344">
        <v>95.6</v>
      </c>
      <c r="V344">
        <v>95.91</v>
      </c>
      <c r="W344">
        <v>173438144</v>
      </c>
      <c r="X344">
        <v>95.65</v>
      </c>
      <c r="Y344">
        <v>95.66</v>
      </c>
      <c r="Z344">
        <v>13962</v>
      </c>
      <c r="AA344">
        <v>0</v>
      </c>
      <c r="AB344">
        <v>3826.4</v>
      </c>
      <c r="AC344">
        <v>0</v>
      </c>
      <c r="AD344" t="s">
        <v>94</v>
      </c>
      <c r="AE344" t="s">
        <v>94</v>
      </c>
      <c r="AF344" t="s">
        <v>226</v>
      </c>
      <c r="AG344" t="s">
        <v>226</v>
      </c>
      <c r="AH344">
        <v>-100</v>
      </c>
      <c r="AI344" t="s">
        <v>1581</v>
      </c>
      <c r="AJ344" t="s">
        <v>1582</v>
      </c>
      <c r="AK344" t="s">
        <v>1575</v>
      </c>
      <c r="AL344" t="s">
        <v>272</v>
      </c>
    </row>
    <row r="345" spans="1:38">
      <c r="A345" t="s">
        <v>1949</v>
      </c>
      <c r="B345" t="s">
        <v>1950</v>
      </c>
      <c r="C345" t="s">
        <v>1951</v>
      </c>
      <c r="D345" t="s">
        <v>1952</v>
      </c>
      <c r="E345" t="s">
        <v>1953</v>
      </c>
      <c r="F345" t="s">
        <v>1572</v>
      </c>
      <c r="G345">
        <v>1</v>
      </c>
      <c r="H345">
        <v>1</v>
      </c>
      <c r="I345">
        <v>0.01</v>
      </c>
      <c r="J345" t="s">
        <v>226</v>
      </c>
      <c r="K345">
        <v>-0.49</v>
      </c>
      <c r="L345">
        <v>8.1</v>
      </c>
      <c r="M345">
        <v>8.14</v>
      </c>
      <c r="N345">
        <v>8.15</v>
      </c>
      <c r="O345">
        <v>8.09</v>
      </c>
      <c r="P345">
        <v>0</v>
      </c>
      <c r="Q345">
        <v>0</v>
      </c>
      <c r="R345">
        <v>0</v>
      </c>
      <c r="S345">
        <v>8.1</v>
      </c>
      <c r="T345">
        <v>8.1300000000000008</v>
      </c>
      <c r="U345">
        <v>8.08</v>
      </c>
      <c r="V345">
        <v>8.14</v>
      </c>
      <c r="W345">
        <v>500188089</v>
      </c>
      <c r="X345">
        <v>8.09</v>
      </c>
      <c r="Y345">
        <v>8.1</v>
      </c>
      <c r="Z345">
        <v>624393</v>
      </c>
      <c r="AA345">
        <v>0</v>
      </c>
      <c r="AB345">
        <v>56.7</v>
      </c>
      <c r="AC345">
        <v>0</v>
      </c>
      <c r="AD345" t="s">
        <v>94</v>
      </c>
      <c r="AE345" t="s">
        <v>94</v>
      </c>
      <c r="AF345" t="s">
        <v>226</v>
      </c>
      <c r="AG345" t="s">
        <v>226</v>
      </c>
      <c r="AH345">
        <v>-100</v>
      </c>
      <c r="AI345" t="s">
        <v>1581</v>
      </c>
      <c r="AJ345" t="s">
        <v>1582</v>
      </c>
      <c r="AK345" t="s">
        <v>1575</v>
      </c>
      <c r="AL345" t="s">
        <v>272</v>
      </c>
    </row>
    <row r="346" spans="1:38">
      <c r="A346" t="s">
        <v>1954</v>
      </c>
      <c r="B346" t="s">
        <v>1955</v>
      </c>
      <c r="C346" t="s">
        <v>1956</v>
      </c>
      <c r="D346" t="s">
        <v>1957</v>
      </c>
      <c r="E346" t="s">
        <v>1958</v>
      </c>
      <c r="F346" t="s">
        <v>1572</v>
      </c>
      <c r="G346">
        <v>1</v>
      </c>
      <c r="H346">
        <v>1</v>
      </c>
      <c r="I346">
        <v>0.01</v>
      </c>
      <c r="J346" t="s">
        <v>226</v>
      </c>
      <c r="K346">
        <v>0</v>
      </c>
      <c r="L346">
        <v>5.36</v>
      </c>
      <c r="M346">
        <v>5.36</v>
      </c>
      <c r="N346">
        <v>5.36</v>
      </c>
      <c r="O346">
        <v>5.36</v>
      </c>
      <c r="P346">
        <v>0</v>
      </c>
      <c r="Q346">
        <v>0</v>
      </c>
      <c r="R346">
        <v>0</v>
      </c>
      <c r="S346">
        <v>5.36</v>
      </c>
      <c r="T346">
        <v>5.34</v>
      </c>
      <c r="U346">
        <v>5.34</v>
      </c>
      <c r="V346">
        <v>5.37</v>
      </c>
      <c r="W346">
        <v>4557180</v>
      </c>
      <c r="X346">
        <v>5.36</v>
      </c>
      <c r="Y346">
        <v>5.37</v>
      </c>
      <c r="Z346">
        <v>637</v>
      </c>
      <c r="AA346">
        <v>0</v>
      </c>
      <c r="AB346">
        <v>434.16</v>
      </c>
      <c r="AC346">
        <v>0</v>
      </c>
      <c r="AD346" t="s">
        <v>94</v>
      </c>
      <c r="AE346" t="s">
        <v>94</v>
      </c>
      <c r="AF346" t="s">
        <v>226</v>
      </c>
      <c r="AG346" t="s">
        <v>226</v>
      </c>
      <c r="AH346">
        <v>-100</v>
      </c>
      <c r="AI346" t="s">
        <v>1581</v>
      </c>
      <c r="AJ346" t="s">
        <v>1582</v>
      </c>
      <c r="AK346" t="s">
        <v>1575</v>
      </c>
      <c r="AL346" t="s">
        <v>272</v>
      </c>
    </row>
    <row r="347" spans="1:38">
      <c r="A347" t="s">
        <v>1959</v>
      </c>
      <c r="B347" t="s">
        <v>1960</v>
      </c>
      <c r="C347" t="s">
        <v>1961</v>
      </c>
      <c r="D347" t="s">
        <v>1962</v>
      </c>
      <c r="E347" t="s">
        <v>1963</v>
      </c>
      <c r="F347" t="s">
        <v>1572</v>
      </c>
      <c r="G347">
        <v>1</v>
      </c>
      <c r="H347">
        <v>1</v>
      </c>
      <c r="I347">
        <v>0.01</v>
      </c>
      <c r="J347" t="s">
        <v>226</v>
      </c>
      <c r="K347">
        <v>-1.97</v>
      </c>
      <c r="L347">
        <v>118.19</v>
      </c>
      <c r="M347">
        <v>120.54</v>
      </c>
      <c r="N347">
        <v>121.58</v>
      </c>
      <c r="O347">
        <v>118.76</v>
      </c>
      <c r="P347">
        <v>0</v>
      </c>
      <c r="Q347">
        <v>0</v>
      </c>
      <c r="R347">
        <v>0</v>
      </c>
      <c r="S347">
        <v>118.68</v>
      </c>
      <c r="T347">
        <v>119.77</v>
      </c>
      <c r="U347">
        <v>117.41</v>
      </c>
      <c r="V347">
        <v>119.77</v>
      </c>
      <c r="W347">
        <v>840017</v>
      </c>
      <c r="X347">
        <v>118.03</v>
      </c>
      <c r="Y347">
        <v>118.64</v>
      </c>
      <c r="Z347">
        <v>66</v>
      </c>
      <c r="AA347">
        <v>0</v>
      </c>
      <c r="AB347">
        <v>118.19</v>
      </c>
      <c r="AC347">
        <v>0</v>
      </c>
      <c r="AD347" t="s">
        <v>94</v>
      </c>
      <c r="AE347" t="s">
        <v>94</v>
      </c>
      <c r="AF347" t="s">
        <v>226</v>
      </c>
      <c r="AG347" t="s">
        <v>226</v>
      </c>
      <c r="AH347">
        <v>-100</v>
      </c>
      <c r="AI347" t="s">
        <v>1581</v>
      </c>
      <c r="AJ347" t="s">
        <v>1582</v>
      </c>
      <c r="AK347" t="s">
        <v>1575</v>
      </c>
      <c r="AL347" t="s">
        <v>272</v>
      </c>
    </row>
    <row r="348" spans="1:38">
      <c r="A348" t="s">
        <v>2120</v>
      </c>
      <c r="B348" t="s">
        <v>2121</v>
      </c>
      <c r="C348" t="s">
        <v>2122</v>
      </c>
      <c r="D348" t="s">
        <v>2123</v>
      </c>
      <c r="E348" t="s">
        <v>2124</v>
      </c>
      <c r="F348" t="s">
        <v>2125</v>
      </c>
      <c r="G348">
        <v>1</v>
      </c>
      <c r="H348">
        <v>1</v>
      </c>
      <c r="I348">
        <v>1E-3</v>
      </c>
      <c r="J348">
        <v>1000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87.501000000000005</v>
      </c>
      <c r="Y348">
        <v>0</v>
      </c>
      <c r="Z348">
        <v>0</v>
      </c>
      <c r="AA348">
        <v>15000000</v>
      </c>
      <c r="AB348">
        <v>0</v>
      </c>
      <c r="AC348">
        <v>0</v>
      </c>
      <c r="AD348" t="s">
        <v>94</v>
      </c>
      <c r="AE348" t="s">
        <v>94</v>
      </c>
      <c r="AF348" t="s">
        <v>226</v>
      </c>
      <c r="AG348" t="s">
        <v>226</v>
      </c>
      <c r="AH348">
        <v>-100</v>
      </c>
      <c r="AI348" t="s">
        <v>2126</v>
      </c>
      <c r="AJ348" t="s">
        <v>2127</v>
      </c>
      <c r="AK348" t="s">
        <v>2128</v>
      </c>
      <c r="AL348" t="s">
        <v>272</v>
      </c>
    </row>
    <row r="349" spans="1:38">
      <c r="A349" t="s">
        <v>2129</v>
      </c>
      <c r="B349" t="s">
        <v>2130</v>
      </c>
      <c r="C349" t="s">
        <v>2131</v>
      </c>
      <c r="D349" t="s">
        <v>2132</v>
      </c>
      <c r="E349" t="s">
        <v>2133</v>
      </c>
      <c r="F349" t="s">
        <v>2125</v>
      </c>
      <c r="G349">
        <v>1</v>
      </c>
      <c r="H349">
        <v>1</v>
      </c>
      <c r="I349">
        <v>1E-3</v>
      </c>
      <c r="J349">
        <v>1000</v>
      </c>
      <c r="K349">
        <v>0.2</v>
      </c>
      <c r="L349">
        <v>79.429000000000002</v>
      </c>
      <c r="M349">
        <v>79.150000000000006</v>
      </c>
      <c r="N349">
        <v>79.016000000000005</v>
      </c>
      <c r="O349">
        <v>79.409000000000006</v>
      </c>
      <c r="P349">
        <v>0</v>
      </c>
      <c r="Q349">
        <v>0</v>
      </c>
      <c r="R349">
        <v>0</v>
      </c>
      <c r="S349">
        <v>79.283000000000001</v>
      </c>
      <c r="T349">
        <v>79.248000000000005</v>
      </c>
      <c r="U349">
        <v>79.010999999999996</v>
      </c>
      <c r="V349">
        <v>79.548000000000002</v>
      </c>
      <c r="W349">
        <v>75796469</v>
      </c>
      <c r="X349">
        <v>79.385999999999996</v>
      </c>
      <c r="Y349">
        <v>79.429000000000002</v>
      </c>
      <c r="Z349">
        <v>1042</v>
      </c>
      <c r="AA349">
        <v>450000000</v>
      </c>
      <c r="AB349">
        <v>794.29</v>
      </c>
      <c r="AC349">
        <v>0</v>
      </c>
      <c r="AD349" t="s">
        <v>94</v>
      </c>
      <c r="AE349" t="s">
        <v>94</v>
      </c>
      <c r="AF349" t="s">
        <v>226</v>
      </c>
      <c r="AG349" t="s">
        <v>226</v>
      </c>
      <c r="AH349">
        <v>-100</v>
      </c>
      <c r="AI349" t="s">
        <v>2126</v>
      </c>
      <c r="AJ349" t="s">
        <v>2127</v>
      </c>
      <c r="AK349" t="s">
        <v>2128</v>
      </c>
      <c r="AL349" t="s">
        <v>272</v>
      </c>
    </row>
    <row r="350" spans="1:38">
      <c r="A350" t="s">
        <v>2134</v>
      </c>
      <c r="B350" t="s">
        <v>2135</v>
      </c>
      <c r="C350" t="s">
        <v>2136</v>
      </c>
      <c r="D350" t="s">
        <v>2137</v>
      </c>
      <c r="E350" t="s">
        <v>2138</v>
      </c>
      <c r="F350" t="s">
        <v>2125</v>
      </c>
      <c r="G350">
        <v>1</v>
      </c>
      <c r="H350">
        <v>1</v>
      </c>
      <c r="I350">
        <v>1E-3</v>
      </c>
      <c r="J350">
        <v>1000</v>
      </c>
      <c r="K350">
        <v>0.3</v>
      </c>
      <c r="L350">
        <v>71.869</v>
      </c>
      <c r="M350">
        <v>71.799000000000007</v>
      </c>
      <c r="N350">
        <v>71.676000000000002</v>
      </c>
      <c r="O350">
        <v>71.87</v>
      </c>
      <c r="P350">
        <v>0</v>
      </c>
      <c r="Q350">
        <v>0</v>
      </c>
      <c r="R350">
        <v>0</v>
      </c>
      <c r="S350">
        <v>71.685000000000002</v>
      </c>
      <c r="T350">
        <v>71.998000000000005</v>
      </c>
      <c r="U350">
        <v>71.528999999999996</v>
      </c>
      <c r="V350">
        <v>71.998000000000005</v>
      </c>
      <c r="W350">
        <v>18030988</v>
      </c>
      <c r="X350">
        <v>71.804000000000002</v>
      </c>
      <c r="Y350">
        <v>71.869</v>
      </c>
      <c r="Z350">
        <v>792</v>
      </c>
      <c r="AA350">
        <v>358927588</v>
      </c>
      <c r="AB350">
        <v>718.69</v>
      </c>
      <c r="AC350">
        <v>0</v>
      </c>
      <c r="AD350" t="s">
        <v>94</v>
      </c>
      <c r="AE350" t="s">
        <v>94</v>
      </c>
      <c r="AF350" t="s">
        <v>226</v>
      </c>
      <c r="AG350" t="s">
        <v>226</v>
      </c>
      <c r="AH350">
        <v>-100</v>
      </c>
      <c r="AI350" t="s">
        <v>2126</v>
      </c>
      <c r="AJ350" t="s">
        <v>2127</v>
      </c>
      <c r="AK350" t="s">
        <v>2128</v>
      </c>
      <c r="AL350" t="s">
        <v>272</v>
      </c>
    </row>
    <row r="351" spans="1:38">
      <c r="A351" t="s">
        <v>2139</v>
      </c>
      <c r="B351" t="s">
        <v>2140</v>
      </c>
      <c r="C351" t="s">
        <v>2141</v>
      </c>
      <c r="D351" t="s">
        <v>2142</v>
      </c>
      <c r="E351" t="s">
        <v>2143</v>
      </c>
      <c r="F351" t="s">
        <v>2125</v>
      </c>
      <c r="G351">
        <v>1</v>
      </c>
      <c r="H351">
        <v>1</v>
      </c>
      <c r="I351">
        <v>1E-3</v>
      </c>
      <c r="J351">
        <v>1000</v>
      </c>
      <c r="K351">
        <v>-0.27</v>
      </c>
      <c r="L351">
        <v>65.497</v>
      </c>
      <c r="M351">
        <v>65.7</v>
      </c>
      <c r="N351">
        <v>65.573999999999998</v>
      </c>
      <c r="O351">
        <v>65.587000000000003</v>
      </c>
      <c r="P351">
        <v>0</v>
      </c>
      <c r="Q351">
        <v>0</v>
      </c>
      <c r="R351">
        <v>0</v>
      </c>
      <c r="S351">
        <v>65.503</v>
      </c>
      <c r="T351">
        <v>65.674000000000007</v>
      </c>
      <c r="U351">
        <v>65.400000000000006</v>
      </c>
      <c r="V351">
        <v>65.698999999999998</v>
      </c>
      <c r="W351">
        <v>14410584</v>
      </c>
      <c r="X351">
        <v>65.497</v>
      </c>
      <c r="Y351">
        <v>65.643000000000001</v>
      </c>
      <c r="Z351">
        <v>1046</v>
      </c>
      <c r="AA351">
        <v>250000000</v>
      </c>
      <c r="AB351">
        <v>13754.37</v>
      </c>
      <c r="AC351">
        <v>0</v>
      </c>
      <c r="AD351" t="s">
        <v>94</v>
      </c>
      <c r="AE351" t="s">
        <v>94</v>
      </c>
      <c r="AF351" t="s">
        <v>226</v>
      </c>
      <c r="AG351" t="s">
        <v>226</v>
      </c>
      <c r="AH351">
        <v>-100</v>
      </c>
      <c r="AI351" t="s">
        <v>2126</v>
      </c>
      <c r="AJ351" t="s">
        <v>2127</v>
      </c>
      <c r="AK351" t="s">
        <v>2128</v>
      </c>
      <c r="AL351" t="s">
        <v>272</v>
      </c>
    </row>
    <row r="352" spans="1:38">
      <c r="A352" t="s">
        <v>2144</v>
      </c>
      <c r="B352" t="s">
        <v>2145</v>
      </c>
      <c r="C352" t="s">
        <v>2146</v>
      </c>
      <c r="D352" t="s">
        <v>2147</v>
      </c>
      <c r="E352" t="s">
        <v>2148</v>
      </c>
      <c r="F352" t="s">
        <v>2125</v>
      </c>
      <c r="G352">
        <v>1</v>
      </c>
      <c r="H352">
        <v>1</v>
      </c>
      <c r="I352">
        <v>1E-3</v>
      </c>
      <c r="J352">
        <v>1000</v>
      </c>
      <c r="K352">
        <v>-0.02</v>
      </c>
      <c r="L352">
        <v>81.549000000000007</v>
      </c>
      <c r="M352">
        <v>81.400000000000006</v>
      </c>
      <c r="N352">
        <v>81.409000000000006</v>
      </c>
      <c r="O352">
        <v>81.549000000000007</v>
      </c>
      <c r="P352">
        <v>0</v>
      </c>
      <c r="Q352">
        <v>0</v>
      </c>
      <c r="R352">
        <v>0</v>
      </c>
      <c r="S352">
        <v>81.519000000000005</v>
      </c>
      <c r="T352">
        <v>81.796000000000006</v>
      </c>
      <c r="U352">
        <v>81.400000000000006</v>
      </c>
      <c r="V352">
        <v>81.796999999999997</v>
      </c>
      <c r="W352">
        <v>22798500</v>
      </c>
      <c r="X352">
        <v>81.543999999999997</v>
      </c>
      <c r="Y352">
        <v>81.549000000000007</v>
      </c>
      <c r="Z352">
        <v>586</v>
      </c>
      <c r="AA352">
        <v>450000000</v>
      </c>
      <c r="AB352">
        <v>815.49</v>
      </c>
      <c r="AC352">
        <v>0</v>
      </c>
      <c r="AD352" t="s">
        <v>94</v>
      </c>
      <c r="AE352" t="s">
        <v>94</v>
      </c>
      <c r="AF352" t="s">
        <v>226</v>
      </c>
      <c r="AG352" t="s">
        <v>226</v>
      </c>
      <c r="AH352">
        <v>-100</v>
      </c>
      <c r="AI352" t="s">
        <v>2126</v>
      </c>
      <c r="AJ352" t="s">
        <v>2127</v>
      </c>
      <c r="AK352" t="s">
        <v>2128</v>
      </c>
      <c r="AL352" t="s">
        <v>272</v>
      </c>
    </row>
    <row r="353" spans="1:38">
      <c r="A353" t="s">
        <v>2149</v>
      </c>
      <c r="B353" t="s">
        <v>2150</v>
      </c>
      <c r="C353" t="s">
        <v>2151</v>
      </c>
      <c r="D353" t="s">
        <v>2152</v>
      </c>
      <c r="E353" t="s">
        <v>2153</v>
      </c>
      <c r="F353" t="s">
        <v>2125</v>
      </c>
      <c r="G353">
        <v>1</v>
      </c>
      <c r="H353">
        <v>1</v>
      </c>
      <c r="I353">
        <v>1E-3</v>
      </c>
      <c r="J353">
        <v>1000</v>
      </c>
      <c r="K353">
        <v>-0.16</v>
      </c>
      <c r="L353">
        <v>60.649000000000001</v>
      </c>
      <c r="M353">
        <v>60.8</v>
      </c>
      <c r="N353">
        <v>60.652999999999999</v>
      </c>
      <c r="O353">
        <v>60.624000000000002</v>
      </c>
      <c r="P353">
        <v>0</v>
      </c>
      <c r="Q353">
        <v>0</v>
      </c>
      <c r="R353">
        <v>0</v>
      </c>
      <c r="S353">
        <v>60.61</v>
      </c>
      <c r="T353">
        <v>60.847000000000001</v>
      </c>
      <c r="U353">
        <v>60.502000000000002</v>
      </c>
      <c r="V353">
        <v>61.048000000000002</v>
      </c>
      <c r="W353">
        <v>16901139</v>
      </c>
      <c r="X353">
        <v>60.612000000000002</v>
      </c>
      <c r="Y353">
        <v>60.649000000000001</v>
      </c>
      <c r="Z353">
        <v>716</v>
      </c>
      <c r="AA353">
        <v>350000000</v>
      </c>
      <c r="AB353">
        <v>606.49</v>
      </c>
      <c r="AC353">
        <v>0</v>
      </c>
      <c r="AD353" t="s">
        <v>94</v>
      </c>
      <c r="AE353" t="s">
        <v>94</v>
      </c>
      <c r="AF353" t="s">
        <v>226</v>
      </c>
      <c r="AG353" t="s">
        <v>226</v>
      </c>
      <c r="AH353">
        <v>-100</v>
      </c>
      <c r="AI353" t="s">
        <v>2126</v>
      </c>
      <c r="AJ353" t="s">
        <v>2127</v>
      </c>
      <c r="AK353" t="s">
        <v>2128</v>
      </c>
      <c r="AL353" t="s">
        <v>272</v>
      </c>
    </row>
    <row r="354" spans="1:38">
      <c r="A354" t="s">
        <v>2154</v>
      </c>
      <c r="B354" t="s">
        <v>2155</v>
      </c>
      <c r="C354" t="s">
        <v>2156</v>
      </c>
      <c r="D354" t="s">
        <v>2157</v>
      </c>
      <c r="E354" t="s">
        <v>2158</v>
      </c>
      <c r="F354" t="s">
        <v>2125</v>
      </c>
      <c r="G354">
        <v>1</v>
      </c>
      <c r="H354">
        <v>1</v>
      </c>
      <c r="I354">
        <v>1E-3</v>
      </c>
      <c r="J354">
        <v>1000</v>
      </c>
      <c r="K354">
        <v>0.02</v>
      </c>
      <c r="L354">
        <v>66.313999999999993</v>
      </c>
      <c r="M354">
        <v>66.239999999999995</v>
      </c>
      <c r="N354">
        <v>66.234999999999999</v>
      </c>
      <c r="O354">
        <v>66.37</v>
      </c>
      <c r="P354">
        <v>0</v>
      </c>
      <c r="Q354">
        <v>0</v>
      </c>
      <c r="R354">
        <v>0</v>
      </c>
      <c r="S354">
        <v>66.284000000000006</v>
      </c>
      <c r="T354">
        <v>66.498999999999995</v>
      </c>
      <c r="U354">
        <v>66.179000000000002</v>
      </c>
      <c r="V354">
        <v>66.674999999999997</v>
      </c>
      <c r="W354">
        <v>10903676</v>
      </c>
      <c r="X354">
        <v>66.308999999999997</v>
      </c>
      <c r="Y354">
        <v>66.373999999999995</v>
      </c>
      <c r="Z354">
        <v>445</v>
      </c>
      <c r="AA354">
        <v>350000000</v>
      </c>
      <c r="AB354">
        <v>1989.42</v>
      </c>
      <c r="AC354">
        <v>0</v>
      </c>
      <c r="AD354" t="s">
        <v>94</v>
      </c>
      <c r="AE354" t="s">
        <v>94</v>
      </c>
      <c r="AF354" t="s">
        <v>226</v>
      </c>
      <c r="AG354" t="s">
        <v>226</v>
      </c>
      <c r="AH354">
        <v>-100</v>
      </c>
      <c r="AI354" t="s">
        <v>2126</v>
      </c>
      <c r="AJ354" t="s">
        <v>2127</v>
      </c>
      <c r="AK354" t="s">
        <v>2128</v>
      </c>
      <c r="AL354" t="s">
        <v>272</v>
      </c>
    </row>
    <row r="355" spans="1:38">
      <c r="A355" t="s">
        <v>2159</v>
      </c>
      <c r="B355" t="s">
        <v>2160</v>
      </c>
      <c r="C355" t="s">
        <v>2161</v>
      </c>
      <c r="D355" t="s">
        <v>2162</v>
      </c>
      <c r="E355" t="s">
        <v>2163</v>
      </c>
      <c r="F355" t="s">
        <v>2125</v>
      </c>
      <c r="G355">
        <v>1</v>
      </c>
      <c r="H355">
        <v>1</v>
      </c>
      <c r="I355">
        <v>1E-3</v>
      </c>
      <c r="J355">
        <v>1000</v>
      </c>
      <c r="K355">
        <v>0.1</v>
      </c>
      <c r="L355">
        <v>56.984999999999999</v>
      </c>
      <c r="M355">
        <v>56.96</v>
      </c>
      <c r="N355">
        <v>56.93</v>
      </c>
      <c r="O355">
        <v>56.997</v>
      </c>
      <c r="P355">
        <v>0</v>
      </c>
      <c r="Q355">
        <v>0</v>
      </c>
      <c r="R355">
        <v>0</v>
      </c>
      <c r="S355">
        <v>56.776000000000003</v>
      </c>
      <c r="T355">
        <v>56.954999999999998</v>
      </c>
      <c r="U355">
        <v>56.5</v>
      </c>
      <c r="V355">
        <v>57</v>
      </c>
      <c r="W355">
        <v>11362023</v>
      </c>
      <c r="X355">
        <v>56.914000000000001</v>
      </c>
      <c r="Y355">
        <v>56.997</v>
      </c>
      <c r="Z355">
        <v>1148</v>
      </c>
      <c r="AA355">
        <v>350000000</v>
      </c>
      <c r="AB355">
        <v>90606.15</v>
      </c>
      <c r="AC355">
        <v>0</v>
      </c>
      <c r="AD355" t="s">
        <v>94</v>
      </c>
      <c r="AE355" t="s">
        <v>94</v>
      </c>
      <c r="AF355" t="s">
        <v>226</v>
      </c>
      <c r="AG355" t="s">
        <v>226</v>
      </c>
      <c r="AH355">
        <v>-100</v>
      </c>
      <c r="AI355" t="s">
        <v>2126</v>
      </c>
      <c r="AJ355" t="s">
        <v>2127</v>
      </c>
      <c r="AK355" t="s">
        <v>2128</v>
      </c>
      <c r="AL355" t="s">
        <v>272</v>
      </c>
    </row>
    <row r="356" spans="1:38">
      <c r="A356" t="s">
        <v>2164</v>
      </c>
      <c r="B356" t="s">
        <v>2165</v>
      </c>
      <c r="C356" t="s">
        <v>2166</v>
      </c>
      <c r="D356" t="s">
        <v>2167</v>
      </c>
      <c r="E356" t="s">
        <v>2168</v>
      </c>
      <c r="F356" t="s">
        <v>2125</v>
      </c>
      <c r="G356">
        <v>1</v>
      </c>
      <c r="H356">
        <v>1</v>
      </c>
      <c r="I356">
        <v>1E-3</v>
      </c>
      <c r="J356">
        <v>1000</v>
      </c>
      <c r="K356">
        <v>0.01</v>
      </c>
      <c r="L356">
        <v>81.346000000000004</v>
      </c>
      <c r="M356">
        <v>81.238</v>
      </c>
      <c r="N356">
        <v>81.463999999999999</v>
      </c>
      <c r="O356">
        <v>81.347999999999999</v>
      </c>
      <c r="P356">
        <v>0</v>
      </c>
      <c r="Q356">
        <v>0</v>
      </c>
      <c r="R356">
        <v>0</v>
      </c>
      <c r="S356">
        <v>81.326999999999998</v>
      </c>
      <c r="T356">
        <v>81.787000000000006</v>
      </c>
      <c r="U356">
        <v>81.200999999999993</v>
      </c>
      <c r="V356">
        <v>81.899000000000001</v>
      </c>
      <c r="W356">
        <v>19743795</v>
      </c>
      <c r="X356">
        <v>81.296000000000006</v>
      </c>
      <c r="Y356">
        <v>81.346000000000004</v>
      </c>
      <c r="Z356">
        <v>651</v>
      </c>
      <c r="AA356">
        <v>450000000</v>
      </c>
      <c r="AB356">
        <v>5694.22</v>
      </c>
      <c r="AC356">
        <v>0</v>
      </c>
      <c r="AD356" t="s">
        <v>94</v>
      </c>
      <c r="AE356" t="s">
        <v>94</v>
      </c>
      <c r="AF356" t="s">
        <v>226</v>
      </c>
      <c r="AG356" t="s">
        <v>226</v>
      </c>
      <c r="AH356">
        <v>-100</v>
      </c>
      <c r="AI356" t="s">
        <v>2126</v>
      </c>
      <c r="AJ356" t="s">
        <v>2127</v>
      </c>
      <c r="AK356" t="s">
        <v>2128</v>
      </c>
      <c r="AL356" t="s">
        <v>272</v>
      </c>
    </row>
    <row r="357" spans="1:38">
      <c r="A357" t="s">
        <v>2169</v>
      </c>
      <c r="B357" t="s">
        <v>2170</v>
      </c>
      <c r="C357" t="s">
        <v>2171</v>
      </c>
      <c r="D357" t="s">
        <v>2172</v>
      </c>
      <c r="E357" t="s">
        <v>2173</v>
      </c>
      <c r="F357" t="s">
        <v>2125</v>
      </c>
      <c r="G357">
        <v>1</v>
      </c>
      <c r="H357">
        <v>1</v>
      </c>
      <c r="I357">
        <v>1E-3</v>
      </c>
      <c r="J357">
        <v>1000</v>
      </c>
      <c r="K357">
        <v>0.13</v>
      </c>
      <c r="L357">
        <v>66.3</v>
      </c>
      <c r="M357">
        <v>66.200999999999993</v>
      </c>
      <c r="N357">
        <v>66.194999999999993</v>
      </c>
      <c r="O357">
        <v>66.299000000000007</v>
      </c>
      <c r="P357">
        <v>0</v>
      </c>
      <c r="Q357">
        <v>0</v>
      </c>
      <c r="R357">
        <v>0</v>
      </c>
      <c r="S357">
        <v>66.22</v>
      </c>
      <c r="T357">
        <v>66.186000000000007</v>
      </c>
      <c r="U357">
        <v>66.022999999999996</v>
      </c>
      <c r="V357">
        <v>66.498999999999995</v>
      </c>
      <c r="W357">
        <v>10937520</v>
      </c>
      <c r="X357">
        <v>66.3</v>
      </c>
      <c r="Y357">
        <v>66.319999999999993</v>
      </c>
      <c r="Z357">
        <v>492</v>
      </c>
      <c r="AA357">
        <v>450000000</v>
      </c>
      <c r="AB357">
        <v>6630</v>
      </c>
      <c r="AC357">
        <v>0</v>
      </c>
      <c r="AD357" t="s">
        <v>94</v>
      </c>
      <c r="AE357" t="s">
        <v>94</v>
      </c>
      <c r="AF357" t="s">
        <v>226</v>
      </c>
      <c r="AG357" t="s">
        <v>226</v>
      </c>
      <c r="AH357">
        <v>-100</v>
      </c>
      <c r="AI357" t="s">
        <v>2126</v>
      </c>
      <c r="AJ357" t="s">
        <v>2127</v>
      </c>
      <c r="AK357" t="s">
        <v>2128</v>
      </c>
      <c r="AL357" t="s">
        <v>272</v>
      </c>
    </row>
    <row r="358" spans="1:38">
      <c r="A358" t="s">
        <v>2174</v>
      </c>
      <c r="B358" t="s">
        <v>2175</v>
      </c>
      <c r="C358" t="s">
        <v>2176</v>
      </c>
      <c r="D358" t="s">
        <v>2177</v>
      </c>
      <c r="E358" t="s">
        <v>2178</v>
      </c>
      <c r="F358" t="s">
        <v>2125</v>
      </c>
      <c r="G358">
        <v>1</v>
      </c>
      <c r="H358">
        <v>1</v>
      </c>
      <c r="I358">
        <v>1E-3</v>
      </c>
      <c r="J358">
        <v>1000</v>
      </c>
      <c r="K358">
        <v>-0.08</v>
      </c>
      <c r="L358">
        <v>88.468999999999994</v>
      </c>
      <c r="M358">
        <v>88.4</v>
      </c>
      <c r="N358">
        <v>88.4</v>
      </c>
      <c r="O358">
        <v>88.454999999999998</v>
      </c>
      <c r="P358">
        <v>0</v>
      </c>
      <c r="Q358">
        <v>0</v>
      </c>
      <c r="R358">
        <v>0</v>
      </c>
      <c r="S358">
        <v>88.424999999999997</v>
      </c>
      <c r="T358">
        <v>88.599000000000004</v>
      </c>
      <c r="U358">
        <v>88.35</v>
      </c>
      <c r="V358">
        <v>88.599000000000004</v>
      </c>
      <c r="W358">
        <v>261727373</v>
      </c>
      <c r="X358">
        <v>88.468000000000004</v>
      </c>
      <c r="Y358">
        <v>88.468999999999994</v>
      </c>
      <c r="Z358">
        <v>1376</v>
      </c>
      <c r="AA358">
        <v>450000000</v>
      </c>
      <c r="AB358">
        <v>884.69</v>
      </c>
      <c r="AC358">
        <v>0</v>
      </c>
      <c r="AD358" t="s">
        <v>94</v>
      </c>
      <c r="AE358" t="s">
        <v>94</v>
      </c>
      <c r="AF358" t="s">
        <v>226</v>
      </c>
      <c r="AG358" t="s">
        <v>226</v>
      </c>
      <c r="AH358">
        <v>-100</v>
      </c>
      <c r="AI358" t="s">
        <v>2126</v>
      </c>
      <c r="AJ358" t="s">
        <v>2127</v>
      </c>
      <c r="AK358" t="s">
        <v>2128</v>
      </c>
      <c r="AL358" t="s">
        <v>272</v>
      </c>
    </row>
    <row r="359" spans="1:38">
      <c r="A359" t="s">
        <v>2179</v>
      </c>
      <c r="B359" t="s">
        <v>2180</v>
      </c>
      <c r="C359" t="s">
        <v>2181</v>
      </c>
      <c r="D359" t="s">
        <v>2182</v>
      </c>
      <c r="E359" t="s">
        <v>2183</v>
      </c>
      <c r="F359" t="s">
        <v>2125</v>
      </c>
      <c r="G359">
        <v>1</v>
      </c>
      <c r="H359">
        <v>1</v>
      </c>
      <c r="I359">
        <v>1E-3</v>
      </c>
      <c r="J359">
        <v>1000</v>
      </c>
      <c r="K359">
        <v>-0.4</v>
      </c>
      <c r="L359">
        <v>54.35</v>
      </c>
      <c r="M359">
        <v>54.356000000000002</v>
      </c>
      <c r="N359">
        <v>54.258000000000003</v>
      </c>
      <c r="O359">
        <v>54.35</v>
      </c>
      <c r="P359">
        <v>0</v>
      </c>
      <c r="Q359">
        <v>0</v>
      </c>
      <c r="R359">
        <v>0</v>
      </c>
      <c r="S359">
        <v>54.308999999999997</v>
      </c>
      <c r="T359">
        <v>54.570999999999998</v>
      </c>
      <c r="U359">
        <v>54.024999999999999</v>
      </c>
      <c r="V359">
        <v>54.63</v>
      </c>
      <c r="W359">
        <v>36891796</v>
      </c>
      <c r="X359">
        <v>54.347999999999999</v>
      </c>
      <c r="Y359">
        <v>54.35</v>
      </c>
      <c r="Z359">
        <v>1513</v>
      </c>
      <c r="AA359">
        <v>300000000</v>
      </c>
      <c r="AB359">
        <v>11957</v>
      </c>
      <c r="AC359">
        <v>0</v>
      </c>
      <c r="AD359" t="s">
        <v>94</v>
      </c>
      <c r="AE359" t="s">
        <v>94</v>
      </c>
      <c r="AF359" t="s">
        <v>226</v>
      </c>
      <c r="AG359" t="s">
        <v>226</v>
      </c>
      <c r="AH359">
        <v>-100</v>
      </c>
      <c r="AI359" t="s">
        <v>2126</v>
      </c>
      <c r="AJ359" t="s">
        <v>2127</v>
      </c>
      <c r="AK359" t="s">
        <v>2128</v>
      </c>
      <c r="AL359" t="s">
        <v>272</v>
      </c>
    </row>
    <row r="360" spans="1:38">
      <c r="A360" t="s">
        <v>2184</v>
      </c>
      <c r="B360" t="s">
        <v>2185</v>
      </c>
      <c r="C360" t="s">
        <v>2186</v>
      </c>
      <c r="D360" t="s">
        <v>2187</v>
      </c>
      <c r="E360" t="s">
        <v>2188</v>
      </c>
      <c r="F360" t="s">
        <v>2125</v>
      </c>
      <c r="G360">
        <v>1</v>
      </c>
      <c r="H360">
        <v>1</v>
      </c>
      <c r="I360">
        <v>1E-3</v>
      </c>
      <c r="J360">
        <v>1000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212636000</v>
      </c>
      <c r="AB360">
        <v>0</v>
      </c>
      <c r="AC360">
        <v>0</v>
      </c>
      <c r="AD360" t="s">
        <v>94</v>
      </c>
      <c r="AE360" t="s">
        <v>94</v>
      </c>
      <c r="AF360" t="s">
        <v>226</v>
      </c>
      <c r="AG360" t="s">
        <v>226</v>
      </c>
      <c r="AH360">
        <v>-100</v>
      </c>
      <c r="AI360" t="s">
        <v>2126</v>
      </c>
      <c r="AJ360" t="s">
        <v>2127</v>
      </c>
      <c r="AK360" t="s">
        <v>2128</v>
      </c>
      <c r="AL360" t="s">
        <v>272</v>
      </c>
    </row>
    <row r="361" spans="1:38">
      <c r="A361" t="s">
        <v>2189</v>
      </c>
      <c r="B361" t="s">
        <v>2190</v>
      </c>
      <c r="C361" t="s">
        <v>2191</v>
      </c>
      <c r="D361" t="s">
        <v>2192</v>
      </c>
      <c r="E361" t="s">
        <v>2193</v>
      </c>
      <c r="F361" t="s">
        <v>2125</v>
      </c>
      <c r="G361">
        <v>1</v>
      </c>
      <c r="H361">
        <v>1</v>
      </c>
      <c r="I361">
        <v>1E-3</v>
      </c>
      <c r="J361">
        <v>1000</v>
      </c>
      <c r="K361">
        <v>0</v>
      </c>
      <c r="L361">
        <v>71.198999999999998</v>
      </c>
      <c r="M361">
        <v>71.052000000000007</v>
      </c>
      <c r="N361">
        <v>71.150999999999996</v>
      </c>
      <c r="O361">
        <v>71.2</v>
      </c>
      <c r="P361">
        <v>0</v>
      </c>
      <c r="Q361">
        <v>0</v>
      </c>
      <c r="R361">
        <v>0</v>
      </c>
      <c r="S361">
        <v>71.129000000000005</v>
      </c>
      <c r="T361">
        <v>71.319999999999993</v>
      </c>
      <c r="U361">
        <v>71.025999999999996</v>
      </c>
      <c r="V361">
        <v>71.646000000000001</v>
      </c>
      <c r="W361">
        <v>28109546</v>
      </c>
      <c r="X361">
        <v>71.167000000000002</v>
      </c>
      <c r="Y361">
        <v>71.198999999999998</v>
      </c>
      <c r="Z361">
        <v>468</v>
      </c>
      <c r="AA361">
        <v>450000000</v>
      </c>
      <c r="AB361">
        <v>24919.65</v>
      </c>
      <c r="AC361">
        <v>0</v>
      </c>
      <c r="AD361" t="s">
        <v>94</v>
      </c>
      <c r="AE361" t="s">
        <v>94</v>
      </c>
      <c r="AF361" t="s">
        <v>226</v>
      </c>
      <c r="AG361" t="s">
        <v>226</v>
      </c>
      <c r="AH361">
        <v>-100</v>
      </c>
      <c r="AI361" t="s">
        <v>2126</v>
      </c>
      <c r="AJ361" t="s">
        <v>2127</v>
      </c>
      <c r="AK361" t="s">
        <v>2128</v>
      </c>
      <c r="AL361" t="s">
        <v>272</v>
      </c>
    </row>
    <row r="362" spans="1:38">
      <c r="A362" t="s">
        <v>2194</v>
      </c>
      <c r="B362" t="s">
        <v>2195</v>
      </c>
      <c r="C362" t="s">
        <v>2196</v>
      </c>
      <c r="D362" t="s">
        <v>2197</v>
      </c>
      <c r="E362" t="s">
        <v>2198</v>
      </c>
      <c r="F362" t="s">
        <v>2125</v>
      </c>
      <c r="G362">
        <v>1</v>
      </c>
      <c r="H362">
        <v>1</v>
      </c>
      <c r="I362">
        <v>1E-3</v>
      </c>
      <c r="J362">
        <v>1000</v>
      </c>
      <c r="K362">
        <v>0.52</v>
      </c>
      <c r="L362">
        <v>52.171999999999997</v>
      </c>
      <c r="M362">
        <v>51.881999999999998</v>
      </c>
      <c r="N362">
        <v>51.85</v>
      </c>
      <c r="O362">
        <v>52.094999999999999</v>
      </c>
      <c r="P362">
        <v>0</v>
      </c>
      <c r="Q362">
        <v>0</v>
      </c>
      <c r="R362">
        <v>0</v>
      </c>
      <c r="S362">
        <v>51.984999999999999</v>
      </c>
      <c r="T362">
        <v>51.901000000000003</v>
      </c>
      <c r="U362">
        <v>51.703000000000003</v>
      </c>
      <c r="V362">
        <v>52.286999999999999</v>
      </c>
      <c r="W362">
        <v>29659826</v>
      </c>
      <c r="X362">
        <v>52.084000000000003</v>
      </c>
      <c r="Y362">
        <v>52.171999999999997</v>
      </c>
      <c r="Z362">
        <v>2044</v>
      </c>
      <c r="AA362">
        <v>450000000</v>
      </c>
      <c r="AB362">
        <v>4173.76</v>
      </c>
      <c r="AC362">
        <v>0</v>
      </c>
      <c r="AD362" t="s">
        <v>94</v>
      </c>
      <c r="AE362" t="s">
        <v>94</v>
      </c>
      <c r="AF362" t="s">
        <v>226</v>
      </c>
      <c r="AG362" t="s">
        <v>226</v>
      </c>
      <c r="AH362">
        <v>-100</v>
      </c>
      <c r="AI362" t="s">
        <v>2126</v>
      </c>
      <c r="AJ362" t="s">
        <v>2127</v>
      </c>
      <c r="AK362" t="s">
        <v>2128</v>
      </c>
      <c r="AL362" t="s">
        <v>272</v>
      </c>
    </row>
    <row r="363" spans="1:38">
      <c r="A363" t="s">
        <v>2199</v>
      </c>
      <c r="B363" t="s">
        <v>2200</v>
      </c>
      <c r="C363" t="s">
        <v>2201</v>
      </c>
      <c r="D363" t="s">
        <v>2202</v>
      </c>
      <c r="E363" t="s">
        <v>2203</v>
      </c>
      <c r="F363" t="s">
        <v>2125</v>
      </c>
      <c r="G363">
        <v>1</v>
      </c>
      <c r="H363">
        <v>1</v>
      </c>
      <c r="I363">
        <v>1E-3</v>
      </c>
      <c r="J363">
        <v>1000</v>
      </c>
      <c r="K363">
        <v>-0.05</v>
      </c>
      <c r="L363">
        <v>90.757999999999996</v>
      </c>
      <c r="M363">
        <v>90.650999999999996</v>
      </c>
      <c r="N363">
        <v>90.682000000000002</v>
      </c>
      <c r="O363">
        <v>90.757000000000005</v>
      </c>
      <c r="P363">
        <v>0</v>
      </c>
      <c r="Q363">
        <v>0</v>
      </c>
      <c r="R363">
        <v>0</v>
      </c>
      <c r="S363">
        <v>90.734999999999999</v>
      </c>
      <c r="T363">
        <v>90.85</v>
      </c>
      <c r="U363">
        <v>90.652000000000001</v>
      </c>
      <c r="V363">
        <v>90.873999999999995</v>
      </c>
      <c r="W363">
        <v>221043294</v>
      </c>
      <c r="X363">
        <v>90.753</v>
      </c>
      <c r="Y363">
        <v>90.757999999999996</v>
      </c>
      <c r="Z363">
        <v>1428</v>
      </c>
      <c r="AA363">
        <v>496714266</v>
      </c>
      <c r="AB363">
        <v>907.58</v>
      </c>
      <c r="AC363">
        <v>0</v>
      </c>
      <c r="AD363" t="s">
        <v>94</v>
      </c>
      <c r="AE363" t="s">
        <v>94</v>
      </c>
      <c r="AF363" t="s">
        <v>226</v>
      </c>
      <c r="AG363" t="s">
        <v>226</v>
      </c>
      <c r="AH363">
        <v>-100</v>
      </c>
      <c r="AI363" t="s">
        <v>2126</v>
      </c>
      <c r="AJ363" t="s">
        <v>2127</v>
      </c>
      <c r="AK363" t="s">
        <v>2128</v>
      </c>
      <c r="AL363" t="s">
        <v>272</v>
      </c>
    </row>
    <row r="364" spans="1:38">
      <c r="A364" t="s">
        <v>2204</v>
      </c>
      <c r="B364" t="s">
        <v>2205</v>
      </c>
      <c r="C364" t="s">
        <v>2206</v>
      </c>
      <c r="D364" t="s">
        <v>2207</v>
      </c>
      <c r="E364" t="s">
        <v>2208</v>
      </c>
      <c r="F364" t="s">
        <v>2125</v>
      </c>
      <c r="G364">
        <v>1</v>
      </c>
      <c r="H364">
        <v>1</v>
      </c>
      <c r="I364">
        <v>1E-3</v>
      </c>
      <c r="J364">
        <v>1000</v>
      </c>
      <c r="K364">
        <v>-0.06</v>
      </c>
      <c r="L364">
        <v>57.533999999999999</v>
      </c>
      <c r="M364">
        <v>57.55</v>
      </c>
      <c r="N364">
        <v>57.482999999999997</v>
      </c>
      <c r="O364">
        <v>57.533999999999999</v>
      </c>
      <c r="P364">
        <v>0</v>
      </c>
      <c r="Q364">
        <v>0</v>
      </c>
      <c r="R364">
        <v>0</v>
      </c>
      <c r="S364">
        <v>57.482999999999997</v>
      </c>
      <c r="T364">
        <v>57.819000000000003</v>
      </c>
      <c r="U364">
        <v>57.454999999999998</v>
      </c>
      <c r="V364">
        <v>57.819000000000003</v>
      </c>
      <c r="W364">
        <v>2414265</v>
      </c>
      <c r="X364">
        <v>57.53</v>
      </c>
      <c r="Y364">
        <v>57.588999999999999</v>
      </c>
      <c r="Z364">
        <v>393</v>
      </c>
      <c r="AA364">
        <v>483816503</v>
      </c>
      <c r="AB364">
        <v>1726.02</v>
      </c>
      <c r="AC364">
        <v>0</v>
      </c>
      <c r="AD364" t="s">
        <v>94</v>
      </c>
      <c r="AE364" t="s">
        <v>94</v>
      </c>
      <c r="AF364" t="s">
        <v>226</v>
      </c>
      <c r="AG364" t="s">
        <v>226</v>
      </c>
      <c r="AH364">
        <v>-100</v>
      </c>
      <c r="AI364" t="s">
        <v>2126</v>
      </c>
      <c r="AJ364" t="s">
        <v>2127</v>
      </c>
      <c r="AK364" t="s">
        <v>2128</v>
      </c>
      <c r="AL364" t="s">
        <v>272</v>
      </c>
    </row>
    <row r="365" spans="1:38">
      <c r="A365" t="s">
        <v>2209</v>
      </c>
      <c r="B365" t="s">
        <v>2210</v>
      </c>
      <c r="C365" t="s">
        <v>2211</v>
      </c>
      <c r="D365" t="s">
        <v>2212</v>
      </c>
      <c r="E365" t="s">
        <v>2213</v>
      </c>
      <c r="F365" t="s">
        <v>2125</v>
      </c>
      <c r="G365">
        <v>1</v>
      </c>
      <c r="H365">
        <v>1</v>
      </c>
      <c r="I365">
        <v>1E-3</v>
      </c>
      <c r="J365">
        <v>1000</v>
      </c>
      <c r="K365">
        <v>0.21</v>
      </c>
      <c r="L365">
        <v>66.59</v>
      </c>
      <c r="M365">
        <v>66.459999999999994</v>
      </c>
      <c r="N365">
        <v>66.408000000000001</v>
      </c>
      <c r="O365">
        <v>66.593999999999994</v>
      </c>
      <c r="P365">
        <v>0</v>
      </c>
      <c r="Q365">
        <v>0</v>
      </c>
      <c r="R365">
        <v>0</v>
      </c>
      <c r="S365">
        <v>66.403000000000006</v>
      </c>
      <c r="T365">
        <v>66.742000000000004</v>
      </c>
      <c r="U365">
        <v>66.331000000000003</v>
      </c>
      <c r="V365">
        <v>66.947999999999993</v>
      </c>
      <c r="W365">
        <v>50860242</v>
      </c>
      <c r="X365">
        <v>66.555000000000007</v>
      </c>
      <c r="Y365">
        <v>66.588999999999999</v>
      </c>
      <c r="Z365">
        <v>667</v>
      </c>
      <c r="AA365">
        <v>500000000</v>
      </c>
      <c r="AB365">
        <v>3329.5</v>
      </c>
      <c r="AC365">
        <v>0</v>
      </c>
      <c r="AD365" t="s">
        <v>94</v>
      </c>
      <c r="AE365" t="s">
        <v>94</v>
      </c>
      <c r="AF365" t="s">
        <v>226</v>
      </c>
      <c r="AG365" t="s">
        <v>226</v>
      </c>
      <c r="AH365">
        <v>-100</v>
      </c>
      <c r="AI365" t="s">
        <v>2126</v>
      </c>
      <c r="AJ365" t="s">
        <v>2127</v>
      </c>
      <c r="AK365" t="s">
        <v>2128</v>
      </c>
      <c r="AL365" t="s">
        <v>272</v>
      </c>
    </row>
    <row r="366" spans="1:38">
      <c r="A366" t="s">
        <v>2214</v>
      </c>
      <c r="B366" t="s">
        <v>2215</v>
      </c>
      <c r="C366" t="s">
        <v>2216</v>
      </c>
      <c r="D366" t="s">
        <v>2217</v>
      </c>
      <c r="E366" t="s">
        <v>2218</v>
      </c>
      <c r="F366" t="s">
        <v>2125</v>
      </c>
      <c r="G366">
        <v>1</v>
      </c>
      <c r="H366">
        <v>1</v>
      </c>
      <c r="I366">
        <v>1E-3</v>
      </c>
      <c r="J366">
        <v>1000</v>
      </c>
      <c r="K366">
        <v>0.04</v>
      </c>
      <c r="L366">
        <v>65.968999999999994</v>
      </c>
      <c r="M366">
        <v>65.849999999999994</v>
      </c>
      <c r="N366">
        <v>65.978999999999999</v>
      </c>
      <c r="O366">
        <v>65.994</v>
      </c>
      <c r="P366">
        <v>0</v>
      </c>
      <c r="Q366">
        <v>0</v>
      </c>
      <c r="R366">
        <v>0</v>
      </c>
      <c r="S366">
        <v>65.822999999999993</v>
      </c>
      <c r="T366">
        <v>66.239000000000004</v>
      </c>
      <c r="U366">
        <v>65.650999999999996</v>
      </c>
      <c r="V366">
        <v>66.241</v>
      </c>
      <c r="W366">
        <v>42655475</v>
      </c>
      <c r="X366">
        <v>65.968999999999994</v>
      </c>
      <c r="Y366">
        <v>65.974999999999994</v>
      </c>
      <c r="Z366">
        <v>578</v>
      </c>
      <c r="AA366">
        <v>419119019</v>
      </c>
      <c r="AB366">
        <v>1979.07</v>
      </c>
      <c r="AC366">
        <v>0</v>
      </c>
      <c r="AD366" t="s">
        <v>94</v>
      </c>
      <c r="AE366" t="s">
        <v>94</v>
      </c>
      <c r="AF366" t="s">
        <v>226</v>
      </c>
      <c r="AG366" t="s">
        <v>226</v>
      </c>
      <c r="AH366">
        <v>-100</v>
      </c>
      <c r="AI366" t="s">
        <v>2126</v>
      </c>
      <c r="AJ366" t="s">
        <v>2127</v>
      </c>
      <c r="AK366" t="s">
        <v>2128</v>
      </c>
      <c r="AL366" t="s">
        <v>272</v>
      </c>
    </row>
    <row r="367" spans="1:38">
      <c r="A367" t="s">
        <v>2219</v>
      </c>
      <c r="B367" t="s">
        <v>2220</v>
      </c>
      <c r="C367" t="s">
        <v>2221</v>
      </c>
      <c r="D367" t="s">
        <v>2222</v>
      </c>
      <c r="E367" t="s">
        <v>2223</v>
      </c>
      <c r="F367" t="s">
        <v>2125</v>
      </c>
      <c r="G367">
        <v>1</v>
      </c>
      <c r="H367">
        <v>1</v>
      </c>
      <c r="I367">
        <v>1E-3</v>
      </c>
      <c r="J367">
        <v>1000</v>
      </c>
      <c r="K367">
        <v>0.42</v>
      </c>
      <c r="L367">
        <v>51.399000000000001</v>
      </c>
      <c r="M367">
        <v>50.877000000000002</v>
      </c>
      <c r="N367">
        <v>51.259</v>
      </c>
      <c r="O367">
        <v>51.39</v>
      </c>
      <c r="P367">
        <v>0</v>
      </c>
      <c r="Q367">
        <v>0</v>
      </c>
      <c r="R367">
        <v>0</v>
      </c>
      <c r="S367">
        <v>51.128999999999998</v>
      </c>
      <c r="T367">
        <v>51.19</v>
      </c>
      <c r="U367">
        <v>50.8</v>
      </c>
      <c r="V367">
        <v>51.49</v>
      </c>
      <c r="W367">
        <v>199064221</v>
      </c>
      <c r="X367">
        <v>51.399000000000001</v>
      </c>
      <c r="Y367">
        <v>51.4</v>
      </c>
      <c r="Z367">
        <v>10152</v>
      </c>
      <c r="AA367">
        <v>500000000</v>
      </c>
      <c r="AB367">
        <v>17475.66</v>
      </c>
      <c r="AC367">
        <v>0</v>
      </c>
      <c r="AD367" t="s">
        <v>94</v>
      </c>
      <c r="AE367" t="s">
        <v>94</v>
      </c>
      <c r="AF367" t="s">
        <v>226</v>
      </c>
      <c r="AG367" t="s">
        <v>226</v>
      </c>
      <c r="AH367">
        <v>-100</v>
      </c>
      <c r="AI367" t="s">
        <v>2126</v>
      </c>
      <c r="AJ367" t="s">
        <v>2127</v>
      </c>
      <c r="AK367" t="s">
        <v>2128</v>
      </c>
      <c r="AL367" t="s">
        <v>272</v>
      </c>
    </row>
    <row r="368" spans="1:38">
      <c r="A368" t="s">
        <v>2224</v>
      </c>
      <c r="B368" t="s">
        <v>2225</v>
      </c>
      <c r="C368" t="s">
        <v>2226</v>
      </c>
      <c r="D368" t="s">
        <v>2227</v>
      </c>
      <c r="E368" t="s">
        <v>2228</v>
      </c>
      <c r="F368" t="s">
        <v>2125</v>
      </c>
      <c r="G368">
        <v>1</v>
      </c>
      <c r="H368">
        <v>1</v>
      </c>
      <c r="I368">
        <v>1E-3</v>
      </c>
      <c r="J368">
        <v>1000</v>
      </c>
      <c r="K368">
        <v>0.06</v>
      </c>
      <c r="L368">
        <v>60.143000000000001</v>
      </c>
      <c r="M368">
        <v>60.094000000000001</v>
      </c>
      <c r="N368">
        <v>59.930999999999997</v>
      </c>
      <c r="O368">
        <v>60.152000000000001</v>
      </c>
      <c r="P368">
        <v>0</v>
      </c>
      <c r="Q368">
        <v>0</v>
      </c>
      <c r="R368">
        <v>0</v>
      </c>
      <c r="S368">
        <v>60.061</v>
      </c>
      <c r="T368">
        <v>60.286999999999999</v>
      </c>
      <c r="U368">
        <v>59.822000000000003</v>
      </c>
      <c r="V368">
        <v>60.287999999999997</v>
      </c>
      <c r="W368">
        <v>3446910</v>
      </c>
      <c r="X368">
        <v>60.216999999999999</v>
      </c>
      <c r="Y368">
        <v>60.220999999999997</v>
      </c>
      <c r="Z368">
        <v>555</v>
      </c>
      <c r="AA368">
        <v>500000000</v>
      </c>
      <c r="AB368">
        <v>6014.3</v>
      </c>
      <c r="AC368">
        <v>0</v>
      </c>
      <c r="AD368" t="s">
        <v>94</v>
      </c>
      <c r="AE368" t="s">
        <v>94</v>
      </c>
      <c r="AF368" t="s">
        <v>226</v>
      </c>
      <c r="AG368" t="s">
        <v>226</v>
      </c>
      <c r="AH368">
        <v>-100</v>
      </c>
      <c r="AI368" t="s">
        <v>2126</v>
      </c>
      <c r="AJ368" t="s">
        <v>2127</v>
      </c>
      <c r="AK368" t="s">
        <v>2128</v>
      </c>
      <c r="AL368" t="s">
        <v>272</v>
      </c>
    </row>
    <row r="369" spans="1:38">
      <c r="A369" t="s">
        <v>2229</v>
      </c>
      <c r="B369" t="s">
        <v>2230</v>
      </c>
      <c r="C369" t="s">
        <v>2231</v>
      </c>
      <c r="D369" t="s">
        <v>2232</v>
      </c>
      <c r="E369" t="s">
        <v>2233</v>
      </c>
      <c r="F369" t="s">
        <v>2125</v>
      </c>
      <c r="G369">
        <v>1</v>
      </c>
      <c r="H369">
        <v>1</v>
      </c>
      <c r="I369">
        <v>1E-3</v>
      </c>
      <c r="J369">
        <v>1000</v>
      </c>
      <c r="K369">
        <v>0.13</v>
      </c>
      <c r="L369">
        <v>53.53</v>
      </c>
      <c r="M369">
        <v>53.43</v>
      </c>
      <c r="N369">
        <v>53.338000000000001</v>
      </c>
      <c r="O369">
        <v>53.484999999999999</v>
      </c>
      <c r="P369">
        <v>0</v>
      </c>
      <c r="Q369">
        <v>0</v>
      </c>
      <c r="R369">
        <v>0</v>
      </c>
      <c r="S369">
        <v>53.485999999999997</v>
      </c>
      <c r="T369">
        <v>53.463000000000001</v>
      </c>
      <c r="U369">
        <v>53.3</v>
      </c>
      <c r="V369">
        <v>53.633000000000003</v>
      </c>
      <c r="W369">
        <v>42015634</v>
      </c>
      <c r="X369">
        <v>53.457000000000001</v>
      </c>
      <c r="Y369">
        <v>53.527000000000001</v>
      </c>
      <c r="Z369">
        <v>1444</v>
      </c>
      <c r="AA369">
        <v>500000000</v>
      </c>
      <c r="AB369">
        <v>535.29999999999995</v>
      </c>
      <c r="AC369">
        <v>0</v>
      </c>
      <c r="AD369" t="s">
        <v>94</v>
      </c>
      <c r="AE369" t="s">
        <v>94</v>
      </c>
      <c r="AF369" t="s">
        <v>226</v>
      </c>
      <c r="AG369" t="s">
        <v>226</v>
      </c>
      <c r="AH369">
        <v>-100</v>
      </c>
      <c r="AI369" t="s">
        <v>2126</v>
      </c>
      <c r="AJ369" t="s">
        <v>2127</v>
      </c>
      <c r="AK369" t="s">
        <v>2128</v>
      </c>
      <c r="AL369" t="s">
        <v>272</v>
      </c>
    </row>
    <row r="370" spans="1:38">
      <c r="A370" t="s">
        <v>2234</v>
      </c>
      <c r="B370" t="s">
        <v>2235</v>
      </c>
      <c r="C370" t="s">
        <v>2236</v>
      </c>
      <c r="D370" t="s">
        <v>2237</v>
      </c>
      <c r="E370" t="s">
        <v>2238</v>
      </c>
      <c r="F370" t="s">
        <v>2125</v>
      </c>
      <c r="G370">
        <v>1</v>
      </c>
      <c r="H370">
        <v>1</v>
      </c>
      <c r="I370">
        <v>1E-3</v>
      </c>
      <c r="J370">
        <v>1000</v>
      </c>
      <c r="K370">
        <v>0.13</v>
      </c>
      <c r="L370">
        <v>68.111000000000004</v>
      </c>
      <c r="M370">
        <v>68.174999999999997</v>
      </c>
      <c r="N370">
        <v>68.093999999999994</v>
      </c>
      <c r="O370">
        <v>68.049000000000007</v>
      </c>
      <c r="P370">
        <v>0</v>
      </c>
      <c r="Q370">
        <v>0</v>
      </c>
      <c r="R370">
        <v>0</v>
      </c>
      <c r="S370">
        <v>67.986999999999995</v>
      </c>
      <c r="T370">
        <v>68</v>
      </c>
      <c r="U370">
        <v>67.805999999999997</v>
      </c>
      <c r="V370">
        <v>68.287000000000006</v>
      </c>
      <c r="W370">
        <v>34096359</v>
      </c>
      <c r="X370">
        <v>68.111000000000004</v>
      </c>
      <c r="Y370">
        <v>68.119</v>
      </c>
      <c r="Z370">
        <v>1178</v>
      </c>
      <c r="AA370">
        <v>750000000</v>
      </c>
      <c r="AB370">
        <v>1362.22</v>
      </c>
      <c r="AC370">
        <v>0</v>
      </c>
      <c r="AD370" t="s">
        <v>94</v>
      </c>
      <c r="AE370" t="s">
        <v>94</v>
      </c>
      <c r="AF370" t="s">
        <v>226</v>
      </c>
      <c r="AG370" t="s">
        <v>226</v>
      </c>
      <c r="AH370">
        <v>-100</v>
      </c>
      <c r="AI370" t="s">
        <v>2126</v>
      </c>
      <c r="AJ370" t="s">
        <v>2127</v>
      </c>
      <c r="AK370" t="s">
        <v>2128</v>
      </c>
      <c r="AL370" t="s">
        <v>272</v>
      </c>
    </row>
    <row r="371" spans="1:38">
      <c r="A371" t="s">
        <v>2239</v>
      </c>
      <c r="B371" t="s">
        <v>2240</v>
      </c>
      <c r="C371" t="s">
        <v>2241</v>
      </c>
      <c r="D371" t="s">
        <v>2242</v>
      </c>
      <c r="E371" t="s">
        <v>2243</v>
      </c>
      <c r="F371" t="s">
        <v>2125</v>
      </c>
      <c r="G371">
        <v>1</v>
      </c>
      <c r="H371">
        <v>1</v>
      </c>
      <c r="I371">
        <v>1E-3</v>
      </c>
      <c r="J371">
        <v>1000</v>
      </c>
      <c r="K371">
        <v>0.09</v>
      </c>
      <c r="L371">
        <v>71.593000000000004</v>
      </c>
      <c r="M371">
        <v>71.600999999999999</v>
      </c>
      <c r="N371">
        <v>71.575999999999993</v>
      </c>
      <c r="O371">
        <v>71.638000000000005</v>
      </c>
      <c r="P371">
        <v>0</v>
      </c>
      <c r="Q371">
        <v>0</v>
      </c>
      <c r="R371">
        <v>0</v>
      </c>
      <c r="S371">
        <v>71.608000000000004</v>
      </c>
      <c r="T371">
        <v>71.513999999999996</v>
      </c>
      <c r="U371">
        <v>71.501999999999995</v>
      </c>
      <c r="V371">
        <v>71.885999999999996</v>
      </c>
      <c r="W371">
        <v>25400184</v>
      </c>
      <c r="X371">
        <v>71.606999999999999</v>
      </c>
      <c r="Y371">
        <v>71.741</v>
      </c>
      <c r="Z371">
        <v>837</v>
      </c>
      <c r="AA371">
        <v>500000000</v>
      </c>
      <c r="AB371">
        <v>184709.94</v>
      </c>
      <c r="AC371">
        <v>0</v>
      </c>
      <c r="AD371" t="s">
        <v>94</v>
      </c>
      <c r="AE371" t="s">
        <v>94</v>
      </c>
      <c r="AF371" t="s">
        <v>226</v>
      </c>
      <c r="AG371" t="s">
        <v>226</v>
      </c>
      <c r="AH371">
        <v>-100</v>
      </c>
      <c r="AI371" t="s">
        <v>2126</v>
      </c>
      <c r="AJ371" t="s">
        <v>2127</v>
      </c>
      <c r="AK371" t="s">
        <v>2128</v>
      </c>
      <c r="AL371" t="s">
        <v>272</v>
      </c>
    </row>
    <row r="372" spans="1:38">
      <c r="A372" t="s">
        <v>2244</v>
      </c>
      <c r="B372" t="s">
        <v>2245</v>
      </c>
      <c r="C372" t="s">
        <v>2246</v>
      </c>
      <c r="D372" t="s">
        <v>2247</v>
      </c>
      <c r="E372" t="s">
        <v>2248</v>
      </c>
      <c r="F372" t="s">
        <v>2125</v>
      </c>
      <c r="G372">
        <v>1</v>
      </c>
      <c r="H372">
        <v>1</v>
      </c>
      <c r="I372">
        <v>1E-3</v>
      </c>
      <c r="J372">
        <v>1000</v>
      </c>
      <c r="K372">
        <v>0.03</v>
      </c>
      <c r="L372">
        <v>64.637</v>
      </c>
      <c r="M372">
        <v>64.588999999999999</v>
      </c>
      <c r="N372">
        <v>64.62</v>
      </c>
      <c r="O372">
        <v>64.694999999999993</v>
      </c>
      <c r="P372">
        <v>0</v>
      </c>
      <c r="Q372">
        <v>0</v>
      </c>
      <c r="R372">
        <v>0</v>
      </c>
      <c r="S372">
        <v>64.566999999999993</v>
      </c>
      <c r="T372">
        <v>64.650000000000006</v>
      </c>
      <c r="U372">
        <v>64.087000000000003</v>
      </c>
      <c r="V372">
        <v>64.947999999999993</v>
      </c>
      <c r="W372">
        <v>203192360</v>
      </c>
      <c r="X372">
        <v>64.634</v>
      </c>
      <c r="Y372">
        <v>64.637</v>
      </c>
      <c r="Z372">
        <v>5171</v>
      </c>
      <c r="AA372">
        <v>750000000</v>
      </c>
      <c r="AB372">
        <v>1292.74</v>
      </c>
      <c r="AC372">
        <v>0</v>
      </c>
      <c r="AD372" t="s">
        <v>94</v>
      </c>
      <c r="AE372" t="s">
        <v>94</v>
      </c>
      <c r="AF372" t="s">
        <v>226</v>
      </c>
      <c r="AG372" t="s">
        <v>226</v>
      </c>
      <c r="AH372">
        <v>-100</v>
      </c>
      <c r="AI372" t="s">
        <v>2126</v>
      </c>
      <c r="AJ372" t="s">
        <v>2127</v>
      </c>
      <c r="AK372" t="s">
        <v>2128</v>
      </c>
      <c r="AL372" t="s">
        <v>272</v>
      </c>
    </row>
    <row r="373" spans="1:38">
      <c r="A373" t="s">
        <v>2249</v>
      </c>
      <c r="B373" t="s">
        <v>2250</v>
      </c>
      <c r="C373" t="s">
        <v>2251</v>
      </c>
      <c r="D373" t="s">
        <v>2252</v>
      </c>
      <c r="E373" t="s">
        <v>2253</v>
      </c>
      <c r="F373" t="s">
        <v>2125</v>
      </c>
      <c r="G373">
        <v>1</v>
      </c>
      <c r="H373">
        <v>1</v>
      </c>
      <c r="I373">
        <v>1E-3</v>
      </c>
      <c r="J373">
        <v>1000</v>
      </c>
      <c r="K373">
        <v>0.01</v>
      </c>
      <c r="L373">
        <v>75.620999999999995</v>
      </c>
      <c r="M373">
        <v>75.659000000000006</v>
      </c>
      <c r="N373">
        <v>75.698999999999998</v>
      </c>
      <c r="O373">
        <v>75.659000000000006</v>
      </c>
      <c r="P373">
        <v>0</v>
      </c>
      <c r="Q373">
        <v>0</v>
      </c>
      <c r="R373">
        <v>0</v>
      </c>
      <c r="S373">
        <v>75.603999999999999</v>
      </c>
      <c r="T373">
        <v>75.662000000000006</v>
      </c>
      <c r="U373">
        <v>75.507000000000005</v>
      </c>
      <c r="V373">
        <v>75.796000000000006</v>
      </c>
      <c r="W373">
        <v>397642270</v>
      </c>
      <c r="X373">
        <v>75.623999999999995</v>
      </c>
      <c r="Y373">
        <v>75.662999999999997</v>
      </c>
      <c r="Z373">
        <v>1458</v>
      </c>
      <c r="AA373">
        <v>750000000</v>
      </c>
      <c r="AB373">
        <v>151242</v>
      </c>
      <c r="AC373">
        <v>0</v>
      </c>
      <c r="AD373" t="s">
        <v>94</v>
      </c>
      <c r="AE373" t="s">
        <v>94</v>
      </c>
      <c r="AF373" t="s">
        <v>226</v>
      </c>
      <c r="AG373" t="s">
        <v>226</v>
      </c>
      <c r="AH373">
        <v>-100</v>
      </c>
      <c r="AI373" t="s">
        <v>2126</v>
      </c>
      <c r="AJ373" t="s">
        <v>2127</v>
      </c>
      <c r="AK373" t="s">
        <v>2128</v>
      </c>
      <c r="AL373" t="s">
        <v>272</v>
      </c>
    </row>
    <row r="374" spans="1:38">
      <c r="A374" t="s">
        <v>2254</v>
      </c>
      <c r="B374" t="s">
        <v>2255</v>
      </c>
      <c r="C374" t="s">
        <v>2256</v>
      </c>
      <c r="D374" t="s">
        <v>2257</v>
      </c>
      <c r="E374" t="s">
        <v>2258</v>
      </c>
      <c r="F374" t="s">
        <v>2125</v>
      </c>
      <c r="G374">
        <v>1</v>
      </c>
      <c r="H374">
        <v>1</v>
      </c>
      <c r="I374">
        <v>1E-3</v>
      </c>
      <c r="J374">
        <v>1000</v>
      </c>
      <c r="K374">
        <v>0.19</v>
      </c>
      <c r="L374">
        <v>79.795000000000002</v>
      </c>
      <c r="M374">
        <v>79.554000000000002</v>
      </c>
      <c r="N374">
        <v>79.578000000000003</v>
      </c>
      <c r="O374">
        <v>79.715000000000003</v>
      </c>
      <c r="P374">
        <v>0</v>
      </c>
      <c r="Q374">
        <v>0</v>
      </c>
      <c r="R374">
        <v>0</v>
      </c>
      <c r="S374">
        <v>79.653999999999996</v>
      </c>
      <c r="T374">
        <v>79.811999999999998</v>
      </c>
      <c r="U374">
        <v>79.2</v>
      </c>
      <c r="V374">
        <v>79.887</v>
      </c>
      <c r="W374">
        <v>3380511</v>
      </c>
      <c r="X374">
        <v>79.7</v>
      </c>
      <c r="Y374">
        <v>79.795000000000002</v>
      </c>
      <c r="Z374">
        <v>307</v>
      </c>
      <c r="AA374">
        <v>500000000</v>
      </c>
      <c r="AB374">
        <v>797.95</v>
      </c>
      <c r="AC374">
        <v>0</v>
      </c>
      <c r="AD374" t="s">
        <v>94</v>
      </c>
      <c r="AE374" t="s">
        <v>94</v>
      </c>
      <c r="AF374" t="s">
        <v>226</v>
      </c>
      <c r="AG374" t="s">
        <v>226</v>
      </c>
      <c r="AH374">
        <v>-100</v>
      </c>
      <c r="AI374" t="s">
        <v>2126</v>
      </c>
      <c r="AJ374" t="s">
        <v>2127</v>
      </c>
      <c r="AK374" t="s">
        <v>2128</v>
      </c>
      <c r="AL374" t="s">
        <v>272</v>
      </c>
    </row>
    <row r="375" spans="1:38">
      <c r="A375" t="s">
        <v>2259</v>
      </c>
      <c r="B375" t="s">
        <v>2260</v>
      </c>
      <c r="C375" t="s">
        <v>2261</v>
      </c>
      <c r="D375" t="s">
        <v>2262</v>
      </c>
      <c r="E375" t="s">
        <v>2263</v>
      </c>
      <c r="F375" t="s">
        <v>2125</v>
      </c>
      <c r="G375">
        <v>1</v>
      </c>
      <c r="H375">
        <v>1</v>
      </c>
      <c r="I375">
        <v>1E-3</v>
      </c>
      <c r="J375">
        <v>1000</v>
      </c>
      <c r="K375">
        <v>-7.0000000000000007E-2</v>
      </c>
      <c r="L375">
        <v>76.349000000000004</v>
      </c>
      <c r="M375">
        <v>76.203000000000003</v>
      </c>
      <c r="N375">
        <v>76.427000000000007</v>
      </c>
      <c r="O375">
        <v>76.210999999999999</v>
      </c>
      <c r="P375">
        <v>0</v>
      </c>
      <c r="Q375">
        <v>0</v>
      </c>
      <c r="R375">
        <v>0</v>
      </c>
      <c r="S375">
        <v>76.134</v>
      </c>
      <c r="T375">
        <v>76.400000000000006</v>
      </c>
      <c r="U375">
        <v>76</v>
      </c>
      <c r="V375">
        <v>76.674000000000007</v>
      </c>
      <c r="W375">
        <v>6157631050</v>
      </c>
      <c r="X375">
        <v>76.301000000000002</v>
      </c>
      <c r="Y375">
        <v>76.349000000000004</v>
      </c>
      <c r="Z375">
        <v>1272</v>
      </c>
      <c r="AA375">
        <v>750000000</v>
      </c>
      <c r="AB375">
        <v>5344.43</v>
      </c>
      <c r="AC375">
        <v>0</v>
      </c>
      <c r="AD375" t="s">
        <v>94</v>
      </c>
      <c r="AE375" t="s">
        <v>94</v>
      </c>
      <c r="AF375" t="s">
        <v>226</v>
      </c>
      <c r="AG375" t="s">
        <v>226</v>
      </c>
      <c r="AH375">
        <v>-100</v>
      </c>
      <c r="AI375" t="s">
        <v>2126</v>
      </c>
      <c r="AJ375" t="s">
        <v>2127</v>
      </c>
      <c r="AK375" t="s">
        <v>2128</v>
      </c>
      <c r="AL375" t="s">
        <v>272</v>
      </c>
    </row>
    <row r="376" spans="1:38">
      <c r="A376" t="s">
        <v>2264</v>
      </c>
      <c r="B376" t="s">
        <v>2265</v>
      </c>
      <c r="C376" t="s">
        <v>2266</v>
      </c>
      <c r="D376" t="s">
        <v>2267</v>
      </c>
      <c r="E376" t="s">
        <v>2268</v>
      </c>
      <c r="F376" t="s">
        <v>2125</v>
      </c>
      <c r="G376">
        <v>1</v>
      </c>
      <c r="H376">
        <v>1</v>
      </c>
      <c r="I376">
        <v>1E-3</v>
      </c>
      <c r="J376">
        <v>1000</v>
      </c>
      <c r="K376">
        <v>0.01</v>
      </c>
      <c r="L376">
        <v>76.063999999999993</v>
      </c>
      <c r="M376">
        <v>76</v>
      </c>
      <c r="N376">
        <v>75.991</v>
      </c>
      <c r="O376">
        <v>76.006</v>
      </c>
      <c r="P376">
        <v>0</v>
      </c>
      <c r="Q376">
        <v>0</v>
      </c>
      <c r="R376">
        <v>0</v>
      </c>
      <c r="S376">
        <v>76.158000000000001</v>
      </c>
      <c r="T376">
        <v>76.087000000000003</v>
      </c>
      <c r="U376">
        <v>75.801000000000002</v>
      </c>
      <c r="V376">
        <v>76.7</v>
      </c>
      <c r="W376">
        <v>721314387</v>
      </c>
      <c r="X376">
        <v>76.003</v>
      </c>
      <c r="Y376">
        <v>76.063999999999993</v>
      </c>
      <c r="Z376">
        <v>1746</v>
      </c>
      <c r="AA376">
        <v>750000000</v>
      </c>
      <c r="AB376">
        <v>760.64</v>
      </c>
      <c r="AC376">
        <v>0</v>
      </c>
      <c r="AD376" t="s">
        <v>94</v>
      </c>
      <c r="AE376" t="s">
        <v>94</v>
      </c>
      <c r="AF376" t="s">
        <v>226</v>
      </c>
      <c r="AG376" t="s">
        <v>226</v>
      </c>
      <c r="AH376">
        <v>-100</v>
      </c>
      <c r="AI376" t="s">
        <v>2126</v>
      </c>
      <c r="AJ376" t="s">
        <v>2127</v>
      </c>
      <c r="AK376" t="s">
        <v>2128</v>
      </c>
      <c r="AL376" t="s">
        <v>272</v>
      </c>
    </row>
    <row r="377" spans="1:38">
      <c r="A377" t="s">
        <v>2269</v>
      </c>
      <c r="B377" t="s">
        <v>2270</v>
      </c>
      <c r="C377" t="s">
        <v>2271</v>
      </c>
      <c r="D377" t="s">
        <v>2272</v>
      </c>
      <c r="E377" t="s">
        <v>2273</v>
      </c>
      <c r="F377" t="s">
        <v>2125</v>
      </c>
      <c r="G377">
        <v>1</v>
      </c>
      <c r="H377">
        <v>1</v>
      </c>
      <c r="I377">
        <v>1E-3</v>
      </c>
      <c r="J377">
        <v>1000</v>
      </c>
      <c r="K377">
        <v>0.17</v>
      </c>
      <c r="L377">
        <v>75.625</v>
      </c>
      <c r="M377">
        <v>75.498999999999995</v>
      </c>
      <c r="N377">
        <v>75.459000000000003</v>
      </c>
      <c r="O377">
        <v>75.641000000000005</v>
      </c>
      <c r="P377">
        <v>0</v>
      </c>
      <c r="Q377">
        <v>0</v>
      </c>
      <c r="R377">
        <v>0</v>
      </c>
      <c r="S377">
        <v>75.676000000000002</v>
      </c>
      <c r="T377">
        <v>75.5</v>
      </c>
      <c r="U377">
        <v>75.400000000000006</v>
      </c>
      <c r="V377">
        <v>76.25</v>
      </c>
      <c r="W377">
        <v>715359143</v>
      </c>
      <c r="X377">
        <v>75.623000000000005</v>
      </c>
      <c r="Y377">
        <v>75.625</v>
      </c>
      <c r="Z377">
        <v>5828</v>
      </c>
      <c r="AA377">
        <v>750000000</v>
      </c>
      <c r="AB377">
        <v>29493.75</v>
      </c>
      <c r="AC377">
        <v>0</v>
      </c>
      <c r="AD377" t="s">
        <v>94</v>
      </c>
      <c r="AE377" t="s">
        <v>94</v>
      </c>
      <c r="AF377" t="s">
        <v>226</v>
      </c>
      <c r="AG377" t="s">
        <v>226</v>
      </c>
      <c r="AH377">
        <v>-100</v>
      </c>
      <c r="AI377" t="s">
        <v>2126</v>
      </c>
      <c r="AJ377" t="s">
        <v>2127</v>
      </c>
      <c r="AK377" t="s">
        <v>2128</v>
      </c>
      <c r="AL377" t="s">
        <v>272</v>
      </c>
    </row>
    <row r="378" spans="1:38">
      <c r="A378" t="s">
        <v>2274</v>
      </c>
      <c r="B378" t="s">
        <v>2275</v>
      </c>
      <c r="C378" t="s">
        <v>2276</v>
      </c>
      <c r="D378" t="s">
        <v>2277</v>
      </c>
      <c r="E378" t="s">
        <v>2278</v>
      </c>
      <c r="F378" t="s">
        <v>2125</v>
      </c>
      <c r="G378">
        <v>1</v>
      </c>
      <c r="H378">
        <v>1</v>
      </c>
      <c r="I378">
        <v>1E-3</v>
      </c>
      <c r="J378">
        <v>1000</v>
      </c>
      <c r="K378">
        <v>-0.06</v>
      </c>
      <c r="L378">
        <v>99.438999999999993</v>
      </c>
      <c r="M378">
        <v>99.471000000000004</v>
      </c>
      <c r="N378">
        <v>99.432000000000002</v>
      </c>
      <c r="O378">
        <v>99.438999999999993</v>
      </c>
      <c r="P378">
        <v>0</v>
      </c>
      <c r="Q378">
        <v>0</v>
      </c>
      <c r="R378">
        <v>0</v>
      </c>
      <c r="S378">
        <v>99.468000000000004</v>
      </c>
      <c r="T378">
        <v>99.47</v>
      </c>
      <c r="U378">
        <v>99.43</v>
      </c>
      <c r="V378">
        <v>99.52</v>
      </c>
      <c r="W378">
        <v>45712356</v>
      </c>
      <c r="X378">
        <v>99.432000000000002</v>
      </c>
      <c r="Y378">
        <v>99.438999999999993</v>
      </c>
      <c r="Z378">
        <v>507</v>
      </c>
      <c r="AA378">
        <v>390287001</v>
      </c>
      <c r="AB378">
        <v>26848.53</v>
      </c>
      <c r="AC378">
        <v>0</v>
      </c>
      <c r="AD378" t="s">
        <v>94</v>
      </c>
      <c r="AE378" t="s">
        <v>94</v>
      </c>
      <c r="AF378" t="s">
        <v>226</v>
      </c>
      <c r="AG378" t="s">
        <v>226</v>
      </c>
      <c r="AH378">
        <v>8</v>
      </c>
      <c r="AI378" t="s">
        <v>2126</v>
      </c>
      <c r="AJ378" t="s">
        <v>2127</v>
      </c>
      <c r="AK378" t="s">
        <v>2128</v>
      </c>
      <c r="AL378" t="s">
        <v>272</v>
      </c>
    </row>
    <row r="379" spans="1:38">
      <c r="A379" t="s">
        <v>2279</v>
      </c>
      <c r="B379" t="s">
        <v>2280</v>
      </c>
      <c r="C379" t="s">
        <v>2281</v>
      </c>
      <c r="D379" t="s">
        <v>2282</v>
      </c>
      <c r="E379" t="s">
        <v>2283</v>
      </c>
      <c r="F379" t="s">
        <v>2125</v>
      </c>
      <c r="G379">
        <v>1</v>
      </c>
      <c r="H379">
        <v>1</v>
      </c>
      <c r="I379">
        <v>1E-3</v>
      </c>
      <c r="J379">
        <v>1000</v>
      </c>
      <c r="K379">
        <v>0.09</v>
      </c>
      <c r="L379">
        <v>100.9</v>
      </c>
      <c r="M379">
        <v>100.6</v>
      </c>
      <c r="N379">
        <v>100.705</v>
      </c>
      <c r="O379">
        <v>100.9</v>
      </c>
      <c r="P379">
        <v>0</v>
      </c>
      <c r="Q379">
        <v>0</v>
      </c>
      <c r="R379">
        <v>0</v>
      </c>
      <c r="S379">
        <v>100.78400000000001</v>
      </c>
      <c r="T379">
        <v>100.624</v>
      </c>
      <c r="U379">
        <v>100.598</v>
      </c>
      <c r="V379">
        <v>100.9</v>
      </c>
      <c r="W379">
        <v>4920281</v>
      </c>
      <c r="X379">
        <v>100.9</v>
      </c>
      <c r="Y379">
        <v>100.94199999999999</v>
      </c>
      <c r="Z379">
        <v>118</v>
      </c>
      <c r="AA379">
        <v>190287001</v>
      </c>
      <c r="AB379">
        <v>1009</v>
      </c>
      <c r="AC379">
        <v>0</v>
      </c>
      <c r="AD379" t="s">
        <v>94</v>
      </c>
      <c r="AE379" t="s">
        <v>94</v>
      </c>
      <c r="AF379" t="s">
        <v>226</v>
      </c>
      <c r="AG379" t="s">
        <v>226</v>
      </c>
      <c r="AH379">
        <v>8</v>
      </c>
      <c r="AI379" t="s">
        <v>2126</v>
      </c>
      <c r="AJ379" t="s">
        <v>2127</v>
      </c>
      <c r="AK379" t="s">
        <v>2128</v>
      </c>
      <c r="AL379" t="s">
        <v>272</v>
      </c>
    </row>
    <row r="380" spans="1:38">
      <c r="A380" t="s">
        <v>2284</v>
      </c>
      <c r="B380" t="s">
        <v>2285</v>
      </c>
      <c r="C380" t="s">
        <v>2286</v>
      </c>
      <c r="D380" t="s">
        <v>2287</v>
      </c>
      <c r="E380" t="s">
        <v>2288</v>
      </c>
      <c r="F380" t="s">
        <v>2125</v>
      </c>
      <c r="G380">
        <v>1</v>
      </c>
      <c r="H380">
        <v>1</v>
      </c>
      <c r="I380">
        <v>1E-3</v>
      </c>
      <c r="J380">
        <v>1000</v>
      </c>
      <c r="K380">
        <v>0.16</v>
      </c>
      <c r="L380">
        <v>101.947</v>
      </c>
      <c r="M380">
        <v>101.779</v>
      </c>
      <c r="N380">
        <v>101.907</v>
      </c>
      <c r="O380">
        <v>101.947</v>
      </c>
      <c r="P380">
        <v>0</v>
      </c>
      <c r="Q380">
        <v>0</v>
      </c>
      <c r="R380">
        <v>0</v>
      </c>
      <c r="S380">
        <v>101.84699999999999</v>
      </c>
      <c r="T380">
        <v>101.774</v>
      </c>
      <c r="U380">
        <v>101.77</v>
      </c>
      <c r="V380">
        <v>101.947</v>
      </c>
      <c r="W380">
        <v>2912833</v>
      </c>
      <c r="X380">
        <v>101.837</v>
      </c>
      <c r="Y380">
        <v>101.949</v>
      </c>
      <c r="Z380">
        <v>67</v>
      </c>
      <c r="AA380">
        <v>190287001</v>
      </c>
      <c r="AB380">
        <v>1019.47</v>
      </c>
      <c r="AC380">
        <v>0</v>
      </c>
      <c r="AD380" t="s">
        <v>94</v>
      </c>
      <c r="AE380" t="s">
        <v>94</v>
      </c>
      <c r="AF380" t="s">
        <v>226</v>
      </c>
      <c r="AG380" t="s">
        <v>226</v>
      </c>
      <c r="AH380">
        <v>8</v>
      </c>
      <c r="AI380" t="s">
        <v>2126</v>
      </c>
      <c r="AJ380" t="s">
        <v>2127</v>
      </c>
      <c r="AK380" t="s">
        <v>2128</v>
      </c>
      <c r="AL380" t="s">
        <v>272</v>
      </c>
    </row>
    <row r="381" spans="1:38">
      <c r="A381" t="s">
        <v>2289</v>
      </c>
      <c r="B381" t="s">
        <v>2290</v>
      </c>
      <c r="C381" t="s">
        <v>2291</v>
      </c>
      <c r="D381" t="s">
        <v>2292</v>
      </c>
      <c r="E381" t="s">
        <v>2293</v>
      </c>
      <c r="F381" t="s">
        <v>2125</v>
      </c>
      <c r="G381">
        <v>1</v>
      </c>
      <c r="H381">
        <v>1</v>
      </c>
      <c r="I381">
        <v>1E-3</v>
      </c>
      <c r="J381">
        <v>1000</v>
      </c>
      <c r="K381">
        <v>-0.06</v>
      </c>
      <c r="L381">
        <v>102.346</v>
      </c>
      <c r="M381">
        <v>102.405</v>
      </c>
      <c r="N381">
        <v>102.33</v>
      </c>
      <c r="O381">
        <v>102.31399999999999</v>
      </c>
      <c r="P381">
        <v>0</v>
      </c>
      <c r="Q381">
        <v>0</v>
      </c>
      <c r="R381">
        <v>0</v>
      </c>
      <c r="S381">
        <v>102.248</v>
      </c>
      <c r="T381">
        <v>102.21599999999999</v>
      </c>
      <c r="U381">
        <v>102.202</v>
      </c>
      <c r="V381">
        <v>102.348</v>
      </c>
      <c r="W381">
        <v>1602222</v>
      </c>
      <c r="X381">
        <v>102.292</v>
      </c>
      <c r="Y381">
        <v>102.346</v>
      </c>
      <c r="Z381">
        <v>131</v>
      </c>
      <c r="AA381">
        <v>190287001</v>
      </c>
      <c r="AB381">
        <v>2046.92</v>
      </c>
      <c r="AC381">
        <v>0</v>
      </c>
      <c r="AD381" t="s">
        <v>94</v>
      </c>
      <c r="AE381" t="s">
        <v>94</v>
      </c>
      <c r="AF381" t="s">
        <v>226</v>
      </c>
      <c r="AG381" t="s">
        <v>226</v>
      </c>
      <c r="AH381">
        <v>8</v>
      </c>
      <c r="AI381" t="s">
        <v>2126</v>
      </c>
      <c r="AJ381" t="s">
        <v>2127</v>
      </c>
      <c r="AK381" t="s">
        <v>2128</v>
      </c>
      <c r="AL381" t="s">
        <v>272</v>
      </c>
    </row>
    <row r="382" spans="1:38">
      <c r="A382" t="s">
        <v>2294</v>
      </c>
      <c r="B382" t="s">
        <v>2295</v>
      </c>
      <c r="C382" t="s">
        <v>2296</v>
      </c>
      <c r="D382" t="s">
        <v>2297</v>
      </c>
      <c r="E382" t="s">
        <v>2298</v>
      </c>
      <c r="F382" t="s">
        <v>2125</v>
      </c>
      <c r="G382">
        <v>1</v>
      </c>
      <c r="H382">
        <v>1</v>
      </c>
      <c r="I382">
        <v>1E-3</v>
      </c>
      <c r="J382">
        <v>1000</v>
      </c>
      <c r="K382">
        <v>0.01</v>
      </c>
      <c r="L382">
        <v>102.777</v>
      </c>
      <c r="M382">
        <v>102.768</v>
      </c>
      <c r="N382">
        <v>102.71</v>
      </c>
      <c r="O382">
        <v>102.777</v>
      </c>
      <c r="P382">
        <v>0</v>
      </c>
      <c r="Q382">
        <v>0</v>
      </c>
      <c r="R382">
        <v>0</v>
      </c>
      <c r="S382">
        <v>102.748</v>
      </c>
      <c r="T382">
        <v>102.779</v>
      </c>
      <c r="U382">
        <v>102.601</v>
      </c>
      <c r="V382">
        <v>102.779</v>
      </c>
      <c r="W382">
        <v>2780356</v>
      </c>
      <c r="X382">
        <v>102.776</v>
      </c>
      <c r="Y382">
        <v>102.777</v>
      </c>
      <c r="Z382">
        <v>139</v>
      </c>
      <c r="AA382">
        <v>190287001</v>
      </c>
      <c r="AB382">
        <v>140804.49</v>
      </c>
      <c r="AC382">
        <v>0</v>
      </c>
      <c r="AD382" t="s">
        <v>94</v>
      </c>
      <c r="AE382" t="s">
        <v>94</v>
      </c>
      <c r="AF382" t="s">
        <v>226</v>
      </c>
      <c r="AG382" t="s">
        <v>226</v>
      </c>
      <c r="AH382">
        <v>8</v>
      </c>
      <c r="AI382" t="s">
        <v>2126</v>
      </c>
      <c r="AJ382" t="s">
        <v>2127</v>
      </c>
      <c r="AK382" t="s">
        <v>2128</v>
      </c>
      <c r="AL382" t="s">
        <v>272</v>
      </c>
    </row>
    <row r="383" spans="1:38">
      <c r="A383" t="s">
        <v>2299</v>
      </c>
      <c r="B383" t="s">
        <v>2300</v>
      </c>
      <c r="C383" t="s">
        <v>2301</v>
      </c>
      <c r="D383" t="s">
        <v>2302</v>
      </c>
      <c r="E383" t="s">
        <v>2303</v>
      </c>
      <c r="F383" t="s">
        <v>2125</v>
      </c>
      <c r="G383">
        <v>1</v>
      </c>
      <c r="H383">
        <v>1</v>
      </c>
      <c r="I383">
        <v>1E-3</v>
      </c>
      <c r="J383">
        <v>1000</v>
      </c>
      <c r="K383">
        <v>0.03</v>
      </c>
      <c r="L383">
        <v>96.778999999999996</v>
      </c>
      <c r="M383">
        <v>96.947000000000003</v>
      </c>
      <c r="N383">
        <v>96.76</v>
      </c>
      <c r="O383">
        <v>96.778999999999996</v>
      </c>
      <c r="P383">
        <v>0</v>
      </c>
      <c r="Q383">
        <v>0</v>
      </c>
      <c r="R383">
        <v>0</v>
      </c>
      <c r="S383">
        <v>96.734999999999999</v>
      </c>
      <c r="T383">
        <v>96.768000000000001</v>
      </c>
      <c r="U383">
        <v>96.730999999999995</v>
      </c>
      <c r="V383">
        <v>96.894000000000005</v>
      </c>
      <c r="W383">
        <v>1507131</v>
      </c>
      <c r="X383">
        <v>96.751999999999995</v>
      </c>
      <c r="Y383">
        <v>96.778999999999996</v>
      </c>
      <c r="Z383">
        <v>24</v>
      </c>
      <c r="AA383">
        <v>427467173</v>
      </c>
      <c r="AB383">
        <v>967.79</v>
      </c>
      <c r="AC383">
        <v>0</v>
      </c>
      <c r="AD383" t="s">
        <v>94</v>
      </c>
      <c r="AE383" t="s">
        <v>94</v>
      </c>
      <c r="AF383" t="s">
        <v>226</v>
      </c>
      <c r="AG383" t="s">
        <v>226</v>
      </c>
      <c r="AH383">
        <v>8</v>
      </c>
      <c r="AI383" t="s">
        <v>2126</v>
      </c>
      <c r="AJ383" t="s">
        <v>2127</v>
      </c>
      <c r="AK383" t="s">
        <v>2128</v>
      </c>
      <c r="AL383" t="s">
        <v>272</v>
      </c>
    </row>
    <row r="384" spans="1:38">
      <c r="A384" t="s">
        <v>2304</v>
      </c>
      <c r="B384" t="s">
        <v>2305</v>
      </c>
      <c r="C384" t="s">
        <v>2306</v>
      </c>
      <c r="D384" t="s">
        <v>2307</v>
      </c>
      <c r="E384" t="s">
        <v>2308</v>
      </c>
      <c r="F384" t="s">
        <v>2125</v>
      </c>
      <c r="G384">
        <v>1</v>
      </c>
      <c r="H384">
        <v>1</v>
      </c>
      <c r="I384">
        <v>1E-3</v>
      </c>
      <c r="J384">
        <v>1000</v>
      </c>
      <c r="K384">
        <v>0.03</v>
      </c>
      <c r="L384">
        <v>99.924000000000007</v>
      </c>
      <c r="M384">
        <v>99.941999999999993</v>
      </c>
      <c r="N384">
        <v>99.918000000000006</v>
      </c>
      <c r="O384">
        <v>99.885999999999996</v>
      </c>
      <c r="P384">
        <v>0</v>
      </c>
      <c r="Q384">
        <v>0</v>
      </c>
      <c r="R384">
        <v>0</v>
      </c>
      <c r="S384">
        <v>99.909000000000006</v>
      </c>
      <c r="T384">
        <v>99.94</v>
      </c>
      <c r="U384">
        <v>99.81</v>
      </c>
      <c r="V384">
        <v>99.972999999999999</v>
      </c>
      <c r="W384">
        <v>328863092</v>
      </c>
      <c r="X384">
        <v>99.924000000000007</v>
      </c>
      <c r="Y384">
        <v>99.924999999999997</v>
      </c>
      <c r="Z384">
        <v>751</v>
      </c>
      <c r="AA384">
        <v>450000000</v>
      </c>
      <c r="AB384">
        <v>4996.2</v>
      </c>
      <c r="AC384">
        <v>0</v>
      </c>
      <c r="AD384" t="s">
        <v>94</v>
      </c>
      <c r="AE384" t="s">
        <v>94</v>
      </c>
      <c r="AF384" t="s">
        <v>226</v>
      </c>
      <c r="AG384" t="s">
        <v>226</v>
      </c>
      <c r="AH384">
        <v>8</v>
      </c>
      <c r="AI384" t="s">
        <v>2126</v>
      </c>
      <c r="AJ384" t="s">
        <v>2127</v>
      </c>
      <c r="AK384" t="s">
        <v>2128</v>
      </c>
      <c r="AL384" t="s">
        <v>272</v>
      </c>
    </row>
    <row r="385" spans="1:38">
      <c r="A385" t="s">
        <v>2309</v>
      </c>
      <c r="B385" t="s">
        <v>2310</v>
      </c>
      <c r="C385" t="s">
        <v>2311</v>
      </c>
      <c r="D385" t="s">
        <v>2312</v>
      </c>
      <c r="E385" t="s">
        <v>2313</v>
      </c>
      <c r="F385" t="s">
        <v>2125</v>
      </c>
      <c r="G385">
        <v>1</v>
      </c>
      <c r="H385">
        <v>1</v>
      </c>
      <c r="I385">
        <v>1E-3</v>
      </c>
      <c r="J385">
        <v>1000</v>
      </c>
      <c r="K385">
        <v>0</v>
      </c>
      <c r="L385">
        <v>97.578999999999994</v>
      </c>
      <c r="M385">
        <v>97.57</v>
      </c>
      <c r="N385">
        <v>97.531999999999996</v>
      </c>
      <c r="O385">
        <v>97.578000000000003</v>
      </c>
      <c r="P385">
        <v>0</v>
      </c>
      <c r="Q385">
        <v>0</v>
      </c>
      <c r="R385">
        <v>0</v>
      </c>
      <c r="S385">
        <v>97.450999999999993</v>
      </c>
      <c r="T385">
        <v>97.65</v>
      </c>
      <c r="U385">
        <v>97.1</v>
      </c>
      <c r="V385">
        <v>98.034000000000006</v>
      </c>
      <c r="W385">
        <v>2765650</v>
      </c>
      <c r="X385">
        <v>97.474999999999994</v>
      </c>
      <c r="Y385">
        <v>97.578999999999994</v>
      </c>
      <c r="Z385">
        <v>99</v>
      </c>
      <c r="AA385">
        <v>409796724</v>
      </c>
      <c r="AB385">
        <v>1298776.49</v>
      </c>
      <c r="AC385">
        <v>0</v>
      </c>
      <c r="AD385" t="s">
        <v>94</v>
      </c>
      <c r="AE385" t="s">
        <v>94</v>
      </c>
      <c r="AF385" t="s">
        <v>226</v>
      </c>
      <c r="AG385" t="s">
        <v>226</v>
      </c>
      <c r="AH385">
        <v>8</v>
      </c>
      <c r="AI385" t="s">
        <v>2126</v>
      </c>
      <c r="AJ385" t="s">
        <v>2127</v>
      </c>
      <c r="AK385" t="s">
        <v>2128</v>
      </c>
      <c r="AL385" t="s">
        <v>272</v>
      </c>
    </row>
    <row r="386" spans="1:38">
      <c r="A386" t="s">
        <v>2314</v>
      </c>
      <c r="B386" t="s">
        <v>2315</v>
      </c>
      <c r="C386" t="s">
        <v>2316</v>
      </c>
      <c r="D386" t="s">
        <v>2317</v>
      </c>
      <c r="E386" t="s">
        <v>2318</v>
      </c>
      <c r="F386" t="s">
        <v>2125</v>
      </c>
      <c r="G386">
        <v>1</v>
      </c>
      <c r="H386">
        <v>1</v>
      </c>
      <c r="I386">
        <v>1E-3</v>
      </c>
      <c r="J386">
        <v>1000</v>
      </c>
      <c r="K386">
        <v>0.05</v>
      </c>
      <c r="L386">
        <v>99.293999999999997</v>
      </c>
      <c r="M386">
        <v>99.2</v>
      </c>
      <c r="N386">
        <v>99.212000000000003</v>
      </c>
      <c r="O386">
        <v>99.266000000000005</v>
      </c>
      <c r="P386">
        <v>0</v>
      </c>
      <c r="Q386">
        <v>0</v>
      </c>
      <c r="R386">
        <v>0</v>
      </c>
      <c r="S386">
        <v>99.239000000000004</v>
      </c>
      <c r="T386">
        <v>99.379000000000005</v>
      </c>
      <c r="U386">
        <v>98.903999999999996</v>
      </c>
      <c r="V386">
        <v>99.38</v>
      </c>
      <c r="W386">
        <v>249125792</v>
      </c>
      <c r="X386">
        <v>99.247</v>
      </c>
      <c r="Y386">
        <v>99.293000000000006</v>
      </c>
      <c r="Z386">
        <v>247</v>
      </c>
      <c r="AA386">
        <v>155059582</v>
      </c>
      <c r="AB386">
        <v>992.94</v>
      </c>
      <c r="AC386">
        <v>0</v>
      </c>
      <c r="AD386" t="s">
        <v>94</v>
      </c>
      <c r="AE386" t="s">
        <v>94</v>
      </c>
      <c r="AF386" t="s">
        <v>226</v>
      </c>
      <c r="AG386" t="s">
        <v>226</v>
      </c>
      <c r="AH386">
        <v>8</v>
      </c>
      <c r="AI386" t="s">
        <v>2126</v>
      </c>
      <c r="AJ386" t="s">
        <v>2127</v>
      </c>
      <c r="AK386" t="s">
        <v>2128</v>
      </c>
      <c r="AL386" t="s">
        <v>272</v>
      </c>
    </row>
    <row r="387" spans="1:38">
      <c r="A387" t="s">
        <v>2319</v>
      </c>
      <c r="B387" t="s">
        <v>2320</v>
      </c>
      <c r="C387" t="s">
        <v>2321</v>
      </c>
      <c r="D387" t="s">
        <v>2322</v>
      </c>
      <c r="E387" t="s">
        <v>2323</v>
      </c>
      <c r="F387" t="s">
        <v>2125</v>
      </c>
      <c r="G387">
        <v>1</v>
      </c>
      <c r="H387">
        <v>1</v>
      </c>
      <c r="I387">
        <v>1E-3</v>
      </c>
      <c r="J387">
        <v>1000</v>
      </c>
      <c r="K387">
        <v>-0.34</v>
      </c>
      <c r="L387">
        <v>98.021000000000001</v>
      </c>
      <c r="M387">
        <v>98.149000000000001</v>
      </c>
      <c r="N387">
        <v>98.120999999999995</v>
      </c>
      <c r="O387">
        <v>98.073999999999998</v>
      </c>
      <c r="P387">
        <v>0</v>
      </c>
      <c r="Q387">
        <v>0</v>
      </c>
      <c r="R387">
        <v>0</v>
      </c>
      <c r="S387">
        <v>98.131</v>
      </c>
      <c r="T387">
        <v>98.376999999999995</v>
      </c>
      <c r="U387">
        <v>98</v>
      </c>
      <c r="V387">
        <v>98.378</v>
      </c>
      <c r="W387">
        <v>232571</v>
      </c>
      <c r="X387">
        <v>98.025999999999996</v>
      </c>
      <c r="Y387">
        <v>98.1</v>
      </c>
      <c r="Z387">
        <v>52</v>
      </c>
      <c r="AA387">
        <v>350607135</v>
      </c>
      <c r="AB387">
        <v>980.21</v>
      </c>
      <c r="AC387">
        <v>0</v>
      </c>
      <c r="AD387" t="s">
        <v>94</v>
      </c>
      <c r="AE387" t="s">
        <v>94</v>
      </c>
      <c r="AF387" t="s">
        <v>226</v>
      </c>
      <c r="AG387" t="s">
        <v>226</v>
      </c>
      <c r="AH387">
        <v>8</v>
      </c>
      <c r="AI387" t="s">
        <v>2126</v>
      </c>
      <c r="AJ387" t="s">
        <v>2127</v>
      </c>
      <c r="AK387" t="s">
        <v>2128</v>
      </c>
      <c r="AL387" t="s">
        <v>272</v>
      </c>
    </row>
    <row r="388" spans="1:38">
      <c r="A388" t="s">
        <v>2324</v>
      </c>
      <c r="B388" t="s">
        <v>2325</v>
      </c>
      <c r="C388" t="s">
        <v>2326</v>
      </c>
      <c r="D388" t="s">
        <v>2327</v>
      </c>
      <c r="E388" t="s">
        <v>2328</v>
      </c>
      <c r="F388" t="s">
        <v>2125</v>
      </c>
      <c r="G388">
        <v>1</v>
      </c>
      <c r="H388">
        <v>1</v>
      </c>
      <c r="I388">
        <v>1E-3</v>
      </c>
      <c r="J388">
        <v>1000</v>
      </c>
      <c r="K388">
        <v>0.16</v>
      </c>
      <c r="L388">
        <v>98.248000000000005</v>
      </c>
      <c r="M388">
        <v>98.012</v>
      </c>
      <c r="N388">
        <v>98.194000000000003</v>
      </c>
      <c r="O388">
        <v>98.248000000000005</v>
      </c>
      <c r="P388">
        <v>0</v>
      </c>
      <c r="Q388">
        <v>0</v>
      </c>
      <c r="R388">
        <v>0</v>
      </c>
      <c r="S388">
        <v>98.113</v>
      </c>
      <c r="T388">
        <v>98.088999999999999</v>
      </c>
      <c r="U388">
        <v>97.695999999999998</v>
      </c>
      <c r="V388">
        <v>98.248999999999995</v>
      </c>
      <c r="W388">
        <v>276680</v>
      </c>
      <c r="X388">
        <v>98.200999999999993</v>
      </c>
      <c r="Y388">
        <v>98.247</v>
      </c>
      <c r="Z388">
        <v>53</v>
      </c>
      <c r="AA388">
        <v>427747115</v>
      </c>
      <c r="AB388">
        <v>982.48</v>
      </c>
      <c r="AC388">
        <v>0</v>
      </c>
      <c r="AD388" t="s">
        <v>94</v>
      </c>
      <c r="AE388" t="s">
        <v>94</v>
      </c>
      <c r="AF388" t="s">
        <v>226</v>
      </c>
      <c r="AG388" t="s">
        <v>226</v>
      </c>
      <c r="AH388">
        <v>8</v>
      </c>
      <c r="AI388" t="s">
        <v>2126</v>
      </c>
      <c r="AJ388" t="s">
        <v>2127</v>
      </c>
      <c r="AK388" t="s">
        <v>2128</v>
      </c>
      <c r="AL388" t="s">
        <v>272</v>
      </c>
    </row>
    <row r="389" spans="1:38">
      <c r="A389" t="s">
        <v>2329</v>
      </c>
      <c r="B389" t="s">
        <v>2330</v>
      </c>
      <c r="C389" t="s">
        <v>2331</v>
      </c>
      <c r="D389" t="s">
        <v>2332</v>
      </c>
      <c r="E389" t="s">
        <v>2333</v>
      </c>
      <c r="F389" t="s">
        <v>2125</v>
      </c>
      <c r="G389">
        <v>1</v>
      </c>
      <c r="H389">
        <v>1</v>
      </c>
      <c r="I389">
        <v>1E-3</v>
      </c>
      <c r="J389">
        <v>1000</v>
      </c>
      <c r="K389">
        <v>-0.19</v>
      </c>
      <c r="L389">
        <v>97.263000000000005</v>
      </c>
      <c r="M389">
        <v>97.45</v>
      </c>
      <c r="N389">
        <v>97.402000000000001</v>
      </c>
      <c r="O389">
        <v>97.263000000000005</v>
      </c>
      <c r="P389">
        <v>0</v>
      </c>
      <c r="Q389">
        <v>0</v>
      </c>
      <c r="R389">
        <v>0</v>
      </c>
      <c r="S389">
        <v>97.378</v>
      </c>
      <c r="T389">
        <v>97.403999999999996</v>
      </c>
      <c r="U389">
        <v>97.260999999999996</v>
      </c>
      <c r="V389">
        <v>97.494</v>
      </c>
      <c r="W389">
        <v>1272727</v>
      </c>
      <c r="X389">
        <v>97.262</v>
      </c>
      <c r="Y389">
        <v>97.391999999999996</v>
      </c>
      <c r="Z389">
        <v>40</v>
      </c>
      <c r="AA389">
        <v>430194756</v>
      </c>
      <c r="AB389">
        <v>972.63</v>
      </c>
      <c r="AC389">
        <v>0</v>
      </c>
      <c r="AD389" t="s">
        <v>94</v>
      </c>
      <c r="AE389" t="s">
        <v>94</v>
      </c>
      <c r="AF389" t="s">
        <v>226</v>
      </c>
      <c r="AG389" t="s">
        <v>226</v>
      </c>
      <c r="AH389">
        <v>8</v>
      </c>
      <c r="AI389" t="s">
        <v>2126</v>
      </c>
      <c r="AJ389" t="s">
        <v>2127</v>
      </c>
      <c r="AK389" t="s">
        <v>2128</v>
      </c>
      <c r="AL389" t="s">
        <v>272</v>
      </c>
    </row>
    <row r="390" spans="1:38">
      <c r="A390" t="s">
        <v>2334</v>
      </c>
      <c r="B390" t="s">
        <v>2335</v>
      </c>
      <c r="C390" t="s">
        <v>2336</v>
      </c>
      <c r="D390" t="s">
        <v>2337</v>
      </c>
      <c r="E390" t="s">
        <v>2338</v>
      </c>
      <c r="F390" t="s">
        <v>2125</v>
      </c>
      <c r="G390">
        <v>1</v>
      </c>
      <c r="H390">
        <v>1</v>
      </c>
      <c r="I390">
        <v>1E-3</v>
      </c>
      <c r="J390">
        <v>1000</v>
      </c>
      <c r="K390">
        <v>-0.04</v>
      </c>
      <c r="L390">
        <v>97.95</v>
      </c>
      <c r="M390">
        <v>97.991</v>
      </c>
      <c r="N390">
        <v>97.908000000000001</v>
      </c>
      <c r="O390">
        <v>97.971999999999994</v>
      </c>
      <c r="P390">
        <v>0</v>
      </c>
      <c r="Q390">
        <v>0</v>
      </c>
      <c r="R390">
        <v>0</v>
      </c>
      <c r="S390">
        <v>97.988</v>
      </c>
      <c r="T390">
        <v>98.283000000000001</v>
      </c>
      <c r="U390">
        <v>97.894000000000005</v>
      </c>
      <c r="V390">
        <v>98.283000000000001</v>
      </c>
      <c r="W390">
        <v>148887485</v>
      </c>
      <c r="X390">
        <v>97.950999999999993</v>
      </c>
      <c r="Y390">
        <v>97.997</v>
      </c>
      <c r="Z390">
        <v>90</v>
      </c>
      <c r="AA390">
        <v>294544699</v>
      </c>
      <c r="AB390">
        <v>589659</v>
      </c>
      <c r="AC390">
        <v>0</v>
      </c>
      <c r="AD390" t="s">
        <v>94</v>
      </c>
      <c r="AE390" t="s">
        <v>94</v>
      </c>
      <c r="AF390" t="s">
        <v>226</v>
      </c>
      <c r="AG390" t="s">
        <v>226</v>
      </c>
      <c r="AH390">
        <v>8</v>
      </c>
      <c r="AI390" t="s">
        <v>2126</v>
      </c>
      <c r="AJ390" t="s">
        <v>2127</v>
      </c>
      <c r="AK390" t="s">
        <v>2128</v>
      </c>
      <c r="AL390" t="s">
        <v>272</v>
      </c>
    </row>
    <row r="391" spans="1:38">
      <c r="A391" t="s">
        <v>2339</v>
      </c>
      <c r="B391" t="s">
        <v>2340</v>
      </c>
      <c r="C391" t="s">
        <v>2341</v>
      </c>
      <c r="D391" t="s">
        <v>2342</v>
      </c>
      <c r="E391" t="s">
        <v>2343</v>
      </c>
      <c r="F391" t="s">
        <v>2125</v>
      </c>
      <c r="G391">
        <v>1</v>
      </c>
      <c r="H391">
        <v>1</v>
      </c>
      <c r="I391">
        <v>1E-3</v>
      </c>
      <c r="J391">
        <v>1000</v>
      </c>
      <c r="K391">
        <v>0.01</v>
      </c>
      <c r="L391">
        <v>96.814999999999998</v>
      </c>
      <c r="M391">
        <v>96.72</v>
      </c>
      <c r="N391">
        <v>96.712000000000003</v>
      </c>
      <c r="O391">
        <v>96.813999999999993</v>
      </c>
      <c r="P391">
        <v>0</v>
      </c>
      <c r="Q391">
        <v>0</v>
      </c>
      <c r="R391">
        <v>0</v>
      </c>
      <c r="S391">
        <v>96.736000000000004</v>
      </c>
      <c r="T391">
        <v>96.96</v>
      </c>
      <c r="U391">
        <v>96.566999999999993</v>
      </c>
      <c r="V391">
        <v>96.998999999999995</v>
      </c>
      <c r="W391">
        <v>2769549</v>
      </c>
      <c r="X391">
        <v>96.716999999999999</v>
      </c>
      <c r="Y391">
        <v>96.816000000000003</v>
      </c>
      <c r="Z391">
        <v>100</v>
      </c>
      <c r="AA391">
        <v>500000000</v>
      </c>
      <c r="AB391">
        <v>15490.4</v>
      </c>
      <c r="AC391">
        <v>0</v>
      </c>
      <c r="AD391" t="s">
        <v>94</v>
      </c>
      <c r="AE391" t="s">
        <v>94</v>
      </c>
      <c r="AF391" t="s">
        <v>226</v>
      </c>
      <c r="AG391" t="s">
        <v>226</v>
      </c>
      <c r="AH391">
        <v>8</v>
      </c>
      <c r="AI391" t="s">
        <v>2126</v>
      </c>
      <c r="AJ391" t="s">
        <v>2127</v>
      </c>
      <c r="AK391" t="s">
        <v>2128</v>
      </c>
      <c r="AL391" t="s">
        <v>272</v>
      </c>
    </row>
    <row r="392" spans="1:38">
      <c r="A392" t="s">
        <v>2344</v>
      </c>
      <c r="B392" t="s">
        <v>2345</v>
      </c>
      <c r="C392" t="s">
        <v>2346</v>
      </c>
      <c r="D392" t="s">
        <v>2347</v>
      </c>
      <c r="E392" t="s">
        <v>2348</v>
      </c>
      <c r="F392" t="s">
        <v>2125</v>
      </c>
      <c r="G392">
        <v>1</v>
      </c>
      <c r="H392">
        <v>1</v>
      </c>
      <c r="I392">
        <v>1E-3</v>
      </c>
      <c r="J392">
        <v>1000</v>
      </c>
      <c r="K392">
        <v>0.54</v>
      </c>
      <c r="L392">
        <v>97.606999999999999</v>
      </c>
      <c r="M392">
        <v>97.075999999999993</v>
      </c>
      <c r="N392">
        <v>96.896000000000001</v>
      </c>
      <c r="O392">
        <v>97.495999999999995</v>
      </c>
      <c r="P392">
        <v>0</v>
      </c>
      <c r="Q392">
        <v>0</v>
      </c>
      <c r="R392">
        <v>0</v>
      </c>
      <c r="S392">
        <v>97.105000000000004</v>
      </c>
      <c r="T392">
        <v>97.08</v>
      </c>
      <c r="U392">
        <v>96.557000000000002</v>
      </c>
      <c r="V392">
        <v>97.606999999999999</v>
      </c>
      <c r="W392">
        <v>447653</v>
      </c>
      <c r="X392">
        <v>97.41</v>
      </c>
      <c r="Y392">
        <v>97.608000000000004</v>
      </c>
      <c r="Z392">
        <v>30</v>
      </c>
      <c r="AA392">
        <v>1000000000</v>
      </c>
      <c r="AB392">
        <v>976.07</v>
      </c>
      <c r="AC392">
        <v>0</v>
      </c>
      <c r="AD392" t="s">
        <v>94</v>
      </c>
      <c r="AE392" t="s">
        <v>94</v>
      </c>
      <c r="AF392" t="s">
        <v>226</v>
      </c>
      <c r="AG392" t="s">
        <v>226</v>
      </c>
      <c r="AH392">
        <v>8</v>
      </c>
      <c r="AI392" t="s">
        <v>2126</v>
      </c>
      <c r="AJ392" t="s">
        <v>2127</v>
      </c>
      <c r="AK392" t="s">
        <v>2128</v>
      </c>
      <c r="AL392" t="s">
        <v>272</v>
      </c>
    </row>
    <row r="393" spans="1:38">
      <c r="A393" t="s">
        <v>2349</v>
      </c>
      <c r="B393" t="s">
        <v>2350</v>
      </c>
      <c r="C393" t="s">
        <v>2351</v>
      </c>
      <c r="D393" t="s">
        <v>2352</v>
      </c>
      <c r="E393" t="s">
        <v>2353</v>
      </c>
      <c r="F393" t="s">
        <v>2125</v>
      </c>
      <c r="G393">
        <v>1</v>
      </c>
      <c r="H393">
        <v>1</v>
      </c>
      <c r="I393">
        <v>1E-3</v>
      </c>
      <c r="J393">
        <v>1000</v>
      </c>
      <c r="K393">
        <v>0.27</v>
      </c>
      <c r="L393">
        <v>97.534999999999997</v>
      </c>
      <c r="M393">
        <v>97.210999999999999</v>
      </c>
      <c r="N393">
        <v>97.212000000000003</v>
      </c>
      <c r="O393">
        <v>97.369</v>
      </c>
      <c r="P393">
        <v>0</v>
      </c>
      <c r="Q393">
        <v>0</v>
      </c>
      <c r="R393">
        <v>0</v>
      </c>
      <c r="S393">
        <v>97.370999999999995</v>
      </c>
      <c r="T393">
        <v>97.272999999999996</v>
      </c>
      <c r="U393">
        <v>97.174000000000007</v>
      </c>
      <c r="V393">
        <v>98.721000000000004</v>
      </c>
      <c r="W393">
        <v>1396296</v>
      </c>
      <c r="X393">
        <v>97.302999999999997</v>
      </c>
      <c r="Y393">
        <v>97.528000000000006</v>
      </c>
      <c r="Z393">
        <v>124</v>
      </c>
      <c r="AA393">
        <v>1000000000</v>
      </c>
      <c r="AB393">
        <v>975.35</v>
      </c>
      <c r="AC393">
        <v>0</v>
      </c>
      <c r="AD393" t="s">
        <v>94</v>
      </c>
      <c r="AE393" t="s">
        <v>94</v>
      </c>
      <c r="AF393" t="s">
        <v>226</v>
      </c>
      <c r="AG393" t="s">
        <v>226</v>
      </c>
      <c r="AH393">
        <v>8</v>
      </c>
      <c r="AI393" t="s">
        <v>2126</v>
      </c>
      <c r="AJ393" t="s">
        <v>2127</v>
      </c>
      <c r="AK393" t="s">
        <v>2128</v>
      </c>
      <c r="AL393" t="s">
        <v>272</v>
      </c>
    </row>
    <row r="394" spans="1:38">
      <c r="A394" t="s">
        <v>2354</v>
      </c>
      <c r="B394" t="s">
        <v>2355</v>
      </c>
      <c r="C394" t="s">
        <v>2356</v>
      </c>
      <c r="D394" t="s">
        <v>2357</v>
      </c>
      <c r="E394" t="s">
        <v>2358</v>
      </c>
      <c r="F394" t="s">
        <v>2125</v>
      </c>
      <c r="G394">
        <v>1</v>
      </c>
      <c r="H394">
        <v>1</v>
      </c>
      <c r="I394">
        <v>1E-3</v>
      </c>
      <c r="J394">
        <v>1000</v>
      </c>
      <c r="K394">
        <v>0.31</v>
      </c>
      <c r="L394">
        <v>92.888999999999996</v>
      </c>
      <c r="M394">
        <v>92.49</v>
      </c>
      <c r="N394">
        <v>92.516000000000005</v>
      </c>
      <c r="O394">
        <v>92.888000000000005</v>
      </c>
      <c r="P394">
        <v>0</v>
      </c>
      <c r="Q394">
        <v>0</v>
      </c>
      <c r="R394">
        <v>0</v>
      </c>
      <c r="S394">
        <v>92.682000000000002</v>
      </c>
      <c r="T394">
        <v>92.82</v>
      </c>
      <c r="U394">
        <v>92.454999999999998</v>
      </c>
      <c r="V394">
        <v>92.997</v>
      </c>
      <c r="W394">
        <v>4331963</v>
      </c>
      <c r="X394">
        <v>92.79</v>
      </c>
      <c r="Y394">
        <v>92.887</v>
      </c>
      <c r="Z394">
        <v>159</v>
      </c>
      <c r="AA394">
        <v>750000000</v>
      </c>
      <c r="AB394">
        <v>10217.790000000001</v>
      </c>
      <c r="AC394">
        <v>0</v>
      </c>
      <c r="AD394" t="s">
        <v>94</v>
      </c>
      <c r="AE394" t="s">
        <v>94</v>
      </c>
      <c r="AF394" t="s">
        <v>226</v>
      </c>
      <c r="AG394" t="s">
        <v>226</v>
      </c>
      <c r="AH394">
        <v>8</v>
      </c>
      <c r="AI394" t="s">
        <v>2126</v>
      </c>
      <c r="AJ394" t="s">
        <v>2127</v>
      </c>
      <c r="AK394" t="s">
        <v>2128</v>
      </c>
      <c r="AL394" t="s">
        <v>272</v>
      </c>
    </row>
    <row r="395" spans="1:38">
      <c r="A395" t="s">
        <v>2359</v>
      </c>
      <c r="B395" t="s">
        <v>2360</v>
      </c>
      <c r="C395" t="s">
        <v>2361</v>
      </c>
      <c r="D395" t="s">
        <v>2362</v>
      </c>
      <c r="E395" t="s">
        <v>2363</v>
      </c>
      <c r="F395" t="s">
        <v>2125</v>
      </c>
      <c r="G395">
        <v>1</v>
      </c>
      <c r="H395">
        <v>1</v>
      </c>
      <c r="I395">
        <v>1E-3</v>
      </c>
      <c r="J395">
        <v>1000</v>
      </c>
      <c r="K395">
        <v>0.18</v>
      </c>
      <c r="L395">
        <v>92.730999999999995</v>
      </c>
      <c r="M395">
        <v>92.591999999999999</v>
      </c>
      <c r="N395">
        <v>92.442999999999998</v>
      </c>
      <c r="O395">
        <v>92.730999999999995</v>
      </c>
      <c r="P395">
        <v>0</v>
      </c>
      <c r="Q395">
        <v>0</v>
      </c>
      <c r="R395">
        <v>0</v>
      </c>
      <c r="S395">
        <v>92.679000000000002</v>
      </c>
      <c r="T395">
        <v>92.8</v>
      </c>
      <c r="U395">
        <v>92.554000000000002</v>
      </c>
      <c r="V395">
        <v>92.986999999999995</v>
      </c>
      <c r="W395">
        <v>15528430</v>
      </c>
      <c r="X395">
        <v>92.646000000000001</v>
      </c>
      <c r="Y395">
        <v>92.74</v>
      </c>
      <c r="Z395">
        <v>270</v>
      </c>
      <c r="AA395">
        <v>750000000</v>
      </c>
      <c r="AB395">
        <v>927.31</v>
      </c>
      <c r="AC395">
        <v>0</v>
      </c>
      <c r="AD395" t="s">
        <v>94</v>
      </c>
      <c r="AE395" t="s">
        <v>94</v>
      </c>
      <c r="AF395" t="s">
        <v>226</v>
      </c>
      <c r="AG395" t="s">
        <v>226</v>
      </c>
      <c r="AH395">
        <v>8</v>
      </c>
      <c r="AI395" t="s">
        <v>2126</v>
      </c>
      <c r="AJ395" t="s">
        <v>2127</v>
      </c>
      <c r="AK395" t="s">
        <v>2128</v>
      </c>
      <c r="AL395" t="s">
        <v>272</v>
      </c>
    </row>
    <row r="396" spans="1:38">
      <c r="A396" t="s">
        <v>2364</v>
      </c>
      <c r="B396" t="s">
        <v>2365</v>
      </c>
      <c r="C396" t="s">
        <v>2366</v>
      </c>
      <c r="D396" t="s">
        <v>2367</v>
      </c>
      <c r="E396" t="s">
        <v>2368</v>
      </c>
      <c r="F396" t="s">
        <v>2125</v>
      </c>
      <c r="G396">
        <v>1</v>
      </c>
      <c r="H396">
        <v>1</v>
      </c>
      <c r="I396">
        <v>1E-3</v>
      </c>
      <c r="J396">
        <v>1000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1000000000</v>
      </c>
      <c r="AB396">
        <v>0</v>
      </c>
      <c r="AC396">
        <v>0</v>
      </c>
      <c r="AD396" t="s">
        <v>94</v>
      </c>
      <c r="AE396" t="s">
        <v>94</v>
      </c>
      <c r="AF396" t="s">
        <v>226</v>
      </c>
      <c r="AG396" t="s">
        <v>226</v>
      </c>
      <c r="AH396">
        <v>8</v>
      </c>
      <c r="AI396" t="s">
        <v>2126</v>
      </c>
      <c r="AJ396" t="s">
        <v>2127</v>
      </c>
      <c r="AK396" t="s">
        <v>2128</v>
      </c>
      <c r="AL396" t="s">
        <v>272</v>
      </c>
    </row>
    <row r="397" spans="1:38">
      <c r="A397" t="s">
        <v>2369</v>
      </c>
      <c r="B397" t="s">
        <v>2370</v>
      </c>
      <c r="C397" t="s">
        <v>2371</v>
      </c>
      <c r="D397" t="s">
        <v>2372</v>
      </c>
      <c r="E397" t="s">
        <v>2373</v>
      </c>
      <c r="F397" t="s">
        <v>2125</v>
      </c>
      <c r="G397">
        <v>1</v>
      </c>
      <c r="H397">
        <v>1</v>
      </c>
      <c r="I397">
        <v>1E-3</v>
      </c>
      <c r="J397">
        <v>300</v>
      </c>
      <c r="K397">
        <v>9.3000000000000007</v>
      </c>
      <c r="L397">
        <v>580.02499999999998</v>
      </c>
      <c r="M397">
        <v>530.65099999999995</v>
      </c>
      <c r="N397">
        <v>526.36599999999999</v>
      </c>
      <c r="O397">
        <v>580.02499999999998</v>
      </c>
      <c r="P397">
        <v>0</v>
      </c>
      <c r="Q397">
        <v>0</v>
      </c>
      <c r="R397">
        <v>0</v>
      </c>
      <c r="S397">
        <v>559.01300000000003</v>
      </c>
      <c r="T397">
        <v>545.63800000000003</v>
      </c>
      <c r="U397">
        <v>545.63800000000003</v>
      </c>
      <c r="V397">
        <v>580.02499999999998</v>
      </c>
      <c r="W397">
        <v>30187</v>
      </c>
      <c r="X397">
        <v>551.41999999999996</v>
      </c>
      <c r="Y397">
        <v>580.02499999999998</v>
      </c>
      <c r="Z397">
        <v>10</v>
      </c>
      <c r="AA397">
        <v>19297</v>
      </c>
      <c r="AB397">
        <v>1740.08</v>
      </c>
      <c r="AC397">
        <v>0</v>
      </c>
      <c r="AD397" t="s">
        <v>94</v>
      </c>
      <c r="AE397" t="s">
        <v>94</v>
      </c>
      <c r="AF397" t="s">
        <v>226</v>
      </c>
      <c r="AG397" t="s">
        <v>226</v>
      </c>
      <c r="AH397">
        <v>-100</v>
      </c>
      <c r="AI397" t="s">
        <v>2126</v>
      </c>
      <c r="AJ397" t="s">
        <v>2127</v>
      </c>
      <c r="AK397" t="s">
        <v>2128</v>
      </c>
      <c r="AL397" t="s">
        <v>272</v>
      </c>
    </row>
    <row r="398" spans="1:38">
      <c r="A398" t="s">
        <v>2374</v>
      </c>
      <c r="B398" t="s">
        <v>2375</v>
      </c>
      <c r="C398" t="s">
        <v>2376</v>
      </c>
      <c r="D398" t="s">
        <v>2377</v>
      </c>
      <c r="E398" t="s">
        <v>2378</v>
      </c>
      <c r="F398" t="s">
        <v>2125</v>
      </c>
      <c r="G398">
        <v>1</v>
      </c>
      <c r="H398">
        <v>1</v>
      </c>
      <c r="I398">
        <v>1E-3</v>
      </c>
      <c r="J398">
        <v>950</v>
      </c>
      <c r="K398">
        <v>-2.77</v>
      </c>
      <c r="L398">
        <v>86.95</v>
      </c>
      <c r="M398">
        <v>89.534000000000006</v>
      </c>
      <c r="N398">
        <v>89.893000000000001</v>
      </c>
      <c r="O398">
        <v>86.95</v>
      </c>
      <c r="P398">
        <v>0</v>
      </c>
      <c r="Q398">
        <v>0</v>
      </c>
      <c r="R398">
        <v>0</v>
      </c>
      <c r="S398">
        <v>86.801000000000002</v>
      </c>
      <c r="T398">
        <v>89.402000000000001</v>
      </c>
      <c r="U398">
        <v>84</v>
      </c>
      <c r="V398">
        <v>89.402000000000001</v>
      </c>
      <c r="W398">
        <v>115446</v>
      </c>
      <c r="X398">
        <v>86.950999999999993</v>
      </c>
      <c r="Y398">
        <v>87.03</v>
      </c>
      <c r="Z398">
        <v>62</v>
      </c>
      <c r="AA398">
        <v>11189</v>
      </c>
      <c r="AB398">
        <v>4130.13</v>
      </c>
      <c r="AC398">
        <v>0</v>
      </c>
      <c r="AD398" t="s">
        <v>94</v>
      </c>
      <c r="AE398" t="s">
        <v>94</v>
      </c>
      <c r="AF398" t="s">
        <v>226</v>
      </c>
      <c r="AG398" t="s">
        <v>226</v>
      </c>
      <c r="AH398">
        <v>-100</v>
      </c>
      <c r="AI398" t="s">
        <v>2126</v>
      </c>
      <c r="AJ398" t="s">
        <v>2127</v>
      </c>
      <c r="AK398" t="s">
        <v>2128</v>
      </c>
      <c r="AL398" t="s">
        <v>272</v>
      </c>
    </row>
    <row r="399" spans="1:38">
      <c r="A399" t="s">
        <v>2379</v>
      </c>
      <c r="B399" t="s">
        <v>2380</v>
      </c>
      <c r="C399" t="s">
        <v>2381</v>
      </c>
      <c r="D399" t="s">
        <v>2382</v>
      </c>
      <c r="E399" t="s">
        <v>2383</v>
      </c>
      <c r="F399" t="s">
        <v>2125</v>
      </c>
      <c r="G399">
        <v>1</v>
      </c>
      <c r="H399">
        <v>1</v>
      </c>
      <c r="I399">
        <v>1E-3</v>
      </c>
      <c r="J399">
        <v>1000</v>
      </c>
      <c r="K399">
        <v>-0.05</v>
      </c>
      <c r="L399">
        <v>53.073</v>
      </c>
      <c r="M399">
        <v>53.273000000000003</v>
      </c>
      <c r="N399">
        <v>53.292999999999999</v>
      </c>
      <c r="O399">
        <v>53.054000000000002</v>
      </c>
      <c r="P399">
        <v>0</v>
      </c>
      <c r="Q399">
        <v>0</v>
      </c>
      <c r="R399">
        <v>0</v>
      </c>
      <c r="S399">
        <v>52.875999999999998</v>
      </c>
      <c r="T399">
        <v>53.1</v>
      </c>
      <c r="U399">
        <v>52.65</v>
      </c>
      <c r="V399">
        <v>53.1</v>
      </c>
      <c r="W399">
        <v>540392</v>
      </c>
      <c r="X399">
        <v>53.005000000000003</v>
      </c>
      <c r="Y399">
        <v>53.058</v>
      </c>
      <c r="Z399">
        <v>182</v>
      </c>
      <c r="AA399">
        <v>52299927</v>
      </c>
      <c r="AB399">
        <v>530.73</v>
      </c>
      <c r="AC399">
        <v>0</v>
      </c>
      <c r="AD399" t="s">
        <v>94</v>
      </c>
      <c r="AE399" t="s">
        <v>94</v>
      </c>
      <c r="AF399" t="s">
        <v>226</v>
      </c>
      <c r="AG399" t="s">
        <v>226</v>
      </c>
      <c r="AH399">
        <v>-100</v>
      </c>
      <c r="AI399" t="s">
        <v>2126</v>
      </c>
      <c r="AJ399" t="s">
        <v>2127</v>
      </c>
      <c r="AK399" t="s">
        <v>2128</v>
      </c>
      <c r="AL399" t="s">
        <v>272</v>
      </c>
    </row>
    <row r="400" spans="1:38">
      <c r="A400" t="s">
        <v>2384</v>
      </c>
      <c r="B400" t="s">
        <v>2385</v>
      </c>
      <c r="C400" t="s">
        <v>2386</v>
      </c>
      <c r="D400" t="s">
        <v>2387</v>
      </c>
      <c r="E400" t="s">
        <v>2388</v>
      </c>
      <c r="F400" t="s">
        <v>2125</v>
      </c>
      <c r="G400">
        <v>1</v>
      </c>
      <c r="H400">
        <v>1</v>
      </c>
      <c r="I400">
        <v>1E-3</v>
      </c>
      <c r="J400">
        <v>200</v>
      </c>
      <c r="K400">
        <v>1</v>
      </c>
      <c r="L400">
        <v>92.745999999999995</v>
      </c>
      <c r="M400">
        <v>91.82</v>
      </c>
      <c r="N400">
        <v>91.748000000000005</v>
      </c>
      <c r="O400">
        <v>92.747</v>
      </c>
      <c r="P400">
        <v>0</v>
      </c>
      <c r="Q400">
        <v>0</v>
      </c>
      <c r="R400">
        <v>0</v>
      </c>
      <c r="S400">
        <v>92.608999999999995</v>
      </c>
      <c r="T400">
        <v>91.828999999999994</v>
      </c>
      <c r="U400">
        <v>91.828999999999994</v>
      </c>
      <c r="V400">
        <v>93.24</v>
      </c>
      <c r="W400">
        <v>773473</v>
      </c>
      <c r="X400">
        <v>92.730999999999995</v>
      </c>
      <c r="Y400">
        <v>92.745999999999995</v>
      </c>
      <c r="Z400">
        <v>222</v>
      </c>
      <c r="AA400">
        <v>295000000</v>
      </c>
      <c r="AB400">
        <v>185.49</v>
      </c>
      <c r="AC400">
        <v>0</v>
      </c>
      <c r="AD400" t="s">
        <v>94</v>
      </c>
      <c r="AE400" t="s">
        <v>94</v>
      </c>
      <c r="AF400" t="s">
        <v>226</v>
      </c>
      <c r="AG400" t="s">
        <v>226</v>
      </c>
      <c r="AH400">
        <v>-100</v>
      </c>
      <c r="AI400" t="s">
        <v>2126</v>
      </c>
      <c r="AJ400" t="s">
        <v>2127</v>
      </c>
      <c r="AK400" t="s">
        <v>2128</v>
      </c>
      <c r="AL400" t="s">
        <v>272</v>
      </c>
    </row>
    <row r="401" spans="1:38">
      <c r="A401" t="s">
        <v>2389</v>
      </c>
      <c r="B401" t="s">
        <v>2390</v>
      </c>
      <c r="C401" t="s">
        <v>2391</v>
      </c>
      <c r="D401" t="s">
        <v>2392</v>
      </c>
      <c r="E401" t="s">
        <v>2393</v>
      </c>
      <c r="F401" t="s">
        <v>2125</v>
      </c>
      <c r="G401">
        <v>1</v>
      </c>
      <c r="H401">
        <v>1</v>
      </c>
      <c r="I401">
        <v>1E-3</v>
      </c>
      <c r="J401">
        <v>1549.78</v>
      </c>
      <c r="K401">
        <v>0.13</v>
      </c>
      <c r="L401">
        <v>75.399000000000001</v>
      </c>
      <c r="M401">
        <v>75.239999999999995</v>
      </c>
      <c r="N401">
        <v>75.236000000000004</v>
      </c>
      <c r="O401">
        <v>75.399000000000001</v>
      </c>
      <c r="P401">
        <v>0</v>
      </c>
      <c r="Q401">
        <v>0</v>
      </c>
      <c r="R401">
        <v>0</v>
      </c>
      <c r="S401">
        <v>75.385999999999996</v>
      </c>
      <c r="T401">
        <v>75.200999999999993</v>
      </c>
      <c r="U401">
        <v>74.552999999999997</v>
      </c>
      <c r="V401">
        <v>75.400000000000006</v>
      </c>
      <c r="W401">
        <v>20812529</v>
      </c>
      <c r="X401">
        <v>75.396000000000001</v>
      </c>
      <c r="Y401">
        <v>75.400000000000006</v>
      </c>
      <c r="Z401">
        <v>95</v>
      </c>
      <c r="AA401">
        <v>250000000</v>
      </c>
      <c r="AB401">
        <v>467407.45</v>
      </c>
      <c r="AC401">
        <v>0</v>
      </c>
      <c r="AD401" t="s">
        <v>94</v>
      </c>
      <c r="AE401" t="s">
        <v>94</v>
      </c>
      <c r="AF401" t="s">
        <v>226</v>
      </c>
      <c r="AG401" t="s">
        <v>226</v>
      </c>
      <c r="AH401">
        <v>8</v>
      </c>
      <c r="AI401" t="s">
        <v>2126</v>
      </c>
      <c r="AJ401" t="s">
        <v>2127</v>
      </c>
      <c r="AK401" t="s">
        <v>2128</v>
      </c>
      <c r="AL401" t="s">
        <v>272</v>
      </c>
    </row>
    <row r="402" spans="1:38">
      <c r="A402" t="s">
        <v>2394</v>
      </c>
      <c r="B402" t="s">
        <v>2395</v>
      </c>
      <c r="C402" t="s">
        <v>2396</v>
      </c>
      <c r="D402" t="s">
        <v>2397</v>
      </c>
      <c r="E402" t="s">
        <v>2398</v>
      </c>
      <c r="F402" t="s">
        <v>2125</v>
      </c>
      <c r="G402">
        <v>1</v>
      </c>
      <c r="H402">
        <v>1</v>
      </c>
      <c r="I402">
        <v>1E-3</v>
      </c>
      <c r="J402">
        <v>1409.04</v>
      </c>
      <c r="K402">
        <v>0.15</v>
      </c>
      <c r="L402">
        <v>66.995000000000005</v>
      </c>
      <c r="M402">
        <v>66.855999999999995</v>
      </c>
      <c r="N402">
        <v>66.727999999999994</v>
      </c>
      <c r="O402">
        <v>66.995000000000005</v>
      </c>
      <c r="P402">
        <v>0</v>
      </c>
      <c r="Q402">
        <v>0</v>
      </c>
      <c r="R402">
        <v>0</v>
      </c>
      <c r="S402">
        <v>66.994</v>
      </c>
      <c r="T402">
        <v>67.650000000000006</v>
      </c>
      <c r="U402">
        <v>66.721000000000004</v>
      </c>
      <c r="V402">
        <v>67.650000000000006</v>
      </c>
      <c r="W402">
        <v>7513064</v>
      </c>
      <c r="X402">
        <v>66.837999999999994</v>
      </c>
      <c r="Y402">
        <v>66.995000000000005</v>
      </c>
      <c r="Z402">
        <v>44</v>
      </c>
      <c r="AA402">
        <v>218186911</v>
      </c>
      <c r="AB402">
        <v>943.99</v>
      </c>
      <c r="AC402">
        <v>0</v>
      </c>
      <c r="AD402" t="s">
        <v>94</v>
      </c>
      <c r="AE402" t="s">
        <v>94</v>
      </c>
      <c r="AF402" t="s">
        <v>226</v>
      </c>
      <c r="AG402" t="s">
        <v>226</v>
      </c>
      <c r="AH402">
        <v>8</v>
      </c>
      <c r="AI402" t="s">
        <v>2126</v>
      </c>
      <c r="AJ402" t="s">
        <v>2127</v>
      </c>
      <c r="AK402" t="s">
        <v>2128</v>
      </c>
      <c r="AL402" t="s">
        <v>272</v>
      </c>
    </row>
    <row r="403" spans="1:38">
      <c r="A403" t="s">
        <v>2399</v>
      </c>
      <c r="B403" t="s">
        <v>2400</v>
      </c>
      <c r="C403" t="s">
        <v>2401</v>
      </c>
      <c r="D403" t="s">
        <v>2402</v>
      </c>
      <c r="E403" t="s">
        <v>2403</v>
      </c>
      <c r="F403" t="s">
        <v>2125</v>
      </c>
      <c r="G403">
        <v>1</v>
      </c>
      <c r="H403">
        <v>1</v>
      </c>
      <c r="I403">
        <v>1E-3</v>
      </c>
      <c r="J403">
        <v>1324.68</v>
      </c>
      <c r="K403">
        <v>-0.31</v>
      </c>
      <c r="L403">
        <v>63.3</v>
      </c>
      <c r="M403">
        <v>63.478000000000002</v>
      </c>
      <c r="N403">
        <v>63.152999999999999</v>
      </c>
      <c r="O403">
        <v>63.337000000000003</v>
      </c>
      <c r="P403">
        <v>0</v>
      </c>
      <c r="Q403">
        <v>0</v>
      </c>
      <c r="R403">
        <v>0</v>
      </c>
      <c r="S403">
        <v>63.414999999999999</v>
      </c>
      <c r="T403">
        <v>63.268000000000001</v>
      </c>
      <c r="U403">
        <v>63.268000000000001</v>
      </c>
      <c r="V403">
        <v>63.865000000000002</v>
      </c>
      <c r="W403">
        <v>195732</v>
      </c>
      <c r="X403">
        <v>63.363</v>
      </c>
      <c r="Y403">
        <v>63.63</v>
      </c>
      <c r="Z403">
        <v>29</v>
      </c>
      <c r="AA403">
        <v>250000000</v>
      </c>
      <c r="AB403">
        <v>18447.490000000002</v>
      </c>
      <c r="AC403">
        <v>0</v>
      </c>
      <c r="AD403" t="s">
        <v>94</v>
      </c>
      <c r="AE403" t="s">
        <v>94</v>
      </c>
      <c r="AF403" t="s">
        <v>226</v>
      </c>
      <c r="AG403" t="s">
        <v>226</v>
      </c>
      <c r="AH403">
        <v>8</v>
      </c>
      <c r="AI403" t="s">
        <v>2126</v>
      </c>
      <c r="AJ403" t="s">
        <v>2127</v>
      </c>
      <c r="AK403" t="s">
        <v>2128</v>
      </c>
      <c r="AL403" t="s">
        <v>272</v>
      </c>
    </row>
    <row r="404" spans="1:38">
      <c r="A404" t="s">
        <v>2404</v>
      </c>
      <c r="B404" t="s">
        <v>2405</v>
      </c>
      <c r="C404" t="s">
        <v>2406</v>
      </c>
      <c r="D404" t="s">
        <v>2407</v>
      </c>
      <c r="E404" t="s">
        <v>2408</v>
      </c>
      <c r="F404" t="s">
        <v>2125</v>
      </c>
      <c r="G404">
        <v>1</v>
      </c>
      <c r="H404">
        <v>1</v>
      </c>
      <c r="I404">
        <v>1E-3</v>
      </c>
      <c r="J404">
        <v>1136.42</v>
      </c>
      <c r="K404">
        <v>-0.1</v>
      </c>
      <c r="L404">
        <v>62.74</v>
      </c>
      <c r="M404">
        <v>62.98</v>
      </c>
      <c r="N404">
        <v>62.658999999999999</v>
      </c>
      <c r="O404">
        <v>62.74</v>
      </c>
      <c r="P404">
        <v>0</v>
      </c>
      <c r="Q404">
        <v>0</v>
      </c>
      <c r="R404">
        <v>0</v>
      </c>
      <c r="S404">
        <v>62.843000000000004</v>
      </c>
      <c r="T404">
        <v>62.978999999999999</v>
      </c>
      <c r="U404">
        <v>62.7</v>
      </c>
      <c r="V404">
        <v>63.079000000000001</v>
      </c>
      <c r="W404">
        <v>1190510</v>
      </c>
      <c r="X404">
        <v>62.701999999999998</v>
      </c>
      <c r="Y404">
        <v>62.74</v>
      </c>
      <c r="Z404">
        <v>65</v>
      </c>
      <c r="AA404">
        <v>350000000</v>
      </c>
      <c r="AB404">
        <v>2851.96</v>
      </c>
      <c r="AC404">
        <v>0</v>
      </c>
      <c r="AD404" t="s">
        <v>94</v>
      </c>
      <c r="AE404" t="s">
        <v>94</v>
      </c>
      <c r="AF404" t="s">
        <v>226</v>
      </c>
      <c r="AG404" t="s">
        <v>226</v>
      </c>
      <c r="AH404">
        <v>8</v>
      </c>
      <c r="AI404" t="s">
        <v>2126</v>
      </c>
      <c r="AJ404" t="s">
        <v>2127</v>
      </c>
      <c r="AK404" t="s">
        <v>2128</v>
      </c>
      <c r="AL404" t="s">
        <v>272</v>
      </c>
    </row>
    <row r="405" spans="1:38">
      <c r="A405" t="s">
        <v>2409</v>
      </c>
      <c r="B405" t="s">
        <v>2410</v>
      </c>
      <c r="C405" t="s">
        <v>2411</v>
      </c>
      <c r="D405" t="s">
        <v>2411</v>
      </c>
      <c r="E405" t="s">
        <v>2412</v>
      </c>
      <c r="F405" t="s">
        <v>2413</v>
      </c>
      <c r="G405">
        <v>3</v>
      </c>
      <c r="H405">
        <v>1</v>
      </c>
      <c r="I405">
        <v>1E-4</v>
      </c>
      <c r="J405">
        <v>1000</v>
      </c>
      <c r="K405">
        <v>0.13</v>
      </c>
      <c r="L405">
        <v>99.480099999999993</v>
      </c>
      <c r="M405">
        <v>99.35</v>
      </c>
      <c r="N405">
        <v>99.338099999999997</v>
      </c>
      <c r="O405">
        <v>99.480099999999993</v>
      </c>
      <c r="P405">
        <v>0</v>
      </c>
      <c r="Q405">
        <v>0</v>
      </c>
      <c r="R405">
        <v>0</v>
      </c>
      <c r="S405">
        <v>99.407399999999996</v>
      </c>
      <c r="T405">
        <v>99.409899999999993</v>
      </c>
      <c r="U405">
        <v>99.37</v>
      </c>
      <c r="V405">
        <v>99.480099999999993</v>
      </c>
      <c r="W405">
        <v>151099</v>
      </c>
      <c r="X405">
        <v>99.490099999999998</v>
      </c>
      <c r="Y405">
        <v>99.5</v>
      </c>
      <c r="Z405">
        <v>14</v>
      </c>
      <c r="AA405">
        <v>850000</v>
      </c>
      <c r="AB405">
        <v>994.8</v>
      </c>
      <c r="AC405">
        <v>0</v>
      </c>
      <c r="AD405" t="s">
        <v>1663</v>
      </c>
      <c r="AE405" t="s">
        <v>1663</v>
      </c>
      <c r="AF405" t="s">
        <v>226</v>
      </c>
      <c r="AG405" t="s">
        <v>226</v>
      </c>
      <c r="AH405">
        <v>6</v>
      </c>
      <c r="AI405" t="s">
        <v>2414</v>
      </c>
      <c r="AJ405" t="s">
        <v>2415</v>
      </c>
      <c r="AK405" t="s">
        <v>2416</v>
      </c>
      <c r="AL405" t="s">
        <v>272</v>
      </c>
    </row>
    <row r="406" spans="1:38">
      <c r="A406" t="s">
        <v>2417</v>
      </c>
      <c r="B406" t="s">
        <v>2418</v>
      </c>
      <c r="C406" t="s">
        <v>2419</v>
      </c>
      <c r="D406" t="s">
        <v>2419</v>
      </c>
      <c r="E406" t="s">
        <v>2420</v>
      </c>
      <c r="F406" t="s">
        <v>2413</v>
      </c>
      <c r="G406">
        <v>2</v>
      </c>
      <c r="H406">
        <v>1</v>
      </c>
      <c r="I406">
        <v>1E-4</v>
      </c>
      <c r="J406">
        <v>1000</v>
      </c>
      <c r="K406">
        <v>-7.0000000000000007E-2</v>
      </c>
      <c r="L406">
        <v>96.4298</v>
      </c>
      <c r="M406">
        <v>94.447100000000006</v>
      </c>
      <c r="N406">
        <v>95.298699999999997</v>
      </c>
      <c r="O406">
        <v>94.729799999999997</v>
      </c>
      <c r="P406">
        <v>0</v>
      </c>
      <c r="Q406">
        <v>0</v>
      </c>
      <c r="R406">
        <v>0</v>
      </c>
      <c r="S406">
        <v>94.6999</v>
      </c>
      <c r="T406">
        <v>96.4499</v>
      </c>
      <c r="U406">
        <v>93.880499999999998</v>
      </c>
      <c r="V406">
        <v>96.4499</v>
      </c>
      <c r="W406">
        <v>34417</v>
      </c>
      <c r="X406">
        <v>95.800399999999996</v>
      </c>
      <c r="Y406">
        <v>96.4298</v>
      </c>
      <c r="Z406">
        <v>21</v>
      </c>
      <c r="AA406">
        <v>1500000</v>
      </c>
      <c r="AB406">
        <v>964.3</v>
      </c>
      <c r="AC406">
        <v>0</v>
      </c>
      <c r="AD406" t="s">
        <v>1663</v>
      </c>
      <c r="AE406" t="s">
        <v>1663</v>
      </c>
      <c r="AF406" t="s">
        <v>226</v>
      </c>
      <c r="AG406" t="s">
        <v>226</v>
      </c>
      <c r="AH406">
        <v>6</v>
      </c>
      <c r="AI406" t="s">
        <v>2414</v>
      </c>
      <c r="AJ406" t="s">
        <v>2415</v>
      </c>
      <c r="AK406" t="s">
        <v>2416</v>
      </c>
      <c r="AL406" t="s">
        <v>272</v>
      </c>
    </row>
    <row r="407" spans="1:38">
      <c r="A407" t="s">
        <v>2421</v>
      </c>
      <c r="B407" t="s">
        <v>2422</v>
      </c>
      <c r="C407" t="s">
        <v>2423</v>
      </c>
      <c r="D407" t="s">
        <v>2423</v>
      </c>
      <c r="E407" t="s">
        <v>2424</v>
      </c>
      <c r="F407" t="s">
        <v>2425</v>
      </c>
      <c r="G407">
        <v>3</v>
      </c>
      <c r="H407">
        <v>1</v>
      </c>
      <c r="I407">
        <v>1E-4</v>
      </c>
      <c r="J407">
        <v>1000</v>
      </c>
      <c r="K407">
        <v>0</v>
      </c>
      <c r="L407">
        <v>0</v>
      </c>
      <c r="M407">
        <v>112</v>
      </c>
      <c r="N407">
        <v>0</v>
      </c>
      <c r="O407">
        <v>112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85.000299999999996</v>
      </c>
      <c r="Y407">
        <v>111.9999</v>
      </c>
      <c r="Z407">
        <v>0</v>
      </c>
      <c r="AA407">
        <v>5803</v>
      </c>
      <c r="AB407">
        <v>0</v>
      </c>
      <c r="AC407">
        <v>0</v>
      </c>
      <c r="AD407" t="s">
        <v>1663</v>
      </c>
      <c r="AE407" t="s">
        <v>1663</v>
      </c>
      <c r="AF407" t="s">
        <v>304</v>
      </c>
      <c r="AG407" t="s">
        <v>226</v>
      </c>
      <c r="AH407">
        <v>0</v>
      </c>
      <c r="AI407" t="s">
        <v>2414</v>
      </c>
      <c r="AJ407" t="s">
        <v>2415</v>
      </c>
      <c r="AK407" t="s">
        <v>2426</v>
      </c>
      <c r="AL407" t="s">
        <v>272</v>
      </c>
    </row>
    <row r="408" spans="1:38">
      <c r="A408" t="s">
        <v>2427</v>
      </c>
      <c r="B408" t="s">
        <v>2428</v>
      </c>
      <c r="C408" t="s">
        <v>2429</v>
      </c>
      <c r="D408" t="s">
        <v>2429</v>
      </c>
      <c r="E408" t="s">
        <v>2430</v>
      </c>
      <c r="F408" t="s">
        <v>2413</v>
      </c>
      <c r="G408">
        <v>3</v>
      </c>
      <c r="H408">
        <v>1</v>
      </c>
      <c r="I408">
        <v>1E-4</v>
      </c>
      <c r="J408">
        <v>100</v>
      </c>
      <c r="K408">
        <v>0.01</v>
      </c>
      <c r="L408">
        <v>97</v>
      </c>
      <c r="M408">
        <v>96.131299999999996</v>
      </c>
      <c r="N408">
        <v>94.565899999999999</v>
      </c>
      <c r="O408">
        <v>96.988399999999999</v>
      </c>
      <c r="P408">
        <v>0</v>
      </c>
      <c r="Q408">
        <v>0</v>
      </c>
      <c r="R408">
        <v>0</v>
      </c>
      <c r="S408">
        <v>96.901399999999995</v>
      </c>
      <c r="T408">
        <v>96.989900000000006</v>
      </c>
      <c r="U408">
        <v>96.888800000000003</v>
      </c>
      <c r="V408">
        <v>97.25</v>
      </c>
      <c r="W408">
        <v>12706</v>
      </c>
      <c r="X408">
        <v>92.016400000000004</v>
      </c>
      <c r="Y408">
        <v>97</v>
      </c>
      <c r="Z408">
        <v>12</v>
      </c>
      <c r="AA408">
        <v>368824</v>
      </c>
      <c r="AB408">
        <v>7469</v>
      </c>
      <c r="AC408">
        <v>0</v>
      </c>
      <c r="AD408" t="s">
        <v>1663</v>
      </c>
      <c r="AE408" t="s">
        <v>1663</v>
      </c>
      <c r="AF408" t="s">
        <v>226</v>
      </c>
      <c r="AG408" t="s">
        <v>226</v>
      </c>
      <c r="AH408">
        <v>6</v>
      </c>
      <c r="AI408" t="s">
        <v>2414</v>
      </c>
      <c r="AJ408" t="s">
        <v>2415</v>
      </c>
      <c r="AK408" t="s">
        <v>2416</v>
      </c>
      <c r="AL408" t="s">
        <v>272</v>
      </c>
    </row>
    <row r="409" spans="1:38">
      <c r="A409" t="s">
        <v>2431</v>
      </c>
      <c r="B409" t="s">
        <v>2432</v>
      </c>
      <c r="C409" t="s">
        <v>2433</v>
      </c>
      <c r="D409" t="s">
        <v>2433</v>
      </c>
      <c r="E409" t="s">
        <v>2434</v>
      </c>
      <c r="F409" t="s">
        <v>2413</v>
      </c>
      <c r="G409">
        <v>2</v>
      </c>
      <c r="H409">
        <v>1</v>
      </c>
      <c r="I409">
        <v>1E-4</v>
      </c>
      <c r="J409">
        <v>1000</v>
      </c>
      <c r="K409">
        <v>0.88</v>
      </c>
      <c r="L409">
        <v>92.89</v>
      </c>
      <c r="M409">
        <v>92.078599999999994</v>
      </c>
      <c r="N409">
        <v>93.045100000000005</v>
      </c>
      <c r="O409">
        <v>92.89</v>
      </c>
      <c r="P409">
        <v>0</v>
      </c>
      <c r="Q409">
        <v>0</v>
      </c>
      <c r="R409">
        <v>0</v>
      </c>
      <c r="S409">
        <v>91.875799999999998</v>
      </c>
      <c r="T409">
        <v>94.446899999999999</v>
      </c>
      <c r="U409">
        <v>90.163700000000006</v>
      </c>
      <c r="V409">
        <v>94.446899999999999</v>
      </c>
      <c r="W409">
        <v>12068</v>
      </c>
      <c r="X409">
        <v>92.002300000000005</v>
      </c>
      <c r="Y409">
        <v>92.89</v>
      </c>
      <c r="Z409">
        <v>9</v>
      </c>
      <c r="AA409">
        <v>200000</v>
      </c>
      <c r="AB409">
        <v>3715.6</v>
      </c>
      <c r="AC409">
        <v>0</v>
      </c>
      <c r="AD409" t="s">
        <v>1663</v>
      </c>
      <c r="AE409" t="s">
        <v>1663</v>
      </c>
      <c r="AF409" t="s">
        <v>226</v>
      </c>
      <c r="AG409" t="s">
        <v>226</v>
      </c>
      <c r="AH409">
        <v>6</v>
      </c>
      <c r="AI409" t="s">
        <v>2414</v>
      </c>
      <c r="AJ409" t="s">
        <v>2415</v>
      </c>
      <c r="AK409" t="s">
        <v>2416</v>
      </c>
      <c r="AL409" t="s">
        <v>272</v>
      </c>
    </row>
    <row r="410" spans="1:38">
      <c r="A410" t="s">
        <v>2435</v>
      </c>
      <c r="B410" t="s">
        <v>2436</v>
      </c>
      <c r="C410" t="s">
        <v>2437</v>
      </c>
      <c r="D410" t="s">
        <v>2437</v>
      </c>
      <c r="E410" t="s">
        <v>2438</v>
      </c>
      <c r="F410" t="s">
        <v>2413</v>
      </c>
      <c r="G410">
        <v>3</v>
      </c>
      <c r="H410">
        <v>1</v>
      </c>
      <c r="I410">
        <v>1E-4</v>
      </c>
      <c r="J410">
        <v>1000</v>
      </c>
      <c r="K410">
        <v>-0.82</v>
      </c>
      <c r="L410">
        <v>92.9</v>
      </c>
      <c r="M410">
        <v>92.499600000000001</v>
      </c>
      <c r="N410">
        <v>92.364099999999993</v>
      </c>
      <c r="O410">
        <v>92.9</v>
      </c>
      <c r="P410">
        <v>0</v>
      </c>
      <c r="Q410">
        <v>0</v>
      </c>
      <c r="R410">
        <v>0</v>
      </c>
      <c r="S410">
        <v>92.061300000000003</v>
      </c>
      <c r="T410">
        <v>93.669899999999998</v>
      </c>
      <c r="U410">
        <v>92.600099999999998</v>
      </c>
      <c r="V410">
        <v>93.669899999999998</v>
      </c>
      <c r="W410">
        <v>2432531</v>
      </c>
      <c r="X410">
        <v>92.8001</v>
      </c>
      <c r="Y410">
        <v>92.9</v>
      </c>
      <c r="Z410">
        <v>65</v>
      </c>
      <c r="AA410">
        <v>2000000</v>
      </c>
      <c r="AB410">
        <v>4645</v>
      </c>
      <c r="AC410">
        <v>0</v>
      </c>
      <c r="AD410" t="s">
        <v>1663</v>
      </c>
      <c r="AE410" t="s">
        <v>1663</v>
      </c>
      <c r="AF410" t="s">
        <v>226</v>
      </c>
      <c r="AG410" t="s">
        <v>226</v>
      </c>
      <c r="AH410">
        <v>-100</v>
      </c>
      <c r="AI410" t="s">
        <v>2414</v>
      </c>
      <c r="AJ410" t="s">
        <v>2415</v>
      </c>
      <c r="AK410" t="s">
        <v>2416</v>
      </c>
      <c r="AL410" t="s">
        <v>272</v>
      </c>
    </row>
    <row r="411" spans="1:38">
      <c r="A411" t="s">
        <v>2439</v>
      </c>
      <c r="B411" t="s">
        <v>226</v>
      </c>
      <c r="C411" t="s">
        <v>2440</v>
      </c>
      <c r="D411" t="s">
        <v>2440</v>
      </c>
      <c r="E411" t="s">
        <v>2441</v>
      </c>
      <c r="F411" t="s">
        <v>2425</v>
      </c>
      <c r="G411">
        <v>1</v>
      </c>
      <c r="H411">
        <v>1</v>
      </c>
      <c r="I411">
        <v>1E-4</v>
      </c>
      <c r="J411">
        <v>1000</v>
      </c>
      <c r="K411">
        <v>0</v>
      </c>
      <c r="L411">
        <v>89.100200000000001</v>
      </c>
      <c r="M411">
        <v>89.100200000000001</v>
      </c>
      <c r="N411">
        <v>92.5411</v>
      </c>
      <c r="O411">
        <v>89.100200000000001</v>
      </c>
      <c r="P411">
        <v>0</v>
      </c>
      <c r="Q411">
        <v>0</v>
      </c>
      <c r="R411">
        <v>0</v>
      </c>
      <c r="S411">
        <v>89.100200000000001</v>
      </c>
      <c r="T411">
        <v>89.100200000000001</v>
      </c>
      <c r="U411">
        <v>89.100200000000001</v>
      </c>
      <c r="V411">
        <v>89.100200000000001</v>
      </c>
      <c r="W411">
        <v>891</v>
      </c>
      <c r="X411">
        <v>89.100200000000001</v>
      </c>
      <c r="Y411">
        <v>89.5</v>
      </c>
      <c r="Z411">
        <v>1</v>
      </c>
      <c r="AA411">
        <v>1900000</v>
      </c>
      <c r="AB411">
        <v>891</v>
      </c>
      <c r="AC411">
        <v>0</v>
      </c>
      <c r="AD411" t="s">
        <v>1663</v>
      </c>
      <c r="AE411" t="s">
        <v>1663</v>
      </c>
      <c r="AF411" t="s">
        <v>226</v>
      </c>
      <c r="AG411" t="s">
        <v>226</v>
      </c>
      <c r="AH411">
        <v>-1</v>
      </c>
      <c r="AI411" t="s">
        <v>2414</v>
      </c>
      <c r="AJ411" t="s">
        <v>2415</v>
      </c>
      <c r="AK411" t="s">
        <v>2426</v>
      </c>
      <c r="AL411" t="s">
        <v>272</v>
      </c>
    </row>
    <row r="412" spans="1:38">
      <c r="A412" t="s">
        <v>2442</v>
      </c>
      <c r="B412" t="s">
        <v>2443</v>
      </c>
      <c r="C412" t="s">
        <v>2444</v>
      </c>
      <c r="D412" t="s">
        <v>2444</v>
      </c>
      <c r="E412" t="s">
        <v>2445</v>
      </c>
      <c r="F412" t="s">
        <v>2413</v>
      </c>
      <c r="G412">
        <v>3</v>
      </c>
      <c r="H412">
        <v>1</v>
      </c>
      <c r="I412">
        <v>1E-4</v>
      </c>
      <c r="J412">
        <v>1000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670000</v>
      </c>
      <c r="AB412">
        <v>0</v>
      </c>
      <c r="AC412">
        <v>0</v>
      </c>
      <c r="AD412" t="s">
        <v>1663</v>
      </c>
      <c r="AE412" t="s">
        <v>1663</v>
      </c>
      <c r="AF412" t="s">
        <v>226</v>
      </c>
      <c r="AG412" t="s">
        <v>226</v>
      </c>
      <c r="AH412">
        <v>6</v>
      </c>
      <c r="AI412" t="s">
        <v>2414</v>
      </c>
      <c r="AJ412" t="s">
        <v>2415</v>
      </c>
      <c r="AK412" t="s">
        <v>2416</v>
      </c>
      <c r="AL412" t="s">
        <v>272</v>
      </c>
    </row>
    <row r="413" spans="1:38">
      <c r="A413" t="s">
        <v>2446</v>
      </c>
      <c r="B413" t="s">
        <v>2447</v>
      </c>
      <c r="C413" t="s">
        <v>2448</v>
      </c>
      <c r="D413" t="s">
        <v>2448</v>
      </c>
      <c r="E413" t="s">
        <v>2449</v>
      </c>
      <c r="F413" t="s">
        <v>2413</v>
      </c>
      <c r="G413">
        <v>3</v>
      </c>
      <c r="H413">
        <v>1</v>
      </c>
      <c r="I413">
        <v>1E-4</v>
      </c>
      <c r="J413">
        <v>1000</v>
      </c>
      <c r="K413">
        <v>-0.38</v>
      </c>
      <c r="L413">
        <v>89.655600000000007</v>
      </c>
      <c r="M413">
        <v>90</v>
      </c>
      <c r="N413">
        <v>90.006399999999999</v>
      </c>
      <c r="O413">
        <v>89.655600000000007</v>
      </c>
      <c r="P413">
        <v>0</v>
      </c>
      <c r="Q413">
        <v>0</v>
      </c>
      <c r="R413">
        <v>0</v>
      </c>
      <c r="S413">
        <v>89.086100000000002</v>
      </c>
      <c r="T413">
        <v>89.500399999999999</v>
      </c>
      <c r="U413">
        <v>88.2</v>
      </c>
      <c r="V413">
        <v>91.221999999999994</v>
      </c>
      <c r="W413">
        <v>46479</v>
      </c>
      <c r="X413">
        <v>89.655600000000007</v>
      </c>
      <c r="Y413">
        <v>90.998900000000006</v>
      </c>
      <c r="Z413">
        <v>23</v>
      </c>
      <c r="AA413">
        <v>1100000</v>
      </c>
      <c r="AB413">
        <v>896.56</v>
      </c>
      <c r="AC413">
        <v>0</v>
      </c>
      <c r="AD413" t="s">
        <v>1663</v>
      </c>
      <c r="AE413" t="s">
        <v>1663</v>
      </c>
      <c r="AF413" t="s">
        <v>226</v>
      </c>
      <c r="AG413" t="s">
        <v>226</v>
      </c>
      <c r="AH413">
        <v>6</v>
      </c>
      <c r="AI413" t="s">
        <v>2414</v>
      </c>
      <c r="AJ413" t="s">
        <v>2415</v>
      </c>
      <c r="AK413" t="s">
        <v>2416</v>
      </c>
      <c r="AL413" t="s">
        <v>272</v>
      </c>
    </row>
    <row r="414" spans="1:38">
      <c r="A414" t="s">
        <v>2450</v>
      </c>
      <c r="B414" t="s">
        <v>2451</v>
      </c>
      <c r="C414" t="s">
        <v>2452</v>
      </c>
      <c r="D414" t="s">
        <v>2452</v>
      </c>
      <c r="E414" t="s">
        <v>2453</v>
      </c>
      <c r="F414" t="s">
        <v>2413</v>
      </c>
      <c r="G414">
        <v>3</v>
      </c>
      <c r="H414">
        <v>1</v>
      </c>
      <c r="I414">
        <v>1E-4</v>
      </c>
      <c r="J414">
        <v>1000</v>
      </c>
      <c r="K414">
        <v>-0.74</v>
      </c>
      <c r="L414">
        <v>78.849999999999994</v>
      </c>
      <c r="M414">
        <v>79.4375</v>
      </c>
      <c r="N414">
        <v>78.169499999999999</v>
      </c>
      <c r="O414">
        <v>78.849900000000005</v>
      </c>
      <c r="P414">
        <v>0</v>
      </c>
      <c r="Q414">
        <v>0</v>
      </c>
      <c r="R414">
        <v>0</v>
      </c>
      <c r="S414">
        <v>78.124499999999998</v>
      </c>
      <c r="T414">
        <v>79.349500000000006</v>
      </c>
      <c r="U414">
        <v>77.749899999999997</v>
      </c>
      <c r="V414">
        <v>79.349500000000006</v>
      </c>
      <c r="W414">
        <v>171874</v>
      </c>
      <c r="X414">
        <v>78.849999999999994</v>
      </c>
      <c r="Y414">
        <v>78.887</v>
      </c>
      <c r="Z414">
        <v>40</v>
      </c>
      <c r="AA414">
        <v>1000000</v>
      </c>
      <c r="AB414">
        <v>788.5</v>
      </c>
      <c r="AC414">
        <v>0</v>
      </c>
      <c r="AD414" t="s">
        <v>1663</v>
      </c>
      <c r="AE414" t="s">
        <v>1663</v>
      </c>
      <c r="AF414" t="s">
        <v>226</v>
      </c>
      <c r="AG414" t="s">
        <v>226</v>
      </c>
      <c r="AH414">
        <v>-100</v>
      </c>
      <c r="AI414" t="s">
        <v>2414</v>
      </c>
      <c r="AJ414" t="s">
        <v>2415</v>
      </c>
      <c r="AK414" t="s">
        <v>2416</v>
      </c>
      <c r="AL414" t="s">
        <v>272</v>
      </c>
    </row>
    <row r="415" spans="1:38">
      <c r="A415" t="s">
        <v>2454</v>
      </c>
      <c r="B415" t="s">
        <v>2455</v>
      </c>
      <c r="C415" t="s">
        <v>2456</v>
      </c>
      <c r="D415" t="s">
        <v>2456</v>
      </c>
      <c r="E415" t="s">
        <v>2457</v>
      </c>
      <c r="F415" t="s">
        <v>2413</v>
      </c>
      <c r="G415">
        <v>3</v>
      </c>
      <c r="H415">
        <v>1</v>
      </c>
      <c r="I415">
        <v>1E-4</v>
      </c>
      <c r="J415">
        <v>1000</v>
      </c>
      <c r="K415">
        <v>-1.63</v>
      </c>
      <c r="L415">
        <v>90.203199999999995</v>
      </c>
      <c r="M415">
        <v>91.6999</v>
      </c>
      <c r="N415">
        <v>90.1845</v>
      </c>
      <c r="O415">
        <v>89.315799999999996</v>
      </c>
      <c r="P415">
        <v>0</v>
      </c>
      <c r="Q415">
        <v>0</v>
      </c>
      <c r="R415">
        <v>0</v>
      </c>
      <c r="S415">
        <v>89.978999999999999</v>
      </c>
      <c r="T415">
        <v>91.6999</v>
      </c>
      <c r="U415">
        <v>90.203000000000003</v>
      </c>
      <c r="V415">
        <v>91.6999</v>
      </c>
      <c r="W415">
        <v>9997</v>
      </c>
      <c r="X415">
        <v>90.203199999999995</v>
      </c>
      <c r="Y415">
        <v>91.649900000000002</v>
      </c>
      <c r="Z415">
        <v>7</v>
      </c>
      <c r="AA415">
        <v>1000000</v>
      </c>
      <c r="AB415">
        <v>2706.1</v>
      </c>
      <c r="AC415">
        <v>0</v>
      </c>
      <c r="AD415" t="s">
        <v>1663</v>
      </c>
      <c r="AE415" t="s">
        <v>1663</v>
      </c>
      <c r="AF415" t="s">
        <v>226</v>
      </c>
      <c r="AG415" t="s">
        <v>226</v>
      </c>
      <c r="AH415">
        <v>-100</v>
      </c>
      <c r="AI415" t="s">
        <v>2414</v>
      </c>
      <c r="AJ415" t="s">
        <v>2415</v>
      </c>
      <c r="AK415" t="s">
        <v>2416</v>
      </c>
      <c r="AL415" t="s">
        <v>272</v>
      </c>
    </row>
    <row r="416" spans="1:38">
      <c r="A416" t="s">
        <v>2458</v>
      </c>
      <c r="B416" t="s">
        <v>2459</v>
      </c>
      <c r="C416" t="s">
        <v>2460</v>
      </c>
      <c r="D416" t="s">
        <v>2460</v>
      </c>
      <c r="E416" t="s">
        <v>2461</v>
      </c>
      <c r="F416" t="s">
        <v>2413</v>
      </c>
      <c r="G416">
        <v>3</v>
      </c>
      <c r="H416">
        <v>1</v>
      </c>
      <c r="I416">
        <v>1E-4</v>
      </c>
      <c r="J416">
        <v>1000</v>
      </c>
      <c r="K416">
        <v>3.58</v>
      </c>
      <c r="L416">
        <v>92.5</v>
      </c>
      <c r="M416">
        <v>89.611800000000002</v>
      </c>
      <c r="N416">
        <v>92.577600000000004</v>
      </c>
      <c r="O416">
        <v>90.717699999999994</v>
      </c>
      <c r="P416">
        <v>0</v>
      </c>
      <c r="Q416">
        <v>0</v>
      </c>
      <c r="R416">
        <v>0</v>
      </c>
      <c r="S416">
        <v>92.363299999999995</v>
      </c>
      <c r="T416">
        <v>92.490700000000004</v>
      </c>
      <c r="U416">
        <v>92.489900000000006</v>
      </c>
      <c r="V416">
        <v>92.5</v>
      </c>
      <c r="W416">
        <v>28673</v>
      </c>
      <c r="X416">
        <v>91.202600000000004</v>
      </c>
      <c r="Y416">
        <v>92.45</v>
      </c>
      <c r="Z416">
        <v>8</v>
      </c>
      <c r="AA416">
        <v>1000000</v>
      </c>
      <c r="AB416">
        <v>2775</v>
      </c>
      <c r="AC416">
        <v>0</v>
      </c>
      <c r="AD416" t="s">
        <v>1663</v>
      </c>
      <c r="AE416" t="s">
        <v>1663</v>
      </c>
      <c r="AF416" t="s">
        <v>226</v>
      </c>
      <c r="AG416" t="s">
        <v>226</v>
      </c>
      <c r="AH416">
        <v>-100</v>
      </c>
      <c r="AI416" t="s">
        <v>2414</v>
      </c>
      <c r="AJ416" t="s">
        <v>2415</v>
      </c>
      <c r="AK416" t="s">
        <v>2416</v>
      </c>
      <c r="AL416" t="s">
        <v>272</v>
      </c>
    </row>
    <row r="417" spans="1:38">
      <c r="A417" t="s">
        <v>2462</v>
      </c>
      <c r="B417" t="s">
        <v>2463</v>
      </c>
      <c r="C417" t="s">
        <v>2464</v>
      </c>
      <c r="D417" t="s">
        <v>2464</v>
      </c>
      <c r="E417" t="s">
        <v>2465</v>
      </c>
      <c r="F417" t="s">
        <v>2413</v>
      </c>
      <c r="G417">
        <v>3</v>
      </c>
      <c r="H417">
        <v>1</v>
      </c>
      <c r="I417">
        <v>1E-4</v>
      </c>
      <c r="J417">
        <v>1000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400000</v>
      </c>
      <c r="AB417">
        <v>0</v>
      </c>
      <c r="AC417">
        <v>0</v>
      </c>
      <c r="AD417" t="s">
        <v>1663</v>
      </c>
      <c r="AE417" t="s">
        <v>1663</v>
      </c>
      <c r="AF417" t="s">
        <v>226</v>
      </c>
      <c r="AG417" t="s">
        <v>226</v>
      </c>
      <c r="AH417">
        <v>-100</v>
      </c>
      <c r="AI417" t="s">
        <v>2414</v>
      </c>
      <c r="AJ417" t="s">
        <v>2415</v>
      </c>
      <c r="AK417" t="s">
        <v>2416</v>
      </c>
      <c r="AL417" t="s">
        <v>272</v>
      </c>
    </row>
    <row r="418" spans="1:38">
      <c r="A418" t="s">
        <v>2466</v>
      </c>
      <c r="B418" t="s">
        <v>2467</v>
      </c>
      <c r="C418" t="s">
        <v>2468</v>
      </c>
      <c r="D418" t="s">
        <v>2468</v>
      </c>
      <c r="E418" t="s">
        <v>2469</v>
      </c>
      <c r="F418" t="s">
        <v>2413</v>
      </c>
      <c r="G418">
        <v>2</v>
      </c>
      <c r="H418">
        <v>1</v>
      </c>
      <c r="I418">
        <v>1E-4</v>
      </c>
      <c r="J418">
        <v>1000</v>
      </c>
      <c r="K418">
        <v>0</v>
      </c>
      <c r="L418">
        <v>0</v>
      </c>
      <c r="M418">
        <v>95.583299999999994</v>
      </c>
      <c r="N418">
        <v>96.697900000000004</v>
      </c>
      <c r="O418">
        <v>95.583299999999994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90.231999999999999</v>
      </c>
      <c r="Y418">
        <v>95.5</v>
      </c>
      <c r="Z418">
        <v>0</v>
      </c>
      <c r="AA418">
        <v>4000000</v>
      </c>
      <c r="AB418">
        <v>0</v>
      </c>
      <c r="AC418">
        <v>0</v>
      </c>
      <c r="AD418" t="s">
        <v>1663</v>
      </c>
      <c r="AE418" t="s">
        <v>1663</v>
      </c>
      <c r="AF418" t="s">
        <v>226</v>
      </c>
      <c r="AG418" t="s">
        <v>226</v>
      </c>
      <c r="AH418">
        <v>-100</v>
      </c>
      <c r="AI418" t="s">
        <v>2414</v>
      </c>
      <c r="AJ418" t="s">
        <v>2415</v>
      </c>
      <c r="AK418" t="s">
        <v>2416</v>
      </c>
      <c r="AL418" t="s">
        <v>272</v>
      </c>
    </row>
    <row r="419" spans="1:38">
      <c r="A419" t="s">
        <v>2470</v>
      </c>
      <c r="B419" t="s">
        <v>2471</v>
      </c>
      <c r="C419" t="s">
        <v>2472</v>
      </c>
      <c r="D419" t="s">
        <v>2472</v>
      </c>
      <c r="E419" t="s">
        <v>2473</v>
      </c>
      <c r="F419" t="s">
        <v>2413</v>
      </c>
      <c r="G419">
        <v>2</v>
      </c>
      <c r="H419">
        <v>1</v>
      </c>
      <c r="I419">
        <v>1E-4</v>
      </c>
      <c r="J419">
        <v>1000</v>
      </c>
      <c r="K419">
        <v>0.18</v>
      </c>
      <c r="L419">
        <v>87.5</v>
      </c>
      <c r="M419">
        <v>87.471999999999994</v>
      </c>
      <c r="N419">
        <v>87.872900000000001</v>
      </c>
      <c r="O419">
        <v>87.581800000000001</v>
      </c>
      <c r="P419">
        <v>0</v>
      </c>
      <c r="Q419">
        <v>0</v>
      </c>
      <c r="R419">
        <v>0</v>
      </c>
      <c r="S419">
        <v>87.890900000000002</v>
      </c>
      <c r="T419">
        <v>87.899900000000002</v>
      </c>
      <c r="U419">
        <v>86.601500000000001</v>
      </c>
      <c r="V419">
        <v>88.9</v>
      </c>
      <c r="W419">
        <v>636598</v>
      </c>
      <c r="X419">
        <v>87.500100000000003</v>
      </c>
      <c r="Y419">
        <v>89</v>
      </c>
      <c r="Z419">
        <v>47</v>
      </c>
      <c r="AA419">
        <v>5000000</v>
      </c>
      <c r="AB419">
        <v>7000</v>
      </c>
      <c r="AC419">
        <v>0</v>
      </c>
      <c r="AD419" t="s">
        <v>1663</v>
      </c>
      <c r="AE419" t="s">
        <v>1663</v>
      </c>
      <c r="AF419" t="s">
        <v>304</v>
      </c>
      <c r="AG419" t="s">
        <v>226</v>
      </c>
      <c r="AH419">
        <v>800</v>
      </c>
      <c r="AI419" t="s">
        <v>2414</v>
      </c>
      <c r="AJ419" t="s">
        <v>2415</v>
      </c>
      <c r="AK419" t="s">
        <v>2416</v>
      </c>
      <c r="AL419" t="s">
        <v>272</v>
      </c>
    </row>
    <row r="420" spans="1:38">
      <c r="A420" t="s">
        <v>2474</v>
      </c>
      <c r="B420" t="s">
        <v>2475</v>
      </c>
      <c r="C420" t="s">
        <v>2476</v>
      </c>
      <c r="D420" t="s">
        <v>2476</v>
      </c>
      <c r="E420" t="s">
        <v>2477</v>
      </c>
      <c r="F420" t="s">
        <v>2413</v>
      </c>
      <c r="G420">
        <v>1</v>
      </c>
      <c r="H420">
        <v>1</v>
      </c>
      <c r="I420">
        <v>1E-4</v>
      </c>
      <c r="J420">
        <v>1000</v>
      </c>
      <c r="K420">
        <v>0.95</v>
      </c>
      <c r="L420">
        <v>80</v>
      </c>
      <c r="M420">
        <v>79.1678</v>
      </c>
      <c r="N420">
        <v>78.739099999999993</v>
      </c>
      <c r="O420">
        <v>79.525000000000006</v>
      </c>
      <c r="P420">
        <v>0</v>
      </c>
      <c r="Q420">
        <v>0</v>
      </c>
      <c r="R420">
        <v>0</v>
      </c>
      <c r="S420">
        <v>79.051900000000003</v>
      </c>
      <c r="T420">
        <v>79.3</v>
      </c>
      <c r="U420">
        <v>78.006900000000002</v>
      </c>
      <c r="V420">
        <v>80.5</v>
      </c>
      <c r="W420">
        <v>1899251</v>
      </c>
      <c r="X420">
        <v>79.600099999999998</v>
      </c>
      <c r="Y420">
        <v>80.497699999999995</v>
      </c>
      <c r="Z420">
        <v>126</v>
      </c>
      <c r="AA420">
        <v>4600000</v>
      </c>
      <c r="AB420">
        <v>2400</v>
      </c>
      <c r="AC420">
        <v>0</v>
      </c>
      <c r="AD420" t="s">
        <v>1663</v>
      </c>
      <c r="AE420" t="s">
        <v>1663</v>
      </c>
      <c r="AF420" t="s">
        <v>226</v>
      </c>
      <c r="AG420" t="s">
        <v>226</v>
      </c>
      <c r="AH420">
        <v>-100</v>
      </c>
      <c r="AI420" t="s">
        <v>2414</v>
      </c>
      <c r="AJ420" t="s">
        <v>2415</v>
      </c>
      <c r="AK420" t="s">
        <v>2416</v>
      </c>
      <c r="AL420" t="s">
        <v>272</v>
      </c>
    </row>
    <row r="421" spans="1:38">
      <c r="A421" t="s">
        <v>2478</v>
      </c>
      <c r="B421" t="s">
        <v>2479</v>
      </c>
      <c r="C421" t="s">
        <v>2480</v>
      </c>
      <c r="D421" t="s">
        <v>2480</v>
      </c>
      <c r="E421" t="s">
        <v>2481</v>
      </c>
      <c r="F421" t="s">
        <v>2413</v>
      </c>
      <c r="G421">
        <v>3</v>
      </c>
      <c r="H421">
        <v>1</v>
      </c>
      <c r="I421">
        <v>1E-4</v>
      </c>
      <c r="J421">
        <v>1000</v>
      </c>
      <c r="K421">
        <v>0.21</v>
      </c>
      <c r="L421">
        <v>96.1999</v>
      </c>
      <c r="M421">
        <v>94.841200000000001</v>
      </c>
      <c r="N421">
        <v>95.160399999999996</v>
      </c>
      <c r="O421">
        <v>94.839799999999997</v>
      </c>
      <c r="P421">
        <v>0</v>
      </c>
      <c r="Q421">
        <v>0</v>
      </c>
      <c r="R421">
        <v>0</v>
      </c>
      <c r="S421">
        <v>94.474500000000006</v>
      </c>
      <c r="T421">
        <v>95.999899999999997</v>
      </c>
      <c r="U421">
        <v>94</v>
      </c>
      <c r="V421">
        <v>96.69</v>
      </c>
      <c r="W421">
        <v>248441</v>
      </c>
      <c r="X421">
        <v>95.601299999999995</v>
      </c>
      <c r="Y421">
        <v>96.1999</v>
      </c>
      <c r="Z421">
        <v>80</v>
      </c>
      <c r="AA421">
        <v>6000000</v>
      </c>
      <c r="AB421">
        <v>962</v>
      </c>
      <c r="AC421">
        <v>0</v>
      </c>
      <c r="AD421" t="s">
        <v>1663</v>
      </c>
      <c r="AE421" t="s">
        <v>1663</v>
      </c>
      <c r="AF421" t="s">
        <v>226</v>
      </c>
      <c r="AG421" t="s">
        <v>226</v>
      </c>
      <c r="AH421">
        <v>6</v>
      </c>
      <c r="AI421" t="s">
        <v>2414</v>
      </c>
      <c r="AJ421" t="s">
        <v>2415</v>
      </c>
      <c r="AK421" t="s">
        <v>2416</v>
      </c>
      <c r="AL421" t="s">
        <v>272</v>
      </c>
    </row>
    <row r="422" spans="1:38">
      <c r="A422" t="s">
        <v>2482</v>
      </c>
      <c r="B422" t="s">
        <v>2483</v>
      </c>
      <c r="C422" t="s">
        <v>2484</v>
      </c>
      <c r="D422" t="s">
        <v>2484</v>
      </c>
      <c r="E422" t="s">
        <v>2485</v>
      </c>
      <c r="F422" t="s">
        <v>2413</v>
      </c>
      <c r="G422">
        <v>3</v>
      </c>
      <c r="H422">
        <v>1</v>
      </c>
      <c r="I422">
        <v>1E-4</v>
      </c>
      <c r="J422">
        <v>1000</v>
      </c>
      <c r="K422">
        <v>-0.39</v>
      </c>
      <c r="L422">
        <v>94.121200000000002</v>
      </c>
      <c r="M422">
        <v>94.492500000000007</v>
      </c>
      <c r="N422">
        <v>90.253200000000007</v>
      </c>
      <c r="O422">
        <v>94.121200000000002</v>
      </c>
      <c r="P422">
        <v>0</v>
      </c>
      <c r="Q422">
        <v>0</v>
      </c>
      <c r="R422">
        <v>0</v>
      </c>
      <c r="S422">
        <v>94.121200000000002</v>
      </c>
      <c r="T422">
        <v>94.121200000000002</v>
      </c>
      <c r="U422">
        <v>94.121200000000002</v>
      </c>
      <c r="V422">
        <v>94.121200000000002</v>
      </c>
      <c r="W422">
        <v>941</v>
      </c>
      <c r="X422">
        <v>89.712299999999999</v>
      </c>
      <c r="Y422">
        <v>94.120199999999997</v>
      </c>
      <c r="Z422">
        <v>1</v>
      </c>
      <c r="AA422">
        <v>1000000</v>
      </c>
      <c r="AB422">
        <v>941.21</v>
      </c>
      <c r="AC422">
        <v>0</v>
      </c>
      <c r="AD422" t="s">
        <v>1663</v>
      </c>
      <c r="AE422" t="s">
        <v>1663</v>
      </c>
      <c r="AF422" t="s">
        <v>226</v>
      </c>
      <c r="AG422" t="s">
        <v>226</v>
      </c>
      <c r="AH422">
        <v>6</v>
      </c>
      <c r="AI422" t="s">
        <v>2414</v>
      </c>
      <c r="AJ422" t="s">
        <v>2415</v>
      </c>
      <c r="AK422" t="s">
        <v>2416</v>
      </c>
      <c r="AL422" t="s">
        <v>272</v>
      </c>
    </row>
    <row r="423" spans="1:38">
      <c r="A423" t="s">
        <v>2486</v>
      </c>
      <c r="B423" t="s">
        <v>2487</v>
      </c>
      <c r="C423" t="s">
        <v>2488</v>
      </c>
      <c r="D423" t="s">
        <v>2488</v>
      </c>
      <c r="E423" t="s">
        <v>2489</v>
      </c>
      <c r="F423" t="s">
        <v>2413</v>
      </c>
      <c r="G423">
        <v>3</v>
      </c>
      <c r="H423">
        <v>1</v>
      </c>
      <c r="I423">
        <v>1E-4</v>
      </c>
      <c r="J423">
        <v>1000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60.235799999999998</v>
      </c>
      <c r="Y423">
        <v>0</v>
      </c>
      <c r="Z423">
        <v>0</v>
      </c>
      <c r="AA423">
        <v>3000000</v>
      </c>
      <c r="AB423">
        <v>0</v>
      </c>
      <c r="AC423">
        <v>0</v>
      </c>
      <c r="AD423" t="s">
        <v>1663</v>
      </c>
      <c r="AE423" t="s">
        <v>1663</v>
      </c>
      <c r="AF423" t="s">
        <v>304</v>
      </c>
      <c r="AG423" t="s">
        <v>226</v>
      </c>
      <c r="AH423">
        <v>800</v>
      </c>
      <c r="AI423" t="s">
        <v>2414</v>
      </c>
      <c r="AJ423" t="s">
        <v>2415</v>
      </c>
      <c r="AK423" t="s">
        <v>2416</v>
      </c>
      <c r="AL423" t="s">
        <v>272</v>
      </c>
    </row>
    <row r="424" spans="1:38">
      <c r="A424" t="s">
        <v>2490</v>
      </c>
      <c r="B424" t="s">
        <v>2491</v>
      </c>
      <c r="C424" t="s">
        <v>2492</v>
      </c>
      <c r="D424" t="s">
        <v>2492</v>
      </c>
      <c r="E424" t="s">
        <v>2493</v>
      </c>
      <c r="F424" t="s">
        <v>2413</v>
      </c>
      <c r="G424">
        <v>2</v>
      </c>
      <c r="H424">
        <v>1</v>
      </c>
      <c r="I424">
        <v>1E-4</v>
      </c>
      <c r="J424">
        <v>1000</v>
      </c>
      <c r="K424">
        <v>-0.77</v>
      </c>
      <c r="L424">
        <v>89.3</v>
      </c>
      <c r="M424">
        <v>89.997</v>
      </c>
      <c r="N424">
        <v>89.741799999999998</v>
      </c>
      <c r="O424">
        <v>89.298299999999998</v>
      </c>
      <c r="P424">
        <v>0</v>
      </c>
      <c r="Q424">
        <v>0</v>
      </c>
      <c r="R424">
        <v>0</v>
      </c>
      <c r="S424">
        <v>88.861599999999996</v>
      </c>
      <c r="T424">
        <v>88.602400000000003</v>
      </c>
      <c r="U424">
        <v>88.5</v>
      </c>
      <c r="V424">
        <v>89.3</v>
      </c>
      <c r="W424">
        <v>14218</v>
      </c>
      <c r="X424">
        <v>88.900099999999995</v>
      </c>
      <c r="Y424">
        <v>89.296499999999995</v>
      </c>
      <c r="Z424">
        <v>11</v>
      </c>
      <c r="AA424">
        <v>600000</v>
      </c>
      <c r="AB424">
        <v>893</v>
      </c>
      <c r="AC424">
        <v>0</v>
      </c>
      <c r="AD424" t="s">
        <v>1663</v>
      </c>
      <c r="AE424" t="s">
        <v>1663</v>
      </c>
      <c r="AF424" t="s">
        <v>226</v>
      </c>
      <c r="AG424" t="s">
        <v>226</v>
      </c>
      <c r="AH424">
        <v>6</v>
      </c>
      <c r="AI424" t="s">
        <v>2414</v>
      </c>
      <c r="AJ424" t="s">
        <v>2415</v>
      </c>
      <c r="AK424" t="s">
        <v>2416</v>
      </c>
      <c r="AL424" t="s">
        <v>272</v>
      </c>
    </row>
    <row r="425" spans="1:38">
      <c r="A425" t="s">
        <v>2494</v>
      </c>
      <c r="B425" t="s">
        <v>2495</v>
      </c>
      <c r="C425" t="s">
        <v>2496</v>
      </c>
      <c r="D425" t="s">
        <v>2496</v>
      </c>
      <c r="E425" t="s">
        <v>2497</v>
      </c>
      <c r="F425" t="s">
        <v>2413</v>
      </c>
      <c r="G425">
        <v>2</v>
      </c>
      <c r="H425">
        <v>1</v>
      </c>
      <c r="I425">
        <v>1E-4</v>
      </c>
      <c r="J425">
        <v>1000</v>
      </c>
      <c r="K425">
        <v>0.11</v>
      </c>
      <c r="L425">
        <v>87.999899999999997</v>
      </c>
      <c r="M425">
        <v>87.899699999999996</v>
      </c>
      <c r="N425">
        <v>87.159499999999994</v>
      </c>
      <c r="O425">
        <v>86.729900000000001</v>
      </c>
      <c r="P425">
        <v>0</v>
      </c>
      <c r="Q425">
        <v>0</v>
      </c>
      <c r="R425">
        <v>0</v>
      </c>
      <c r="S425">
        <v>86.186800000000005</v>
      </c>
      <c r="T425">
        <v>90.475700000000003</v>
      </c>
      <c r="U425">
        <v>85</v>
      </c>
      <c r="V425">
        <v>90.475700000000003</v>
      </c>
      <c r="W425">
        <v>409554</v>
      </c>
      <c r="X425">
        <v>87.010499999999993</v>
      </c>
      <c r="Y425">
        <v>87.999899999999997</v>
      </c>
      <c r="Z425">
        <v>52</v>
      </c>
      <c r="AA425">
        <v>1000000</v>
      </c>
      <c r="AB425">
        <v>880</v>
      </c>
      <c r="AC425">
        <v>0</v>
      </c>
      <c r="AD425" t="s">
        <v>1663</v>
      </c>
      <c r="AE425" t="s">
        <v>1663</v>
      </c>
      <c r="AF425" t="s">
        <v>226</v>
      </c>
      <c r="AG425" t="s">
        <v>226</v>
      </c>
      <c r="AH425">
        <v>6</v>
      </c>
      <c r="AI425" t="s">
        <v>2414</v>
      </c>
      <c r="AJ425" t="s">
        <v>2415</v>
      </c>
      <c r="AK425" t="s">
        <v>2416</v>
      </c>
      <c r="AL425" t="s">
        <v>272</v>
      </c>
    </row>
    <row r="426" spans="1:38">
      <c r="A426" t="s">
        <v>2498</v>
      </c>
      <c r="B426" t="s">
        <v>2499</v>
      </c>
      <c r="C426" t="s">
        <v>2500</v>
      </c>
      <c r="D426" t="s">
        <v>2500</v>
      </c>
      <c r="E426" t="s">
        <v>2501</v>
      </c>
      <c r="F426" t="s">
        <v>2413</v>
      </c>
      <c r="G426">
        <v>2</v>
      </c>
      <c r="H426">
        <v>1</v>
      </c>
      <c r="I426">
        <v>1E-4</v>
      </c>
      <c r="J426">
        <v>1000</v>
      </c>
      <c r="K426">
        <v>0</v>
      </c>
      <c r="L426">
        <v>88.499899999999997</v>
      </c>
      <c r="M426">
        <v>88.5</v>
      </c>
      <c r="N426">
        <v>88.221500000000006</v>
      </c>
      <c r="O426">
        <v>88.499899999999997</v>
      </c>
      <c r="P426">
        <v>0</v>
      </c>
      <c r="Q426">
        <v>0</v>
      </c>
      <c r="R426">
        <v>0</v>
      </c>
      <c r="S426">
        <v>88.479600000000005</v>
      </c>
      <c r="T426">
        <v>89.099800000000002</v>
      </c>
      <c r="U426">
        <v>87.302199999999999</v>
      </c>
      <c r="V426">
        <v>89.099800000000002</v>
      </c>
      <c r="W426">
        <v>580120</v>
      </c>
      <c r="X426">
        <v>88.100099999999998</v>
      </c>
      <c r="Y426">
        <v>88.5</v>
      </c>
      <c r="Z426">
        <v>42</v>
      </c>
      <c r="AA426">
        <v>900000</v>
      </c>
      <c r="AB426">
        <v>885</v>
      </c>
      <c r="AC426">
        <v>0</v>
      </c>
      <c r="AD426" t="s">
        <v>1663</v>
      </c>
      <c r="AE426" t="s">
        <v>1663</v>
      </c>
      <c r="AF426" t="s">
        <v>226</v>
      </c>
      <c r="AG426" t="s">
        <v>226</v>
      </c>
      <c r="AH426">
        <v>6</v>
      </c>
      <c r="AI426" t="s">
        <v>2414</v>
      </c>
      <c r="AJ426" t="s">
        <v>2415</v>
      </c>
      <c r="AK426" t="s">
        <v>2416</v>
      </c>
      <c r="AL426" t="s">
        <v>272</v>
      </c>
    </row>
    <row r="427" spans="1:38">
      <c r="A427" t="s">
        <v>2502</v>
      </c>
      <c r="B427" t="s">
        <v>2503</v>
      </c>
      <c r="C427" t="s">
        <v>2504</v>
      </c>
      <c r="D427" t="s">
        <v>2504</v>
      </c>
      <c r="E427" t="s">
        <v>2505</v>
      </c>
      <c r="F427" t="s">
        <v>2413</v>
      </c>
      <c r="G427">
        <v>3</v>
      </c>
      <c r="H427">
        <v>1</v>
      </c>
      <c r="I427">
        <v>1E-4</v>
      </c>
      <c r="J427">
        <v>1000</v>
      </c>
      <c r="K427">
        <v>0.86</v>
      </c>
      <c r="L427">
        <v>95.234200000000001</v>
      </c>
      <c r="M427">
        <v>94.423900000000003</v>
      </c>
      <c r="N427">
        <v>95.134500000000003</v>
      </c>
      <c r="O427">
        <v>93.997200000000007</v>
      </c>
      <c r="P427">
        <v>0</v>
      </c>
      <c r="Q427">
        <v>0</v>
      </c>
      <c r="R427">
        <v>0</v>
      </c>
      <c r="S427">
        <v>94.304400000000001</v>
      </c>
      <c r="T427">
        <v>94.412700000000001</v>
      </c>
      <c r="U427">
        <v>94.022999999999996</v>
      </c>
      <c r="V427">
        <v>95.234200000000001</v>
      </c>
      <c r="W427">
        <v>130346</v>
      </c>
      <c r="X427">
        <v>94.981999999999999</v>
      </c>
      <c r="Y427">
        <v>95.395099999999999</v>
      </c>
      <c r="Z427">
        <v>37</v>
      </c>
      <c r="AA427">
        <v>2000000</v>
      </c>
      <c r="AB427">
        <v>952.34</v>
      </c>
      <c r="AC427">
        <v>0</v>
      </c>
      <c r="AD427" t="s">
        <v>1663</v>
      </c>
      <c r="AE427" t="s">
        <v>1663</v>
      </c>
      <c r="AF427" t="s">
        <v>226</v>
      </c>
      <c r="AG427" t="s">
        <v>226</v>
      </c>
      <c r="AH427">
        <v>6</v>
      </c>
      <c r="AI427" t="s">
        <v>2414</v>
      </c>
      <c r="AJ427" t="s">
        <v>2415</v>
      </c>
      <c r="AK427" t="s">
        <v>2416</v>
      </c>
      <c r="AL427" t="s">
        <v>272</v>
      </c>
    </row>
    <row r="428" spans="1:38">
      <c r="A428" t="s">
        <v>2506</v>
      </c>
      <c r="B428" t="s">
        <v>2507</v>
      </c>
      <c r="C428" t="s">
        <v>2508</v>
      </c>
      <c r="D428" t="s">
        <v>2508</v>
      </c>
      <c r="E428" t="s">
        <v>2509</v>
      </c>
      <c r="F428" t="s">
        <v>2413</v>
      </c>
      <c r="G428">
        <v>3</v>
      </c>
      <c r="H428">
        <v>1</v>
      </c>
      <c r="I428">
        <v>1E-4</v>
      </c>
      <c r="J428">
        <v>1000</v>
      </c>
      <c r="K428">
        <v>0.54</v>
      </c>
      <c r="L428">
        <v>94.999899999999997</v>
      </c>
      <c r="M428">
        <v>94.489900000000006</v>
      </c>
      <c r="N428">
        <v>94.510599999999997</v>
      </c>
      <c r="O428">
        <v>94.999899999999997</v>
      </c>
      <c r="P428">
        <v>0</v>
      </c>
      <c r="Q428">
        <v>0</v>
      </c>
      <c r="R428">
        <v>0</v>
      </c>
      <c r="S428">
        <v>94.286500000000004</v>
      </c>
      <c r="T428">
        <v>94.993499999999997</v>
      </c>
      <c r="U428">
        <v>93.003100000000003</v>
      </c>
      <c r="V428">
        <v>94.999899999999997</v>
      </c>
      <c r="W428">
        <v>252717</v>
      </c>
      <c r="X428">
        <v>94.226399999999998</v>
      </c>
      <c r="Y428">
        <v>94.999899999999997</v>
      </c>
      <c r="Z428">
        <v>75</v>
      </c>
      <c r="AA428">
        <v>2000000</v>
      </c>
      <c r="AB428">
        <v>3800</v>
      </c>
      <c r="AC428">
        <v>0</v>
      </c>
      <c r="AD428" t="s">
        <v>1663</v>
      </c>
      <c r="AE428" t="s">
        <v>1663</v>
      </c>
      <c r="AF428" t="s">
        <v>226</v>
      </c>
      <c r="AG428" t="s">
        <v>226</v>
      </c>
      <c r="AH428">
        <v>6</v>
      </c>
      <c r="AI428" t="s">
        <v>2414</v>
      </c>
      <c r="AJ428" t="s">
        <v>2415</v>
      </c>
      <c r="AK428" t="s">
        <v>2416</v>
      </c>
      <c r="AL428" t="s">
        <v>272</v>
      </c>
    </row>
    <row r="429" spans="1:38">
      <c r="A429" t="s">
        <v>2510</v>
      </c>
      <c r="B429" t="s">
        <v>2511</v>
      </c>
      <c r="C429" t="s">
        <v>2512</v>
      </c>
      <c r="D429" t="s">
        <v>2512</v>
      </c>
      <c r="E429" t="s">
        <v>2513</v>
      </c>
      <c r="F429" t="s">
        <v>2413</v>
      </c>
      <c r="G429">
        <v>3</v>
      </c>
      <c r="H429">
        <v>1</v>
      </c>
      <c r="I429">
        <v>1E-4</v>
      </c>
      <c r="J429">
        <v>1000</v>
      </c>
      <c r="K429">
        <v>0.27</v>
      </c>
      <c r="L429">
        <v>97.963999999999999</v>
      </c>
      <c r="M429">
        <v>97.387600000000006</v>
      </c>
      <c r="N429">
        <v>97.992999999999995</v>
      </c>
      <c r="O429">
        <v>97.963999999999999</v>
      </c>
      <c r="P429">
        <v>0</v>
      </c>
      <c r="Q429">
        <v>0</v>
      </c>
      <c r="R429">
        <v>0</v>
      </c>
      <c r="S429">
        <v>97.289100000000005</v>
      </c>
      <c r="T429">
        <v>97.700299999999999</v>
      </c>
      <c r="U429">
        <v>97.02</v>
      </c>
      <c r="V429">
        <v>97.989400000000003</v>
      </c>
      <c r="W429">
        <v>103263</v>
      </c>
      <c r="X429">
        <v>97.500100000000003</v>
      </c>
      <c r="Y429">
        <v>97.95</v>
      </c>
      <c r="Z429">
        <v>51</v>
      </c>
      <c r="AA429">
        <v>15000000</v>
      </c>
      <c r="AB429">
        <v>979.64</v>
      </c>
      <c r="AC429">
        <v>0</v>
      </c>
      <c r="AD429" t="s">
        <v>1663</v>
      </c>
      <c r="AE429" t="s">
        <v>1663</v>
      </c>
      <c r="AF429" t="s">
        <v>226</v>
      </c>
      <c r="AG429" t="s">
        <v>226</v>
      </c>
      <c r="AH429">
        <v>-100</v>
      </c>
      <c r="AI429" t="s">
        <v>2414</v>
      </c>
      <c r="AJ429" t="s">
        <v>2415</v>
      </c>
      <c r="AK429" t="s">
        <v>2416</v>
      </c>
      <c r="AL429" t="s">
        <v>272</v>
      </c>
    </row>
    <row r="430" spans="1:38">
      <c r="A430" t="s">
        <v>2514</v>
      </c>
      <c r="B430" t="s">
        <v>2515</v>
      </c>
      <c r="C430" t="s">
        <v>2516</v>
      </c>
      <c r="D430" t="s">
        <v>2516</v>
      </c>
      <c r="E430" t="s">
        <v>2517</v>
      </c>
      <c r="F430" t="s">
        <v>2413</v>
      </c>
      <c r="G430">
        <v>3</v>
      </c>
      <c r="H430">
        <v>1</v>
      </c>
      <c r="I430">
        <v>1E-4</v>
      </c>
      <c r="J430">
        <v>1000</v>
      </c>
      <c r="K430">
        <v>0</v>
      </c>
      <c r="L430">
        <v>0</v>
      </c>
      <c r="M430">
        <v>98.5</v>
      </c>
      <c r="N430">
        <v>99.862099999999998</v>
      </c>
      <c r="O430">
        <v>98.5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98.303899999999999</v>
      </c>
      <c r="Y430">
        <v>99.899900000000002</v>
      </c>
      <c r="Z430">
        <v>0</v>
      </c>
      <c r="AA430">
        <v>15000000</v>
      </c>
      <c r="AB430">
        <v>0</v>
      </c>
      <c r="AC430">
        <v>0</v>
      </c>
      <c r="AD430" t="s">
        <v>1663</v>
      </c>
      <c r="AE430" t="s">
        <v>1663</v>
      </c>
      <c r="AF430" t="s">
        <v>226</v>
      </c>
      <c r="AG430" t="s">
        <v>226</v>
      </c>
      <c r="AH430">
        <v>-100</v>
      </c>
      <c r="AI430" t="s">
        <v>2414</v>
      </c>
      <c r="AJ430" t="s">
        <v>2415</v>
      </c>
      <c r="AK430" t="s">
        <v>2416</v>
      </c>
      <c r="AL430" t="s">
        <v>272</v>
      </c>
    </row>
    <row r="431" spans="1:38">
      <c r="A431" t="s">
        <v>2518</v>
      </c>
      <c r="B431" t="s">
        <v>2519</v>
      </c>
      <c r="C431" t="s">
        <v>2520</v>
      </c>
      <c r="D431" t="s">
        <v>2520</v>
      </c>
      <c r="E431" t="s">
        <v>2521</v>
      </c>
      <c r="F431" t="s">
        <v>2413</v>
      </c>
      <c r="G431">
        <v>3</v>
      </c>
      <c r="H431">
        <v>1</v>
      </c>
      <c r="I431">
        <v>1E-4</v>
      </c>
      <c r="J431">
        <v>1000</v>
      </c>
      <c r="K431">
        <v>0</v>
      </c>
      <c r="L431">
        <v>0</v>
      </c>
      <c r="M431">
        <v>100.01</v>
      </c>
      <c r="N431">
        <v>0</v>
      </c>
      <c r="O431">
        <v>100.01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20000000</v>
      </c>
      <c r="AB431">
        <v>0</v>
      </c>
      <c r="AC431">
        <v>0</v>
      </c>
      <c r="AD431" t="s">
        <v>1663</v>
      </c>
      <c r="AE431" t="s">
        <v>1663</v>
      </c>
      <c r="AF431" t="s">
        <v>226</v>
      </c>
      <c r="AG431" t="s">
        <v>226</v>
      </c>
      <c r="AH431">
        <v>-100</v>
      </c>
      <c r="AI431" t="s">
        <v>2414</v>
      </c>
      <c r="AJ431" t="s">
        <v>2415</v>
      </c>
      <c r="AK431" t="s">
        <v>2416</v>
      </c>
      <c r="AL431" t="s">
        <v>272</v>
      </c>
    </row>
    <row r="432" spans="1:38">
      <c r="A432" t="s">
        <v>2522</v>
      </c>
      <c r="B432" t="s">
        <v>2523</v>
      </c>
      <c r="C432" t="s">
        <v>2524</v>
      </c>
      <c r="D432" t="s">
        <v>2524</v>
      </c>
      <c r="E432" t="s">
        <v>2525</v>
      </c>
      <c r="F432" t="s">
        <v>2413</v>
      </c>
      <c r="G432">
        <v>3</v>
      </c>
      <c r="H432">
        <v>1</v>
      </c>
      <c r="I432">
        <v>1E-4</v>
      </c>
      <c r="J432">
        <v>1000</v>
      </c>
      <c r="K432">
        <v>0</v>
      </c>
      <c r="L432">
        <v>0</v>
      </c>
      <c r="M432">
        <v>100</v>
      </c>
      <c r="N432">
        <v>100</v>
      </c>
      <c r="O432">
        <v>100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93.167500000000004</v>
      </c>
      <c r="Y432">
        <v>0</v>
      </c>
      <c r="Z432">
        <v>0</v>
      </c>
      <c r="AA432">
        <v>15000000</v>
      </c>
      <c r="AB432">
        <v>0</v>
      </c>
      <c r="AC432">
        <v>0</v>
      </c>
      <c r="AD432" t="s">
        <v>1663</v>
      </c>
      <c r="AE432" t="s">
        <v>1663</v>
      </c>
      <c r="AF432" t="s">
        <v>226</v>
      </c>
      <c r="AG432" t="s">
        <v>226</v>
      </c>
      <c r="AH432">
        <v>-100</v>
      </c>
      <c r="AI432" t="s">
        <v>2414</v>
      </c>
      <c r="AJ432" t="s">
        <v>2415</v>
      </c>
      <c r="AK432" t="s">
        <v>2416</v>
      </c>
      <c r="AL432" t="s">
        <v>272</v>
      </c>
    </row>
    <row r="433" spans="1:38">
      <c r="A433" t="s">
        <v>2526</v>
      </c>
      <c r="B433" t="s">
        <v>2527</v>
      </c>
      <c r="C433" t="s">
        <v>2528</v>
      </c>
      <c r="D433" t="s">
        <v>2528</v>
      </c>
      <c r="E433" t="s">
        <v>2529</v>
      </c>
      <c r="F433" t="s">
        <v>2413</v>
      </c>
      <c r="G433">
        <v>3</v>
      </c>
      <c r="H433">
        <v>1</v>
      </c>
      <c r="I433">
        <v>1E-4</v>
      </c>
      <c r="J433">
        <v>1000</v>
      </c>
      <c r="K433">
        <v>0.67</v>
      </c>
      <c r="L433">
        <v>90.099500000000006</v>
      </c>
      <c r="M433">
        <v>88.71</v>
      </c>
      <c r="N433">
        <v>89.445499999999996</v>
      </c>
      <c r="O433">
        <v>90.099500000000006</v>
      </c>
      <c r="P433">
        <v>0</v>
      </c>
      <c r="Q433">
        <v>0</v>
      </c>
      <c r="R433">
        <v>0</v>
      </c>
      <c r="S433">
        <v>89.148700000000005</v>
      </c>
      <c r="T433">
        <v>89.499799999999993</v>
      </c>
      <c r="U433">
        <v>89.4</v>
      </c>
      <c r="V433">
        <v>90.1</v>
      </c>
      <c r="W433">
        <v>143285</v>
      </c>
      <c r="X433">
        <v>89.8</v>
      </c>
      <c r="Y433">
        <v>90.497299999999996</v>
      </c>
      <c r="Z433">
        <v>24</v>
      </c>
      <c r="AA433">
        <v>2600000</v>
      </c>
      <c r="AB433">
        <v>901</v>
      </c>
      <c r="AC433">
        <v>0</v>
      </c>
      <c r="AD433" t="s">
        <v>1663</v>
      </c>
      <c r="AE433" t="s">
        <v>1663</v>
      </c>
      <c r="AF433" t="s">
        <v>226</v>
      </c>
      <c r="AG433" t="s">
        <v>226</v>
      </c>
      <c r="AH433">
        <v>-100</v>
      </c>
      <c r="AI433" t="s">
        <v>2414</v>
      </c>
      <c r="AJ433" t="s">
        <v>2415</v>
      </c>
      <c r="AK433" t="s">
        <v>2416</v>
      </c>
      <c r="AL433" t="s">
        <v>272</v>
      </c>
    </row>
    <row r="434" spans="1:38">
      <c r="A434" t="s">
        <v>2530</v>
      </c>
      <c r="B434" t="s">
        <v>2531</v>
      </c>
      <c r="C434" t="s">
        <v>2532</v>
      </c>
      <c r="D434" t="s">
        <v>2532</v>
      </c>
      <c r="E434" t="s">
        <v>2533</v>
      </c>
      <c r="F434" t="s">
        <v>2413</v>
      </c>
      <c r="G434">
        <v>3</v>
      </c>
      <c r="H434">
        <v>1</v>
      </c>
      <c r="I434">
        <v>1E-4</v>
      </c>
      <c r="J434">
        <v>1000</v>
      </c>
      <c r="K434">
        <v>3.48</v>
      </c>
      <c r="L434">
        <v>72.899900000000002</v>
      </c>
      <c r="M434">
        <v>70.025000000000006</v>
      </c>
      <c r="N434">
        <v>70.268600000000006</v>
      </c>
      <c r="O434">
        <v>71.971000000000004</v>
      </c>
      <c r="P434">
        <v>0</v>
      </c>
      <c r="Q434">
        <v>0</v>
      </c>
      <c r="R434">
        <v>0</v>
      </c>
      <c r="S434">
        <v>69.944199999999995</v>
      </c>
      <c r="T434">
        <v>69.600200000000001</v>
      </c>
      <c r="U434">
        <v>69.600200000000001</v>
      </c>
      <c r="V434">
        <v>72.899900000000002</v>
      </c>
      <c r="W434">
        <v>71951</v>
      </c>
      <c r="X434">
        <v>72.000100000000003</v>
      </c>
      <c r="Y434">
        <v>72.899000000000001</v>
      </c>
      <c r="Z434">
        <v>65</v>
      </c>
      <c r="AA434">
        <v>500000</v>
      </c>
      <c r="AB434">
        <v>729</v>
      </c>
      <c r="AC434">
        <v>0</v>
      </c>
      <c r="AD434" t="s">
        <v>1663</v>
      </c>
      <c r="AE434" t="s">
        <v>1663</v>
      </c>
      <c r="AF434" t="s">
        <v>226</v>
      </c>
      <c r="AG434" t="s">
        <v>226</v>
      </c>
      <c r="AH434">
        <v>6</v>
      </c>
      <c r="AI434" t="s">
        <v>2414</v>
      </c>
      <c r="AJ434" t="s">
        <v>2415</v>
      </c>
      <c r="AK434" t="s">
        <v>2416</v>
      </c>
      <c r="AL434" t="s">
        <v>272</v>
      </c>
    </row>
    <row r="435" spans="1:38">
      <c r="A435" t="s">
        <v>2534</v>
      </c>
      <c r="B435" t="s">
        <v>2535</v>
      </c>
      <c r="C435" t="s">
        <v>2536</v>
      </c>
      <c r="D435" t="s">
        <v>2536</v>
      </c>
      <c r="E435" t="s">
        <v>2537</v>
      </c>
      <c r="F435" t="s">
        <v>2413</v>
      </c>
      <c r="G435">
        <v>3</v>
      </c>
      <c r="H435">
        <v>1</v>
      </c>
      <c r="I435">
        <v>1E-4</v>
      </c>
      <c r="J435">
        <v>1000</v>
      </c>
      <c r="K435">
        <v>0.5</v>
      </c>
      <c r="L435">
        <v>92.963899999999995</v>
      </c>
      <c r="M435">
        <v>92.159899999999993</v>
      </c>
      <c r="N435">
        <v>91.838800000000006</v>
      </c>
      <c r="O435">
        <v>92.963899999999995</v>
      </c>
      <c r="P435">
        <v>0</v>
      </c>
      <c r="Q435">
        <v>0</v>
      </c>
      <c r="R435">
        <v>0</v>
      </c>
      <c r="S435">
        <v>92.613100000000003</v>
      </c>
      <c r="T435">
        <v>93.593900000000005</v>
      </c>
      <c r="U435">
        <v>91.8</v>
      </c>
      <c r="V435">
        <v>93.593900000000005</v>
      </c>
      <c r="W435">
        <v>223198</v>
      </c>
      <c r="X435">
        <v>92.963899999999995</v>
      </c>
      <c r="Y435">
        <v>92.968999999999994</v>
      </c>
      <c r="Z435">
        <v>37</v>
      </c>
      <c r="AA435">
        <v>160944</v>
      </c>
      <c r="AB435">
        <v>929.64</v>
      </c>
      <c r="AC435">
        <v>0</v>
      </c>
      <c r="AD435" t="s">
        <v>1663</v>
      </c>
      <c r="AE435" t="s">
        <v>1663</v>
      </c>
      <c r="AF435" t="s">
        <v>226</v>
      </c>
      <c r="AG435" t="s">
        <v>226</v>
      </c>
      <c r="AH435">
        <v>6</v>
      </c>
      <c r="AI435" t="s">
        <v>2414</v>
      </c>
      <c r="AJ435" t="s">
        <v>2415</v>
      </c>
      <c r="AK435" t="s">
        <v>2416</v>
      </c>
      <c r="AL435" t="s">
        <v>272</v>
      </c>
    </row>
    <row r="436" spans="1:38">
      <c r="A436" t="s">
        <v>2538</v>
      </c>
      <c r="B436" t="s">
        <v>2539</v>
      </c>
      <c r="C436" t="s">
        <v>2540</v>
      </c>
      <c r="D436" t="s">
        <v>2540</v>
      </c>
      <c r="E436" t="s">
        <v>2541</v>
      </c>
      <c r="F436" t="s">
        <v>2413</v>
      </c>
      <c r="G436">
        <v>2</v>
      </c>
      <c r="H436">
        <v>1</v>
      </c>
      <c r="I436">
        <v>1E-4</v>
      </c>
      <c r="J436">
        <v>1000</v>
      </c>
      <c r="K436">
        <v>-0.49</v>
      </c>
      <c r="L436">
        <v>90.5</v>
      </c>
      <c r="M436">
        <v>90.9666</v>
      </c>
      <c r="N436">
        <v>90.885000000000005</v>
      </c>
      <c r="O436">
        <v>90.5</v>
      </c>
      <c r="P436">
        <v>0</v>
      </c>
      <c r="Q436">
        <v>0</v>
      </c>
      <c r="R436">
        <v>0</v>
      </c>
      <c r="S436">
        <v>90.462199999999996</v>
      </c>
      <c r="T436">
        <v>90.989800000000002</v>
      </c>
      <c r="U436">
        <v>90.000100000000003</v>
      </c>
      <c r="V436">
        <v>90.989900000000006</v>
      </c>
      <c r="W436">
        <v>83252</v>
      </c>
      <c r="X436">
        <v>90.21</v>
      </c>
      <c r="Y436">
        <v>90.4</v>
      </c>
      <c r="Z436">
        <v>28</v>
      </c>
      <c r="AA436">
        <v>350000</v>
      </c>
      <c r="AB436">
        <v>4525</v>
      </c>
      <c r="AC436">
        <v>0</v>
      </c>
      <c r="AD436" t="s">
        <v>1663</v>
      </c>
      <c r="AE436" t="s">
        <v>1663</v>
      </c>
      <c r="AF436" t="s">
        <v>226</v>
      </c>
      <c r="AG436" t="s">
        <v>226</v>
      </c>
      <c r="AH436">
        <v>6</v>
      </c>
      <c r="AI436" t="s">
        <v>2414</v>
      </c>
      <c r="AJ436" t="s">
        <v>2415</v>
      </c>
      <c r="AK436" t="s">
        <v>2416</v>
      </c>
      <c r="AL436" t="s">
        <v>272</v>
      </c>
    </row>
    <row r="437" spans="1:38">
      <c r="A437" t="s">
        <v>2542</v>
      </c>
      <c r="B437" t="s">
        <v>2543</v>
      </c>
      <c r="C437" t="s">
        <v>2544</v>
      </c>
      <c r="D437" t="s">
        <v>2544</v>
      </c>
      <c r="E437" t="s">
        <v>2545</v>
      </c>
      <c r="F437" t="s">
        <v>2413</v>
      </c>
      <c r="G437">
        <v>1</v>
      </c>
      <c r="H437">
        <v>1</v>
      </c>
      <c r="I437">
        <v>1E-4</v>
      </c>
      <c r="J437">
        <v>1000</v>
      </c>
      <c r="K437">
        <v>0</v>
      </c>
      <c r="L437">
        <v>90.999499999999998</v>
      </c>
      <c r="M437">
        <v>91</v>
      </c>
      <c r="N437">
        <v>90.519800000000004</v>
      </c>
      <c r="O437">
        <v>90.999499999999998</v>
      </c>
      <c r="P437">
        <v>0</v>
      </c>
      <c r="Q437">
        <v>0</v>
      </c>
      <c r="R437">
        <v>0</v>
      </c>
      <c r="S437">
        <v>91.000299999999996</v>
      </c>
      <c r="T437">
        <v>91</v>
      </c>
      <c r="U437">
        <v>90.999499999999998</v>
      </c>
      <c r="V437">
        <v>91.002099999999999</v>
      </c>
      <c r="W437">
        <v>10920</v>
      </c>
      <c r="X437">
        <v>89.122900000000001</v>
      </c>
      <c r="Y437">
        <v>90.999499999999998</v>
      </c>
      <c r="Z437">
        <v>7</v>
      </c>
      <c r="AA437">
        <v>2000000</v>
      </c>
      <c r="AB437">
        <v>910</v>
      </c>
      <c r="AC437">
        <v>0</v>
      </c>
      <c r="AD437" t="s">
        <v>1663</v>
      </c>
      <c r="AE437" t="s">
        <v>1663</v>
      </c>
      <c r="AF437" t="s">
        <v>304</v>
      </c>
      <c r="AG437" t="s">
        <v>226</v>
      </c>
      <c r="AH437">
        <v>800</v>
      </c>
      <c r="AI437" t="s">
        <v>2414</v>
      </c>
      <c r="AJ437" t="s">
        <v>2415</v>
      </c>
      <c r="AK437" t="s">
        <v>2416</v>
      </c>
      <c r="AL437" t="s">
        <v>272</v>
      </c>
    </row>
    <row r="438" spans="1:38">
      <c r="A438" t="s">
        <v>2546</v>
      </c>
      <c r="B438" t="s">
        <v>2547</v>
      </c>
      <c r="C438" t="s">
        <v>2548</v>
      </c>
      <c r="D438" t="s">
        <v>2548</v>
      </c>
      <c r="E438" t="s">
        <v>2549</v>
      </c>
      <c r="F438" t="s">
        <v>2413</v>
      </c>
      <c r="G438">
        <v>2</v>
      </c>
      <c r="H438">
        <v>1</v>
      </c>
      <c r="I438">
        <v>1E-4</v>
      </c>
      <c r="J438">
        <v>1000</v>
      </c>
      <c r="K438">
        <v>0.36</v>
      </c>
      <c r="L438">
        <v>97.588300000000004</v>
      </c>
      <c r="M438">
        <v>97.17</v>
      </c>
      <c r="N438">
        <v>97.23</v>
      </c>
      <c r="O438">
        <v>95.43</v>
      </c>
      <c r="P438">
        <v>0</v>
      </c>
      <c r="Q438">
        <v>0</v>
      </c>
      <c r="R438">
        <v>0</v>
      </c>
      <c r="S438">
        <v>97.049400000000006</v>
      </c>
      <c r="T438">
        <v>97.482799999999997</v>
      </c>
      <c r="U438">
        <v>96.870199999999997</v>
      </c>
      <c r="V438">
        <v>97.69</v>
      </c>
      <c r="W438">
        <v>162432</v>
      </c>
      <c r="X438">
        <v>97.4</v>
      </c>
      <c r="Y438">
        <v>97.587900000000005</v>
      </c>
      <c r="Z438">
        <v>61</v>
      </c>
      <c r="AA438">
        <v>600000</v>
      </c>
      <c r="AB438">
        <v>975.88</v>
      </c>
      <c r="AC438">
        <v>0</v>
      </c>
      <c r="AD438" t="s">
        <v>1663</v>
      </c>
      <c r="AE438" t="s">
        <v>1663</v>
      </c>
      <c r="AF438" t="s">
        <v>226</v>
      </c>
      <c r="AG438" t="s">
        <v>226</v>
      </c>
      <c r="AH438">
        <v>6</v>
      </c>
      <c r="AI438" t="s">
        <v>2414</v>
      </c>
      <c r="AJ438" t="s">
        <v>2415</v>
      </c>
      <c r="AK438" t="s">
        <v>2416</v>
      </c>
      <c r="AL438" t="s">
        <v>272</v>
      </c>
    </row>
    <row r="439" spans="1:38">
      <c r="A439" t="s">
        <v>2550</v>
      </c>
      <c r="B439" t="s">
        <v>2551</v>
      </c>
      <c r="C439" t="s">
        <v>2552</v>
      </c>
      <c r="D439" t="s">
        <v>2552</v>
      </c>
      <c r="E439" t="s">
        <v>2553</v>
      </c>
      <c r="F439" t="s">
        <v>2125</v>
      </c>
      <c r="G439">
        <v>1</v>
      </c>
      <c r="H439">
        <v>1</v>
      </c>
      <c r="I439">
        <v>1E-4</v>
      </c>
      <c r="J439">
        <v>100000</v>
      </c>
      <c r="K439">
        <v>0</v>
      </c>
      <c r="L439">
        <v>0</v>
      </c>
      <c r="M439">
        <v>96.5</v>
      </c>
      <c r="N439">
        <v>92.469200000000001</v>
      </c>
      <c r="O439">
        <v>96.5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17500</v>
      </c>
      <c r="AB439">
        <v>0</v>
      </c>
      <c r="AC439">
        <v>0</v>
      </c>
      <c r="AD439" t="s">
        <v>4</v>
      </c>
      <c r="AE439" t="s">
        <v>4</v>
      </c>
      <c r="AF439" t="s">
        <v>226</v>
      </c>
      <c r="AG439" t="s">
        <v>226</v>
      </c>
      <c r="AH439">
        <v>-100</v>
      </c>
      <c r="AI439" t="s">
        <v>2554</v>
      </c>
      <c r="AJ439" t="s">
        <v>2555</v>
      </c>
      <c r="AK439" t="s">
        <v>2556</v>
      </c>
      <c r="AL439" t="s">
        <v>272</v>
      </c>
    </row>
    <row r="440" spans="1:38">
      <c r="A440" t="s">
        <v>2557</v>
      </c>
      <c r="B440" t="s">
        <v>2558</v>
      </c>
      <c r="C440" t="s">
        <v>2559</v>
      </c>
      <c r="D440" t="s">
        <v>2559</v>
      </c>
      <c r="E440" t="s">
        <v>2560</v>
      </c>
      <c r="F440" t="s">
        <v>2125</v>
      </c>
      <c r="G440">
        <v>1</v>
      </c>
      <c r="H440">
        <v>1</v>
      </c>
      <c r="I440">
        <v>1E-4</v>
      </c>
      <c r="J440">
        <v>100000</v>
      </c>
      <c r="K440">
        <v>0</v>
      </c>
      <c r="L440">
        <v>0</v>
      </c>
      <c r="M440">
        <v>80</v>
      </c>
      <c r="N440">
        <v>76.727400000000003</v>
      </c>
      <c r="O440">
        <v>80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12500</v>
      </c>
      <c r="AB440">
        <v>0</v>
      </c>
      <c r="AC440">
        <v>0</v>
      </c>
      <c r="AD440" t="s">
        <v>4</v>
      </c>
      <c r="AE440" t="s">
        <v>4</v>
      </c>
      <c r="AF440" t="s">
        <v>226</v>
      </c>
      <c r="AG440" t="s">
        <v>226</v>
      </c>
      <c r="AH440">
        <v>-100</v>
      </c>
      <c r="AI440" t="s">
        <v>2554</v>
      </c>
      <c r="AJ440" t="s">
        <v>2555</v>
      </c>
      <c r="AK440" t="s">
        <v>2556</v>
      </c>
      <c r="AL440" t="s">
        <v>272</v>
      </c>
    </row>
    <row r="441" spans="1:38">
      <c r="A441" t="s">
        <v>2561</v>
      </c>
      <c r="B441" t="s">
        <v>2562</v>
      </c>
      <c r="C441" t="s">
        <v>2563</v>
      </c>
      <c r="D441" t="s">
        <v>2563</v>
      </c>
      <c r="E441" t="s">
        <v>2564</v>
      </c>
      <c r="F441" t="s">
        <v>2125</v>
      </c>
      <c r="G441">
        <v>1</v>
      </c>
      <c r="H441">
        <v>1</v>
      </c>
      <c r="I441">
        <v>1E-4</v>
      </c>
      <c r="J441">
        <v>100000</v>
      </c>
      <c r="K441">
        <v>0</v>
      </c>
      <c r="L441">
        <v>0</v>
      </c>
      <c r="M441">
        <v>59.5</v>
      </c>
      <c r="N441">
        <v>60.52</v>
      </c>
      <c r="O441">
        <v>59.5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12500</v>
      </c>
      <c r="AB441">
        <v>0</v>
      </c>
      <c r="AC441">
        <v>0</v>
      </c>
      <c r="AD441" t="s">
        <v>4</v>
      </c>
      <c r="AE441" t="s">
        <v>4</v>
      </c>
      <c r="AF441" t="s">
        <v>226</v>
      </c>
      <c r="AG441" t="s">
        <v>226</v>
      </c>
      <c r="AH441">
        <v>-100</v>
      </c>
      <c r="AI441" t="s">
        <v>2554</v>
      </c>
      <c r="AJ441" t="s">
        <v>2555</v>
      </c>
      <c r="AK441" t="s">
        <v>2556</v>
      </c>
      <c r="AL441" t="s">
        <v>272</v>
      </c>
    </row>
    <row r="442" spans="1:38">
      <c r="A442" t="s">
        <v>2565</v>
      </c>
      <c r="B442" t="s">
        <v>2566</v>
      </c>
      <c r="C442" t="s">
        <v>2567</v>
      </c>
      <c r="D442" t="s">
        <v>2567</v>
      </c>
      <c r="E442" t="s">
        <v>2568</v>
      </c>
      <c r="F442" t="s">
        <v>2125</v>
      </c>
      <c r="G442">
        <v>1</v>
      </c>
      <c r="H442">
        <v>1</v>
      </c>
      <c r="I442">
        <v>1E-4</v>
      </c>
      <c r="J442">
        <v>100000</v>
      </c>
      <c r="K442">
        <v>0</v>
      </c>
      <c r="L442">
        <v>0</v>
      </c>
      <c r="M442">
        <v>50</v>
      </c>
      <c r="N442">
        <v>50.8001</v>
      </c>
      <c r="O442">
        <v>50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10000</v>
      </c>
      <c r="AB442">
        <v>0</v>
      </c>
      <c r="AC442">
        <v>0</v>
      </c>
      <c r="AD442" t="s">
        <v>4</v>
      </c>
      <c r="AE442" t="s">
        <v>4</v>
      </c>
      <c r="AF442" t="s">
        <v>226</v>
      </c>
      <c r="AG442" t="s">
        <v>226</v>
      </c>
      <c r="AH442">
        <v>-100</v>
      </c>
      <c r="AI442" t="s">
        <v>2554</v>
      </c>
      <c r="AJ442" t="s">
        <v>2555</v>
      </c>
      <c r="AK442" t="s">
        <v>2556</v>
      </c>
      <c r="AL442" t="s">
        <v>272</v>
      </c>
    </row>
    <row r="443" spans="1:38">
      <c r="A443" t="s">
        <v>2569</v>
      </c>
      <c r="B443" t="s">
        <v>226</v>
      </c>
      <c r="C443" t="s">
        <v>2570</v>
      </c>
      <c r="D443" t="s">
        <v>2570</v>
      </c>
      <c r="E443" t="s">
        <v>2571</v>
      </c>
      <c r="F443" t="s">
        <v>2425</v>
      </c>
      <c r="G443">
        <v>3</v>
      </c>
      <c r="H443">
        <v>1</v>
      </c>
      <c r="I443">
        <v>1E-4</v>
      </c>
      <c r="J443">
        <v>1000</v>
      </c>
      <c r="K443">
        <v>0</v>
      </c>
      <c r="L443">
        <v>0</v>
      </c>
      <c r="M443">
        <v>75.099999999999994</v>
      </c>
      <c r="N443">
        <v>0</v>
      </c>
      <c r="O443">
        <v>75.099999999999994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500000</v>
      </c>
      <c r="AB443">
        <v>0</v>
      </c>
      <c r="AC443">
        <v>0</v>
      </c>
      <c r="AD443" t="s">
        <v>4</v>
      </c>
      <c r="AE443" t="s">
        <v>4</v>
      </c>
      <c r="AF443" t="s">
        <v>304</v>
      </c>
      <c r="AG443" t="s">
        <v>226</v>
      </c>
      <c r="AH443">
        <v>0</v>
      </c>
      <c r="AI443" t="s">
        <v>2554</v>
      </c>
      <c r="AJ443" t="s">
        <v>2555</v>
      </c>
      <c r="AK443" t="s">
        <v>2426</v>
      </c>
      <c r="AL443" t="s">
        <v>272</v>
      </c>
    </row>
    <row r="444" spans="1:38">
      <c r="A444" t="s">
        <v>2572</v>
      </c>
      <c r="B444" t="s">
        <v>2573</v>
      </c>
      <c r="C444" t="s">
        <v>2574</v>
      </c>
      <c r="D444" t="s">
        <v>2574</v>
      </c>
      <c r="E444" t="s">
        <v>2575</v>
      </c>
      <c r="F444" t="s">
        <v>2425</v>
      </c>
      <c r="G444">
        <v>3</v>
      </c>
      <c r="H444">
        <v>1</v>
      </c>
      <c r="I444">
        <v>1E-4</v>
      </c>
      <c r="J444">
        <v>150000</v>
      </c>
      <c r="K444">
        <v>0</v>
      </c>
      <c r="L444">
        <v>0</v>
      </c>
      <c r="M444">
        <v>59.5</v>
      </c>
      <c r="N444">
        <v>0</v>
      </c>
      <c r="O444">
        <v>59.5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396</v>
      </c>
      <c r="AB444">
        <v>0</v>
      </c>
      <c r="AC444">
        <v>0</v>
      </c>
      <c r="AD444" t="s">
        <v>4</v>
      </c>
      <c r="AE444" t="s">
        <v>4</v>
      </c>
      <c r="AF444" t="s">
        <v>304</v>
      </c>
      <c r="AG444" t="s">
        <v>226</v>
      </c>
      <c r="AH444">
        <v>0</v>
      </c>
      <c r="AI444" t="s">
        <v>2554</v>
      </c>
      <c r="AJ444" t="s">
        <v>2555</v>
      </c>
      <c r="AK444" t="s">
        <v>2426</v>
      </c>
      <c r="AL444" t="s">
        <v>272</v>
      </c>
    </row>
    <row r="445" spans="1:38">
      <c r="A445" t="s">
        <v>2576</v>
      </c>
      <c r="B445" t="s">
        <v>2577</v>
      </c>
      <c r="C445" t="s">
        <v>2578</v>
      </c>
      <c r="D445" t="s">
        <v>2578</v>
      </c>
      <c r="E445" t="s">
        <v>2579</v>
      </c>
      <c r="F445" t="s">
        <v>2425</v>
      </c>
      <c r="G445">
        <v>3</v>
      </c>
      <c r="H445">
        <v>1</v>
      </c>
      <c r="I445">
        <v>0.01</v>
      </c>
      <c r="J445">
        <v>150000</v>
      </c>
      <c r="K445">
        <v>0</v>
      </c>
      <c r="L445">
        <v>0</v>
      </c>
      <c r="M445">
        <v>64</v>
      </c>
      <c r="N445">
        <v>0</v>
      </c>
      <c r="O445">
        <v>64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1000</v>
      </c>
      <c r="AB445">
        <v>0</v>
      </c>
      <c r="AC445">
        <v>0</v>
      </c>
      <c r="AD445" t="s">
        <v>4</v>
      </c>
      <c r="AE445" t="s">
        <v>4</v>
      </c>
      <c r="AF445" t="s">
        <v>304</v>
      </c>
      <c r="AG445" t="s">
        <v>226</v>
      </c>
      <c r="AH445">
        <v>0</v>
      </c>
      <c r="AI445" t="s">
        <v>2554</v>
      </c>
      <c r="AJ445" t="s">
        <v>2555</v>
      </c>
      <c r="AK445" t="s">
        <v>2426</v>
      </c>
      <c r="AL445" t="s">
        <v>272</v>
      </c>
    </row>
    <row r="446" spans="1:38">
      <c r="A446" t="s">
        <v>2580</v>
      </c>
      <c r="B446" t="s">
        <v>226</v>
      </c>
      <c r="C446" t="s">
        <v>2581</v>
      </c>
      <c r="D446" t="s">
        <v>2581</v>
      </c>
      <c r="E446" t="s">
        <v>2582</v>
      </c>
      <c r="F446" t="s">
        <v>2125</v>
      </c>
      <c r="G446">
        <v>3</v>
      </c>
      <c r="H446">
        <v>1</v>
      </c>
      <c r="I446">
        <v>1E-4</v>
      </c>
      <c r="J446">
        <v>1000</v>
      </c>
      <c r="K446">
        <v>0</v>
      </c>
      <c r="L446">
        <v>0</v>
      </c>
      <c r="M446">
        <v>75.909800000000004</v>
      </c>
      <c r="N446">
        <v>0</v>
      </c>
      <c r="O446">
        <v>75.909800000000004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600000</v>
      </c>
      <c r="AB446">
        <v>0</v>
      </c>
      <c r="AC446">
        <v>0</v>
      </c>
      <c r="AD446" t="s">
        <v>2</v>
      </c>
      <c r="AE446" t="s">
        <v>2</v>
      </c>
      <c r="AF446" t="s">
        <v>304</v>
      </c>
      <c r="AG446" t="s">
        <v>226</v>
      </c>
      <c r="AH446">
        <v>0</v>
      </c>
      <c r="AI446" t="s">
        <v>2583</v>
      </c>
      <c r="AJ446" t="s">
        <v>2584</v>
      </c>
      <c r="AK446" t="s">
        <v>2556</v>
      </c>
      <c r="AL446" t="s">
        <v>272</v>
      </c>
    </row>
    <row r="447" spans="1:38">
      <c r="A447" t="s">
        <v>2585</v>
      </c>
      <c r="B447" t="s">
        <v>226</v>
      </c>
      <c r="C447" t="s">
        <v>2586</v>
      </c>
      <c r="D447" t="s">
        <v>2586</v>
      </c>
      <c r="E447" t="s">
        <v>2587</v>
      </c>
      <c r="F447" t="s">
        <v>2125</v>
      </c>
      <c r="G447">
        <v>3</v>
      </c>
      <c r="H447">
        <v>1</v>
      </c>
      <c r="I447">
        <v>1E-4</v>
      </c>
      <c r="J447">
        <v>1000</v>
      </c>
      <c r="K447">
        <v>0</v>
      </c>
      <c r="L447">
        <v>0</v>
      </c>
      <c r="M447">
        <v>72.5</v>
      </c>
      <c r="N447">
        <v>0</v>
      </c>
      <c r="O447">
        <v>72.5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600000</v>
      </c>
      <c r="AB447">
        <v>0</v>
      </c>
      <c r="AC447">
        <v>0</v>
      </c>
      <c r="AD447" t="s">
        <v>2</v>
      </c>
      <c r="AE447" t="s">
        <v>2</v>
      </c>
      <c r="AF447" t="s">
        <v>304</v>
      </c>
      <c r="AG447" t="s">
        <v>226</v>
      </c>
      <c r="AH447">
        <v>0</v>
      </c>
      <c r="AI447" t="s">
        <v>2583</v>
      </c>
      <c r="AJ447" t="s">
        <v>2584</v>
      </c>
      <c r="AK447" t="s">
        <v>2556</v>
      </c>
      <c r="AL447" t="s">
        <v>272</v>
      </c>
    </row>
    <row r="448" spans="1:38">
      <c r="A448" t="s">
        <v>2588</v>
      </c>
      <c r="B448" t="s">
        <v>226</v>
      </c>
      <c r="C448" t="s">
        <v>2589</v>
      </c>
      <c r="D448" t="s">
        <v>2589</v>
      </c>
      <c r="E448" t="s">
        <v>2590</v>
      </c>
      <c r="F448" t="s">
        <v>2125</v>
      </c>
      <c r="G448">
        <v>3</v>
      </c>
      <c r="H448">
        <v>1</v>
      </c>
      <c r="I448">
        <v>1E-4</v>
      </c>
      <c r="J448">
        <v>1000</v>
      </c>
      <c r="K448">
        <v>0</v>
      </c>
      <c r="L448">
        <v>0</v>
      </c>
      <c r="M448">
        <v>74.400000000000006</v>
      </c>
      <c r="N448">
        <v>0</v>
      </c>
      <c r="O448">
        <v>74.400000000000006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750000</v>
      </c>
      <c r="AB448">
        <v>0</v>
      </c>
      <c r="AC448">
        <v>0</v>
      </c>
      <c r="AD448" t="s">
        <v>2</v>
      </c>
      <c r="AE448" t="s">
        <v>2</v>
      </c>
      <c r="AF448" t="s">
        <v>304</v>
      </c>
      <c r="AG448" t="s">
        <v>226</v>
      </c>
      <c r="AH448">
        <v>0</v>
      </c>
      <c r="AI448" t="s">
        <v>2583</v>
      </c>
      <c r="AJ448" t="s">
        <v>2584</v>
      </c>
      <c r="AK448" t="s">
        <v>2556</v>
      </c>
      <c r="AL448" t="s">
        <v>272</v>
      </c>
    </row>
    <row r="449" spans="1:38">
      <c r="A449" t="s">
        <v>2591</v>
      </c>
      <c r="B449" t="s">
        <v>2592</v>
      </c>
      <c r="C449" t="s">
        <v>2593</v>
      </c>
      <c r="D449" t="s">
        <v>2593</v>
      </c>
      <c r="E449" t="s">
        <v>2594</v>
      </c>
      <c r="F449" t="s">
        <v>2125</v>
      </c>
      <c r="G449">
        <v>1</v>
      </c>
      <c r="H449">
        <v>1</v>
      </c>
      <c r="I449">
        <v>1E-4</v>
      </c>
      <c r="J449">
        <v>200000</v>
      </c>
      <c r="K449">
        <v>0</v>
      </c>
      <c r="L449">
        <v>0</v>
      </c>
      <c r="M449">
        <v>87.2</v>
      </c>
      <c r="N449">
        <v>89.9542</v>
      </c>
      <c r="O449">
        <v>87.2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15000</v>
      </c>
      <c r="AB449">
        <v>0</v>
      </c>
      <c r="AC449">
        <v>0</v>
      </c>
      <c r="AD449" t="s">
        <v>2</v>
      </c>
      <c r="AE449" t="s">
        <v>2</v>
      </c>
      <c r="AF449" t="s">
        <v>226</v>
      </c>
      <c r="AG449" t="s">
        <v>226</v>
      </c>
      <c r="AH449">
        <v>-100</v>
      </c>
      <c r="AI449" t="s">
        <v>2583</v>
      </c>
      <c r="AJ449" t="s">
        <v>2584</v>
      </c>
      <c r="AK449" t="s">
        <v>2556</v>
      </c>
      <c r="AL449" t="s">
        <v>272</v>
      </c>
    </row>
    <row r="450" spans="1:38">
      <c r="A450" t="s">
        <v>2595</v>
      </c>
      <c r="B450" t="s">
        <v>2596</v>
      </c>
      <c r="C450" t="s">
        <v>2597</v>
      </c>
      <c r="D450" t="s">
        <v>2597</v>
      </c>
      <c r="E450" t="s">
        <v>2598</v>
      </c>
      <c r="F450" t="s">
        <v>2125</v>
      </c>
      <c r="G450">
        <v>1</v>
      </c>
      <c r="H450">
        <v>1</v>
      </c>
      <c r="I450">
        <v>1E-4</v>
      </c>
      <c r="J450">
        <v>200000</v>
      </c>
      <c r="K450">
        <v>0</v>
      </c>
      <c r="L450">
        <v>0</v>
      </c>
      <c r="M450">
        <v>86.5</v>
      </c>
      <c r="N450">
        <v>85.453800000000001</v>
      </c>
      <c r="O450">
        <v>86.5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12023</v>
      </c>
      <c r="AB450">
        <v>0</v>
      </c>
      <c r="AC450">
        <v>0</v>
      </c>
      <c r="AD450" t="s">
        <v>2</v>
      </c>
      <c r="AE450" t="s">
        <v>2</v>
      </c>
      <c r="AF450" t="s">
        <v>226</v>
      </c>
      <c r="AG450" t="s">
        <v>226</v>
      </c>
      <c r="AH450">
        <v>-100</v>
      </c>
      <c r="AI450" t="s">
        <v>2583</v>
      </c>
      <c r="AJ450" t="s">
        <v>2584</v>
      </c>
      <c r="AK450" t="s">
        <v>2556</v>
      </c>
      <c r="AL450" t="s">
        <v>272</v>
      </c>
    </row>
    <row r="451" spans="1:38">
      <c r="A451" t="s">
        <v>2599</v>
      </c>
      <c r="B451" t="s">
        <v>2600</v>
      </c>
      <c r="C451" t="s">
        <v>2601</v>
      </c>
      <c r="D451" t="s">
        <v>2601</v>
      </c>
      <c r="E451" t="s">
        <v>2602</v>
      </c>
      <c r="F451" t="s">
        <v>2125</v>
      </c>
      <c r="G451">
        <v>1</v>
      </c>
      <c r="H451">
        <v>1</v>
      </c>
      <c r="I451">
        <v>1E-4</v>
      </c>
      <c r="J451">
        <v>1000</v>
      </c>
      <c r="K451">
        <v>0</v>
      </c>
      <c r="L451">
        <v>0</v>
      </c>
      <c r="M451">
        <v>105.5001</v>
      </c>
      <c r="N451">
        <v>105.5821</v>
      </c>
      <c r="O451">
        <v>104.58</v>
      </c>
      <c r="P451">
        <v>0</v>
      </c>
      <c r="Q451">
        <v>0</v>
      </c>
      <c r="R451">
        <v>0</v>
      </c>
      <c r="S451">
        <v>104.5462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2499850</v>
      </c>
      <c r="AB451">
        <v>0</v>
      </c>
      <c r="AC451">
        <v>0</v>
      </c>
      <c r="AD451" t="s">
        <v>2</v>
      </c>
      <c r="AE451" t="s">
        <v>2</v>
      </c>
      <c r="AF451" t="s">
        <v>226</v>
      </c>
      <c r="AG451" t="s">
        <v>226</v>
      </c>
      <c r="AH451">
        <v>-100</v>
      </c>
      <c r="AI451" t="s">
        <v>2583</v>
      </c>
      <c r="AJ451" t="s">
        <v>2584</v>
      </c>
      <c r="AK451" t="s">
        <v>2556</v>
      </c>
      <c r="AL451" t="s">
        <v>272</v>
      </c>
    </row>
    <row r="452" spans="1:38">
      <c r="A452" t="s">
        <v>2603</v>
      </c>
      <c r="B452" t="s">
        <v>2604</v>
      </c>
      <c r="C452" t="s">
        <v>2605</v>
      </c>
      <c r="D452" t="s">
        <v>2605</v>
      </c>
      <c r="E452" t="s">
        <v>2606</v>
      </c>
      <c r="F452" t="s">
        <v>2125</v>
      </c>
      <c r="G452">
        <v>1</v>
      </c>
      <c r="H452">
        <v>1</v>
      </c>
      <c r="I452">
        <v>1E-4</v>
      </c>
      <c r="J452">
        <v>200000</v>
      </c>
      <c r="K452">
        <v>0</v>
      </c>
      <c r="L452">
        <v>0</v>
      </c>
      <c r="M452">
        <v>83.25</v>
      </c>
      <c r="N452">
        <v>81.021600000000007</v>
      </c>
      <c r="O452">
        <v>83.25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15000</v>
      </c>
      <c r="AB452">
        <v>0</v>
      </c>
      <c r="AC452">
        <v>0</v>
      </c>
      <c r="AD452" t="s">
        <v>2</v>
      </c>
      <c r="AE452" t="s">
        <v>2</v>
      </c>
      <c r="AF452" t="s">
        <v>226</v>
      </c>
      <c r="AG452" t="s">
        <v>226</v>
      </c>
      <c r="AH452">
        <v>-100</v>
      </c>
      <c r="AI452" t="s">
        <v>2583</v>
      </c>
      <c r="AJ452" t="s">
        <v>2584</v>
      </c>
      <c r="AK452" t="s">
        <v>2556</v>
      </c>
      <c r="AL452" t="s">
        <v>272</v>
      </c>
    </row>
    <row r="453" spans="1:38">
      <c r="A453" t="s">
        <v>2607</v>
      </c>
      <c r="B453" t="s">
        <v>2608</v>
      </c>
      <c r="C453" t="s">
        <v>2609</v>
      </c>
      <c r="D453" t="s">
        <v>2609</v>
      </c>
      <c r="E453" t="s">
        <v>2610</v>
      </c>
      <c r="F453" t="s">
        <v>2125</v>
      </c>
      <c r="G453">
        <v>1</v>
      </c>
      <c r="H453">
        <v>1000</v>
      </c>
      <c r="I453">
        <v>1E-4</v>
      </c>
      <c r="J453">
        <v>5.5E-2</v>
      </c>
      <c r="K453">
        <v>0</v>
      </c>
      <c r="L453">
        <v>0</v>
      </c>
      <c r="M453">
        <v>95.5351</v>
      </c>
      <c r="N453">
        <v>93.187100000000001</v>
      </c>
      <c r="O453">
        <v>89.013499999999993</v>
      </c>
      <c r="P453">
        <v>0</v>
      </c>
      <c r="Q453">
        <v>0</v>
      </c>
      <c r="R453">
        <v>0</v>
      </c>
      <c r="S453">
        <v>91.034800000000004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8823873937</v>
      </c>
      <c r="AB453">
        <v>0</v>
      </c>
      <c r="AC453">
        <v>0</v>
      </c>
      <c r="AD453" t="s">
        <v>2</v>
      </c>
      <c r="AE453" t="s">
        <v>2</v>
      </c>
      <c r="AF453" t="s">
        <v>226</v>
      </c>
      <c r="AG453" t="s">
        <v>226</v>
      </c>
      <c r="AH453">
        <v>-100</v>
      </c>
      <c r="AI453" t="s">
        <v>2583</v>
      </c>
      <c r="AJ453" t="s">
        <v>2584</v>
      </c>
      <c r="AK453" t="s">
        <v>2556</v>
      </c>
      <c r="AL453" t="s">
        <v>272</v>
      </c>
    </row>
    <row r="454" spans="1:38">
      <c r="A454" t="s">
        <v>2611</v>
      </c>
      <c r="B454" t="s">
        <v>2612</v>
      </c>
      <c r="C454" t="s">
        <v>2613</v>
      </c>
      <c r="D454" t="s">
        <v>2613</v>
      </c>
      <c r="E454" t="s">
        <v>2614</v>
      </c>
      <c r="F454" t="s">
        <v>2125</v>
      </c>
      <c r="G454">
        <v>1</v>
      </c>
      <c r="H454">
        <v>1</v>
      </c>
      <c r="I454">
        <v>1E-4</v>
      </c>
      <c r="J454">
        <v>200000</v>
      </c>
      <c r="K454">
        <v>0</v>
      </c>
      <c r="L454">
        <v>0</v>
      </c>
      <c r="M454">
        <v>77</v>
      </c>
      <c r="N454">
        <v>70.3857</v>
      </c>
      <c r="O454">
        <v>77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20000</v>
      </c>
      <c r="AB454">
        <v>0</v>
      </c>
      <c r="AC454">
        <v>0</v>
      </c>
      <c r="AD454" t="s">
        <v>2</v>
      </c>
      <c r="AE454" t="s">
        <v>2</v>
      </c>
      <c r="AF454" t="s">
        <v>226</v>
      </c>
      <c r="AG454" t="s">
        <v>226</v>
      </c>
      <c r="AH454">
        <v>-100</v>
      </c>
      <c r="AI454" t="s">
        <v>2583</v>
      </c>
      <c r="AJ454" t="s">
        <v>2584</v>
      </c>
      <c r="AK454" t="s">
        <v>2556</v>
      </c>
      <c r="AL454" t="s">
        <v>272</v>
      </c>
    </row>
    <row r="455" spans="1:38">
      <c r="A455" t="s">
        <v>2615</v>
      </c>
      <c r="B455" t="s">
        <v>2616</v>
      </c>
      <c r="C455" t="s">
        <v>2617</v>
      </c>
      <c r="D455" t="s">
        <v>2617</v>
      </c>
      <c r="E455" t="s">
        <v>2618</v>
      </c>
      <c r="F455" t="s">
        <v>2125</v>
      </c>
      <c r="G455">
        <v>1</v>
      </c>
      <c r="H455">
        <v>1</v>
      </c>
      <c r="I455">
        <v>1E-4</v>
      </c>
      <c r="J455">
        <v>200000</v>
      </c>
      <c r="K455">
        <v>0</v>
      </c>
      <c r="L455">
        <v>0</v>
      </c>
      <c r="M455">
        <v>75.5</v>
      </c>
      <c r="N455">
        <v>0</v>
      </c>
      <c r="O455">
        <v>75.5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15000</v>
      </c>
      <c r="AB455">
        <v>0</v>
      </c>
      <c r="AC455">
        <v>0</v>
      </c>
      <c r="AD455" t="s">
        <v>2</v>
      </c>
      <c r="AE455" t="s">
        <v>2</v>
      </c>
      <c r="AF455" t="s">
        <v>226</v>
      </c>
      <c r="AG455" t="s">
        <v>226</v>
      </c>
      <c r="AH455">
        <v>-100</v>
      </c>
      <c r="AI455" t="s">
        <v>2583</v>
      </c>
      <c r="AJ455" t="s">
        <v>2584</v>
      </c>
      <c r="AK455" t="s">
        <v>2556</v>
      </c>
      <c r="AL455" t="s">
        <v>272</v>
      </c>
    </row>
    <row r="456" spans="1:38">
      <c r="A456" t="s">
        <v>2619</v>
      </c>
      <c r="B456" t="s">
        <v>2620</v>
      </c>
      <c r="C456" t="s">
        <v>2621</v>
      </c>
      <c r="D456" t="s">
        <v>2621</v>
      </c>
      <c r="E456" t="s">
        <v>2622</v>
      </c>
      <c r="F456" t="s">
        <v>2125</v>
      </c>
      <c r="G456">
        <v>1</v>
      </c>
      <c r="H456">
        <v>1</v>
      </c>
      <c r="I456">
        <v>1E-4</v>
      </c>
      <c r="J456">
        <v>200000</v>
      </c>
      <c r="K456">
        <v>0</v>
      </c>
      <c r="L456">
        <v>0</v>
      </c>
      <c r="M456">
        <v>82.8</v>
      </c>
      <c r="N456">
        <v>0</v>
      </c>
      <c r="O456">
        <v>82.8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7500</v>
      </c>
      <c r="AB456">
        <v>0</v>
      </c>
      <c r="AC456">
        <v>0</v>
      </c>
      <c r="AD456" t="s">
        <v>2</v>
      </c>
      <c r="AE456" t="s">
        <v>2</v>
      </c>
      <c r="AF456" t="s">
        <v>226</v>
      </c>
      <c r="AG456" t="s">
        <v>226</v>
      </c>
      <c r="AH456">
        <v>-100</v>
      </c>
      <c r="AI456" t="s">
        <v>2583</v>
      </c>
      <c r="AJ456" t="s">
        <v>2584</v>
      </c>
      <c r="AK456" t="s">
        <v>2556</v>
      </c>
      <c r="AL456" t="s">
        <v>272</v>
      </c>
    </row>
    <row r="457" spans="1:38">
      <c r="A457" t="s">
        <v>2623</v>
      </c>
      <c r="B457" t="s">
        <v>2624</v>
      </c>
      <c r="C457" t="s">
        <v>2625</v>
      </c>
      <c r="D457" t="s">
        <v>2625</v>
      </c>
      <c r="E457" t="s">
        <v>2626</v>
      </c>
      <c r="F457" t="s">
        <v>2125</v>
      </c>
      <c r="G457">
        <v>1</v>
      </c>
      <c r="H457">
        <v>1</v>
      </c>
      <c r="I457">
        <v>1E-4</v>
      </c>
      <c r="J457">
        <v>200000</v>
      </c>
      <c r="K457">
        <v>0</v>
      </c>
      <c r="L457">
        <v>0</v>
      </c>
      <c r="M457">
        <v>65.16</v>
      </c>
      <c r="N457">
        <v>59.513500000000001</v>
      </c>
      <c r="O457">
        <v>65.16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35000</v>
      </c>
      <c r="AB457">
        <v>0</v>
      </c>
      <c r="AC457">
        <v>0</v>
      </c>
      <c r="AD457" t="s">
        <v>2</v>
      </c>
      <c r="AE457" t="s">
        <v>2</v>
      </c>
      <c r="AF457" t="s">
        <v>226</v>
      </c>
      <c r="AG457" t="s">
        <v>226</v>
      </c>
      <c r="AH457">
        <v>-100</v>
      </c>
      <c r="AI457" t="s">
        <v>2583</v>
      </c>
      <c r="AJ457" t="s">
        <v>2584</v>
      </c>
      <c r="AK457" t="s">
        <v>2556</v>
      </c>
      <c r="AL457" t="s">
        <v>272</v>
      </c>
    </row>
    <row r="458" spans="1:38">
      <c r="A458" t="s">
        <v>2627</v>
      </c>
      <c r="B458" t="s">
        <v>226</v>
      </c>
      <c r="C458" t="s">
        <v>2628</v>
      </c>
      <c r="D458" t="s">
        <v>2628</v>
      </c>
      <c r="E458" t="s">
        <v>2629</v>
      </c>
      <c r="F458" t="s">
        <v>2425</v>
      </c>
      <c r="G458">
        <v>3</v>
      </c>
      <c r="H458">
        <v>1</v>
      </c>
      <c r="I458">
        <v>1E-4</v>
      </c>
      <c r="J458">
        <v>1000</v>
      </c>
      <c r="K458">
        <v>0</v>
      </c>
      <c r="L458">
        <v>0</v>
      </c>
      <c r="M458">
        <v>92</v>
      </c>
      <c r="N458">
        <v>0</v>
      </c>
      <c r="O458">
        <v>92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1000000</v>
      </c>
      <c r="AB458">
        <v>0</v>
      </c>
      <c r="AC458">
        <v>0</v>
      </c>
      <c r="AD458" t="s">
        <v>2</v>
      </c>
      <c r="AE458" t="s">
        <v>2</v>
      </c>
      <c r="AF458" t="s">
        <v>304</v>
      </c>
      <c r="AG458" t="s">
        <v>226</v>
      </c>
      <c r="AH458">
        <v>0</v>
      </c>
      <c r="AI458" t="s">
        <v>2583</v>
      </c>
      <c r="AJ458" t="s">
        <v>2584</v>
      </c>
      <c r="AK458" t="s">
        <v>2426</v>
      </c>
      <c r="AL458" t="s">
        <v>272</v>
      </c>
    </row>
    <row r="459" spans="1:38">
      <c r="A459" t="s">
        <v>2630</v>
      </c>
      <c r="B459" t="s">
        <v>226</v>
      </c>
      <c r="C459" t="s">
        <v>2631</v>
      </c>
      <c r="D459" t="s">
        <v>2631</v>
      </c>
      <c r="E459" t="s">
        <v>2632</v>
      </c>
      <c r="F459" t="s">
        <v>2425</v>
      </c>
      <c r="G459">
        <v>3</v>
      </c>
      <c r="H459">
        <v>1</v>
      </c>
      <c r="I459">
        <v>1E-4</v>
      </c>
      <c r="J459">
        <v>1000</v>
      </c>
      <c r="K459">
        <v>0</v>
      </c>
      <c r="L459">
        <v>0</v>
      </c>
      <c r="M459">
        <v>97</v>
      </c>
      <c r="N459">
        <v>0</v>
      </c>
      <c r="O459">
        <v>97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500000</v>
      </c>
      <c r="AB459">
        <v>0</v>
      </c>
      <c r="AC459">
        <v>0</v>
      </c>
      <c r="AD459" t="s">
        <v>2</v>
      </c>
      <c r="AE459" t="s">
        <v>2</v>
      </c>
      <c r="AF459" t="s">
        <v>304</v>
      </c>
      <c r="AG459" t="s">
        <v>226</v>
      </c>
      <c r="AH459">
        <v>0</v>
      </c>
      <c r="AI459" t="s">
        <v>2583</v>
      </c>
      <c r="AJ459" t="s">
        <v>2584</v>
      </c>
      <c r="AK459" t="s">
        <v>2426</v>
      </c>
      <c r="AL459" t="s">
        <v>272</v>
      </c>
    </row>
    <row r="460" spans="1:38">
      <c r="A460" t="s">
        <v>2633</v>
      </c>
      <c r="B460" t="s">
        <v>226</v>
      </c>
      <c r="C460" t="s">
        <v>2634</v>
      </c>
      <c r="D460" t="s">
        <v>2634</v>
      </c>
      <c r="E460" t="s">
        <v>2635</v>
      </c>
      <c r="F460" t="s">
        <v>2425</v>
      </c>
      <c r="G460">
        <v>3</v>
      </c>
      <c r="H460">
        <v>1</v>
      </c>
      <c r="I460">
        <v>1E-4</v>
      </c>
      <c r="J460">
        <v>1000</v>
      </c>
      <c r="K460">
        <v>0</v>
      </c>
      <c r="L460">
        <v>0</v>
      </c>
      <c r="M460">
        <v>92.608099999999993</v>
      </c>
      <c r="N460">
        <v>92.638099999999994</v>
      </c>
      <c r="O460">
        <v>92.370099999999994</v>
      </c>
      <c r="P460">
        <v>0</v>
      </c>
      <c r="Q460">
        <v>0</v>
      </c>
      <c r="R460">
        <v>0</v>
      </c>
      <c r="S460">
        <v>92.371499999999997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1000000</v>
      </c>
      <c r="AB460">
        <v>0</v>
      </c>
      <c r="AC460">
        <v>0</v>
      </c>
      <c r="AD460" t="s">
        <v>2</v>
      </c>
      <c r="AE460" t="s">
        <v>2</v>
      </c>
      <c r="AF460" t="s">
        <v>304</v>
      </c>
      <c r="AG460" t="s">
        <v>226</v>
      </c>
      <c r="AH460">
        <v>0</v>
      </c>
      <c r="AI460" t="s">
        <v>2583</v>
      </c>
      <c r="AJ460" t="s">
        <v>2584</v>
      </c>
      <c r="AK460" t="s">
        <v>2426</v>
      </c>
      <c r="AL460" t="s">
        <v>272</v>
      </c>
    </row>
    <row r="461" spans="1:38">
      <c r="A461" t="s">
        <v>2636</v>
      </c>
      <c r="B461" t="s">
        <v>2637</v>
      </c>
      <c r="C461" t="s">
        <v>2638</v>
      </c>
      <c r="D461" t="s">
        <v>2638</v>
      </c>
      <c r="E461" t="s">
        <v>2639</v>
      </c>
      <c r="F461" t="s">
        <v>2413</v>
      </c>
      <c r="G461">
        <v>1</v>
      </c>
      <c r="H461">
        <v>1</v>
      </c>
      <c r="I461">
        <v>1E-4</v>
      </c>
      <c r="J461">
        <v>1000</v>
      </c>
      <c r="K461">
        <v>0</v>
      </c>
      <c r="L461">
        <v>0</v>
      </c>
      <c r="M461">
        <v>91.75</v>
      </c>
      <c r="N461">
        <v>91.33</v>
      </c>
      <c r="O461">
        <v>90.75</v>
      </c>
      <c r="P461">
        <v>0</v>
      </c>
      <c r="Q461">
        <v>0</v>
      </c>
      <c r="R461">
        <v>0</v>
      </c>
      <c r="S461">
        <v>90.75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350000</v>
      </c>
      <c r="AB461">
        <v>0</v>
      </c>
      <c r="AC461">
        <v>0</v>
      </c>
      <c r="AD461" t="s">
        <v>2</v>
      </c>
      <c r="AE461" t="s">
        <v>2</v>
      </c>
      <c r="AF461" t="s">
        <v>226</v>
      </c>
      <c r="AG461" t="s">
        <v>226</v>
      </c>
      <c r="AH461">
        <v>-100</v>
      </c>
      <c r="AI461" t="s">
        <v>2583</v>
      </c>
      <c r="AJ461" t="s">
        <v>2584</v>
      </c>
      <c r="AK461" t="s">
        <v>2416</v>
      </c>
      <c r="AL461" t="s">
        <v>272</v>
      </c>
    </row>
    <row r="462" spans="1:38">
      <c r="A462" t="s">
        <v>2640</v>
      </c>
      <c r="B462" t="s">
        <v>2641</v>
      </c>
      <c r="C462" t="s">
        <v>2642</v>
      </c>
      <c r="D462" t="s">
        <v>2642</v>
      </c>
      <c r="E462" t="s">
        <v>2643</v>
      </c>
      <c r="F462" t="s">
        <v>2413</v>
      </c>
      <c r="G462">
        <v>1</v>
      </c>
      <c r="H462">
        <v>1</v>
      </c>
      <c r="I462">
        <v>1E-4</v>
      </c>
      <c r="J462">
        <v>1000</v>
      </c>
      <c r="K462">
        <v>0</v>
      </c>
      <c r="L462">
        <v>0</v>
      </c>
      <c r="M462">
        <v>83.812100000000001</v>
      </c>
      <c r="N462">
        <v>89.590900000000005</v>
      </c>
      <c r="O462">
        <v>83.812100000000001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550000</v>
      </c>
      <c r="AB462">
        <v>0</v>
      </c>
      <c r="AC462">
        <v>0</v>
      </c>
      <c r="AD462" t="s">
        <v>2</v>
      </c>
      <c r="AE462" t="s">
        <v>2</v>
      </c>
      <c r="AF462" t="s">
        <v>226</v>
      </c>
      <c r="AG462" t="s">
        <v>226</v>
      </c>
      <c r="AH462">
        <v>-100</v>
      </c>
      <c r="AI462" t="s">
        <v>2583</v>
      </c>
      <c r="AJ462" t="s">
        <v>2584</v>
      </c>
      <c r="AK462" t="s">
        <v>2416</v>
      </c>
      <c r="AL462" t="s">
        <v>272</v>
      </c>
    </row>
    <row r="463" spans="1:38">
      <c r="A463" t="s">
        <v>2644</v>
      </c>
      <c r="B463" t="s">
        <v>2645</v>
      </c>
      <c r="C463" t="s">
        <v>2646</v>
      </c>
      <c r="D463" t="s">
        <v>2646</v>
      </c>
      <c r="E463" t="s">
        <v>2647</v>
      </c>
      <c r="F463" t="s">
        <v>2413</v>
      </c>
      <c r="G463">
        <v>3</v>
      </c>
      <c r="H463">
        <v>1</v>
      </c>
      <c r="I463">
        <v>1E-4</v>
      </c>
      <c r="J463">
        <v>1000</v>
      </c>
      <c r="K463">
        <v>0</v>
      </c>
      <c r="L463">
        <v>0</v>
      </c>
      <c r="M463">
        <v>99.85</v>
      </c>
      <c r="N463">
        <v>0</v>
      </c>
      <c r="O463">
        <v>99.85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200000</v>
      </c>
      <c r="AB463">
        <v>0</v>
      </c>
      <c r="AC463">
        <v>0</v>
      </c>
      <c r="AD463" t="s">
        <v>2</v>
      </c>
      <c r="AE463" t="s">
        <v>2</v>
      </c>
      <c r="AF463" t="s">
        <v>226</v>
      </c>
      <c r="AG463" t="s">
        <v>226</v>
      </c>
      <c r="AH463">
        <v>6</v>
      </c>
      <c r="AI463" t="s">
        <v>2583</v>
      </c>
      <c r="AJ463" t="s">
        <v>2584</v>
      </c>
      <c r="AK463" t="s">
        <v>2416</v>
      </c>
      <c r="AL463" t="s">
        <v>272</v>
      </c>
    </row>
    <row r="464" spans="1:38">
      <c r="A464" t="s">
        <v>2648</v>
      </c>
      <c r="B464" t="s">
        <v>2649</v>
      </c>
      <c r="C464" t="s">
        <v>2650</v>
      </c>
      <c r="D464" t="s">
        <v>2650</v>
      </c>
      <c r="E464" t="s">
        <v>2651</v>
      </c>
      <c r="F464" t="s">
        <v>2425</v>
      </c>
      <c r="G464">
        <v>3</v>
      </c>
      <c r="H464">
        <v>1</v>
      </c>
      <c r="I464">
        <v>1E-4</v>
      </c>
      <c r="J464">
        <v>175000</v>
      </c>
      <c r="K464">
        <v>0</v>
      </c>
      <c r="L464">
        <v>0</v>
      </c>
      <c r="M464">
        <v>65</v>
      </c>
      <c r="N464">
        <v>0</v>
      </c>
      <c r="O464">
        <v>65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1430</v>
      </c>
      <c r="AB464">
        <v>0</v>
      </c>
      <c r="AC464">
        <v>0</v>
      </c>
      <c r="AD464" t="s">
        <v>2</v>
      </c>
      <c r="AE464" t="s">
        <v>2</v>
      </c>
      <c r="AF464" t="s">
        <v>304</v>
      </c>
      <c r="AG464" t="s">
        <v>226</v>
      </c>
      <c r="AH464">
        <v>0</v>
      </c>
      <c r="AI464" t="s">
        <v>2583</v>
      </c>
      <c r="AJ464" t="s">
        <v>2584</v>
      </c>
      <c r="AK464" t="s">
        <v>2426</v>
      </c>
      <c r="AL464" t="s">
        <v>272</v>
      </c>
    </row>
    <row r="465" spans="1:38">
      <c r="A465" t="s">
        <v>2652</v>
      </c>
      <c r="B465" t="s">
        <v>2653</v>
      </c>
      <c r="C465" t="s">
        <v>2654</v>
      </c>
      <c r="D465" t="s">
        <v>2654</v>
      </c>
      <c r="E465" t="s">
        <v>2655</v>
      </c>
      <c r="F465" t="s">
        <v>2425</v>
      </c>
      <c r="G465">
        <v>3</v>
      </c>
      <c r="H465">
        <v>1</v>
      </c>
      <c r="I465">
        <v>1E-4</v>
      </c>
      <c r="J465">
        <v>150000</v>
      </c>
      <c r="K465">
        <v>0</v>
      </c>
      <c r="L465">
        <v>0</v>
      </c>
      <c r="M465">
        <v>64.5</v>
      </c>
      <c r="N465">
        <v>0</v>
      </c>
      <c r="O465">
        <v>64.5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1735</v>
      </c>
      <c r="AB465">
        <v>0</v>
      </c>
      <c r="AC465">
        <v>0</v>
      </c>
      <c r="AD465" t="s">
        <v>2</v>
      </c>
      <c r="AE465" t="s">
        <v>2</v>
      </c>
      <c r="AF465" t="s">
        <v>304</v>
      </c>
      <c r="AG465" t="s">
        <v>226</v>
      </c>
      <c r="AH465">
        <v>0</v>
      </c>
      <c r="AI465" t="s">
        <v>2583</v>
      </c>
      <c r="AJ465" t="s">
        <v>2584</v>
      </c>
      <c r="AK465" t="s">
        <v>2426</v>
      </c>
      <c r="AL465" t="s">
        <v>272</v>
      </c>
    </row>
    <row r="466" spans="1:38">
      <c r="A466" t="s">
        <v>2656</v>
      </c>
      <c r="B466" t="s">
        <v>2657</v>
      </c>
      <c r="C466" t="s">
        <v>2658</v>
      </c>
      <c r="D466" t="s">
        <v>2658</v>
      </c>
      <c r="E466" t="s">
        <v>2659</v>
      </c>
      <c r="F466" t="s">
        <v>2413</v>
      </c>
      <c r="G466">
        <v>1</v>
      </c>
      <c r="H466">
        <v>1</v>
      </c>
      <c r="I466">
        <v>1E-4</v>
      </c>
      <c r="J466">
        <v>1000</v>
      </c>
      <c r="K466">
        <v>0</v>
      </c>
      <c r="L466">
        <v>0</v>
      </c>
      <c r="M466">
        <v>98.3</v>
      </c>
      <c r="N466">
        <v>0</v>
      </c>
      <c r="O466">
        <v>98.3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150000</v>
      </c>
      <c r="AB466">
        <v>0</v>
      </c>
      <c r="AC466">
        <v>0</v>
      </c>
      <c r="AD466" t="s">
        <v>2</v>
      </c>
      <c r="AE466" t="s">
        <v>2</v>
      </c>
      <c r="AF466" t="s">
        <v>226</v>
      </c>
      <c r="AG466" t="s">
        <v>226</v>
      </c>
      <c r="AH466">
        <v>6</v>
      </c>
      <c r="AI466" t="s">
        <v>2583</v>
      </c>
      <c r="AJ466" t="s">
        <v>2584</v>
      </c>
      <c r="AK466" t="s">
        <v>2416</v>
      </c>
      <c r="AL466" t="s">
        <v>272</v>
      </c>
    </row>
    <row r="467" spans="1:38">
      <c r="A467" t="s">
        <v>2660</v>
      </c>
      <c r="B467" t="s">
        <v>2661</v>
      </c>
      <c r="C467" t="s">
        <v>2662</v>
      </c>
      <c r="D467" t="s">
        <v>2662</v>
      </c>
      <c r="E467" t="s">
        <v>2663</v>
      </c>
      <c r="F467" t="s">
        <v>2425</v>
      </c>
      <c r="G467">
        <v>3</v>
      </c>
      <c r="H467">
        <v>1</v>
      </c>
      <c r="I467">
        <v>0.01</v>
      </c>
      <c r="J467">
        <v>1000</v>
      </c>
      <c r="K467">
        <v>0</v>
      </c>
      <c r="L467">
        <v>0</v>
      </c>
      <c r="M467">
        <v>86.97</v>
      </c>
      <c r="N467">
        <v>87.92</v>
      </c>
      <c r="O467">
        <v>85.16</v>
      </c>
      <c r="P467">
        <v>0</v>
      </c>
      <c r="Q467">
        <v>0</v>
      </c>
      <c r="R467">
        <v>0</v>
      </c>
      <c r="S467">
        <v>85.31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402348</v>
      </c>
      <c r="AB467">
        <v>0</v>
      </c>
      <c r="AC467">
        <v>0</v>
      </c>
      <c r="AD467" t="s">
        <v>2</v>
      </c>
      <c r="AE467" t="s">
        <v>2</v>
      </c>
      <c r="AF467" t="s">
        <v>226</v>
      </c>
      <c r="AG467" t="s">
        <v>226</v>
      </c>
      <c r="AH467">
        <v>-100</v>
      </c>
      <c r="AI467" t="s">
        <v>2583</v>
      </c>
      <c r="AJ467" t="s">
        <v>2584</v>
      </c>
      <c r="AK467" t="s">
        <v>2426</v>
      </c>
      <c r="AL467" t="s">
        <v>272</v>
      </c>
    </row>
    <row r="468" spans="1:38">
      <c r="A468" t="s">
        <v>2664</v>
      </c>
      <c r="B468" t="s">
        <v>2665</v>
      </c>
      <c r="C468" t="s">
        <v>2666</v>
      </c>
      <c r="D468" t="s">
        <v>2666</v>
      </c>
      <c r="E468" t="s">
        <v>2667</v>
      </c>
      <c r="F468" t="s">
        <v>2425</v>
      </c>
      <c r="G468">
        <v>3</v>
      </c>
      <c r="H468">
        <v>1</v>
      </c>
      <c r="I468">
        <v>1E-4</v>
      </c>
      <c r="J468">
        <v>1000</v>
      </c>
      <c r="K468">
        <v>0</v>
      </c>
      <c r="L468">
        <v>0</v>
      </c>
      <c r="M468">
        <v>70.489999999999995</v>
      </c>
      <c r="N468">
        <v>70.200699999999998</v>
      </c>
      <c r="O468">
        <v>68.946799999999996</v>
      </c>
      <c r="P468">
        <v>0</v>
      </c>
      <c r="Q468">
        <v>0</v>
      </c>
      <c r="R468">
        <v>0</v>
      </c>
      <c r="S468">
        <v>69.386499999999998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343388</v>
      </c>
      <c r="AB468">
        <v>0</v>
      </c>
      <c r="AC468">
        <v>0</v>
      </c>
      <c r="AD468" t="s">
        <v>4</v>
      </c>
      <c r="AE468" t="s">
        <v>2</v>
      </c>
      <c r="AF468" t="s">
        <v>226</v>
      </c>
      <c r="AG468" t="s">
        <v>226</v>
      </c>
      <c r="AH468">
        <v>-100</v>
      </c>
      <c r="AI468" t="s">
        <v>2583</v>
      </c>
      <c r="AJ468" t="s">
        <v>2584</v>
      </c>
      <c r="AK468" t="s">
        <v>2426</v>
      </c>
      <c r="AL468" t="s">
        <v>272</v>
      </c>
    </row>
    <row r="469" spans="1:38">
      <c r="A469" t="s">
        <v>2668</v>
      </c>
      <c r="B469" t="s">
        <v>2669</v>
      </c>
      <c r="C469" t="s">
        <v>2670</v>
      </c>
      <c r="D469" t="s">
        <v>2670</v>
      </c>
      <c r="E469" t="s">
        <v>2671</v>
      </c>
      <c r="F469" t="s">
        <v>2425</v>
      </c>
      <c r="G469">
        <v>3</v>
      </c>
      <c r="H469">
        <v>1</v>
      </c>
      <c r="I469">
        <v>1E-4</v>
      </c>
      <c r="J469">
        <v>1000</v>
      </c>
      <c r="K469">
        <v>0</v>
      </c>
      <c r="L469">
        <v>0</v>
      </c>
      <c r="M469">
        <v>91.741799999999998</v>
      </c>
      <c r="N469">
        <v>92.088399999999993</v>
      </c>
      <c r="O469">
        <v>91.325699999999998</v>
      </c>
      <c r="P469">
        <v>0</v>
      </c>
      <c r="Q469">
        <v>0</v>
      </c>
      <c r="R469">
        <v>0</v>
      </c>
      <c r="S469">
        <v>90.279700000000005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748626</v>
      </c>
      <c r="AB469">
        <v>0</v>
      </c>
      <c r="AC469">
        <v>0</v>
      </c>
      <c r="AD469" t="s">
        <v>2</v>
      </c>
      <c r="AE469" t="s">
        <v>2</v>
      </c>
      <c r="AF469" t="s">
        <v>226</v>
      </c>
      <c r="AG469" t="s">
        <v>226</v>
      </c>
      <c r="AH469">
        <v>-100</v>
      </c>
      <c r="AI469" t="s">
        <v>2583</v>
      </c>
      <c r="AJ469" t="s">
        <v>2584</v>
      </c>
      <c r="AK469" t="s">
        <v>2426</v>
      </c>
      <c r="AL469" t="s">
        <v>272</v>
      </c>
    </row>
    <row r="470" spans="1:38">
      <c r="A470" t="s">
        <v>2672</v>
      </c>
      <c r="B470" t="s">
        <v>226</v>
      </c>
      <c r="C470" t="s">
        <v>2673</v>
      </c>
      <c r="D470" t="s">
        <v>2673</v>
      </c>
      <c r="E470" t="s">
        <v>2674</v>
      </c>
      <c r="F470" t="s">
        <v>2425</v>
      </c>
      <c r="G470">
        <v>1</v>
      </c>
      <c r="H470">
        <v>1</v>
      </c>
      <c r="I470">
        <v>1E-4</v>
      </c>
      <c r="J470">
        <v>1000</v>
      </c>
      <c r="K470">
        <v>0</v>
      </c>
      <c r="L470">
        <v>0</v>
      </c>
      <c r="M470">
        <v>83.332099999999997</v>
      </c>
      <c r="N470">
        <v>81.228800000000007</v>
      </c>
      <c r="O470">
        <v>83.332099999999997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700000</v>
      </c>
      <c r="AB470">
        <v>0</v>
      </c>
      <c r="AC470">
        <v>0</v>
      </c>
      <c r="AD470" t="s">
        <v>2</v>
      </c>
      <c r="AE470" t="s">
        <v>2</v>
      </c>
      <c r="AF470" t="s">
        <v>226</v>
      </c>
      <c r="AG470" t="s">
        <v>226</v>
      </c>
      <c r="AH470">
        <v>-1</v>
      </c>
      <c r="AI470" t="s">
        <v>2583</v>
      </c>
      <c r="AJ470" t="s">
        <v>2584</v>
      </c>
      <c r="AK470" t="s">
        <v>2426</v>
      </c>
      <c r="AL470" t="s">
        <v>272</v>
      </c>
    </row>
    <row r="471" spans="1:38">
      <c r="A471" t="s">
        <v>2675</v>
      </c>
      <c r="B471" t="s">
        <v>2676</v>
      </c>
      <c r="C471" t="s">
        <v>2677</v>
      </c>
      <c r="D471" t="s">
        <v>2677</v>
      </c>
      <c r="E471" t="s">
        <v>2678</v>
      </c>
      <c r="F471" t="s">
        <v>2425</v>
      </c>
      <c r="G471">
        <v>3</v>
      </c>
      <c r="H471">
        <v>1</v>
      </c>
      <c r="I471">
        <v>1E-4</v>
      </c>
      <c r="J471">
        <v>150000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200</v>
      </c>
      <c r="AB471">
        <v>0</v>
      </c>
      <c r="AC471">
        <v>0</v>
      </c>
      <c r="AD471" t="s">
        <v>2</v>
      </c>
      <c r="AE471" t="s">
        <v>2</v>
      </c>
      <c r="AF471" t="s">
        <v>304</v>
      </c>
      <c r="AG471" t="s">
        <v>226</v>
      </c>
      <c r="AH471">
        <v>0</v>
      </c>
      <c r="AI471" t="s">
        <v>2583</v>
      </c>
      <c r="AJ471" t="s">
        <v>2584</v>
      </c>
      <c r="AK471" t="s">
        <v>2426</v>
      </c>
      <c r="AL471" t="s">
        <v>272</v>
      </c>
    </row>
    <row r="472" spans="1:38">
      <c r="A472" t="s">
        <v>2679</v>
      </c>
      <c r="B472" t="s">
        <v>2680</v>
      </c>
      <c r="C472" t="s">
        <v>2681</v>
      </c>
      <c r="D472" t="s">
        <v>2681</v>
      </c>
      <c r="E472" t="s">
        <v>2682</v>
      </c>
      <c r="F472" t="s">
        <v>2413</v>
      </c>
      <c r="G472">
        <v>2</v>
      </c>
      <c r="H472">
        <v>1</v>
      </c>
      <c r="I472">
        <v>1E-4</v>
      </c>
      <c r="J472">
        <v>1000</v>
      </c>
      <c r="K472">
        <v>0</v>
      </c>
      <c r="L472">
        <v>0</v>
      </c>
      <c r="M472">
        <v>72.899900000000002</v>
      </c>
      <c r="N472">
        <v>73.040899999999993</v>
      </c>
      <c r="O472">
        <v>71.674999999999997</v>
      </c>
      <c r="P472">
        <v>0</v>
      </c>
      <c r="Q472">
        <v>0</v>
      </c>
      <c r="R472">
        <v>0</v>
      </c>
      <c r="S472">
        <v>72.176400000000001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395000</v>
      </c>
      <c r="AB472">
        <v>0</v>
      </c>
      <c r="AC472">
        <v>0</v>
      </c>
      <c r="AD472" t="s">
        <v>2</v>
      </c>
      <c r="AE472" t="s">
        <v>2</v>
      </c>
      <c r="AF472" t="s">
        <v>226</v>
      </c>
      <c r="AG472" t="s">
        <v>226</v>
      </c>
      <c r="AH472">
        <v>6</v>
      </c>
      <c r="AI472" t="s">
        <v>2583</v>
      </c>
      <c r="AJ472" t="s">
        <v>2584</v>
      </c>
      <c r="AK472" t="s">
        <v>2416</v>
      </c>
      <c r="AL472" t="s">
        <v>272</v>
      </c>
    </row>
    <row r="473" spans="1:38">
      <c r="A473" t="s">
        <v>2683</v>
      </c>
      <c r="B473" t="s">
        <v>2684</v>
      </c>
      <c r="C473" t="s">
        <v>2685</v>
      </c>
      <c r="D473" t="s">
        <v>2685</v>
      </c>
      <c r="E473" t="s">
        <v>2686</v>
      </c>
      <c r="F473" t="s">
        <v>2425</v>
      </c>
      <c r="G473">
        <v>3</v>
      </c>
      <c r="H473">
        <v>1</v>
      </c>
      <c r="I473">
        <v>1E-4</v>
      </c>
      <c r="J473">
        <v>1000</v>
      </c>
      <c r="K473">
        <v>0</v>
      </c>
      <c r="L473">
        <v>0</v>
      </c>
      <c r="M473">
        <v>79.001999999999995</v>
      </c>
      <c r="N473">
        <v>79.969399999999993</v>
      </c>
      <c r="O473">
        <v>79.001999999999995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50000</v>
      </c>
      <c r="AB473">
        <v>0</v>
      </c>
      <c r="AC473">
        <v>0</v>
      </c>
      <c r="AD473" t="s">
        <v>2</v>
      </c>
      <c r="AE473" t="s">
        <v>2</v>
      </c>
      <c r="AF473" t="s">
        <v>304</v>
      </c>
      <c r="AG473" t="s">
        <v>226</v>
      </c>
      <c r="AH473">
        <v>0</v>
      </c>
      <c r="AI473" t="s">
        <v>2583</v>
      </c>
      <c r="AJ473" t="s">
        <v>2584</v>
      </c>
      <c r="AK473" t="s">
        <v>2426</v>
      </c>
      <c r="AL473" t="s">
        <v>272</v>
      </c>
    </row>
    <row r="474" spans="1:38">
      <c r="A474" t="s">
        <v>2687</v>
      </c>
      <c r="B474" t="s">
        <v>2688</v>
      </c>
      <c r="C474" t="s">
        <v>2689</v>
      </c>
      <c r="D474" t="s">
        <v>2689</v>
      </c>
      <c r="E474" t="s">
        <v>2690</v>
      </c>
      <c r="F474" t="s">
        <v>2413</v>
      </c>
      <c r="G474">
        <v>3</v>
      </c>
      <c r="H474">
        <v>1</v>
      </c>
      <c r="I474">
        <v>1E-4</v>
      </c>
      <c r="J474">
        <v>1000</v>
      </c>
      <c r="K474">
        <v>0</v>
      </c>
      <c r="L474">
        <v>0</v>
      </c>
      <c r="M474">
        <v>97</v>
      </c>
      <c r="N474">
        <v>97.612300000000005</v>
      </c>
      <c r="O474">
        <v>97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150000</v>
      </c>
      <c r="AB474">
        <v>0</v>
      </c>
      <c r="AC474">
        <v>0</v>
      </c>
      <c r="AD474" t="s">
        <v>2</v>
      </c>
      <c r="AE474" t="s">
        <v>2</v>
      </c>
      <c r="AF474" t="s">
        <v>226</v>
      </c>
      <c r="AG474" t="s">
        <v>226</v>
      </c>
      <c r="AH474">
        <v>6</v>
      </c>
      <c r="AI474" t="s">
        <v>2583</v>
      </c>
      <c r="AJ474" t="s">
        <v>2584</v>
      </c>
      <c r="AK474" t="s">
        <v>2416</v>
      </c>
      <c r="AL474" t="s">
        <v>272</v>
      </c>
    </row>
    <row r="475" spans="1:38">
      <c r="A475" t="s">
        <v>2691</v>
      </c>
      <c r="B475" t="s">
        <v>2692</v>
      </c>
      <c r="C475" t="s">
        <v>2693</v>
      </c>
      <c r="D475" t="s">
        <v>2693</v>
      </c>
      <c r="E475" t="s">
        <v>2694</v>
      </c>
      <c r="F475" t="s">
        <v>2413</v>
      </c>
      <c r="G475">
        <v>2</v>
      </c>
      <c r="H475">
        <v>1</v>
      </c>
      <c r="I475">
        <v>1E-4</v>
      </c>
      <c r="J475">
        <v>1000</v>
      </c>
      <c r="K475">
        <v>0</v>
      </c>
      <c r="L475">
        <v>0</v>
      </c>
      <c r="M475">
        <v>92.55</v>
      </c>
      <c r="N475">
        <v>0</v>
      </c>
      <c r="O475">
        <v>92.55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210000</v>
      </c>
      <c r="AB475">
        <v>0</v>
      </c>
      <c r="AC475">
        <v>0</v>
      </c>
      <c r="AD475" t="s">
        <v>2</v>
      </c>
      <c r="AE475" t="s">
        <v>2</v>
      </c>
      <c r="AF475" t="s">
        <v>226</v>
      </c>
      <c r="AG475" t="s">
        <v>226</v>
      </c>
      <c r="AH475">
        <v>-100</v>
      </c>
      <c r="AI475" t="s">
        <v>2583</v>
      </c>
      <c r="AJ475" t="s">
        <v>2584</v>
      </c>
      <c r="AK475" t="s">
        <v>2416</v>
      </c>
      <c r="AL475" t="s">
        <v>272</v>
      </c>
    </row>
    <row r="476" spans="1:38">
      <c r="A476" t="s">
        <v>2695</v>
      </c>
      <c r="B476" t="s">
        <v>2696</v>
      </c>
      <c r="C476" t="s">
        <v>2697</v>
      </c>
      <c r="D476" t="s">
        <v>2697</v>
      </c>
      <c r="E476" t="s">
        <v>2698</v>
      </c>
      <c r="F476" t="s">
        <v>2413</v>
      </c>
      <c r="G476">
        <v>2</v>
      </c>
      <c r="H476">
        <v>1</v>
      </c>
      <c r="I476">
        <v>1E-4</v>
      </c>
      <c r="J476">
        <v>1000</v>
      </c>
      <c r="K476">
        <v>0</v>
      </c>
      <c r="L476">
        <v>0</v>
      </c>
      <c r="M476">
        <v>88.05</v>
      </c>
      <c r="N476">
        <v>0</v>
      </c>
      <c r="O476">
        <v>88.05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300000</v>
      </c>
      <c r="AB476">
        <v>0</v>
      </c>
      <c r="AC476">
        <v>0</v>
      </c>
      <c r="AD476" t="s">
        <v>2</v>
      </c>
      <c r="AE476" t="s">
        <v>2</v>
      </c>
      <c r="AF476" t="s">
        <v>226</v>
      </c>
      <c r="AG476" t="s">
        <v>226</v>
      </c>
      <c r="AH476">
        <v>-100</v>
      </c>
      <c r="AI476" t="s">
        <v>2583</v>
      </c>
      <c r="AJ476" t="s">
        <v>2584</v>
      </c>
      <c r="AK476" t="s">
        <v>2416</v>
      </c>
      <c r="AL476" t="s">
        <v>272</v>
      </c>
    </row>
    <row r="477" spans="1:38">
      <c r="A477" t="s">
        <v>2699</v>
      </c>
      <c r="B477" t="s">
        <v>2700</v>
      </c>
      <c r="C477" t="s">
        <v>2701</v>
      </c>
      <c r="D477" t="s">
        <v>2701</v>
      </c>
      <c r="E477" t="s">
        <v>2702</v>
      </c>
      <c r="F477" t="s">
        <v>2413</v>
      </c>
      <c r="G477">
        <v>2</v>
      </c>
      <c r="H477">
        <v>1</v>
      </c>
      <c r="I477">
        <v>1E-4</v>
      </c>
      <c r="J477">
        <v>1000</v>
      </c>
      <c r="K477">
        <v>0</v>
      </c>
      <c r="L477">
        <v>0</v>
      </c>
      <c r="M477">
        <v>84.05</v>
      </c>
      <c r="N477">
        <v>0</v>
      </c>
      <c r="O477">
        <v>84.05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300000</v>
      </c>
      <c r="AB477">
        <v>0</v>
      </c>
      <c r="AC477">
        <v>0</v>
      </c>
      <c r="AD477" t="s">
        <v>2</v>
      </c>
      <c r="AE477" t="s">
        <v>2</v>
      </c>
      <c r="AF477" t="s">
        <v>226</v>
      </c>
      <c r="AG477" t="s">
        <v>226</v>
      </c>
      <c r="AH477">
        <v>-100</v>
      </c>
      <c r="AI477" t="s">
        <v>2583</v>
      </c>
      <c r="AJ477" t="s">
        <v>2584</v>
      </c>
      <c r="AK477" t="s">
        <v>2416</v>
      </c>
      <c r="AL477" t="s">
        <v>272</v>
      </c>
    </row>
    <row r="478" spans="1:38">
      <c r="A478" t="s">
        <v>2703</v>
      </c>
      <c r="B478" t="s">
        <v>2704</v>
      </c>
      <c r="C478" t="s">
        <v>2705</v>
      </c>
      <c r="D478" t="s">
        <v>2705</v>
      </c>
      <c r="E478" t="s">
        <v>2706</v>
      </c>
      <c r="F478" t="s">
        <v>2413</v>
      </c>
      <c r="G478">
        <v>2</v>
      </c>
      <c r="H478">
        <v>1</v>
      </c>
      <c r="I478">
        <v>1E-4</v>
      </c>
      <c r="J478">
        <v>1000</v>
      </c>
      <c r="K478">
        <v>0</v>
      </c>
      <c r="L478">
        <v>0</v>
      </c>
      <c r="M478">
        <v>80.05</v>
      </c>
      <c r="N478">
        <v>0</v>
      </c>
      <c r="O478">
        <v>80.05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400000</v>
      </c>
      <c r="AB478">
        <v>0</v>
      </c>
      <c r="AC478">
        <v>0</v>
      </c>
      <c r="AD478" t="s">
        <v>2</v>
      </c>
      <c r="AE478" t="s">
        <v>2</v>
      </c>
      <c r="AF478" t="s">
        <v>226</v>
      </c>
      <c r="AG478" t="s">
        <v>226</v>
      </c>
      <c r="AH478">
        <v>-100</v>
      </c>
      <c r="AI478" t="s">
        <v>2583</v>
      </c>
      <c r="AJ478" t="s">
        <v>2584</v>
      </c>
      <c r="AK478" t="s">
        <v>2416</v>
      </c>
      <c r="AL478" t="s">
        <v>272</v>
      </c>
    </row>
    <row r="479" spans="1:38">
      <c r="A479" t="s">
        <v>2707</v>
      </c>
      <c r="B479" t="s">
        <v>2708</v>
      </c>
      <c r="C479" t="s">
        <v>2709</v>
      </c>
      <c r="D479" t="s">
        <v>2709</v>
      </c>
      <c r="E479" t="s">
        <v>2710</v>
      </c>
      <c r="F479" t="s">
        <v>2413</v>
      </c>
      <c r="G479">
        <v>2</v>
      </c>
      <c r="H479">
        <v>1</v>
      </c>
      <c r="I479">
        <v>1E-4</v>
      </c>
      <c r="J479">
        <v>1000</v>
      </c>
      <c r="K479">
        <v>0</v>
      </c>
      <c r="L479">
        <v>0</v>
      </c>
      <c r="M479">
        <v>76.55</v>
      </c>
      <c r="N479">
        <v>0</v>
      </c>
      <c r="O479">
        <v>76.55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400000</v>
      </c>
      <c r="AB479">
        <v>0</v>
      </c>
      <c r="AC479">
        <v>0</v>
      </c>
      <c r="AD479" t="s">
        <v>2</v>
      </c>
      <c r="AE479" t="s">
        <v>2</v>
      </c>
      <c r="AF479" t="s">
        <v>226</v>
      </c>
      <c r="AG479" t="s">
        <v>226</v>
      </c>
      <c r="AH479">
        <v>-100</v>
      </c>
      <c r="AI479" t="s">
        <v>2583</v>
      </c>
      <c r="AJ479" t="s">
        <v>2584</v>
      </c>
      <c r="AK479" t="s">
        <v>2416</v>
      </c>
      <c r="AL479" t="s">
        <v>272</v>
      </c>
    </row>
    <row r="480" spans="1:38">
      <c r="A480" t="s">
        <v>2711</v>
      </c>
      <c r="B480" t="s">
        <v>2712</v>
      </c>
      <c r="C480" t="s">
        <v>2713</v>
      </c>
      <c r="D480" t="s">
        <v>2713</v>
      </c>
      <c r="E480" t="s">
        <v>2714</v>
      </c>
      <c r="F480" t="s">
        <v>2413</v>
      </c>
      <c r="G480">
        <v>2</v>
      </c>
      <c r="H480">
        <v>1</v>
      </c>
      <c r="I480">
        <v>1E-4</v>
      </c>
      <c r="J480">
        <v>1000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400000</v>
      </c>
      <c r="AB480">
        <v>0</v>
      </c>
      <c r="AC480">
        <v>0</v>
      </c>
      <c r="AD480" t="s">
        <v>2</v>
      </c>
      <c r="AE480" t="s">
        <v>2</v>
      </c>
      <c r="AF480" t="s">
        <v>226</v>
      </c>
      <c r="AG480" t="s">
        <v>226</v>
      </c>
      <c r="AH480">
        <v>-100</v>
      </c>
      <c r="AI480" t="s">
        <v>2583</v>
      </c>
      <c r="AJ480" t="s">
        <v>2584</v>
      </c>
      <c r="AK480" t="s">
        <v>2416</v>
      </c>
      <c r="AL480" t="s">
        <v>272</v>
      </c>
    </row>
    <row r="481" spans="1:38">
      <c r="A481" t="s">
        <v>2715</v>
      </c>
      <c r="B481" t="s">
        <v>2716</v>
      </c>
      <c r="C481" t="s">
        <v>2717</v>
      </c>
      <c r="D481" t="s">
        <v>2717</v>
      </c>
      <c r="E481" t="s">
        <v>2718</v>
      </c>
      <c r="F481" t="s">
        <v>2413</v>
      </c>
      <c r="G481">
        <v>2</v>
      </c>
      <c r="H481">
        <v>1</v>
      </c>
      <c r="I481">
        <v>1E-4</v>
      </c>
      <c r="J481">
        <v>1000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400000</v>
      </c>
      <c r="AB481">
        <v>0</v>
      </c>
      <c r="AC481">
        <v>0</v>
      </c>
      <c r="AD481" t="s">
        <v>2</v>
      </c>
      <c r="AE481" t="s">
        <v>2</v>
      </c>
      <c r="AF481" t="s">
        <v>226</v>
      </c>
      <c r="AG481" t="s">
        <v>226</v>
      </c>
      <c r="AH481">
        <v>-100</v>
      </c>
      <c r="AI481" t="s">
        <v>2583</v>
      </c>
      <c r="AJ481" t="s">
        <v>2584</v>
      </c>
      <c r="AK481" t="s">
        <v>2416</v>
      </c>
      <c r="AL481" t="s">
        <v>272</v>
      </c>
    </row>
    <row r="482" spans="1:38">
      <c r="A482" t="s">
        <v>2719</v>
      </c>
      <c r="B482" t="s">
        <v>2720</v>
      </c>
      <c r="C482" t="s">
        <v>2721</v>
      </c>
      <c r="D482" t="s">
        <v>2721</v>
      </c>
      <c r="E482" t="s">
        <v>2722</v>
      </c>
      <c r="F482" t="s">
        <v>2413</v>
      </c>
      <c r="G482">
        <v>2</v>
      </c>
      <c r="H482">
        <v>1</v>
      </c>
      <c r="I482">
        <v>1E-4</v>
      </c>
      <c r="J482">
        <v>1000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280900</v>
      </c>
      <c r="AB482">
        <v>0</v>
      </c>
      <c r="AC482">
        <v>0</v>
      </c>
      <c r="AD482" t="s">
        <v>2</v>
      </c>
      <c r="AE482" t="s">
        <v>2</v>
      </c>
      <c r="AF482" t="s">
        <v>226</v>
      </c>
      <c r="AG482" t="s">
        <v>226</v>
      </c>
      <c r="AH482">
        <v>-100</v>
      </c>
      <c r="AI482" t="s">
        <v>2583</v>
      </c>
      <c r="AJ482" t="s">
        <v>2584</v>
      </c>
      <c r="AK482" t="s">
        <v>2416</v>
      </c>
      <c r="AL482" t="s">
        <v>272</v>
      </c>
    </row>
    <row r="483" spans="1:38">
      <c r="A483" t="s">
        <v>2723</v>
      </c>
      <c r="B483" t="s">
        <v>2724</v>
      </c>
      <c r="C483" t="s">
        <v>2725</v>
      </c>
      <c r="D483" t="s">
        <v>2725</v>
      </c>
      <c r="E483" t="s">
        <v>2726</v>
      </c>
      <c r="F483" t="s">
        <v>2425</v>
      </c>
      <c r="G483">
        <v>1</v>
      </c>
      <c r="H483">
        <v>100</v>
      </c>
      <c r="I483">
        <v>1E-4</v>
      </c>
      <c r="J483">
        <v>100</v>
      </c>
      <c r="K483">
        <v>0</v>
      </c>
      <c r="L483">
        <v>0</v>
      </c>
      <c r="M483">
        <v>66</v>
      </c>
      <c r="N483">
        <v>0</v>
      </c>
      <c r="O483">
        <v>66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1000000</v>
      </c>
      <c r="AB483">
        <v>0</v>
      </c>
      <c r="AC483">
        <v>0</v>
      </c>
      <c r="AD483" t="s">
        <v>2</v>
      </c>
      <c r="AE483" t="s">
        <v>2</v>
      </c>
      <c r="AF483" t="s">
        <v>226</v>
      </c>
      <c r="AG483" t="s">
        <v>226</v>
      </c>
      <c r="AH483">
        <v>800</v>
      </c>
      <c r="AI483" t="s">
        <v>2583</v>
      </c>
      <c r="AJ483" t="s">
        <v>2584</v>
      </c>
      <c r="AK483" t="s">
        <v>2426</v>
      </c>
      <c r="AL483" t="s">
        <v>272</v>
      </c>
    </row>
    <row r="484" spans="1:38">
      <c r="A484" t="s">
        <v>2727</v>
      </c>
      <c r="B484" t="s">
        <v>2728</v>
      </c>
      <c r="C484" t="s">
        <v>2729</v>
      </c>
      <c r="D484" t="s">
        <v>2729</v>
      </c>
      <c r="E484" t="s">
        <v>2730</v>
      </c>
      <c r="F484" t="s">
        <v>2425</v>
      </c>
      <c r="G484">
        <v>1</v>
      </c>
      <c r="H484">
        <v>100</v>
      </c>
      <c r="I484">
        <v>1E-4</v>
      </c>
      <c r="J484">
        <v>100</v>
      </c>
      <c r="K484">
        <v>0</v>
      </c>
      <c r="L484">
        <v>0</v>
      </c>
      <c r="M484">
        <v>90</v>
      </c>
      <c r="N484">
        <v>0</v>
      </c>
      <c r="O484">
        <v>90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1500000</v>
      </c>
      <c r="AB484">
        <v>0</v>
      </c>
      <c r="AC484">
        <v>0</v>
      </c>
      <c r="AD484" t="s">
        <v>2</v>
      </c>
      <c r="AE484" t="s">
        <v>2</v>
      </c>
      <c r="AF484" t="s">
        <v>226</v>
      </c>
      <c r="AG484" t="s">
        <v>226</v>
      </c>
      <c r="AH484">
        <v>6</v>
      </c>
      <c r="AI484" t="s">
        <v>2583</v>
      </c>
      <c r="AJ484" t="s">
        <v>2584</v>
      </c>
      <c r="AK484" t="s">
        <v>2426</v>
      </c>
      <c r="AL484" t="s">
        <v>272</v>
      </c>
    </row>
    <row r="485" spans="1:38">
      <c r="A485" t="s">
        <v>2731</v>
      </c>
      <c r="B485" t="s">
        <v>2732</v>
      </c>
      <c r="C485" t="s">
        <v>2733</v>
      </c>
      <c r="D485" t="s">
        <v>2733</v>
      </c>
      <c r="E485" t="s">
        <v>2734</v>
      </c>
      <c r="F485" t="s">
        <v>2413</v>
      </c>
      <c r="G485">
        <v>3</v>
      </c>
      <c r="H485">
        <v>1</v>
      </c>
      <c r="I485">
        <v>1E-4</v>
      </c>
      <c r="J485">
        <v>1000</v>
      </c>
      <c r="K485">
        <v>0</v>
      </c>
      <c r="L485">
        <v>0</v>
      </c>
      <c r="M485">
        <v>80.999899999999997</v>
      </c>
      <c r="N485">
        <v>79.995000000000005</v>
      </c>
      <c r="O485">
        <v>81</v>
      </c>
      <c r="P485">
        <v>0</v>
      </c>
      <c r="Q485">
        <v>0</v>
      </c>
      <c r="R485">
        <v>0</v>
      </c>
      <c r="S485">
        <v>80.560500000000005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34000</v>
      </c>
      <c r="AB485">
        <v>0</v>
      </c>
      <c r="AC485">
        <v>0</v>
      </c>
      <c r="AD485" t="s">
        <v>2</v>
      </c>
      <c r="AE485" t="s">
        <v>2</v>
      </c>
      <c r="AF485" t="s">
        <v>226</v>
      </c>
      <c r="AG485" t="s">
        <v>226</v>
      </c>
      <c r="AH485">
        <v>6</v>
      </c>
      <c r="AI485" t="s">
        <v>2583</v>
      </c>
      <c r="AJ485" t="s">
        <v>2584</v>
      </c>
      <c r="AK485" t="s">
        <v>2416</v>
      </c>
      <c r="AL485" t="s">
        <v>272</v>
      </c>
    </row>
    <row r="486" spans="1:38">
      <c r="A486" t="s">
        <v>2735</v>
      </c>
      <c r="B486" t="s">
        <v>2736</v>
      </c>
      <c r="C486" t="s">
        <v>2737</v>
      </c>
      <c r="D486" t="s">
        <v>2737</v>
      </c>
      <c r="E486" t="s">
        <v>2738</v>
      </c>
      <c r="F486" t="s">
        <v>2425</v>
      </c>
      <c r="G486">
        <v>3</v>
      </c>
      <c r="H486">
        <v>1</v>
      </c>
      <c r="I486">
        <v>1E-4</v>
      </c>
      <c r="J486">
        <v>150000</v>
      </c>
      <c r="K486">
        <v>0</v>
      </c>
      <c r="L486">
        <v>0</v>
      </c>
      <c r="M486">
        <v>100</v>
      </c>
      <c r="N486">
        <v>0</v>
      </c>
      <c r="O486">
        <v>100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400</v>
      </c>
      <c r="AB486">
        <v>0</v>
      </c>
      <c r="AC486">
        <v>0</v>
      </c>
      <c r="AD486" t="s">
        <v>2</v>
      </c>
      <c r="AE486" t="s">
        <v>2</v>
      </c>
      <c r="AF486" t="s">
        <v>304</v>
      </c>
      <c r="AG486" t="s">
        <v>226</v>
      </c>
      <c r="AH486">
        <v>0</v>
      </c>
      <c r="AI486" t="s">
        <v>2583</v>
      </c>
      <c r="AJ486" t="s">
        <v>2584</v>
      </c>
      <c r="AK486" t="s">
        <v>2426</v>
      </c>
      <c r="AL486" t="s">
        <v>272</v>
      </c>
    </row>
    <row r="487" spans="1:38">
      <c r="A487" t="s">
        <v>2739</v>
      </c>
      <c r="B487" t="s">
        <v>2740</v>
      </c>
      <c r="C487" t="s">
        <v>2741</v>
      </c>
      <c r="D487" t="s">
        <v>2741</v>
      </c>
      <c r="E487" t="s">
        <v>2742</v>
      </c>
      <c r="F487" t="s">
        <v>2743</v>
      </c>
      <c r="G487">
        <v>3</v>
      </c>
      <c r="H487">
        <v>1</v>
      </c>
      <c r="I487">
        <v>0.5</v>
      </c>
      <c r="J487" t="s">
        <v>226</v>
      </c>
      <c r="K487">
        <v>0.28999999999999998</v>
      </c>
      <c r="L487">
        <v>860</v>
      </c>
      <c r="M487">
        <v>857.5</v>
      </c>
      <c r="N487">
        <v>869</v>
      </c>
      <c r="O487">
        <v>860</v>
      </c>
      <c r="P487">
        <v>0</v>
      </c>
      <c r="Q487">
        <v>0</v>
      </c>
      <c r="R487">
        <v>0</v>
      </c>
      <c r="S487">
        <v>858</v>
      </c>
      <c r="T487">
        <v>848.5</v>
      </c>
      <c r="U487">
        <v>848.5</v>
      </c>
      <c r="V487">
        <v>864.5</v>
      </c>
      <c r="W487">
        <v>146694</v>
      </c>
      <c r="X487">
        <v>833.5</v>
      </c>
      <c r="Y487">
        <v>837.5</v>
      </c>
      <c r="Z487">
        <v>6</v>
      </c>
      <c r="AA487">
        <v>0</v>
      </c>
      <c r="AB487">
        <v>860</v>
      </c>
      <c r="AC487">
        <v>0</v>
      </c>
      <c r="AD487" t="s">
        <v>94</v>
      </c>
      <c r="AE487" t="s">
        <v>94</v>
      </c>
      <c r="AF487" t="s">
        <v>304</v>
      </c>
      <c r="AG487" t="s">
        <v>226</v>
      </c>
      <c r="AH487">
        <v>0</v>
      </c>
      <c r="AI487" t="s">
        <v>2744</v>
      </c>
      <c r="AJ487" t="s">
        <v>2745</v>
      </c>
      <c r="AK487" t="s">
        <v>2746</v>
      </c>
      <c r="AL487" t="s">
        <v>272</v>
      </c>
    </row>
    <row r="488" spans="1:38">
      <c r="A488" t="s">
        <v>2747</v>
      </c>
      <c r="B488" t="s">
        <v>2748</v>
      </c>
      <c r="C488" t="s">
        <v>2749</v>
      </c>
      <c r="D488" t="s">
        <v>2749</v>
      </c>
      <c r="E488" t="s">
        <v>2750</v>
      </c>
      <c r="F488" t="s">
        <v>2743</v>
      </c>
      <c r="G488">
        <v>3</v>
      </c>
      <c r="H488">
        <v>1</v>
      </c>
      <c r="I488">
        <v>50</v>
      </c>
      <c r="J488" t="s">
        <v>226</v>
      </c>
      <c r="K488">
        <v>0</v>
      </c>
      <c r="L488">
        <v>0</v>
      </c>
      <c r="M488">
        <v>91900</v>
      </c>
      <c r="N488">
        <v>92100</v>
      </c>
      <c r="O488">
        <v>91900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92200</v>
      </c>
      <c r="Y488">
        <v>92400</v>
      </c>
      <c r="Z488">
        <v>0</v>
      </c>
      <c r="AA488">
        <v>0</v>
      </c>
      <c r="AB488">
        <v>0</v>
      </c>
      <c r="AC488">
        <v>0</v>
      </c>
      <c r="AD488" t="s">
        <v>94</v>
      </c>
      <c r="AE488" t="s">
        <v>94</v>
      </c>
      <c r="AF488" t="s">
        <v>304</v>
      </c>
      <c r="AG488" t="s">
        <v>226</v>
      </c>
      <c r="AH488">
        <v>0</v>
      </c>
      <c r="AI488" t="s">
        <v>2744</v>
      </c>
      <c r="AJ488" t="s">
        <v>2745</v>
      </c>
      <c r="AK488" t="s">
        <v>2746</v>
      </c>
      <c r="AL488" t="s">
        <v>272</v>
      </c>
    </row>
    <row r="489" spans="1:38">
      <c r="A489" t="s">
        <v>2751</v>
      </c>
      <c r="B489" t="s">
        <v>2752</v>
      </c>
      <c r="C489" t="s">
        <v>2753</v>
      </c>
      <c r="D489" t="s">
        <v>2753</v>
      </c>
      <c r="E489" t="s">
        <v>2754</v>
      </c>
      <c r="F489" t="s">
        <v>1521</v>
      </c>
      <c r="G489">
        <v>3</v>
      </c>
      <c r="H489">
        <v>1</v>
      </c>
      <c r="I489">
        <v>2000</v>
      </c>
      <c r="J489" t="s">
        <v>226</v>
      </c>
      <c r="K489">
        <v>0</v>
      </c>
      <c r="L489">
        <v>0</v>
      </c>
      <c r="M489">
        <v>14700000</v>
      </c>
      <c r="N489">
        <v>0</v>
      </c>
      <c r="O489">
        <v>14700000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 t="s">
        <v>94</v>
      </c>
      <c r="AE489" t="s">
        <v>94</v>
      </c>
      <c r="AF489" t="s">
        <v>304</v>
      </c>
      <c r="AG489" t="s">
        <v>226</v>
      </c>
      <c r="AH489">
        <v>0</v>
      </c>
      <c r="AI489" t="s">
        <v>2744</v>
      </c>
      <c r="AJ489" t="s">
        <v>2745</v>
      </c>
      <c r="AK489" t="s">
        <v>1522</v>
      </c>
      <c r="AL489" t="s">
        <v>272</v>
      </c>
    </row>
    <row r="490" spans="1:38">
      <c r="A490" t="s">
        <v>2755</v>
      </c>
      <c r="B490" t="s">
        <v>2756</v>
      </c>
      <c r="C490" t="s">
        <v>2757</v>
      </c>
      <c r="D490" t="s">
        <v>2757</v>
      </c>
      <c r="E490" t="s">
        <v>2758</v>
      </c>
      <c r="F490" t="s">
        <v>2759</v>
      </c>
      <c r="G490">
        <v>3</v>
      </c>
      <c r="H490">
        <v>1</v>
      </c>
      <c r="I490">
        <v>0.5</v>
      </c>
      <c r="J490" t="s">
        <v>226</v>
      </c>
      <c r="K490">
        <v>1.96</v>
      </c>
      <c r="L490">
        <v>2447</v>
      </c>
      <c r="M490">
        <v>2400</v>
      </c>
      <c r="N490">
        <v>2485</v>
      </c>
      <c r="O490">
        <v>2447</v>
      </c>
      <c r="P490">
        <v>0</v>
      </c>
      <c r="Q490">
        <v>0</v>
      </c>
      <c r="R490">
        <v>0</v>
      </c>
      <c r="S490">
        <v>2456</v>
      </c>
      <c r="T490">
        <v>2441</v>
      </c>
      <c r="U490">
        <v>2441</v>
      </c>
      <c r="V490">
        <v>2488.5</v>
      </c>
      <c r="W490">
        <v>83498</v>
      </c>
      <c r="X490">
        <v>2450.5</v>
      </c>
      <c r="Y490">
        <v>2486.5</v>
      </c>
      <c r="Z490">
        <v>24</v>
      </c>
      <c r="AA490">
        <v>0</v>
      </c>
      <c r="AB490">
        <v>7341</v>
      </c>
      <c r="AC490">
        <v>0</v>
      </c>
      <c r="AD490" t="s">
        <v>94</v>
      </c>
      <c r="AE490" t="s">
        <v>94</v>
      </c>
      <c r="AF490" t="s">
        <v>226</v>
      </c>
      <c r="AG490" t="s">
        <v>226</v>
      </c>
      <c r="AH490">
        <v>-100</v>
      </c>
      <c r="AI490" t="s">
        <v>2744</v>
      </c>
      <c r="AJ490" t="s">
        <v>2745</v>
      </c>
      <c r="AK490" t="s">
        <v>1575</v>
      </c>
      <c r="AL490" t="s">
        <v>272</v>
      </c>
    </row>
    <row r="491" spans="1:38">
      <c r="A491" t="s">
        <v>2760</v>
      </c>
      <c r="B491" t="s">
        <v>2761</v>
      </c>
      <c r="C491" t="s">
        <v>2762</v>
      </c>
      <c r="D491" t="s">
        <v>2762</v>
      </c>
      <c r="E491" t="s">
        <v>2763</v>
      </c>
      <c r="F491" t="s">
        <v>1521</v>
      </c>
      <c r="G491">
        <v>3</v>
      </c>
      <c r="H491">
        <v>100</v>
      </c>
      <c r="I491">
        <v>0.01</v>
      </c>
      <c r="J491" t="s">
        <v>226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12745532</v>
      </c>
      <c r="AB491">
        <v>0</v>
      </c>
      <c r="AC491">
        <v>0</v>
      </c>
      <c r="AD491" t="s">
        <v>94</v>
      </c>
      <c r="AE491" t="s">
        <v>94</v>
      </c>
      <c r="AF491" t="s">
        <v>304</v>
      </c>
      <c r="AG491" t="s">
        <v>226</v>
      </c>
      <c r="AH491">
        <v>0</v>
      </c>
      <c r="AI491" t="s">
        <v>2744</v>
      </c>
      <c r="AJ491" t="s">
        <v>2745</v>
      </c>
      <c r="AK491" t="s">
        <v>1522</v>
      </c>
      <c r="AL491" t="s">
        <v>272</v>
      </c>
    </row>
    <row r="492" spans="1:38">
      <c r="A492" t="s">
        <v>2764</v>
      </c>
      <c r="B492" t="s">
        <v>2765</v>
      </c>
      <c r="C492" t="s">
        <v>2766</v>
      </c>
      <c r="D492" t="s">
        <v>2766</v>
      </c>
      <c r="E492" t="s">
        <v>2767</v>
      </c>
      <c r="F492" t="s">
        <v>1521</v>
      </c>
      <c r="G492">
        <v>3</v>
      </c>
      <c r="H492">
        <v>1</v>
      </c>
      <c r="I492">
        <v>10000</v>
      </c>
      <c r="J492" t="s">
        <v>226</v>
      </c>
      <c r="K492">
        <v>0</v>
      </c>
      <c r="L492">
        <v>0</v>
      </c>
      <c r="M492">
        <v>6640000</v>
      </c>
      <c r="N492">
        <v>0</v>
      </c>
      <c r="O492">
        <v>6640000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1600</v>
      </c>
      <c r="AB492">
        <v>0</v>
      </c>
      <c r="AC492">
        <v>0</v>
      </c>
      <c r="AD492" t="s">
        <v>94</v>
      </c>
      <c r="AE492" t="s">
        <v>94</v>
      </c>
      <c r="AF492" t="s">
        <v>304</v>
      </c>
      <c r="AG492" t="s">
        <v>226</v>
      </c>
      <c r="AH492">
        <v>0</v>
      </c>
      <c r="AI492" t="s">
        <v>2744</v>
      </c>
      <c r="AJ492" t="s">
        <v>2745</v>
      </c>
      <c r="AK492" t="s">
        <v>1522</v>
      </c>
      <c r="AL492" t="s">
        <v>272</v>
      </c>
    </row>
    <row r="493" spans="1:38">
      <c r="A493" t="s">
        <v>2768</v>
      </c>
      <c r="B493" t="s">
        <v>2769</v>
      </c>
      <c r="C493" t="s">
        <v>2770</v>
      </c>
      <c r="D493" t="s">
        <v>2770</v>
      </c>
      <c r="E493" t="s">
        <v>2771</v>
      </c>
      <c r="F493" t="s">
        <v>2743</v>
      </c>
      <c r="G493">
        <v>3</v>
      </c>
      <c r="H493">
        <v>1</v>
      </c>
      <c r="I493">
        <v>20</v>
      </c>
      <c r="J493" t="s">
        <v>226</v>
      </c>
      <c r="K493">
        <v>0</v>
      </c>
      <c r="L493">
        <v>0</v>
      </c>
      <c r="M493">
        <v>28600</v>
      </c>
      <c r="N493">
        <v>25940</v>
      </c>
      <c r="O493">
        <v>28600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17140</v>
      </c>
      <c r="Y493">
        <v>0</v>
      </c>
      <c r="Z493">
        <v>0</v>
      </c>
      <c r="AA493">
        <v>0</v>
      </c>
      <c r="AB493">
        <v>0</v>
      </c>
      <c r="AC493">
        <v>0</v>
      </c>
      <c r="AD493" t="s">
        <v>94</v>
      </c>
      <c r="AE493" t="s">
        <v>94</v>
      </c>
      <c r="AF493" t="s">
        <v>304</v>
      </c>
      <c r="AG493" t="s">
        <v>226</v>
      </c>
      <c r="AH493">
        <v>0</v>
      </c>
      <c r="AI493" t="s">
        <v>2744</v>
      </c>
      <c r="AJ493" t="s">
        <v>2745</v>
      </c>
      <c r="AK493" t="s">
        <v>2746</v>
      </c>
      <c r="AL493" t="s">
        <v>272</v>
      </c>
    </row>
    <row r="494" spans="1:38">
      <c r="A494" t="s">
        <v>2772</v>
      </c>
      <c r="B494" t="s">
        <v>2773</v>
      </c>
      <c r="C494" t="s">
        <v>2774</v>
      </c>
      <c r="D494" t="s">
        <v>2774</v>
      </c>
      <c r="E494" t="s">
        <v>2775</v>
      </c>
      <c r="F494" t="s">
        <v>2759</v>
      </c>
      <c r="G494">
        <v>3</v>
      </c>
      <c r="H494">
        <v>1</v>
      </c>
      <c r="I494">
        <v>0.5</v>
      </c>
      <c r="J494" t="s">
        <v>226</v>
      </c>
      <c r="K494">
        <v>0</v>
      </c>
      <c r="L494">
        <v>0</v>
      </c>
      <c r="M494">
        <v>2090</v>
      </c>
      <c r="N494">
        <v>2080.5</v>
      </c>
      <c r="O494">
        <v>2090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2075</v>
      </c>
      <c r="Y494">
        <v>2087.5</v>
      </c>
      <c r="Z494">
        <v>0</v>
      </c>
      <c r="AA494">
        <v>0</v>
      </c>
      <c r="AB494">
        <v>0</v>
      </c>
      <c r="AC494">
        <v>0</v>
      </c>
      <c r="AD494" t="s">
        <v>94</v>
      </c>
      <c r="AE494" t="s">
        <v>94</v>
      </c>
      <c r="AF494" t="s">
        <v>226</v>
      </c>
      <c r="AG494" t="s">
        <v>226</v>
      </c>
      <c r="AH494">
        <v>-100</v>
      </c>
      <c r="AI494" t="s">
        <v>2744</v>
      </c>
      <c r="AJ494" t="s">
        <v>2745</v>
      </c>
      <c r="AK494" t="s">
        <v>1575</v>
      </c>
      <c r="AL494" t="s">
        <v>272</v>
      </c>
    </row>
    <row r="495" spans="1:38">
      <c r="A495" t="s">
        <v>2776</v>
      </c>
      <c r="B495" t="s">
        <v>2777</v>
      </c>
      <c r="C495" t="s">
        <v>2778</v>
      </c>
      <c r="D495" t="s">
        <v>2778</v>
      </c>
      <c r="E495" t="s">
        <v>2779</v>
      </c>
      <c r="F495" t="s">
        <v>2759</v>
      </c>
      <c r="G495">
        <v>3</v>
      </c>
      <c r="H495">
        <v>1</v>
      </c>
      <c r="I495">
        <v>2</v>
      </c>
      <c r="J495" t="s">
        <v>226</v>
      </c>
      <c r="K495">
        <v>-0.12</v>
      </c>
      <c r="L495">
        <v>13032</v>
      </c>
      <c r="M495">
        <v>13048</v>
      </c>
      <c r="N495">
        <v>13218</v>
      </c>
      <c r="O495">
        <v>13038</v>
      </c>
      <c r="P495">
        <v>0</v>
      </c>
      <c r="Q495">
        <v>0</v>
      </c>
      <c r="R495">
        <v>0</v>
      </c>
      <c r="S495">
        <v>13108</v>
      </c>
      <c r="T495">
        <v>12646</v>
      </c>
      <c r="U495">
        <v>12646</v>
      </c>
      <c r="V495">
        <v>13990</v>
      </c>
      <c r="W495">
        <v>2097312</v>
      </c>
      <c r="X495">
        <v>13034</v>
      </c>
      <c r="Y495">
        <v>13060</v>
      </c>
      <c r="Z495">
        <v>29</v>
      </c>
      <c r="AA495">
        <v>0</v>
      </c>
      <c r="AB495">
        <v>65160</v>
      </c>
      <c r="AC495">
        <v>0</v>
      </c>
      <c r="AD495" t="s">
        <v>94</v>
      </c>
      <c r="AE495" t="s">
        <v>94</v>
      </c>
      <c r="AF495" t="s">
        <v>226</v>
      </c>
      <c r="AG495" t="s">
        <v>226</v>
      </c>
      <c r="AH495">
        <v>-100</v>
      </c>
      <c r="AI495" t="s">
        <v>2744</v>
      </c>
      <c r="AJ495" t="s">
        <v>2745</v>
      </c>
      <c r="AK495" t="s">
        <v>1575</v>
      </c>
      <c r="AL495" t="s">
        <v>272</v>
      </c>
    </row>
    <row r="496" spans="1:38">
      <c r="A496" t="s">
        <v>2780</v>
      </c>
      <c r="B496" t="s">
        <v>2781</v>
      </c>
      <c r="C496" t="s">
        <v>2782</v>
      </c>
      <c r="D496" t="s">
        <v>2782</v>
      </c>
      <c r="E496" t="s">
        <v>2783</v>
      </c>
      <c r="F496" t="s">
        <v>2759</v>
      </c>
      <c r="G496">
        <v>3</v>
      </c>
      <c r="H496">
        <v>1</v>
      </c>
      <c r="I496">
        <v>1</v>
      </c>
      <c r="J496" t="s">
        <v>226</v>
      </c>
      <c r="K496">
        <v>1.83</v>
      </c>
      <c r="L496">
        <v>780</v>
      </c>
      <c r="M496">
        <v>765</v>
      </c>
      <c r="N496">
        <v>767</v>
      </c>
      <c r="O496">
        <v>779</v>
      </c>
      <c r="P496">
        <v>0</v>
      </c>
      <c r="Q496">
        <v>0</v>
      </c>
      <c r="R496">
        <v>0</v>
      </c>
      <c r="S496">
        <v>764</v>
      </c>
      <c r="T496">
        <v>764</v>
      </c>
      <c r="U496">
        <v>763</v>
      </c>
      <c r="V496">
        <v>780</v>
      </c>
      <c r="W496">
        <v>58851</v>
      </c>
      <c r="X496">
        <v>770</v>
      </c>
      <c r="Y496">
        <v>775</v>
      </c>
      <c r="Z496">
        <v>6</v>
      </c>
      <c r="AA496">
        <v>0</v>
      </c>
      <c r="AB496">
        <v>1560</v>
      </c>
      <c r="AC496">
        <v>0</v>
      </c>
      <c r="AD496" t="s">
        <v>94</v>
      </c>
      <c r="AE496" t="s">
        <v>94</v>
      </c>
      <c r="AF496" t="s">
        <v>226</v>
      </c>
      <c r="AG496" t="s">
        <v>226</v>
      </c>
      <c r="AH496">
        <v>-100</v>
      </c>
      <c r="AI496" t="s">
        <v>2744</v>
      </c>
      <c r="AJ496" t="s">
        <v>2745</v>
      </c>
      <c r="AK496" t="s">
        <v>1575</v>
      </c>
      <c r="AL496" t="s">
        <v>272</v>
      </c>
    </row>
    <row r="497" spans="1:38">
      <c r="A497" t="s">
        <v>2784</v>
      </c>
      <c r="B497" t="s">
        <v>2785</v>
      </c>
      <c r="C497" t="s">
        <v>2786</v>
      </c>
      <c r="D497" t="s">
        <v>2786</v>
      </c>
      <c r="E497" t="s">
        <v>2787</v>
      </c>
      <c r="F497" t="s">
        <v>2759</v>
      </c>
      <c r="G497">
        <v>3</v>
      </c>
      <c r="H497">
        <v>1</v>
      </c>
      <c r="I497">
        <v>0.01</v>
      </c>
      <c r="J497" t="s">
        <v>226</v>
      </c>
      <c r="K497">
        <v>-0.96</v>
      </c>
      <c r="L497">
        <v>4.1399999999999997</v>
      </c>
      <c r="M497">
        <v>4.16</v>
      </c>
      <c r="N497">
        <v>4.2</v>
      </c>
      <c r="O497">
        <v>4.1399999999999997</v>
      </c>
      <c r="P497">
        <v>0</v>
      </c>
      <c r="Q497">
        <v>0</v>
      </c>
      <c r="R497">
        <v>0</v>
      </c>
      <c r="S497">
        <v>4.16</v>
      </c>
      <c r="T497">
        <v>4.18</v>
      </c>
      <c r="U497">
        <v>4.13</v>
      </c>
      <c r="V497">
        <v>4.2</v>
      </c>
      <c r="W497">
        <v>9050829</v>
      </c>
      <c r="X497">
        <v>4.13</v>
      </c>
      <c r="Y497">
        <v>4.1399999999999997</v>
      </c>
      <c r="Z497">
        <v>1006</v>
      </c>
      <c r="AA497">
        <v>0</v>
      </c>
      <c r="AB497">
        <v>12.42</v>
      </c>
      <c r="AC497">
        <v>0</v>
      </c>
      <c r="AD497" t="s">
        <v>94</v>
      </c>
      <c r="AE497" t="s">
        <v>94</v>
      </c>
      <c r="AF497" t="s">
        <v>226</v>
      </c>
      <c r="AG497" t="s">
        <v>226</v>
      </c>
      <c r="AH497">
        <v>-100</v>
      </c>
      <c r="AI497" t="s">
        <v>2744</v>
      </c>
      <c r="AJ497" t="s">
        <v>2745</v>
      </c>
      <c r="AK497" t="s">
        <v>1575</v>
      </c>
      <c r="AL497" t="s">
        <v>272</v>
      </c>
    </row>
    <row r="498" spans="1:38">
      <c r="A498" t="s">
        <v>2788</v>
      </c>
      <c r="B498" t="s">
        <v>2789</v>
      </c>
      <c r="C498" t="s">
        <v>2790</v>
      </c>
      <c r="D498" t="s">
        <v>2790</v>
      </c>
      <c r="E498" t="s">
        <v>2791</v>
      </c>
      <c r="F498" t="s">
        <v>2759</v>
      </c>
      <c r="G498">
        <v>3</v>
      </c>
      <c r="H498">
        <v>1</v>
      </c>
      <c r="I498">
        <v>2E-3</v>
      </c>
      <c r="J498" t="s">
        <v>226</v>
      </c>
      <c r="K498">
        <v>-2.37</v>
      </c>
      <c r="L498">
        <v>13.012</v>
      </c>
      <c r="M498">
        <v>13.194000000000001</v>
      </c>
      <c r="N498">
        <v>13.192</v>
      </c>
      <c r="O498">
        <v>13.044</v>
      </c>
      <c r="P498">
        <v>0</v>
      </c>
      <c r="Q498">
        <v>0</v>
      </c>
      <c r="R498">
        <v>0</v>
      </c>
      <c r="S498">
        <v>12.96</v>
      </c>
      <c r="T498">
        <v>13.19</v>
      </c>
      <c r="U498">
        <v>12.933999999999999</v>
      </c>
      <c r="V498">
        <v>13.19</v>
      </c>
      <c r="W498">
        <v>153244</v>
      </c>
      <c r="X498">
        <v>13.022</v>
      </c>
      <c r="Y498">
        <v>13.077999999999999</v>
      </c>
      <c r="Z498">
        <v>117</v>
      </c>
      <c r="AA498">
        <v>0</v>
      </c>
      <c r="AB498">
        <v>13.01</v>
      </c>
      <c r="AC498">
        <v>0</v>
      </c>
      <c r="AD498" t="s">
        <v>94</v>
      </c>
      <c r="AE498" t="s">
        <v>94</v>
      </c>
      <c r="AF498" t="s">
        <v>226</v>
      </c>
      <c r="AG498" t="s">
        <v>226</v>
      </c>
      <c r="AH498">
        <v>-100</v>
      </c>
      <c r="AI498" t="s">
        <v>2744</v>
      </c>
      <c r="AJ498" t="s">
        <v>2745</v>
      </c>
      <c r="AK498" t="s">
        <v>1575</v>
      </c>
      <c r="AL498" t="s">
        <v>272</v>
      </c>
    </row>
    <row r="499" spans="1:38">
      <c r="A499" t="s">
        <v>2792</v>
      </c>
      <c r="B499" t="s">
        <v>2793</v>
      </c>
      <c r="C499" t="s">
        <v>2794</v>
      </c>
      <c r="D499" t="s">
        <v>2794</v>
      </c>
      <c r="E499" t="s">
        <v>2795</v>
      </c>
      <c r="F499" t="s">
        <v>2759</v>
      </c>
      <c r="G499">
        <v>3</v>
      </c>
      <c r="H499">
        <v>1</v>
      </c>
      <c r="I499">
        <v>2E-3</v>
      </c>
      <c r="J499" t="s">
        <v>226</v>
      </c>
      <c r="K499">
        <v>0.13</v>
      </c>
      <c r="L499">
        <v>3.0139999999999998</v>
      </c>
      <c r="M499">
        <v>3.012</v>
      </c>
      <c r="N499">
        <v>3.008</v>
      </c>
      <c r="O499">
        <v>3.0139999999999998</v>
      </c>
      <c r="P499">
        <v>0</v>
      </c>
      <c r="Q499">
        <v>0</v>
      </c>
      <c r="R499">
        <v>0</v>
      </c>
      <c r="S499">
        <v>3.012</v>
      </c>
      <c r="T499">
        <v>3.012</v>
      </c>
      <c r="U499">
        <v>3.012</v>
      </c>
      <c r="V499">
        <v>3.016</v>
      </c>
      <c r="W499">
        <v>2421602</v>
      </c>
      <c r="X499">
        <v>3.012</v>
      </c>
      <c r="Y499">
        <v>3.0139999999999998</v>
      </c>
      <c r="Z499">
        <v>591</v>
      </c>
      <c r="AA499">
        <v>0</v>
      </c>
      <c r="AB499">
        <v>6.03</v>
      </c>
      <c r="AC499">
        <v>0</v>
      </c>
      <c r="AD499" t="s">
        <v>94</v>
      </c>
      <c r="AE499" t="s">
        <v>94</v>
      </c>
      <c r="AF499" t="s">
        <v>226</v>
      </c>
      <c r="AG499" t="s">
        <v>226</v>
      </c>
      <c r="AH499">
        <v>-100</v>
      </c>
      <c r="AI499" t="s">
        <v>2744</v>
      </c>
      <c r="AJ499" t="s">
        <v>2745</v>
      </c>
      <c r="AK499" t="s">
        <v>1575</v>
      </c>
      <c r="AL499" t="s">
        <v>272</v>
      </c>
    </row>
    <row r="500" spans="1:38">
      <c r="A500" t="s">
        <v>2796</v>
      </c>
      <c r="B500" t="s">
        <v>2797</v>
      </c>
      <c r="C500" t="s">
        <v>2798</v>
      </c>
      <c r="D500" t="s">
        <v>2798</v>
      </c>
      <c r="E500" t="s">
        <v>2799</v>
      </c>
      <c r="F500" t="s">
        <v>2759</v>
      </c>
      <c r="G500">
        <v>3</v>
      </c>
      <c r="H500">
        <v>1</v>
      </c>
      <c r="I500">
        <v>0.01</v>
      </c>
      <c r="J500" t="s">
        <v>226</v>
      </c>
      <c r="K500">
        <v>-1.1299999999999999</v>
      </c>
      <c r="L500">
        <v>80.67</v>
      </c>
      <c r="M500">
        <v>81.92</v>
      </c>
      <c r="N500">
        <v>81.83</v>
      </c>
      <c r="O500">
        <v>80.53</v>
      </c>
      <c r="P500">
        <v>0</v>
      </c>
      <c r="Q500">
        <v>0</v>
      </c>
      <c r="R500">
        <v>0</v>
      </c>
      <c r="S500">
        <v>80.77</v>
      </c>
      <c r="T500">
        <v>81.59</v>
      </c>
      <c r="U500">
        <v>79.27</v>
      </c>
      <c r="V500">
        <v>82.1</v>
      </c>
      <c r="W500">
        <v>9812661</v>
      </c>
      <c r="X500">
        <v>80.5</v>
      </c>
      <c r="Y500">
        <v>80.69</v>
      </c>
      <c r="Z500">
        <v>295</v>
      </c>
      <c r="AA500">
        <v>0</v>
      </c>
      <c r="AB500">
        <v>403.35</v>
      </c>
      <c r="AC500">
        <v>0</v>
      </c>
      <c r="AD500" t="s">
        <v>94</v>
      </c>
      <c r="AE500" t="s">
        <v>94</v>
      </c>
      <c r="AF500" t="s">
        <v>226</v>
      </c>
      <c r="AG500" t="s">
        <v>226</v>
      </c>
      <c r="AH500">
        <v>-100</v>
      </c>
      <c r="AI500" t="s">
        <v>2744</v>
      </c>
      <c r="AJ500" t="s">
        <v>2745</v>
      </c>
      <c r="AK500" t="s">
        <v>1575</v>
      </c>
      <c r="AL500" t="s">
        <v>272</v>
      </c>
    </row>
    <row r="501" spans="1:38">
      <c r="A501" t="s">
        <v>2800</v>
      </c>
      <c r="B501" t="s">
        <v>2801</v>
      </c>
      <c r="C501" t="s">
        <v>2802</v>
      </c>
      <c r="D501" t="s">
        <v>2802</v>
      </c>
      <c r="E501" t="s">
        <v>2803</v>
      </c>
      <c r="F501" t="s">
        <v>2759</v>
      </c>
      <c r="G501">
        <v>3</v>
      </c>
      <c r="H501">
        <v>1</v>
      </c>
      <c r="I501">
        <v>0.5</v>
      </c>
      <c r="J501" t="s">
        <v>226</v>
      </c>
      <c r="K501">
        <v>-1.96</v>
      </c>
      <c r="L501">
        <v>250</v>
      </c>
      <c r="M501">
        <v>254</v>
      </c>
      <c r="N501">
        <v>255</v>
      </c>
      <c r="O501">
        <v>250</v>
      </c>
      <c r="P501">
        <v>0</v>
      </c>
      <c r="Q501">
        <v>0</v>
      </c>
      <c r="R501">
        <v>0</v>
      </c>
      <c r="S501">
        <v>251</v>
      </c>
      <c r="T501">
        <v>255</v>
      </c>
      <c r="U501">
        <v>247</v>
      </c>
      <c r="V501">
        <v>255</v>
      </c>
      <c r="W501">
        <v>9254749</v>
      </c>
      <c r="X501">
        <v>250</v>
      </c>
      <c r="Y501">
        <v>252.5</v>
      </c>
      <c r="Z501">
        <v>133</v>
      </c>
      <c r="AA501">
        <v>0</v>
      </c>
      <c r="AB501">
        <v>12500</v>
      </c>
      <c r="AC501">
        <v>0</v>
      </c>
      <c r="AD501" t="s">
        <v>94</v>
      </c>
      <c r="AE501" t="s">
        <v>94</v>
      </c>
      <c r="AF501" t="s">
        <v>226</v>
      </c>
      <c r="AG501" t="s">
        <v>226</v>
      </c>
      <c r="AH501">
        <v>-100</v>
      </c>
      <c r="AI501" t="s">
        <v>2744</v>
      </c>
      <c r="AJ501" t="s">
        <v>2745</v>
      </c>
      <c r="AK501" t="s">
        <v>1575</v>
      </c>
      <c r="AL501" t="s">
        <v>272</v>
      </c>
    </row>
    <row r="502" spans="1:38">
      <c r="A502" t="s">
        <v>2804</v>
      </c>
      <c r="B502" t="s">
        <v>2805</v>
      </c>
      <c r="C502" t="s">
        <v>2806</v>
      </c>
      <c r="D502" t="s">
        <v>2806</v>
      </c>
      <c r="E502" t="s">
        <v>2807</v>
      </c>
      <c r="F502" t="s">
        <v>2759</v>
      </c>
      <c r="G502">
        <v>3</v>
      </c>
      <c r="H502">
        <v>1</v>
      </c>
      <c r="I502">
        <v>0.2</v>
      </c>
      <c r="J502" t="s">
        <v>226</v>
      </c>
      <c r="K502">
        <v>0</v>
      </c>
      <c r="L502">
        <v>203</v>
      </c>
      <c r="M502">
        <v>203</v>
      </c>
      <c r="N502">
        <v>203</v>
      </c>
      <c r="O502">
        <v>203</v>
      </c>
      <c r="P502">
        <v>0</v>
      </c>
      <c r="Q502">
        <v>0</v>
      </c>
      <c r="R502">
        <v>0</v>
      </c>
      <c r="S502">
        <v>203</v>
      </c>
      <c r="T502">
        <v>203</v>
      </c>
      <c r="U502">
        <v>203</v>
      </c>
      <c r="V502">
        <v>203.2</v>
      </c>
      <c r="W502">
        <v>872902</v>
      </c>
      <c r="X502">
        <v>203</v>
      </c>
      <c r="Y502">
        <v>203.2</v>
      </c>
      <c r="Z502">
        <v>25</v>
      </c>
      <c r="AA502">
        <v>0</v>
      </c>
      <c r="AB502">
        <v>203</v>
      </c>
      <c r="AC502">
        <v>0</v>
      </c>
      <c r="AD502" t="s">
        <v>94</v>
      </c>
      <c r="AE502" t="s">
        <v>94</v>
      </c>
      <c r="AF502" t="s">
        <v>226</v>
      </c>
      <c r="AG502" t="s">
        <v>226</v>
      </c>
      <c r="AH502">
        <v>-100</v>
      </c>
      <c r="AI502" t="s">
        <v>2744</v>
      </c>
      <c r="AJ502" t="s">
        <v>2745</v>
      </c>
      <c r="AK502" t="s">
        <v>1575</v>
      </c>
      <c r="AL502" t="s">
        <v>272</v>
      </c>
    </row>
    <row r="503" spans="1:38">
      <c r="A503" t="s">
        <v>2808</v>
      </c>
      <c r="B503" t="s">
        <v>2809</v>
      </c>
      <c r="C503" t="s">
        <v>2810</v>
      </c>
      <c r="D503" t="s">
        <v>2810</v>
      </c>
      <c r="E503" t="s">
        <v>2811</v>
      </c>
      <c r="F503" t="s">
        <v>2759</v>
      </c>
      <c r="G503">
        <v>3</v>
      </c>
      <c r="H503">
        <v>1</v>
      </c>
      <c r="I503">
        <v>0.2</v>
      </c>
      <c r="J503" t="s">
        <v>226</v>
      </c>
      <c r="K503">
        <v>0.2</v>
      </c>
      <c r="L503">
        <v>507.6</v>
      </c>
      <c r="M503">
        <v>507</v>
      </c>
      <c r="N503">
        <v>508.2</v>
      </c>
      <c r="O503">
        <v>507.6</v>
      </c>
      <c r="P503">
        <v>0</v>
      </c>
      <c r="Q503">
        <v>0</v>
      </c>
      <c r="R503">
        <v>0</v>
      </c>
      <c r="S503">
        <v>507.6</v>
      </c>
      <c r="T503">
        <v>506.6</v>
      </c>
      <c r="U503">
        <v>506</v>
      </c>
      <c r="V503">
        <v>509</v>
      </c>
      <c r="W503">
        <v>10755023</v>
      </c>
      <c r="X503">
        <v>507.2</v>
      </c>
      <c r="Y503">
        <v>507.6</v>
      </c>
      <c r="Z503">
        <v>152</v>
      </c>
      <c r="AA503">
        <v>0</v>
      </c>
      <c r="AB503">
        <v>507.6</v>
      </c>
      <c r="AC503">
        <v>0</v>
      </c>
      <c r="AD503" t="s">
        <v>94</v>
      </c>
      <c r="AE503" t="s">
        <v>94</v>
      </c>
      <c r="AF503" t="s">
        <v>226</v>
      </c>
      <c r="AG503" t="s">
        <v>226</v>
      </c>
      <c r="AH503">
        <v>-100</v>
      </c>
      <c r="AI503" t="s">
        <v>2744</v>
      </c>
      <c r="AJ503" t="s">
        <v>2745</v>
      </c>
      <c r="AK503" t="s">
        <v>1575</v>
      </c>
      <c r="AL503" t="s">
        <v>272</v>
      </c>
    </row>
    <row r="504" spans="1:38">
      <c r="A504" t="s">
        <v>2812</v>
      </c>
      <c r="B504" t="s">
        <v>2813</v>
      </c>
      <c r="C504" t="s">
        <v>2814</v>
      </c>
      <c r="D504" t="s">
        <v>2814</v>
      </c>
      <c r="E504" t="s">
        <v>2815</v>
      </c>
      <c r="F504" t="s">
        <v>2759</v>
      </c>
      <c r="G504">
        <v>3</v>
      </c>
      <c r="H504">
        <v>1</v>
      </c>
      <c r="I504">
        <v>1</v>
      </c>
      <c r="J504" t="s">
        <v>226</v>
      </c>
      <c r="K504">
        <v>-2.41</v>
      </c>
      <c r="L504">
        <v>687</v>
      </c>
      <c r="M504">
        <v>703</v>
      </c>
      <c r="N504">
        <v>704</v>
      </c>
      <c r="O504">
        <v>687</v>
      </c>
      <c r="P504">
        <v>0</v>
      </c>
      <c r="Q504">
        <v>0</v>
      </c>
      <c r="R504">
        <v>0</v>
      </c>
      <c r="S504">
        <v>686</v>
      </c>
      <c r="T504">
        <v>703</v>
      </c>
      <c r="U504">
        <v>686</v>
      </c>
      <c r="V504">
        <v>703</v>
      </c>
      <c r="W504">
        <v>914549</v>
      </c>
      <c r="X504">
        <v>687</v>
      </c>
      <c r="Y504">
        <v>691</v>
      </c>
      <c r="Z504">
        <v>19</v>
      </c>
      <c r="AA504">
        <v>0</v>
      </c>
      <c r="AB504">
        <v>1374</v>
      </c>
      <c r="AC504">
        <v>0</v>
      </c>
      <c r="AD504" t="s">
        <v>94</v>
      </c>
      <c r="AE504" t="s">
        <v>94</v>
      </c>
      <c r="AF504" t="s">
        <v>226</v>
      </c>
      <c r="AG504" t="s">
        <v>226</v>
      </c>
      <c r="AH504">
        <v>-100</v>
      </c>
      <c r="AI504" t="s">
        <v>2744</v>
      </c>
      <c r="AJ504" t="s">
        <v>2745</v>
      </c>
      <c r="AK504" t="s">
        <v>1575</v>
      </c>
      <c r="AL504" t="s">
        <v>272</v>
      </c>
    </row>
    <row r="505" spans="1:38">
      <c r="A505" t="s">
        <v>2816</v>
      </c>
      <c r="B505" t="s">
        <v>2817</v>
      </c>
      <c r="C505" t="s">
        <v>2818</v>
      </c>
      <c r="D505" t="s">
        <v>2818</v>
      </c>
      <c r="E505" t="s">
        <v>2819</v>
      </c>
      <c r="F505" t="s">
        <v>2743</v>
      </c>
      <c r="G505">
        <v>3</v>
      </c>
      <c r="H505">
        <v>1</v>
      </c>
      <c r="I505">
        <v>5</v>
      </c>
      <c r="J505" t="s">
        <v>226</v>
      </c>
      <c r="K505">
        <v>0</v>
      </c>
      <c r="L505">
        <v>0</v>
      </c>
      <c r="M505">
        <v>1870</v>
      </c>
      <c r="N505">
        <v>0</v>
      </c>
      <c r="O505">
        <v>1870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1800</v>
      </c>
      <c r="Y505">
        <v>1870</v>
      </c>
      <c r="Z505">
        <v>0</v>
      </c>
      <c r="AA505">
        <v>0</v>
      </c>
      <c r="AB505">
        <v>0</v>
      </c>
      <c r="AC505">
        <v>0</v>
      </c>
      <c r="AD505" t="s">
        <v>94</v>
      </c>
      <c r="AE505" t="s">
        <v>94</v>
      </c>
      <c r="AF505" t="s">
        <v>304</v>
      </c>
      <c r="AG505" t="s">
        <v>226</v>
      </c>
      <c r="AH505">
        <v>0</v>
      </c>
      <c r="AI505" t="s">
        <v>2744</v>
      </c>
      <c r="AJ505" t="s">
        <v>2745</v>
      </c>
      <c r="AK505" t="s">
        <v>2746</v>
      </c>
      <c r="AL505" t="s">
        <v>272</v>
      </c>
    </row>
    <row r="506" spans="1:38">
      <c r="A506" t="s">
        <v>2820</v>
      </c>
      <c r="B506" t="s">
        <v>2821</v>
      </c>
      <c r="C506" t="s">
        <v>2822</v>
      </c>
      <c r="D506" t="s">
        <v>2822</v>
      </c>
      <c r="E506" t="s">
        <v>2823</v>
      </c>
      <c r="F506" t="s">
        <v>2743</v>
      </c>
      <c r="G506">
        <v>3</v>
      </c>
      <c r="H506">
        <v>1</v>
      </c>
      <c r="I506">
        <v>5</v>
      </c>
      <c r="J506" t="s">
        <v>226</v>
      </c>
      <c r="K506">
        <v>0</v>
      </c>
      <c r="L506">
        <v>0</v>
      </c>
      <c r="M506">
        <v>1680</v>
      </c>
      <c r="N506">
        <v>0</v>
      </c>
      <c r="O506">
        <v>1680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1610</v>
      </c>
      <c r="Y506">
        <v>1680</v>
      </c>
      <c r="Z506">
        <v>0</v>
      </c>
      <c r="AA506">
        <v>0</v>
      </c>
      <c r="AB506">
        <v>0</v>
      </c>
      <c r="AC506">
        <v>0</v>
      </c>
      <c r="AD506" t="s">
        <v>94</v>
      </c>
      <c r="AE506" t="s">
        <v>94</v>
      </c>
      <c r="AF506" t="s">
        <v>304</v>
      </c>
      <c r="AG506" t="s">
        <v>226</v>
      </c>
      <c r="AH506">
        <v>0</v>
      </c>
      <c r="AI506" t="s">
        <v>2744</v>
      </c>
      <c r="AJ506" t="s">
        <v>2745</v>
      </c>
      <c r="AK506" t="s">
        <v>2746</v>
      </c>
      <c r="AL506" t="s">
        <v>272</v>
      </c>
    </row>
    <row r="507" spans="1:38">
      <c r="A507" t="s">
        <v>2824</v>
      </c>
      <c r="B507" t="s">
        <v>2825</v>
      </c>
      <c r="C507" t="s">
        <v>2826</v>
      </c>
      <c r="D507" t="s">
        <v>2826</v>
      </c>
      <c r="E507" t="s">
        <v>2827</v>
      </c>
      <c r="F507" t="s">
        <v>1521</v>
      </c>
      <c r="G507">
        <v>3</v>
      </c>
      <c r="H507">
        <v>1</v>
      </c>
      <c r="I507">
        <v>1</v>
      </c>
      <c r="J507" t="s">
        <v>226</v>
      </c>
      <c r="K507">
        <v>0</v>
      </c>
      <c r="L507">
        <v>0</v>
      </c>
      <c r="M507">
        <v>3248</v>
      </c>
      <c r="N507">
        <v>0</v>
      </c>
      <c r="O507">
        <v>3248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 t="s">
        <v>94</v>
      </c>
      <c r="AE507" t="s">
        <v>94</v>
      </c>
      <c r="AF507" t="s">
        <v>304</v>
      </c>
      <c r="AG507" t="s">
        <v>226</v>
      </c>
      <c r="AH507">
        <v>0</v>
      </c>
      <c r="AI507" t="s">
        <v>2744</v>
      </c>
      <c r="AJ507" t="s">
        <v>2745</v>
      </c>
      <c r="AK507" t="s">
        <v>1522</v>
      </c>
      <c r="AL507" t="s">
        <v>272</v>
      </c>
    </row>
    <row r="508" spans="1:38">
      <c r="A508" t="s">
        <v>2828</v>
      </c>
      <c r="B508" t="s">
        <v>2829</v>
      </c>
      <c r="C508" t="s">
        <v>2830</v>
      </c>
      <c r="D508" t="s">
        <v>2830</v>
      </c>
      <c r="E508" t="s">
        <v>2831</v>
      </c>
      <c r="F508" t="s">
        <v>1521</v>
      </c>
      <c r="G508">
        <v>3</v>
      </c>
      <c r="H508">
        <v>1</v>
      </c>
      <c r="I508">
        <v>0.1</v>
      </c>
      <c r="J508" t="s">
        <v>226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 t="s">
        <v>94</v>
      </c>
      <c r="AE508" t="s">
        <v>94</v>
      </c>
      <c r="AF508" t="s">
        <v>304</v>
      </c>
      <c r="AG508" t="s">
        <v>226</v>
      </c>
      <c r="AH508">
        <v>0</v>
      </c>
      <c r="AI508" t="s">
        <v>2744</v>
      </c>
      <c r="AJ508" t="s">
        <v>2745</v>
      </c>
      <c r="AK508" t="s">
        <v>1522</v>
      </c>
      <c r="AL508" t="s">
        <v>272</v>
      </c>
    </row>
    <row r="509" spans="1:38">
      <c r="A509" t="s">
        <v>2832</v>
      </c>
      <c r="B509" t="s">
        <v>2833</v>
      </c>
      <c r="C509" t="s">
        <v>2834</v>
      </c>
      <c r="D509" t="s">
        <v>2834</v>
      </c>
      <c r="E509" t="s">
        <v>2835</v>
      </c>
      <c r="F509" t="s">
        <v>1521</v>
      </c>
      <c r="G509">
        <v>2</v>
      </c>
      <c r="H509">
        <v>1</v>
      </c>
      <c r="I509">
        <v>0.2</v>
      </c>
      <c r="J509" t="s">
        <v>226</v>
      </c>
      <c r="K509">
        <v>1.34</v>
      </c>
      <c r="L509">
        <v>545.6</v>
      </c>
      <c r="M509">
        <v>536</v>
      </c>
      <c r="N509">
        <v>534.20000000000005</v>
      </c>
      <c r="O509">
        <v>545.6</v>
      </c>
      <c r="P509">
        <v>0</v>
      </c>
      <c r="Q509">
        <v>0</v>
      </c>
      <c r="R509">
        <v>0</v>
      </c>
      <c r="S509">
        <v>546.6</v>
      </c>
      <c r="T509">
        <v>538.4</v>
      </c>
      <c r="U509">
        <v>538.4</v>
      </c>
      <c r="V509">
        <v>554.6</v>
      </c>
      <c r="W509">
        <v>9565356</v>
      </c>
      <c r="X509">
        <v>545.6</v>
      </c>
      <c r="Y509">
        <v>549.4</v>
      </c>
      <c r="Z509">
        <v>144</v>
      </c>
      <c r="AA509">
        <v>0</v>
      </c>
      <c r="AB509">
        <v>1091.2</v>
      </c>
      <c r="AC509">
        <v>0</v>
      </c>
      <c r="AD509" t="s">
        <v>94</v>
      </c>
      <c r="AE509" t="s">
        <v>94</v>
      </c>
      <c r="AF509" t="s">
        <v>226</v>
      </c>
      <c r="AG509" t="s">
        <v>226</v>
      </c>
      <c r="AH509">
        <v>-100</v>
      </c>
      <c r="AI509" t="s">
        <v>2744</v>
      </c>
      <c r="AJ509" t="s">
        <v>2745</v>
      </c>
      <c r="AK509" t="s">
        <v>1522</v>
      </c>
      <c r="AL509" t="s">
        <v>272</v>
      </c>
    </row>
    <row r="510" spans="1:38">
      <c r="A510" t="s">
        <v>2836</v>
      </c>
      <c r="B510" t="s">
        <v>2837</v>
      </c>
      <c r="C510" t="s">
        <v>2838</v>
      </c>
      <c r="D510" t="s">
        <v>2838</v>
      </c>
      <c r="E510" t="s">
        <v>2839</v>
      </c>
      <c r="F510" t="s">
        <v>1521</v>
      </c>
      <c r="G510">
        <v>3</v>
      </c>
      <c r="H510">
        <v>1</v>
      </c>
      <c r="I510">
        <v>50</v>
      </c>
      <c r="J510" t="s">
        <v>226</v>
      </c>
      <c r="K510">
        <v>0</v>
      </c>
      <c r="L510">
        <v>2500</v>
      </c>
      <c r="M510">
        <v>2500</v>
      </c>
      <c r="N510">
        <v>2650</v>
      </c>
      <c r="O510">
        <v>2500</v>
      </c>
      <c r="P510">
        <v>0</v>
      </c>
      <c r="Q510">
        <v>0</v>
      </c>
      <c r="R510">
        <v>0</v>
      </c>
      <c r="S510">
        <v>2500</v>
      </c>
      <c r="T510">
        <v>2500</v>
      </c>
      <c r="U510">
        <v>2500</v>
      </c>
      <c r="V510">
        <v>2500</v>
      </c>
      <c r="W510">
        <v>5000</v>
      </c>
      <c r="X510">
        <v>2500</v>
      </c>
      <c r="Y510">
        <v>2600</v>
      </c>
      <c r="Z510">
        <v>1</v>
      </c>
      <c r="AA510">
        <v>0</v>
      </c>
      <c r="AB510">
        <v>5000</v>
      </c>
      <c r="AC510">
        <v>0</v>
      </c>
      <c r="AD510" t="s">
        <v>94</v>
      </c>
      <c r="AE510" t="s">
        <v>94</v>
      </c>
      <c r="AF510" t="s">
        <v>226</v>
      </c>
      <c r="AG510" t="s">
        <v>226</v>
      </c>
      <c r="AH510">
        <v>5</v>
      </c>
      <c r="AI510" t="s">
        <v>2744</v>
      </c>
      <c r="AJ510" t="s">
        <v>2745</v>
      </c>
      <c r="AK510" t="s">
        <v>1522</v>
      </c>
      <c r="AL510" t="s">
        <v>272</v>
      </c>
    </row>
    <row r="511" spans="1:38">
      <c r="A511" t="s">
        <v>2840</v>
      </c>
      <c r="B511" t="s">
        <v>2841</v>
      </c>
      <c r="C511" t="s">
        <v>2842</v>
      </c>
      <c r="D511" t="s">
        <v>2842</v>
      </c>
      <c r="E511" t="s">
        <v>2843</v>
      </c>
      <c r="F511" t="s">
        <v>1521</v>
      </c>
      <c r="G511">
        <v>3</v>
      </c>
      <c r="H511">
        <v>1</v>
      </c>
      <c r="I511">
        <v>5</v>
      </c>
      <c r="J511" t="s">
        <v>226</v>
      </c>
      <c r="K511">
        <v>1.23</v>
      </c>
      <c r="L511">
        <v>820</v>
      </c>
      <c r="M511">
        <v>810</v>
      </c>
      <c r="N511">
        <v>815</v>
      </c>
      <c r="O511">
        <v>820</v>
      </c>
      <c r="P511">
        <v>0</v>
      </c>
      <c r="Q511">
        <v>0</v>
      </c>
      <c r="R511">
        <v>0</v>
      </c>
      <c r="S511">
        <v>815</v>
      </c>
      <c r="T511">
        <v>800</v>
      </c>
      <c r="U511">
        <v>800</v>
      </c>
      <c r="V511">
        <v>825</v>
      </c>
      <c r="W511">
        <v>692585</v>
      </c>
      <c r="X511">
        <v>810</v>
      </c>
      <c r="Y511">
        <v>820</v>
      </c>
      <c r="Z511">
        <v>25</v>
      </c>
      <c r="AA511">
        <v>0</v>
      </c>
      <c r="AB511">
        <v>820</v>
      </c>
      <c r="AC511">
        <v>0</v>
      </c>
      <c r="AD511" t="s">
        <v>94</v>
      </c>
      <c r="AE511" t="s">
        <v>94</v>
      </c>
      <c r="AF511" t="s">
        <v>304</v>
      </c>
      <c r="AG511" t="s">
        <v>226</v>
      </c>
      <c r="AH511">
        <v>0</v>
      </c>
      <c r="AI511" t="s">
        <v>2744</v>
      </c>
      <c r="AJ511" t="s">
        <v>2745</v>
      </c>
      <c r="AK511" t="s">
        <v>1522</v>
      </c>
      <c r="AL511" t="s">
        <v>272</v>
      </c>
    </row>
    <row r="512" spans="1:38">
      <c r="A512" t="s">
        <v>2844</v>
      </c>
      <c r="B512" t="s">
        <v>2845</v>
      </c>
      <c r="C512" t="s">
        <v>2846</v>
      </c>
      <c r="D512" t="s">
        <v>2846</v>
      </c>
      <c r="E512" t="s">
        <v>2847</v>
      </c>
      <c r="F512" t="s">
        <v>1521</v>
      </c>
      <c r="G512">
        <v>3</v>
      </c>
      <c r="H512">
        <v>1</v>
      </c>
      <c r="I512">
        <v>100</v>
      </c>
      <c r="J512" t="s">
        <v>226</v>
      </c>
      <c r="K512">
        <v>0</v>
      </c>
      <c r="L512">
        <v>0</v>
      </c>
      <c r="M512">
        <v>1459000</v>
      </c>
      <c r="N512">
        <v>0</v>
      </c>
      <c r="O512">
        <v>1459000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 t="s">
        <v>94</v>
      </c>
      <c r="AE512" t="s">
        <v>94</v>
      </c>
      <c r="AF512" t="s">
        <v>304</v>
      </c>
      <c r="AG512" t="s">
        <v>226</v>
      </c>
      <c r="AH512">
        <v>0</v>
      </c>
      <c r="AI512" t="s">
        <v>2744</v>
      </c>
      <c r="AJ512" t="s">
        <v>2745</v>
      </c>
      <c r="AK512" t="s">
        <v>1522</v>
      </c>
      <c r="AL512" t="s">
        <v>272</v>
      </c>
    </row>
    <row r="513" spans="1:38">
      <c r="A513" t="s">
        <v>2848</v>
      </c>
      <c r="B513" t="s">
        <v>2849</v>
      </c>
      <c r="C513" t="s">
        <v>2850</v>
      </c>
      <c r="D513" t="s">
        <v>2850</v>
      </c>
      <c r="E513" t="s">
        <v>2851</v>
      </c>
      <c r="F513" t="s">
        <v>1521</v>
      </c>
      <c r="G513">
        <v>3</v>
      </c>
      <c r="H513">
        <v>1</v>
      </c>
      <c r="I513">
        <v>20</v>
      </c>
      <c r="J513" t="s">
        <v>226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 t="s">
        <v>94</v>
      </c>
      <c r="AE513" t="s">
        <v>94</v>
      </c>
      <c r="AF513" t="s">
        <v>304</v>
      </c>
      <c r="AG513" t="s">
        <v>226</v>
      </c>
      <c r="AH513">
        <v>0</v>
      </c>
      <c r="AI513" t="s">
        <v>2744</v>
      </c>
      <c r="AJ513" t="s">
        <v>2745</v>
      </c>
      <c r="AK513" t="s">
        <v>1522</v>
      </c>
      <c r="AL513" t="s">
        <v>272</v>
      </c>
    </row>
    <row r="514" spans="1:38">
      <c r="A514" t="s">
        <v>2852</v>
      </c>
      <c r="B514" t="s">
        <v>2853</v>
      </c>
      <c r="C514" t="s">
        <v>2854</v>
      </c>
      <c r="D514" t="s">
        <v>2854</v>
      </c>
      <c r="E514" t="s">
        <v>2855</v>
      </c>
      <c r="F514" t="s">
        <v>1521</v>
      </c>
      <c r="G514">
        <v>3</v>
      </c>
      <c r="H514">
        <v>1</v>
      </c>
      <c r="I514">
        <v>0.1</v>
      </c>
      <c r="J514" t="s">
        <v>226</v>
      </c>
      <c r="K514">
        <v>0</v>
      </c>
      <c r="L514">
        <v>0</v>
      </c>
      <c r="M514">
        <v>1172</v>
      </c>
      <c r="N514">
        <v>0</v>
      </c>
      <c r="O514">
        <v>1172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 t="s">
        <v>94</v>
      </c>
      <c r="AE514" t="s">
        <v>94</v>
      </c>
      <c r="AF514" t="s">
        <v>304</v>
      </c>
      <c r="AG514" t="s">
        <v>226</v>
      </c>
      <c r="AH514">
        <v>0</v>
      </c>
      <c r="AI514" t="s">
        <v>2744</v>
      </c>
      <c r="AJ514" t="s">
        <v>2745</v>
      </c>
      <c r="AK514" t="s">
        <v>1522</v>
      </c>
      <c r="AL514" t="s">
        <v>272</v>
      </c>
    </row>
    <row r="515" spans="1:38">
      <c r="A515" t="s">
        <v>2856</v>
      </c>
      <c r="B515" t="s">
        <v>2857</v>
      </c>
      <c r="C515" t="s">
        <v>2858</v>
      </c>
      <c r="D515" t="s">
        <v>2858</v>
      </c>
      <c r="E515" t="s">
        <v>2859</v>
      </c>
      <c r="F515" t="s">
        <v>1521</v>
      </c>
      <c r="G515">
        <v>1</v>
      </c>
      <c r="H515">
        <v>1</v>
      </c>
      <c r="I515">
        <v>50</v>
      </c>
      <c r="J515" t="s">
        <v>226</v>
      </c>
      <c r="K515">
        <v>-0.13</v>
      </c>
      <c r="L515">
        <v>77100</v>
      </c>
      <c r="M515">
        <v>77200</v>
      </c>
      <c r="N515">
        <v>76850</v>
      </c>
      <c r="O515">
        <v>77250</v>
      </c>
      <c r="P515">
        <v>0</v>
      </c>
      <c r="Q515">
        <v>0</v>
      </c>
      <c r="R515">
        <v>0</v>
      </c>
      <c r="S515">
        <v>77350</v>
      </c>
      <c r="T515">
        <v>77350</v>
      </c>
      <c r="U515">
        <v>77100</v>
      </c>
      <c r="V515">
        <v>77650</v>
      </c>
      <c r="W515">
        <v>1624700</v>
      </c>
      <c r="X515">
        <v>77100</v>
      </c>
      <c r="Y515">
        <v>77400</v>
      </c>
      <c r="Z515">
        <v>16</v>
      </c>
      <c r="AA515">
        <v>0</v>
      </c>
      <c r="AB515">
        <v>308400</v>
      </c>
      <c r="AC515">
        <v>0</v>
      </c>
      <c r="AD515" t="s">
        <v>94</v>
      </c>
      <c r="AE515" t="s">
        <v>94</v>
      </c>
      <c r="AF515" t="s">
        <v>226</v>
      </c>
      <c r="AG515" t="s">
        <v>226</v>
      </c>
      <c r="AH515">
        <v>-100</v>
      </c>
      <c r="AI515" t="s">
        <v>2744</v>
      </c>
      <c r="AJ515" t="s">
        <v>2745</v>
      </c>
      <c r="AK515" t="s">
        <v>1522</v>
      </c>
      <c r="AL515" t="s">
        <v>272</v>
      </c>
    </row>
    <row r="516" spans="1:38">
      <c r="A516" t="s">
        <v>2860</v>
      </c>
      <c r="B516" t="s">
        <v>2861</v>
      </c>
      <c r="C516" t="s">
        <v>2862</v>
      </c>
      <c r="D516" t="s">
        <v>2862</v>
      </c>
      <c r="E516" t="s">
        <v>2863</v>
      </c>
      <c r="F516" t="s">
        <v>1521</v>
      </c>
      <c r="G516">
        <v>3</v>
      </c>
      <c r="H516">
        <v>1</v>
      </c>
      <c r="I516">
        <v>20</v>
      </c>
      <c r="J516" t="s">
        <v>226</v>
      </c>
      <c r="K516">
        <v>0</v>
      </c>
      <c r="L516">
        <v>0</v>
      </c>
      <c r="M516">
        <v>103340</v>
      </c>
      <c r="N516">
        <v>0</v>
      </c>
      <c r="O516">
        <v>103340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 t="s">
        <v>94</v>
      </c>
      <c r="AE516" t="s">
        <v>94</v>
      </c>
      <c r="AF516" t="s">
        <v>226</v>
      </c>
      <c r="AG516" t="s">
        <v>226</v>
      </c>
      <c r="AH516">
        <v>5</v>
      </c>
      <c r="AI516" t="s">
        <v>2744</v>
      </c>
      <c r="AJ516" t="s">
        <v>2745</v>
      </c>
      <c r="AK516" t="s">
        <v>1522</v>
      </c>
      <c r="AL516" t="s">
        <v>272</v>
      </c>
    </row>
    <row r="517" spans="1:38">
      <c r="A517" t="s">
        <v>2864</v>
      </c>
      <c r="B517" t="s">
        <v>2865</v>
      </c>
      <c r="C517" t="s">
        <v>2866</v>
      </c>
      <c r="D517" t="s">
        <v>2866</v>
      </c>
      <c r="E517" t="s">
        <v>2867</v>
      </c>
      <c r="F517" t="s">
        <v>1521</v>
      </c>
      <c r="G517">
        <v>3</v>
      </c>
      <c r="H517">
        <v>1</v>
      </c>
      <c r="I517">
        <v>10000</v>
      </c>
      <c r="J517" t="s">
        <v>226</v>
      </c>
      <c r="K517">
        <v>0</v>
      </c>
      <c r="L517">
        <v>0</v>
      </c>
      <c r="M517">
        <v>290000</v>
      </c>
      <c r="N517">
        <v>290000</v>
      </c>
      <c r="O517">
        <v>290000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280000</v>
      </c>
      <c r="Y517">
        <v>300000</v>
      </c>
      <c r="Z517">
        <v>0</v>
      </c>
      <c r="AA517">
        <v>0</v>
      </c>
      <c r="AB517">
        <v>0</v>
      </c>
      <c r="AC517">
        <v>0</v>
      </c>
      <c r="AD517" t="s">
        <v>94</v>
      </c>
      <c r="AE517" t="s">
        <v>94</v>
      </c>
      <c r="AF517" t="s">
        <v>226</v>
      </c>
      <c r="AG517" t="s">
        <v>226</v>
      </c>
      <c r="AH517">
        <v>5</v>
      </c>
      <c r="AI517" t="s">
        <v>2744</v>
      </c>
      <c r="AJ517" t="s">
        <v>2745</v>
      </c>
      <c r="AK517" t="s">
        <v>1522</v>
      </c>
      <c r="AL517" t="s">
        <v>272</v>
      </c>
    </row>
    <row r="518" spans="1:38">
      <c r="A518" t="s">
        <v>2868</v>
      </c>
      <c r="B518" t="s">
        <v>2869</v>
      </c>
      <c r="C518" t="s">
        <v>2870</v>
      </c>
      <c r="D518" t="s">
        <v>2870</v>
      </c>
      <c r="E518" t="s">
        <v>2871</v>
      </c>
      <c r="F518" t="s">
        <v>1521</v>
      </c>
      <c r="G518">
        <v>3</v>
      </c>
      <c r="H518">
        <v>1</v>
      </c>
      <c r="I518">
        <v>5.0000000000000001E-4</v>
      </c>
      <c r="J518" t="s">
        <v>226</v>
      </c>
      <c r="K518">
        <v>0.03</v>
      </c>
      <c r="L518">
        <v>5.0674999999999999</v>
      </c>
      <c r="M518">
        <v>5.0659999999999998</v>
      </c>
      <c r="N518">
        <v>5.0345000000000004</v>
      </c>
      <c r="O518">
        <v>5.0674999999999999</v>
      </c>
      <c r="P518">
        <v>0</v>
      </c>
      <c r="Q518">
        <v>0</v>
      </c>
      <c r="R518">
        <v>0</v>
      </c>
      <c r="S518">
        <v>5.0475000000000003</v>
      </c>
      <c r="T518">
        <v>5.0670000000000002</v>
      </c>
      <c r="U518">
        <v>4.9705000000000004</v>
      </c>
      <c r="V518">
        <v>5.0674999999999999</v>
      </c>
      <c r="W518">
        <v>136425</v>
      </c>
      <c r="X518">
        <v>5.0650000000000004</v>
      </c>
      <c r="Y518">
        <v>5.0674999999999999</v>
      </c>
      <c r="Z518">
        <v>192</v>
      </c>
      <c r="AA518">
        <v>0</v>
      </c>
      <c r="AB518">
        <v>152.03</v>
      </c>
      <c r="AC518">
        <v>0</v>
      </c>
      <c r="AD518" t="s">
        <v>94</v>
      </c>
      <c r="AE518" t="s">
        <v>94</v>
      </c>
      <c r="AF518" t="s">
        <v>226</v>
      </c>
      <c r="AG518" t="s">
        <v>226</v>
      </c>
      <c r="AH518">
        <v>5</v>
      </c>
      <c r="AI518" t="s">
        <v>2744</v>
      </c>
      <c r="AJ518" t="s">
        <v>2745</v>
      </c>
      <c r="AK518" t="s">
        <v>1522</v>
      </c>
      <c r="AL518" t="s">
        <v>272</v>
      </c>
    </row>
    <row r="519" spans="1:38">
      <c r="A519" t="s">
        <v>2872</v>
      </c>
      <c r="B519" t="s">
        <v>2873</v>
      </c>
      <c r="C519" t="s">
        <v>2874</v>
      </c>
      <c r="D519" t="s">
        <v>2874</v>
      </c>
      <c r="E519" t="s">
        <v>2875</v>
      </c>
      <c r="F519" t="s">
        <v>2743</v>
      </c>
      <c r="G519">
        <v>3</v>
      </c>
      <c r="H519">
        <v>1</v>
      </c>
      <c r="I519">
        <v>20</v>
      </c>
      <c r="J519" t="s">
        <v>226</v>
      </c>
      <c r="K519">
        <v>0</v>
      </c>
      <c r="L519">
        <v>3080</v>
      </c>
      <c r="M519">
        <v>3080</v>
      </c>
      <c r="N519">
        <v>3120</v>
      </c>
      <c r="O519">
        <v>3080</v>
      </c>
      <c r="P519">
        <v>0</v>
      </c>
      <c r="Q519">
        <v>0</v>
      </c>
      <c r="R519">
        <v>0</v>
      </c>
      <c r="S519">
        <v>3100</v>
      </c>
      <c r="T519">
        <v>3100</v>
      </c>
      <c r="U519">
        <v>3080</v>
      </c>
      <c r="V519">
        <v>3160</v>
      </c>
      <c r="W519">
        <v>5479020</v>
      </c>
      <c r="X519">
        <v>3060</v>
      </c>
      <c r="Y519">
        <v>3080</v>
      </c>
      <c r="Z519">
        <v>11</v>
      </c>
      <c r="AA519">
        <v>0</v>
      </c>
      <c r="AB519">
        <v>83160</v>
      </c>
      <c r="AC519">
        <v>0</v>
      </c>
      <c r="AD519" t="s">
        <v>94</v>
      </c>
      <c r="AE519" t="s">
        <v>94</v>
      </c>
      <c r="AF519" t="s">
        <v>304</v>
      </c>
      <c r="AG519" t="s">
        <v>226</v>
      </c>
      <c r="AH519">
        <v>0</v>
      </c>
      <c r="AI519" t="s">
        <v>2744</v>
      </c>
      <c r="AJ519" t="s">
        <v>2745</v>
      </c>
      <c r="AK519" t="s">
        <v>2746</v>
      </c>
      <c r="AL519" t="s">
        <v>272</v>
      </c>
    </row>
    <row r="520" spans="1:38">
      <c r="A520" t="s">
        <v>2876</v>
      </c>
      <c r="B520" t="s">
        <v>2877</v>
      </c>
      <c r="C520" t="s">
        <v>2878</v>
      </c>
      <c r="D520" t="s">
        <v>2878</v>
      </c>
      <c r="E520" t="s">
        <v>2879</v>
      </c>
      <c r="F520" t="s">
        <v>2759</v>
      </c>
      <c r="G520">
        <v>3</v>
      </c>
      <c r="H520">
        <v>1</v>
      </c>
      <c r="I520">
        <v>0.5</v>
      </c>
      <c r="J520" t="s">
        <v>226</v>
      </c>
      <c r="K520">
        <v>-0.45</v>
      </c>
      <c r="L520">
        <v>2789.5</v>
      </c>
      <c r="M520">
        <v>2802</v>
      </c>
      <c r="N520">
        <v>2806.5</v>
      </c>
      <c r="O520">
        <v>2789.5</v>
      </c>
      <c r="P520">
        <v>0</v>
      </c>
      <c r="Q520">
        <v>0</v>
      </c>
      <c r="R520">
        <v>0</v>
      </c>
      <c r="S520">
        <v>2807.5</v>
      </c>
      <c r="T520">
        <v>2823.5</v>
      </c>
      <c r="U520">
        <v>2789.5</v>
      </c>
      <c r="V520">
        <v>2823.5</v>
      </c>
      <c r="W520">
        <v>16629603</v>
      </c>
      <c r="X520">
        <v>2788</v>
      </c>
      <c r="Y520">
        <v>2789.5</v>
      </c>
      <c r="Z520">
        <v>81</v>
      </c>
      <c r="AA520">
        <v>0</v>
      </c>
      <c r="AB520">
        <v>5579</v>
      </c>
      <c r="AC520">
        <v>0</v>
      </c>
      <c r="AD520" t="s">
        <v>94</v>
      </c>
      <c r="AE520" t="s">
        <v>94</v>
      </c>
      <c r="AF520" t="s">
        <v>226</v>
      </c>
      <c r="AG520" t="s">
        <v>226</v>
      </c>
      <c r="AH520">
        <v>-100</v>
      </c>
      <c r="AI520" t="s">
        <v>2744</v>
      </c>
      <c r="AJ520" t="s">
        <v>2745</v>
      </c>
      <c r="AK520" t="s">
        <v>1575</v>
      </c>
      <c r="AL520" t="s">
        <v>272</v>
      </c>
    </row>
    <row r="521" spans="1:38">
      <c r="A521" t="s">
        <v>2880</v>
      </c>
      <c r="B521" t="s">
        <v>2881</v>
      </c>
      <c r="C521" t="s">
        <v>2882</v>
      </c>
      <c r="D521" t="s">
        <v>2882</v>
      </c>
      <c r="E521" t="s">
        <v>2883</v>
      </c>
      <c r="F521" t="s">
        <v>2759</v>
      </c>
      <c r="G521">
        <v>3</v>
      </c>
      <c r="H521">
        <v>1</v>
      </c>
      <c r="I521">
        <v>0.5</v>
      </c>
      <c r="J521" t="s">
        <v>226</v>
      </c>
      <c r="K521">
        <v>-0.18</v>
      </c>
      <c r="L521">
        <v>1110.5</v>
      </c>
      <c r="M521">
        <v>1112.5</v>
      </c>
      <c r="N521">
        <v>1108.5</v>
      </c>
      <c r="O521">
        <v>1110.5</v>
      </c>
      <c r="P521">
        <v>0</v>
      </c>
      <c r="Q521">
        <v>0</v>
      </c>
      <c r="R521">
        <v>0</v>
      </c>
      <c r="S521">
        <v>1110.5</v>
      </c>
      <c r="T521">
        <v>1110.5</v>
      </c>
      <c r="U521">
        <v>1110.5</v>
      </c>
      <c r="V521">
        <v>1112.5</v>
      </c>
      <c r="W521">
        <v>26654</v>
      </c>
      <c r="X521">
        <v>1111</v>
      </c>
      <c r="Y521">
        <v>1113</v>
      </c>
      <c r="Z521">
        <v>3</v>
      </c>
      <c r="AA521">
        <v>0</v>
      </c>
      <c r="AB521">
        <v>3331.5</v>
      </c>
      <c r="AC521">
        <v>0</v>
      </c>
      <c r="AD521" t="s">
        <v>94</v>
      </c>
      <c r="AE521" t="s">
        <v>94</v>
      </c>
      <c r="AF521" t="s">
        <v>226</v>
      </c>
      <c r="AG521" t="s">
        <v>226</v>
      </c>
      <c r="AH521">
        <v>-100</v>
      </c>
      <c r="AI521" t="s">
        <v>2744</v>
      </c>
      <c r="AJ521" t="s">
        <v>2745</v>
      </c>
      <c r="AK521" t="s">
        <v>1575</v>
      </c>
      <c r="AL521" t="s">
        <v>272</v>
      </c>
    </row>
    <row r="522" spans="1:38">
      <c r="A522" t="s">
        <v>2884</v>
      </c>
      <c r="B522" t="s">
        <v>2885</v>
      </c>
      <c r="C522" t="s">
        <v>2886</v>
      </c>
      <c r="D522" t="s">
        <v>2886</v>
      </c>
      <c r="E522" t="s">
        <v>2887</v>
      </c>
      <c r="F522" t="s">
        <v>1521</v>
      </c>
      <c r="G522">
        <v>3</v>
      </c>
      <c r="H522">
        <v>1</v>
      </c>
      <c r="I522">
        <v>1</v>
      </c>
      <c r="J522" t="s">
        <v>226</v>
      </c>
      <c r="K522">
        <v>-0.11</v>
      </c>
      <c r="L522">
        <v>908</v>
      </c>
      <c r="M522">
        <v>909</v>
      </c>
      <c r="N522">
        <v>902</v>
      </c>
      <c r="O522">
        <v>908</v>
      </c>
      <c r="P522">
        <v>0</v>
      </c>
      <c r="Q522">
        <v>0</v>
      </c>
      <c r="R522">
        <v>0</v>
      </c>
      <c r="S522">
        <v>908</v>
      </c>
      <c r="T522">
        <v>909</v>
      </c>
      <c r="U522">
        <v>907</v>
      </c>
      <c r="V522">
        <v>909</v>
      </c>
      <c r="W522">
        <v>29052</v>
      </c>
      <c r="X522">
        <v>905</v>
      </c>
      <c r="Y522">
        <v>908</v>
      </c>
      <c r="Z522">
        <v>6</v>
      </c>
      <c r="AA522">
        <v>0</v>
      </c>
      <c r="AB522">
        <v>9988</v>
      </c>
      <c r="AC522">
        <v>0</v>
      </c>
      <c r="AD522" t="s">
        <v>94</v>
      </c>
      <c r="AE522" t="s">
        <v>94</v>
      </c>
      <c r="AF522" t="s">
        <v>304</v>
      </c>
      <c r="AG522" t="s">
        <v>226</v>
      </c>
      <c r="AH522">
        <v>0</v>
      </c>
      <c r="AI522" t="s">
        <v>2744</v>
      </c>
      <c r="AJ522" t="s">
        <v>2745</v>
      </c>
      <c r="AK522" t="s">
        <v>1522</v>
      </c>
      <c r="AL522" t="s">
        <v>272</v>
      </c>
    </row>
    <row r="523" spans="1:38">
      <c r="A523" t="s">
        <v>2888</v>
      </c>
      <c r="B523" t="s">
        <v>2889</v>
      </c>
      <c r="C523" t="s">
        <v>2890</v>
      </c>
      <c r="D523" t="s">
        <v>2890</v>
      </c>
      <c r="E523" t="s">
        <v>2891</v>
      </c>
      <c r="F523" t="s">
        <v>1521</v>
      </c>
      <c r="G523">
        <v>3</v>
      </c>
      <c r="H523">
        <v>1</v>
      </c>
      <c r="I523">
        <v>1</v>
      </c>
      <c r="J523" t="s">
        <v>226</v>
      </c>
      <c r="K523">
        <v>1.76</v>
      </c>
      <c r="L523">
        <v>1040</v>
      </c>
      <c r="M523">
        <v>1022</v>
      </c>
      <c r="N523">
        <v>1025</v>
      </c>
      <c r="O523">
        <v>1040</v>
      </c>
      <c r="P523">
        <v>0</v>
      </c>
      <c r="Q523">
        <v>0</v>
      </c>
      <c r="R523">
        <v>0</v>
      </c>
      <c r="S523">
        <v>1041</v>
      </c>
      <c r="T523">
        <v>1038</v>
      </c>
      <c r="U523">
        <v>1032</v>
      </c>
      <c r="V523">
        <v>1049</v>
      </c>
      <c r="W523">
        <v>256193</v>
      </c>
      <c r="X523">
        <v>1031</v>
      </c>
      <c r="Y523">
        <v>1040</v>
      </c>
      <c r="Z523">
        <v>18</v>
      </c>
      <c r="AA523">
        <v>0</v>
      </c>
      <c r="AB523">
        <v>31200</v>
      </c>
      <c r="AC523">
        <v>0</v>
      </c>
      <c r="AD523" t="s">
        <v>94</v>
      </c>
      <c r="AE523" t="s">
        <v>94</v>
      </c>
      <c r="AF523" t="s">
        <v>304</v>
      </c>
      <c r="AG523" t="s">
        <v>226</v>
      </c>
      <c r="AH523">
        <v>0</v>
      </c>
      <c r="AI523" t="s">
        <v>2744</v>
      </c>
      <c r="AJ523" t="s">
        <v>2745</v>
      </c>
      <c r="AK523" t="s">
        <v>1522</v>
      </c>
      <c r="AL523" t="s">
        <v>272</v>
      </c>
    </row>
    <row r="524" spans="1:38">
      <c r="A524" t="s">
        <v>2892</v>
      </c>
      <c r="B524" t="s">
        <v>2893</v>
      </c>
      <c r="C524" t="s">
        <v>2894</v>
      </c>
      <c r="D524" t="s">
        <v>2894</v>
      </c>
      <c r="E524" t="s">
        <v>2895</v>
      </c>
      <c r="F524" t="s">
        <v>1521</v>
      </c>
      <c r="G524">
        <v>3</v>
      </c>
      <c r="H524">
        <v>1</v>
      </c>
      <c r="I524">
        <v>1</v>
      </c>
      <c r="J524" t="s">
        <v>226</v>
      </c>
      <c r="K524">
        <v>0.09</v>
      </c>
      <c r="L524">
        <v>1134</v>
      </c>
      <c r="M524">
        <v>1133</v>
      </c>
      <c r="N524">
        <v>1125</v>
      </c>
      <c r="O524">
        <v>1134</v>
      </c>
      <c r="P524">
        <v>0</v>
      </c>
      <c r="Q524">
        <v>0</v>
      </c>
      <c r="R524">
        <v>0</v>
      </c>
      <c r="S524">
        <v>1135</v>
      </c>
      <c r="T524">
        <v>1134</v>
      </c>
      <c r="U524">
        <v>1132</v>
      </c>
      <c r="V524">
        <v>1135</v>
      </c>
      <c r="W524">
        <v>212202</v>
      </c>
      <c r="X524">
        <v>1132</v>
      </c>
      <c r="Y524">
        <v>1135</v>
      </c>
      <c r="Z524">
        <v>16</v>
      </c>
      <c r="AA524">
        <v>0</v>
      </c>
      <c r="AB524">
        <v>22680</v>
      </c>
      <c r="AC524">
        <v>0</v>
      </c>
      <c r="AD524" t="s">
        <v>94</v>
      </c>
      <c r="AE524" t="s">
        <v>94</v>
      </c>
      <c r="AF524" t="s">
        <v>304</v>
      </c>
      <c r="AG524" t="s">
        <v>226</v>
      </c>
      <c r="AH524">
        <v>0</v>
      </c>
      <c r="AI524" t="s">
        <v>2744</v>
      </c>
      <c r="AJ524" t="s">
        <v>2745</v>
      </c>
      <c r="AK524" t="s">
        <v>1522</v>
      </c>
      <c r="AL524" t="s">
        <v>272</v>
      </c>
    </row>
    <row r="525" spans="1:38">
      <c r="A525" t="s">
        <v>2896</v>
      </c>
      <c r="B525" t="s">
        <v>2897</v>
      </c>
      <c r="C525" t="s">
        <v>2898</v>
      </c>
      <c r="D525" t="s">
        <v>2898</v>
      </c>
      <c r="E525" t="s">
        <v>2899</v>
      </c>
      <c r="F525" t="s">
        <v>1521</v>
      </c>
      <c r="G525">
        <v>3</v>
      </c>
      <c r="H525">
        <v>1</v>
      </c>
      <c r="I525">
        <v>1</v>
      </c>
      <c r="J525" t="s">
        <v>226</v>
      </c>
      <c r="K525">
        <v>-0.18</v>
      </c>
      <c r="L525">
        <v>1098</v>
      </c>
      <c r="M525">
        <v>1100</v>
      </c>
      <c r="N525">
        <v>1100</v>
      </c>
      <c r="O525">
        <v>1099</v>
      </c>
      <c r="P525">
        <v>0</v>
      </c>
      <c r="Q525">
        <v>0</v>
      </c>
      <c r="R525">
        <v>0</v>
      </c>
      <c r="S525">
        <v>1100</v>
      </c>
      <c r="T525">
        <v>1100</v>
      </c>
      <c r="U525">
        <v>1098</v>
      </c>
      <c r="V525">
        <v>1100</v>
      </c>
      <c r="W525">
        <v>7662621</v>
      </c>
      <c r="X525">
        <v>1098</v>
      </c>
      <c r="Y525">
        <v>1100</v>
      </c>
      <c r="Z525">
        <v>64</v>
      </c>
      <c r="AA525">
        <v>0</v>
      </c>
      <c r="AB525">
        <v>21960</v>
      </c>
      <c r="AC525">
        <v>0</v>
      </c>
      <c r="AD525" t="s">
        <v>94</v>
      </c>
      <c r="AE525" t="s">
        <v>94</v>
      </c>
      <c r="AF525" t="s">
        <v>304</v>
      </c>
      <c r="AG525" t="s">
        <v>226</v>
      </c>
      <c r="AH525">
        <v>0</v>
      </c>
      <c r="AI525" t="s">
        <v>2744</v>
      </c>
      <c r="AJ525" t="s">
        <v>2745</v>
      </c>
      <c r="AK525" t="s">
        <v>1522</v>
      </c>
      <c r="AL525" t="s">
        <v>272</v>
      </c>
    </row>
    <row r="526" spans="1:38">
      <c r="A526" t="s">
        <v>2900</v>
      </c>
      <c r="B526" t="s">
        <v>2901</v>
      </c>
      <c r="C526" t="s">
        <v>2902</v>
      </c>
      <c r="D526" t="s">
        <v>2902</v>
      </c>
      <c r="E526" t="s">
        <v>2903</v>
      </c>
      <c r="F526" t="s">
        <v>1521</v>
      </c>
      <c r="G526">
        <v>3</v>
      </c>
      <c r="H526">
        <v>1</v>
      </c>
      <c r="I526">
        <v>1</v>
      </c>
      <c r="J526" t="s">
        <v>226</v>
      </c>
      <c r="K526">
        <v>-0.75</v>
      </c>
      <c r="L526">
        <v>7300</v>
      </c>
      <c r="M526">
        <v>7329</v>
      </c>
      <c r="N526">
        <v>7310</v>
      </c>
      <c r="O526">
        <v>7300</v>
      </c>
      <c r="P526">
        <v>0</v>
      </c>
      <c r="Q526">
        <v>0</v>
      </c>
      <c r="R526">
        <v>0</v>
      </c>
      <c r="S526">
        <v>7297</v>
      </c>
      <c r="T526">
        <v>7354</v>
      </c>
      <c r="U526">
        <v>7289</v>
      </c>
      <c r="V526">
        <v>7355</v>
      </c>
      <c r="W526">
        <v>605639</v>
      </c>
      <c r="X526">
        <v>7292</v>
      </c>
      <c r="Y526">
        <v>7353</v>
      </c>
      <c r="Z526">
        <v>24</v>
      </c>
      <c r="AA526">
        <v>0</v>
      </c>
      <c r="AB526">
        <v>7300</v>
      </c>
      <c r="AC526">
        <v>0</v>
      </c>
      <c r="AD526" t="s">
        <v>94</v>
      </c>
      <c r="AE526" t="s">
        <v>94</v>
      </c>
      <c r="AF526" t="s">
        <v>304</v>
      </c>
      <c r="AG526" t="s">
        <v>226</v>
      </c>
      <c r="AH526">
        <v>0</v>
      </c>
      <c r="AI526" t="s">
        <v>2744</v>
      </c>
      <c r="AJ526" t="s">
        <v>2745</v>
      </c>
      <c r="AK526" t="s">
        <v>1522</v>
      </c>
      <c r="AL526" t="s">
        <v>272</v>
      </c>
    </row>
    <row r="527" spans="1:38">
      <c r="A527" t="s">
        <v>2904</v>
      </c>
      <c r="B527" t="s">
        <v>2905</v>
      </c>
      <c r="C527" t="s">
        <v>2906</v>
      </c>
      <c r="D527" t="s">
        <v>2906</v>
      </c>
      <c r="E527" t="s">
        <v>2907</v>
      </c>
      <c r="F527" t="s">
        <v>1521</v>
      </c>
      <c r="G527">
        <v>3</v>
      </c>
      <c r="H527">
        <v>1</v>
      </c>
      <c r="I527">
        <v>1</v>
      </c>
      <c r="J527" t="s">
        <v>226</v>
      </c>
      <c r="K527">
        <v>-0.59</v>
      </c>
      <c r="L527">
        <v>1338</v>
      </c>
      <c r="M527">
        <v>1347</v>
      </c>
      <c r="N527">
        <v>1343</v>
      </c>
      <c r="O527">
        <v>1340</v>
      </c>
      <c r="P527">
        <v>0</v>
      </c>
      <c r="Q527">
        <v>0</v>
      </c>
      <c r="R527">
        <v>0</v>
      </c>
      <c r="S527">
        <v>1344</v>
      </c>
      <c r="T527">
        <v>1349</v>
      </c>
      <c r="U527">
        <v>1314</v>
      </c>
      <c r="V527">
        <v>1350</v>
      </c>
      <c r="W527">
        <v>457020</v>
      </c>
      <c r="X527">
        <v>1336</v>
      </c>
      <c r="Y527">
        <v>1338</v>
      </c>
      <c r="Z527">
        <v>52</v>
      </c>
      <c r="AA527">
        <v>0</v>
      </c>
      <c r="AB527">
        <v>1338</v>
      </c>
      <c r="AC527">
        <v>0</v>
      </c>
      <c r="AD527" t="s">
        <v>94</v>
      </c>
      <c r="AE527" t="s">
        <v>94</v>
      </c>
      <c r="AF527" t="s">
        <v>304</v>
      </c>
      <c r="AG527" t="s">
        <v>226</v>
      </c>
      <c r="AH527">
        <v>0</v>
      </c>
      <c r="AI527" t="s">
        <v>2744</v>
      </c>
      <c r="AJ527" t="s">
        <v>2745</v>
      </c>
      <c r="AK527" t="s">
        <v>1522</v>
      </c>
      <c r="AL527" t="s">
        <v>272</v>
      </c>
    </row>
    <row r="528" spans="1:38">
      <c r="A528" t="s">
        <v>2908</v>
      </c>
      <c r="B528" t="s">
        <v>2909</v>
      </c>
      <c r="C528" t="s">
        <v>2910</v>
      </c>
      <c r="D528" t="s">
        <v>2910</v>
      </c>
      <c r="E528" t="s">
        <v>2911</v>
      </c>
      <c r="F528" t="s">
        <v>1521</v>
      </c>
      <c r="G528">
        <v>3</v>
      </c>
      <c r="H528">
        <v>1</v>
      </c>
      <c r="I528">
        <v>5</v>
      </c>
      <c r="J528" t="s">
        <v>226</v>
      </c>
      <c r="K528">
        <v>-0.72</v>
      </c>
      <c r="L528">
        <v>1380</v>
      </c>
      <c r="M528">
        <v>1390</v>
      </c>
      <c r="N528">
        <v>1385</v>
      </c>
      <c r="O528">
        <v>1380</v>
      </c>
      <c r="P528">
        <v>0</v>
      </c>
      <c r="Q528">
        <v>0</v>
      </c>
      <c r="R528">
        <v>0</v>
      </c>
      <c r="S528">
        <v>1380</v>
      </c>
      <c r="T528">
        <v>1380</v>
      </c>
      <c r="U528">
        <v>1375</v>
      </c>
      <c r="V528">
        <v>1380</v>
      </c>
      <c r="W528">
        <v>37230</v>
      </c>
      <c r="X528">
        <v>1375</v>
      </c>
      <c r="Y528">
        <v>1380</v>
      </c>
      <c r="Z528">
        <v>12</v>
      </c>
      <c r="AA528">
        <v>1280</v>
      </c>
      <c r="AB528">
        <v>2760</v>
      </c>
      <c r="AC528">
        <v>0</v>
      </c>
      <c r="AD528" t="s">
        <v>94</v>
      </c>
      <c r="AE528" t="s">
        <v>94</v>
      </c>
      <c r="AF528" t="s">
        <v>226</v>
      </c>
      <c r="AG528" t="s">
        <v>226</v>
      </c>
      <c r="AH528">
        <v>5</v>
      </c>
      <c r="AI528" t="s">
        <v>2744</v>
      </c>
      <c r="AJ528" t="s">
        <v>2745</v>
      </c>
      <c r="AK528" t="s">
        <v>1522</v>
      </c>
      <c r="AL528" t="s">
        <v>272</v>
      </c>
    </row>
    <row r="529" spans="1:38">
      <c r="A529" t="s">
        <v>2912</v>
      </c>
      <c r="B529" t="s">
        <v>2913</v>
      </c>
      <c r="C529" t="s">
        <v>2914</v>
      </c>
      <c r="D529" t="s">
        <v>2914</v>
      </c>
      <c r="E529" t="s">
        <v>2915</v>
      </c>
      <c r="F529" t="s">
        <v>2759</v>
      </c>
      <c r="G529">
        <v>3</v>
      </c>
      <c r="H529">
        <v>1</v>
      </c>
      <c r="I529">
        <v>100</v>
      </c>
      <c r="J529" t="s">
        <v>226</v>
      </c>
      <c r="K529">
        <v>-0.46</v>
      </c>
      <c r="L529">
        <v>21500</v>
      </c>
      <c r="M529">
        <v>21600</v>
      </c>
      <c r="N529">
        <v>21700</v>
      </c>
      <c r="O529">
        <v>21500</v>
      </c>
      <c r="P529">
        <v>0</v>
      </c>
      <c r="Q529">
        <v>0</v>
      </c>
      <c r="R529">
        <v>0</v>
      </c>
      <c r="S529">
        <v>21800</v>
      </c>
      <c r="T529">
        <v>21700</v>
      </c>
      <c r="U529">
        <v>21500</v>
      </c>
      <c r="V529">
        <v>22000</v>
      </c>
      <c r="W529">
        <v>1218800</v>
      </c>
      <c r="X529">
        <v>21500</v>
      </c>
      <c r="Y529">
        <v>21600</v>
      </c>
      <c r="Z529">
        <v>21</v>
      </c>
      <c r="AA529">
        <v>0</v>
      </c>
      <c r="AB529">
        <v>43000</v>
      </c>
      <c r="AC529">
        <v>0</v>
      </c>
      <c r="AD529" t="s">
        <v>94</v>
      </c>
      <c r="AE529" t="s">
        <v>94</v>
      </c>
      <c r="AF529" t="s">
        <v>226</v>
      </c>
      <c r="AG529" t="s">
        <v>226</v>
      </c>
      <c r="AH529">
        <v>-100</v>
      </c>
      <c r="AI529" t="s">
        <v>2744</v>
      </c>
      <c r="AJ529" t="s">
        <v>2745</v>
      </c>
      <c r="AK529" t="s">
        <v>1575</v>
      </c>
      <c r="AL529" t="s">
        <v>272</v>
      </c>
    </row>
    <row r="530" spans="1:38">
      <c r="A530" t="s">
        <v>2916</v>
      </c>
      <c r="B530" t="s">
        <v>2917</v>
      </c>
      <c r="C530" t="s">
        <v>2918</v>
      </c>
      <c r="D530" t="s">
        <v>2918</v>
      </c>
      <c r="E530" t="s">
        <v>2919</v>
      </c>
      <c r="F530" t="s">
        <v>2743</v>
      </c>
      <c r="G530">
        <v>3</v>
      </c>
      <c r="H530">
        <v>1</v>
      </c>
      <c r="I530">
        <v>50</v>
      </c>
      <c r="J530" t="s">
        <v>226</v>
      </c>
      <c r="K530">
        <v>0</v>
      </c>
      <c r="L530">
        <v>0</v>
      </c>
      <c r="M530">
        <v>3650</v>
      </c>
      <c r="N530">
        <v>3950</v>
      </c>
      <c r="O530">
        <v>3650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3650</v>
      </c>
      <c r="Y530">
        <v>3900</v>
      </c>
      <c r="Z530">
        <v>0</v>
      </c>
      <c r="AA530">
        <v>0</v>
      </c>
      <c r="AB530">
        <v>0</v>
      </c>
      <c r="AC530">
        <v>0</v>
      </c>
      <c r="AD530" t="s">
        <v>94</v>
      </c>
      <c r="AE530" t="s">
        <v>94</v>
      </c>
      <c r="AF530" t="s">
        <v>226</v>
      </c>
      <c r="AG530" t="s">
        <v>226</v>
      </c>
      <c r="AH530">
        <v>-100</v>
      </c>
      <c r="AI530" t="s">
        <v>2744</v>
      </c>
      <c r="AJ530" t="s">
        <v>2745</v>
      </c>
      <c r="AK530" t="s">
        <v>2746</v>
      </c>
      <c r="AL530" t="s">
        <v>272</v>
      </c>
    </row>
    <row r="531" spans="1:38">
      <c r="A531" t="s">
        <v>2920</v>
      </c>
      <c r="B531" t="s">
        <v>2921</v>
      </c>
      <c r="C531" t="s">
        <v>2922</v>
      </c>
      <c r="D531" t="s">
        <v>2922</v>
      </c>
      <c r="E531" t="s">
        <v>2923</v>
      </c>
      <c r="F531" t="s">
        <v>1521</v>
      </c>
      <c r="G531">
        <v>3</v>
      </c>
      <c r="H531">
        <v>1</v>
      </c>
      <c r="I531">
        <v>50</v>
      </c>
      <c r="J531" t="s">
        <v>226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 t="s">
        <v>94</v>
      </c>
      <c r="AE531" t="s">
        <v>94</v>
      </c>
      <c r="AF531" t="s">
        <v>226</v>
      </c>
      <c r="AG531" t="s">
        <v>226</v>
      </c>
      <c r="AH531">
        <v>5</v>
      </c>
      <c r="AI531" t="s">
        <v>2744</v>
      </c>
      <c r="AJ531" t="s">
        <v>2745</v>
      </c>
      <c r="AK531" t="s">
        <v>1522</v>
      </c>
      <c r="AL531" t="s">
        <v>272</v>
      </c>
    </row>
    <row r="532" spans="1:38">
      <c r="A532" t="s">
        <v>2924</v>
      </c>
      <c r="B532" t="s">
        <v>2925</v>
      </c>
      <c r="C532" t="s">
        <v>2926</v>
      </c>
      <c r="D532" t="s">
        <v>2926</v>
      </c>
      <c r="E532" t="s">
        <v>2927</v>
      </c>
      <c r="F532" t="s">
        <v>1521</v>
      </c>
      <c r="G532">
        <v>3</v>
      </c>
      <c r="H532">
        <v>1</v>
      </c>
      <c r="I532">
        <v>20</v>
      </c>
      <c r="J532" t="s">
        <v>226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61160</v>
      </c>
      <c r="Y532">
        <v>0</v>
      </c>
      <c r="Z532">
        <v>0</v>
      </c>
      <c r="AA532">
        <v>0</v>
      </c>
      <c r="AB532">
        <v>0</v>
      </c>
      <c r="AC532">
        <v>0</v>
      </c>
      <c r="AD532" t="s">
        <v>94</v>
      </c>
      <c r="AE532" t="s">
        <v>94</v>
      </c>
      <c r="AF532" t="s">
        <v>226</v>
      </c>
      <c r="AG532" t="s">
        <v>226</v>
      </c>
      <c r="AH532">
        <v>5</v>
      </c>
      <c r="AI532" t="s">
        <v>2744</v>
      </c>
      <c r="AJ532" t="s">
        <v>2745</v>
      </c>
      <c r="AK532" t="s">
        <v>1522</v>
      </c>
      <c r="AL532" t="s">
        <v>272</v>
      </c>
    </row>
    <row r="533" spans="1:38">
      <c r="A533" t="s">
        <v>2928</v>
      </c>
      <c r="B533" t="s">
        <v>2929</v>
      </c>
      <c r="C533" t="s">
        <v>2930</v>
      </c>
      <c r="D533" t="s">
        <v>2930</v>
      </c>
      <c r="E533" t="s">
        <v>2931</v>
      </c>
      <c r="F533" t="s">
        <v>1521</v>
      </c>
      <c r="G533">
        <v>3</v>
      </c>
      <c r="H533">
        <v>1</v>
      </c>
      <c r="I533">
        <v>20</v>
      </c>
      <c r="J533" t="s">
        <v>226</v>
      </c>
      <c r="K533">
        <v>0</v>
      </c>
      <c r="L533">
        <v>120000</v>
      </c>
      <c r="M533">
        <v>120000</v>
      </c>
      <c r="N533">
        <v>118920</v>
      </c>
      <c r="O533">
        <v>120000</v>
      </c>
      <c r="P533">
        <v>0</v>
      </c>
      <c r="Q533">
        <v>0</v>
      </c>
      <c r="R533">
        <v>0</v>
      </c>
      <c r="S533">
        <v>120000</v>
      </c>
      <c r="T533">
        <v>120000</v>
      </c>
      <c r="U533">
        <v>120000</v>
      </c>
      <c r="V533">
        <v>120000</v>
      </c>
      <c r="W533">
        <v>240000</v>
      </c>
      <c r="X533">
        <v>118000</v>
      </c>
      <c r="Y533">
        <v>120000</v>
      </c>
      <c r="Z533">
        <v>2</v>
      </c>
      <c r="AA533">
        <v>0</v>
      </c>
      <c r="AB533">
        <v>120000</v>
      </c>
      <c r="AC533">
        <v>0</v>
      </c>
      <c r="AD533" t="s">
        <v>94</v>
      </c>
      <c r="AE533" t="s">
        <v>94</v>
      </c>
      <c r="AF533" t="s">
        <v>226</v>
      </c>
      <c r="AG533" t="s">
        <v>226</v>
      </c>
      <c r="AH533">
        <v>5</v>
      </c>
      <c r="AI533" t="s">
        <v>2744</v>
      </c>
      <c r="AJ533" t="s">
        <v>2745</v>
      </c>
      <c r="AK533" t="s">
        <v>1522</v>
      </c>
      <c r="AL533" t="s">
        <v>272</v>
      </c>
    </row>
    <row r="534" spans="1:38">
      <c r="A534" t="s">
        <v>2932</v>
      </c>
      <c r="B534" t="s">
        <v>2933</v>
      </c>
      <c r="C534" t="s">
        <v>2934</v>
      </c>
      <c r="D534" t="s">
        <v>2934</v>
      </c>
      <c r="E534" t="s">
        <v>2935</v>
      </c>
      <c r="F534" t="s">
        <v>2759</v>
      </c>
      <c r="G534">
        <v>3</v>
      </c>
      <c r="H534">
        <v>10</v>
      </c>
      <c r="I534">
        <v>0.05</v>
      </c>
      <c r="J534" t="s">
        <v>226</v>
      </c>
      <c r="K534">
        <v>-0.7</v>
      </c>
      <c r="L534">
        <v>42.6</v>
      </c>
      <c r="M534">
        <v>42.9</v>
      </c>
      <c r="N534">
        <v>42.5</v>
      </c>
      <c r="O534">
        <v>42.6</v>
      </c>
      <c r="P534">
        <v>0</v>
      </c>
      <c r="Q534">
        <v>0</v>
      </c>
      <c r="R534">
        <v>0</v>
      </c>
      <c r="S534">
        <v>43.1</v>
      </c>
      <c r="T534">
        <v>43</v>
      </c>
      <c r="U534">
        <v>42.6</v>
      </c>
      <c r="V534">
        <v>43.35</v>
      </c>
      <c r="W534">
        <v>212413</v>
      </c>
      <c r="X534">
        <v>42.3</v>
      </c>
      <c r="Y534">
        <v>42.5</v>
      </c>
      <c r="Z534">
        <v>17</v>
      </c>
      <c r="AA534">
        <v>0</v>
      </c>
      <c r="AB534">
        <v>426</v>
      </c>
      <c r="AC534">
        <v>0</v>
      </c>
      <c r="AD534" t="s">
        <v>94</v>
      </c>
      <c r="AE534" t="s">
        <v>94</v>
      </c>
      <c r="AF534" t="s">
        <v>226</v>
      </c>
      <c r="AG534" t="s">
        <v>226</v>
      </c>
      <c r="AH534">
        <v>-100</v>
      </c>
      <c r="AI534" t="s">
        <v>2744</v>
      </c>
      <c r="AJ534" t="s">
        <v>2745</v>
      </c>
      <c r="AK534" t="s">
        <v>1575</v>
      </c>
      <c r="AL534" t="s">
        <v>272</v>
      </c>
    </row>
    <row r="535" spans="1:38">
      <c r="A535" t="s">
        <v>2936</v>
      </c>
      <c r="B535" t="s">
        <v>2937</v>
      </c>
      <c r="C535" t="s">
        <v>2938</v>
      </c>
      <c r="D535" t="s">
        <v>2938</v>
      </c>
      <c r="E535" t="s">
        <v>2939</v>
      </c>
      <c r="F535" t="s">
        <v>1521</v>
      </c>
      <c r="G535">
        <v>3</v>
      </c>
      <c r="H535">
        <v>1</v>
      </c>
      <c r="I535">
        <v>1000</v>
      </c>
      <c r="J535" t="s">
        <v>226</v>
      </c>
      <c r="K535">
        <v>4.62</v>
      </c>
      <c r="L535">
        <v>204000</v>
      </c>
      <c r="M535">
        <v>195000</v>
      </c>
      <c r="N535">
        <v>207000</v>
      </c>
      <c r="O535">
        <v>205000</v>
      </c>
      <c r="P535">
        <v>0</v>
      </c>
      <c r="Q535">
        <v>0</v>
      </c>
      <c r="R535">
        <v>0</v>
      </c>
      <c r="S535">
        <v>205000</v>
      </c>
      <c r="T535">
        <v>203000</v>
      </c>
      <c r="U535">
        <v>203000</v>
      </c>
      <c r="V535">
        <v>207000</v>
      </c>
      <c r="W535">
        <v>820000</v>
      </c>
      <c r="X535">
        <v>204000</v>
      </c>
      <c r="Y535">
        <v>212000</v>
      </c>
      <c r="Z535">
        <v>4</v>
      </c>
      <c r="AA535">
        <v>0</v>
      </c>
      <c r="AB535">
        <v>204000</v>
      </c>
      <c r="AC535">
        <v>0</v>
      </c>
      <c r="AD535" t="s">
        <v>94</v>
      </c>
      <c r="AE535" t="s">
        <v>94</v>
      </c>
      <c r="AF535" t="s">
        <v>226</v>
      </c>
      <c r="AG535" t="s">
        <v>226</v>
      </c>
      <c r="AH535">
        <v>5</v>
      </c>
      <c r="AI535" t="s">
        <v>2744</v>
      </c>
      <c r="AJ535" t="s">
        <v>2745</v>
      </c>
      <c r="AK535" t="s">
        <v>1522</v>
      </c>
      <c r="AL535" t="s">
        <v>272</v>
      </c>
    </row>
    <row r="536" spans="1:38">
      <c r="A536" t="s">
        <v>2940</v>
      </c>
      <c r="B536" t="s">
        <v>2941</v>
      </c>
      <c r="C536" t="s">
        <v>2942</v>
      </c>
      <c r="D536" t="s">
        <v>2942</v>
      </c>
      <c r="E536" t="s">
        <v>2943</v>
      </c>
      <c r="F536" t="s">
        <v>1521</v>
      </c>
      <c r="G536">
        <v>3</v>
      </c>
      <c r="H536">
        <v>1</v>
      </c>
      <c r="I536">
        <v>1000</v>
      </c>
      <c r="J536" t="s">
        <v>226</v>
      </c>
      <c r="K536">
        <v>0</v>
      </c>
      <c r="L536">
        <v>0</v>
      </c>
      <c r="M536">
        <v>260000</v>
      </c>
      <c r="N536">
        <v>256000</v>
      </c>
      <c r="O536">
        <v>260000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253000</v>
      </c>
      <c r="Y536">
        <v>261000</v>
      </c>
      <c r="Z536">
        <v>0</v>
      </c>
      <c r="AA536">
        <v>0</v>
      </c>
      <c r="AB536">
        <v>0</v>
      </c>
      <c r="AC536">
        <v>0</v>
      </c>
      <c r="AD536" t="s">
        <v>94</v>
      </c>
      <c r="AE536" t="s">
        <v>94</v>
      </c>
      <c r="AF536" t="s">
        <v>226</v>
      </c>
      <c r="AG536" t="s">
        <v>226</v>
      </c>
      <c r="AH536">
        <v>5</v>
      </c>
      <c r="AI536" t="s">
        <v>2744</v>
      </c>
      <c r="AJ536" t="s">
        <v>2745</v>
      </c>
      <c r="AK536" t="s">
        <v>1522</v>
      </c>
      <c r="AL536" t="s">
        <v>272</v>
      </c>
    </row>
    <row r="537" spans="1:38">
      <c r="A537" t="s">
        <v>2944</v>
      </c>
      <c r="B537" t="s">
        <v>2945</v>
      </c>
      <c r="C537" t="s">
        <v>2946</v>
      </c>
      <c r="D537" t="s">
        <v>2946</v>
      </c>
      <c r="E537" t="s">
        <v>2947</v>
      </c>
      <c r="F537" t="s">
        <v>1521</v>
      </c>
      <c r="G537">
        <v>3</v>
      </c>
      <c r="H537">
        <v>1</v>
      </c>
      <c r="I537">
        <v>50</v>
      </c>
      <c r="J537" t="s">
        <v>226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100</v>
      </c>
      <c r="Y537">
        <v>0</v>
      </c>
      <c r="Z537">
        <v>0</v>
      </c>
      <c r="AA537">
        <v>0</v>
      </c>
      <c r="AB537">
        <v>0</v>
      </c>
      <c r="AC537">
        <v>0</v>
      </c>
      <c r="AD537" t="s">
        <v>94</v>
      </c>
      <c r="AE537" t="s">
        <v>94</v>
      </c>
      <c r="AF537" t="s">
        <v>226</v>
      </c>
      <c r="AG537" t="s">
        <v>226</v>
      </c>
      <c r="AH537">
        <v>5</v>
      </c>
      <c r="AI537" t="s">
        <v>2744</v>
      </c>
      <c r="AJ537" t="s">
        <v>2745</v>
      </c>
      <c r="AK537" t="s">
        <v>1522</v>
      </c>
      <c r="AL537" t="s">
        <v>272</v>
      </c>
    </row>
    <row r="538" spans="1:38">
      <c r="A538" t="s">
        <v>2948</v>
      </c>
      <c r="B538" t="s">
        <v>2949</v>
      </c>
      <c r="C538" t="s">
        <v>2950</v>
      </c>
      <c r="D538" t="s">
        <v>2950</v>
      </c>
      <c r="E538" t="s">
        <v>2951</v>
      </c>
      <c r="F538" t="s">
        <v>2759</v>
      </c>
      <c r="G538">
        <v>3</v>
      </c>
      <c r="H538">
        <v>1</v>
      </c>
      <c r="I538">
        <v>2</v>
      </c>
      <c r="J538" t="s">
        <v>226</v>
      </c>
      <c r="K538">
        <v>-0.75</v>
      </c>
      <c r="L538">
        <v>10570</v>
      </c>
      <c r="M538">
        <v>10650</v>
      </c>
      <c r="N538">
        <v>10714</v>
      </c>
      <c r="O538">
        <v>10564</v>
      </c>
      <c r="P538">
        <v>0</v>
      </c>
      <c r="Q538">
        <v>0</v>
      </c>
      <c r="R538">
        <v>0</v>
      </c>
      <c r="S538">
        <v>10616</v>
      </c>
      <c r="T538">
        <v>10670</v>
      </c>
      <c r="U538">
        <v>10550</v>
      </c>
      <c r="V538">
        <v>10670</v>
      </c>
      <c r="W538">
        <v>828062</v>
      </c>
      <c r="X538">
        <v>10550</v>
      </c>
      <c r="Y538">
        <v>10570</v>
      </c>
      <c r="Z538">
        <v>17</v>
      </c>
      <c r="AA538">
        <v>0</v>
      </c>
      <c r="AB538">
        <v>116270</v>
      </c>
      <c r="AC538">
        <v>0</v>
      </c>
      <c r="AD538" t="s">
        <v>94</v>
      </c>
      <c r="AE538" t="s">
        <v>94</v>
      </c>
      <c r="AF538" t="s">
        <v>226</v>
      </c>
      <c r="AG538" t="s">
        <v>226</v>
      </c>
      <c r="AH538">
        <v>-100</v>
      </c>
      <c r="AI538" t="s">
        <v>2744</v>
      </c>
      <c r="AJ538" t="s">
        <v>2745</v>
      </c>
      <c r="AK538" t="s">
        <v>1575</v>
      </c>
      <c r="AL538" t="s">
        <v>272</v>
      </c>
    </row>
    <row r="539" spans="1:38">
      <c r="A539" t="s">
        <v>2952</v>
      </c>
      <c r="B539" t="s">
        <v>2953</v>
      </c>
      <c r="C539" t="s">
        <v>2954</v>
      </c>
      <c r="D539" t="s">
        <v>2954</v>
      </c>
      <c r="E539" t="s">
        <v>2955</v>
      </c>
      <c r="F539" t="s">
        <v>2759</v>
      </c>
      <c r="G539">
        <v>3</v>
      </c>
      <c r="H539">
        <v>1</v>
      </c>
      <c r="I539">
        <v>2</v>
      </c>
      <c r="J539" t="s">
        <v>226</v>
      </c>
      <c r="K539">
        <v>-0.02</v>
      </c>
      <c r="L539">
        <v>8598</v>
      </c>
      <c r="M539">
        <v>8600</v>
      </c>
      <c r="N539">
        <v>8580</v>
      </c>
      <c r="O539">
        <v>8598</v>
      </c>
      <c r="P539">
        <v>0</v>
      </c>
      <c r="Q539">
        <v>0</v>
      </c>
      <c r="R539">
        <v>0</v>
      </c>
      <c r="S539">
        <v>8600</v>
      </c>
      <c r="T539">
        <v>8604</v>
      </c>
      <c r="U539">
        <v>8598</v>
      </c>
      <c r="V539">
        <v>8604</v>
      </c>
      <c r="W539">
        <v>266598</v>
      </c>
      <c r="X539">
        <v>8538</v>
      </c>
      <c r="Y539">
        <v>8598</v>
      </c>
      <c r="Z539">
        <v>2</v>
      </c>
      <c r="AA539">
        <v>0</v>
      </c>
      <c r="AB539">
        <v>180558</v>
      </c>
      <c r="AC539">
        <v>0</v>
      </c>
      <c r="AD539" t="s">
        <v>94</v>
      </c>
      <c r="AE539" t="s">
        <v>94</v>
      </c>
      <c r="AF539" t="s">
        <v>226</v>
      </c>
      <c r="AG539" t="s">
        <v>226</v>
      </c>
      <c r="AH539">
        <v>-100</v>
      </c>
      <c r="AI539" t="s">
        <v>2744</v>
      </c>
      <c r="AJ539" t="s">
        <v>2745</v>
      </c>
      <c r="AK539" t="s">
        <v>1575</v>
      </c>
      <c r="AL539" t="s">
        <v>272</v>
      </c>
    </row>
    <row r="540" spans="1:38">
      <c r="A540" t="s">
        <v>2956</v>
      </c>
      <c r="B540" t="s">
        <v>2957</v>
      </c>
      <c r="C540" t="s">
        <v>2958</v>
      </c>
      <c r="D540" t="s">
        <v>2958</v>
      </c>
      <c r="E540" t="s">
        <v>2959</v>
      </c>
      <c r="F540" t="s">
        <v>1521</v>
      </c>
      <c r="G540">
        <v>3</v>
      </c>
      <c r="H540">
        <v>1</v>
      </c>
      <c r="I540">
        <v>0.5</v>
      </c>
      <c r="J540" t="s">
        <v>226</v>
      </c>
      <c r="K540">
        <v>0</v>
      </c>
      <c r="L540">
        <v>0</v>
      </c>
      <c r="M540">
        <v>1499</v>
      </c>
      <c r="N540">
        <v>0</v>
      </c>
      <c r="O540">
        <v>1499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 t="s">
        <v>94</v>
      </c>
      <c r="AE540" t="s">
        <v>94</v>
      </c>
      <c r="AF540" t="s">
        <v>304</v>
      </c>
      <c r="AG540" t="s">
        <v>226</v>
      </c>
      <c r="AH540">
        <v>0</v>
      </c>
      <c r="AI540" t="s">
        <v>2744</v>
      </c>
      <c r="AJ540" t="s">
        <v>2745</v>
      </c>
      <c r="AK540" t="s">
        <v>1522</v>
      </c>
      <c r="AL540" t="s">
        <v>272</v>
      </c>
    </row>
    <row r="541" spans="1:38">
      <c r="A541" t="s">
        <v>2960</v>
      </c>
      <c r="B541" t="s">
        <v>2961</v>
      </c>
      <c r="C541" t="s">
        <v>2962</v>
      </c>
      <c r="D541" t="s">
        <v>2962</v>
      </c>
      <c r="E541" t="s">
        <v>2963</v>
      </c>
      <c r="F541" t="s">
        <v>1521</v>
      </c>
      <c r="G541">
        <v>3</v>
      </c>
      <c r="H541">
        <v>1</v>
      </c>
      <c r="I541">
        <v>0.1</v>
      </c>
      <c r="J541" t="s">
        <v>226</v>
      </c>
      <c r="K541">
        <v>0</v>
      </c>
      <c r="L541">
        <v>0</v>
      </c>
      <c r="M541">
        <v>5508</v>
      </c>
      <c r="N541">
        <v>5328.9</v>
      </c>
      <c r="O541">
        <v>5508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5320.1</v>
      </c>
      <c r="Y541">
        <v>5508</v>
      </c>
      <c r="Z541">
        <v>0</v>
      </c>
      <c r="AA541">
        <v>0</v>
      </c>
      <c r="AB541">
        <v>0</v>
      </c>
      <c r="AC541">
        <v>0</v>
      </c>
      <c r="AD541" t="s">
        <v>94</v>
      </c>
      <c r="AE541" t="s">
        <v>94</v>
      </c>
      <c r="AF541" t="s">
        <v>304</v>
      </c>
      <c r="AG541" t="s">
        <v>226</v>
      </c>
      <c r="AH541">
        <v>0</v>
      </c>
      <c r="AI541" t="s">
        <v>2744</v>
      </c>
      <c r="AJ541" t="s">
        <v>2745</v>
      </c>
      <c r="AK541" t="s">
        <v>1522</v>
      </c>
      <c r="AL541" t="s">
        <v>272</v>
      </c>
    </row>
    <row r="542" spans="1:38">
      <c r="A542" t="s">
        <v>2964</v>
      </c>
      <c r="B542" t="s">
        <v>2965</v>
      </c>
      <c r="C542" t="s">
        <v>2966</v>
      </c>
      <c r="D542" t="s">
        <v>2966</v>
      </c>
      <c r="E542" t="s">
        <v>2967</v>
      </c>
      <c r="F542" t="s">
        <v>1521</v>
      </c>
      <c r="G542">
        <v>3</v>
      </c>
      <c r="H542">
        <v>10</v>
      </c>
      <c r="I542">
        <v>0.2</v>
      </c>
      <c r="J542" t="s">
        <v>226</v>
      </c>
      <c r="K542">
        <v>0</v>
      </c>
      <c r="L542">
        <v>0</v>
      </c>
      <c r="M542">
        <v>1310</v>
      </c>
      <c r="N542">
        <v>0</v>
      </c>
      <c r="O542">
        <v>1310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1305</v>
      </c>
      <c r="Y542">
        <v>1315</v>
      </c>
      <c r="Z542">
        <v>0</v>
      </c>
      <c r="AA542">
        <v>0</v>
      </c>
      <c r="AB542">
        <v>0</v>
      </c>
      <c r="AC542">
        <v>0</v>
      </c>
      <c r="AD542" t="s">
        <v>94</v>
      </c>
      <c r="AE542" t="s">
        <v>94</v>
      </c>
      <c r="AF542" t="s">
        <v>304</v>
      </c>
      <c r="AG542" t="s">
        <v>226</v>
      </c>
      <c r="AH542">
        <v>0</v>
      </c>
      <c r="AI542" t="s">
        <v>2744</v>
      </c>
      <c r="AJ542" t="s">
        <v>2745</v>
      </c>
      <c r="AK542" t="s">
        <v>1522</v>
      </c>
      <c r="AL542" t="s">
        <v>272</v>
      </c>
    </row>
    <row r="543" spans="1:38">
      <c r="A543" t="s">
        <v>2968</v>
      </c>
      <c r="B543" t="s">
        <v>2969</v>
      </c>
      <c r="C543" t="s">
        <v>2970</v>
      </c>
      <c r="D543" t="s">
        <v>2970</v>
      </c>
      <c r="E543" t="s">
        <v>2971</v>
      </c>
      <c r="F543" t="s">
        <v>2759</v>
      </c>
      <c r="G543">
        <v>3</v>
      </c>
      <c r="H543">
        <v>1</v>
      </c>
      <c r="I543">
        <v>5</v>
      </c>
      <c r="J543" t="s">
        <v>226</v>
      </c>
      <c r="K543">
        <v>0</v>
      </c>
      <c r="L543">
        <v>0</v>
      </c>
      <c r="M543">
        <v>7855</v>
      </c>
      <c r="N543">
        <v>7785</v>
      </c>
      <c r="O543">
        <v>7855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7680</v>
      </c>
      <c r="Y543">
        <v>7720</v>
      </c>
      <c r="Z543">
        <v>0</v>
      </c>
      <c r="AA543">
        <v>0</v>
      </c>
      <c r="AB543">
        <v>0</v>
      </c>
      <c r="AC543">
        <v>0</v>
      </c>
      <c r="AD543" t="s">
        <v>94</v>
      </c>
      <c r="AE543" t="s">
        <v>94</v>
      </c>
      <c r="AF543" t="s">
        <v>226</v>
      </c>
      <c r="AG543" t="s">
        <v>226</v>
      </c>
      <c r="AH543">
        <v>-100</v>
      </c>
      <c r="AI543" t="s">
        <v>2744</v>
      </c>
      <c r="AJ543" t="s">
        <v>2745</v>
      </c>
      <c r="AK543" t="s">
        <v>1575</v>
      </c>
      <c r="AL543" t="s">
        <v>272</v>
      </c>
    </row>
    <row r="544" spans="1:38">
      <c r="A544" t="s">
        <v>2972</v>
      </c>
      <c r="B544" t="s">
        <v>2973</v>
      </c>
      <c r="C544" t="s">
        <v>2974</v>
      </c>
      <c r="D544" t="s">
        <v>2974</v>
      </c>
      <c r="E544" t="s">
        <v>2975</v>
      </c>
      <c r="F544" t="s">
        <v>2759</v>
      </c>
      <c r="G544">
        <v>3</v>
      </c>
      <c r="H544">
        <v>10</v>
      </c>
      <c r="I544">
        <v>0.05</v>
      </c>
      <c r="J544" t="s">
        <v>226</v>
      </c>
      <c r="K544">
        <v>0.33</v>
      </c>
      <c r="L544">
        <v>76.25</v>
      </c>
      <c r="M544">
        <v>76</v>
      </c>
      <c r="N544">
        <v>75.75</v>
      </c>
      <c r="O544">
        <v>76.25</v>
      </c>
      <c r="P544">
        <v>0</v>
      </c>
      <c r="Q544">
        <v>0</v>
      </c>
      <c r="R544">
        <v>0</v>
      </c>
      <c r="S544">
        <v>76</v>
      </c>
      <c r="T544">
        <v>75.849999999999994</v>
      </c>
      <c r="U544">
        <v>75.75</v>
      </c>
      <c r="V544">
        <v>76.25</v>
      </c>
      <c r="W544">
        <v>240210</v>
      </c>
      <c r="X544">
        <v>76.3</v>
      </c>
      <c r="Y544">
        <v>76.7</v>
      </c>
      <c r="Z544">
        <v>26</v>
      </c>
      <c r="AA544">
        <v>0</v>
      </c>
      <c r="AB544">
        <v>1525</v>
      </c>
      <c r="AC544">
        <v>0</v>
      </c>
      <c r="AD544" t="s">
        <v>94</v>
      </c>
      <c r="AE544" t="s">
        <v>94</v>
      </c>
      <c r="AF544" t="s">
        <v>226</v>
      </c>
      <c r="AG544" t="s">
        <v>226</v>
      </c>
      <c r="AH544">
        <v>-100</v>
      </c>
      <c r="AI544" t="s">
        <v>2744</v>
      </c>
      <c r="AJ544" t="s">
        <v>2745</v>
      </c>
      <c r="AK544" t="s">
        <v>1575</v>
      </c>
      <c r="AL544" t="s">
        <v>272</v>
      </c>
    </row>
    <row r="545" spans="1:38">
      <c r="A545" t="s">
        <v>2976</v>
      </c>
      <c r="B545" t="s">
        <v>2977</v>
      </c>
      <c r="C545" t="s">
        <v>2978</v>
      </c>
      <c r="D545" t="s">
        <v>2978</v>
      </c>
      <c r="E545" t="s">
        <v>2979</v>
      </c>
      <c r="F545" t="s">
        <v>2743</v>
      </c>
      <c r="G545">
        <v>3</v>
      </c>
      <c r="H545">
        <v>1</v>
      </c>
      <c r="I545">
        <v>100</v>
      </c>
      <c r="J545" t="s">
        <v>226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 t="s">
        <v>94</v>
      </c>
      <c r="AE545" t="s">
        <v>94</v>
      </c>
      <c r="AF545" t="s">
        <v>226</v>
      </c>
      <c r="AG545" t="s">
        <v>226</v>
      </c>
      <c r="AH545">
        <v>-100</v>
      </c>
      <c r="AI545" t="s">
        <v>2744</v>
      </c>
      <c r="AJ545" t="s">
        <v>2745</v>
      </c>
      <c r="AK545" t="s">
        <v>2746</v>
      </c>
      <c r="AL545" t="s">
        <v>272</v>
      </c>
    </row>
    <row r="546" spans="1:38">
      <c r="A546" t="s">
        <v>2980</v>
      </c>
      <c r="B546" t="s">
        <v>2981</v>
      </c>
      <c r="C546" t="s">
        <v>2982</v>
      </c>
      <c r="D546" t="s">
        <v>2982</v>
      </c>
      <c r="E546" t="s">
        <v>2983</v>
      </c>
      <c r="F546" t="s">
        <v>1521</v>
      </c>
      <c r="G546">
        <v>3</v>
      </c>
      <c r="H546">
        <v>1</v>
      </c>
      <c r="I546">
        <v>5</v>
      </c>
      <c r="J546" t="s">
        <v>226</v>
      </c>
      <c r="K546">
        <v>0</v>
      </c>
      <c r="L546">
        <v>0</v>
      </c>
      <c r="M546">
        <v>1835</v>
      </c>
      <c r="N546">
        <v>0</v>
      </c>
      <c r="O546">
        <v>1835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1200</v>
      </c>
      <c r="Y546">
        <v>0</v>
      </c>
      <c r="Z546">
        <v>0</v>
      </c>
      <c r="AA546">
        <v>0</v>
      </c>
      <c r="AB546">
        <v>0</v>
      </c>
      <c r="AC546">
        <v>0</v>
      </c>
      <c r="AD546" t="s">
        <v>94</v>
      </c>
      <c r="AE546" t="s">
        <v>94</v>
      </c>
      <c r="AF546" t="s">
        <v>226</v>
      </c>
      <c r="AG546" t="s">
        <v>226</v>
      </c>
      <c r="AH546">
        <v>5</v>
      </c>
      <c r="AI546" t="s">
        <v>2744</v>
      </c>
      <c r="AJ546" t="s">
        <v>2745</v>
      </c>
      <c r="AK546" t="s">
        <v>1522</v>
      </c>
      <c r="AL546" t="s">
        <v>272</v>
      </c>
    </row>
    <row r="547" spans="1:38">
      <c r="A547" t="s">
        <v>2984</v>
      </c>
      <c r="B547" t="s">
        <v>2985</v>
      </c>
      <c r="C547" t="s">
        <v>2986</v>
      </c>
      <c r="D547" t="s">
        <v>2986</v>
      </c>
      <c r="E547" t="s">
        <v>2987</v>
      </c>
      <c r="F547" t="s">
        <v>1521</v>
      </c>
      <c r="G547">
        <v>3</v>
      </c>
      <c r="H547">
        <v>1</v>
      </c>
      <c r="I547">
        <v>2000</v>
      </c>
      <c r="J547" t="s">
        <v>226</v>
      </c>
      <c r="K547">
        <v>0</v>
      </c>
      <c r="L547">
        <v>0</v>
      </c>
      <c r="M547">
        <v>76000</v>
      </c>
      <c r="N547">
        <v>0</v>
      </c>
      <c r="O547">
        <v>76000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 t="s">
        <v>94</v>
      </c>
      <c r="AE547" t="s">
        <v>94</v>
      </c>
      <c r="AF547" t="s">
        <v>304</v>
      </c>
      <c r="AG547" t="s">
        <v>226</v>
      </c>
      <c r="AH547">
        <v>0</v>
      </c>
      <c r="AI547" t="s">
        <v>2744</v>
      </c>
      <c r="AJ547" t="s">
        <v>2745</v>
      </c>
      <c r="AK547" t="s">
        <v>1522</v>
      </c>
      <c r="AL547" t="s">
        <v>272</v>
      </c>
    </row>
    <row r="548" spans="1:38">
      <c r="A548" t="s">
        <v>2988</v>
      </c>
      <c r="B548" t="s">
        <v>2989</v>
      </c>
      <c r="C548" t="s">
        <v>2990</v>
      </c>
      <c r="D548" t="s">
        <v>2990</v>
      </c>
      <c r="E548" t="s">
        <v>2991</v>
      </c>
      <c r="F548" t="s">
        <v>1521</v>
      </c>
      <c r="G548">
        <v>3</v>
      </c>
      <c r="H548">
        <v>1</v>
      </c>
      <c r="I548">
        <v>10</v>
      </c>
      <c r="J548" t="s">
        <v>226</v>
      </c>
      <c r="K548">
        <v>0</v>
      </c>
      <c r="L548">
        <v>0</v>
      </c>
      <c r="M548">
        <v>41000</v>
      </c>
      <c r="N548">
        <v>40540</v>
      </c>
      <c r="O548">
        <v>41000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36110</v>
      </c>
      <c r="Y548">
        <v>47990</v>
      </c>
      <c r="Z548">
        <v>0</v>
      </c>
      <c r="AA548">
        <v>0</v>
      </c>
      <c r="AB548">
        <v>0</v>
      </c>
      <c r="AC548">
        <v>0</v>
      </c>
      <c r="AD548" t="s">
        <v>94</v>
      </c>
      <c r="AE548" t="s">
        <v>94</v>
      </c>
      <c r="AF548" t="s">
        <v>304</v>
      </c>
      <c r="AG548" t="s">
        <v>226</v>
      </c>
      <c r="AH548">
        <v>0</v>
      </c>
      <c r="AI548" t="s">
        <v>2744</v>
      </c>
      <c r="AJ548" t="s">
        <v>2745</v>
      </c>
      <c r="AK548" t="s">
        <v>1522</v>
      </c>
      <c r="AL548" t="s">
        <v>272</v>
      </c>
    </row>
    <row r="549" spans="1:38">
      <c r="A549" t="s">
        <v>2992</v>
      </c>
      <c r="B549" t="s">
        <v>2993</v>
      </c>
      <c r="C549" t="s">
        <v>2994</v>
      </c>
      <c r="D549" t="s">
        <v>2994</v>
      </c>
      <c r="E549" t="s">
        <v>2995</v>
      </c>
      <c r="F549" t="s">
        <v>2759</v>
      </c>
      <c r="G549">
        <v>3</v>
      </c>
      <c r="H549">
        <v>100</v>
      </c>
      <c r="I549">
        <v>0.05</v>
      </c>
      <c r="J549" t="s">
        <v>226</v>
      </c>
      <c r="K549">
        <v>0</v>
      </c>
      <c r="L549">
        <v>0</v>
      </c>
      <c r="M549">
        <v>14.55</v>
      </c>
      <c r="N549">
        <v>0</v>
      </c>
      <c r="O549">
        <v>14.55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 t="s">
        <v>94</v>
      </c>
      <c r="AE549" t="s">
        <v>94</v>
      </c>
      <c r="AF549" t="s">
        <v>226</v>
      </c>
      <c r="AG549" t="s">
        <v>226</v>
      </c>
      <c r="AH549">
        <v>-100</v>
      </c>
      <c r="AI549" t="s">
        <v>2744</v>
      </c>
      <c r="AJ549" t="s">
        <v>2745</v>
      </c>
      <c r="AK549" t="s">
        <v>1575</v>
      </c>
      <c r="AL549" t="s">
        <v>272</v>
      </c>
    </row>
    <row r="550" spans="1:38">
      <c r="A550" t="s">
        <v>2996</v>
      </c>
      <c r="B550" t="s">
        <v>2997</v>
      </c>
      <c r="C550" t="s">
        <v>2998</v>
      </c>
      <c r="D550" t="s">
        <v>2998</v>
      </c>
      <c r="E550" t="s">
        <v>2999</v>
      </c>
      <c r="F550" t="s">
        <v>1521</v>
      </c>
      <c r="G550">
        <v>3</v>
      </c>
      <c r="H550">
        <v>10</v>
      </c>
      <c r="I550">
        <v>1</v>
      </c>
      <c r="J550" t="s">
        <v>226</v>
      </c>
      <c r="K550">
        <v>2.67</v>
      </c>
      <c r="L550">
        <v>269</v>
      </c>
      <c r="M550">
        <v>262</v>
      </c>
      <c r="N550">
        <v>250</v>
      </c>
      <c r="O550">
        <v>269</v>
      </c>
      <c r="P550">
        <v>0</v>
      </c>
      <c r="Q550">
        <v>0</v>
      </c>
      <c r="R550">
        <v>0</v>
      </c>
      <c r="S550">
        <v>264</v>
      </c>
      <c r="T550">
        <v>255</v>
      </c>
      <c r="U550">
        <v>254</v>
      </c>
      <c r="V550">
        <v>269</v>
      </c>
      <c r="W550">
        <v>68680</v>
      </c>
      <c r="X550">
        <v>259</v>
      </c>
      <c r="Y550">
        <v>269</v>
      </c>
      <c r="Z550">
        <v>12</v>
      </c>
      <c r="AA550">
        <v>15681349</v>
      </c>
      <c r="AB550">
        <v>16140</v>
      </c>
      <c r="AC550">
        <v>0</v>
      </c>
      <c r="AD550" t="s">
        <v>94</v>
      </c>
      <c r="AE550" t="s">
        <v>94</v>
      </c>
      <c r="AF550" t="s">
        <v>226</v>
      </c>
      <c r="AG550" t="s">
        <v>226</v>
      </c>
      <c r="AH550">
        <v>5</v>
      </c>
      <c r="AI550" t="s">
        <v>2744</v>
      </c>
      <c r="AJ550" t="s">
        <v>2745</v>
      </c>
      <c r="AK550" t="s">
        <v>1522</v>
      </c>
      <c r="AL550" t="s">
        <v>272</v>
      </c>
    </row>
    <row r="551" spans="1:38">
      <c r="A551" t="s">
        <v>3000</v>
      </c>
      <c r="B551" t="s">
        <v>3001</v>
      </c>
      <c r="C551" t="s">
        <v>3002</v>
      </c>
      <c r="D551" t="s">
        <v>3002</v>
      </c>
      <c r="E551" t="s">
        <v>3003</v>
      </c>
      <c r="F551" t="s">
        <v>2743</v>
      </c>
      <c r="G551">
        <v>3</v>
      </c>
      <c r="H551">
        <v>1</v>
      </c>
      <c r="I551">
        <v>100</v>
      </c>
      <c r="J551" t="s">
        <v>226</v>
      </c>
      <c r="K551">
        <v>0</v>
      </c>
      <c r="L551">
        <v>0</v>
      </c>
      <c r="M551">
        <v>44600</v>
      </c>
      <c r="N551">
        <v>0</v>
      </c>
      <c r="O551">
        <v>44600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 t="s">
        <v>94</v>
      </c>
      <c r="AE551" t="s">
        <v>94</v>
      </c>
      <c r="AF551" t="s">
        <v>226</v>
      </c>
      <c r="AG551" t="s">
        <v>226</v>
      </c>
      <c r="AH551">
        <v>-100</v>
      </c>
      <c r="AI551" t="s">
        <v>2744</v>
      </c>
      <c r="AJ551" t="s">
        <v>2745</v>
      </c>
      <c r="AK551" t="s">
        <v>2746</v>
      </c>
      <c r="AL551" t="s">
        <v>272</v>
      </c>
    </row>
    <row r="552" spans="1:38">
      <c r="A552" t="s">
        <v>3004</v>
      </c>
      <c r="B552" t="s">
        <v>3005</v>
      </c>
      <c r="C552" t="s">
        <v>3006</v>
      </c>
      <c r="D552" t="s">
        <v>3006</v>
      </c>
      <c r="E552" t="s">
        <v>3007</v>
      </c>
      <c r="F552" t="s">
        <v>1521</v>
      </c>
      <c r="G552">
        <v>3</v>
      </c>
      <c r="H552">
        <v>1</v>
      </c>
      <c r="I552">
        <v>0.5</v>
      </c>
      <c r="J552" t="s">
        <v>226</v>
      </c>
      <c r="K552">
        <v>0</v>
      </c>
      <c r="L552">
        <v>1606</v>
      </c>
      <c r="M552">
        <v>1606</v>
      </c>
      <c r="N552">
        <v>1621.5</v>
      </c>
      <c r="O552">
        <v>1606</v>
      </c>
      <c r="P552">
        <v>0</v>
      </c>
      <c r="Q552">
        <v>0</v>
      </c>
      <c r="R552">
        <v>0</v>
      </c>
      <c r="S552">
        <v>1606</v>
      </c>
      <c r="T552">
        <v>1606</v>
      </c>
      <c r="U552">
        <v>1606</v>
      </c>
      <c r="V552">
        <v>1606</v>
      </c>
      <c r="W552">
        <v>3212</v>
      </c>
      <c r="X552">
        <v>1556.5</v>
      </c>
      <c r="Y552">
        <v>1606</v>
      </c>
      <c r="Z552">
        <v>1</v>
      </c>
      <c r="AA552">
        <v>0</v>
      </c>
      <c r="AB552">
        <v>3212</v>
      </c>
      <c r="AC552">
        <v>0</v>
      </c>
      <c r="AD552" t="s">
        <v>94</v>
      </c>
      <c r="AE552" t="s">
        <v>94</v>
      </c>
      <c r="AF552" t="s">
        <v>226</v>
      </c>
      <c r="AG552" t="s">
        <v>226</v>
      </c>
      <c r="AH552">
        <v>5</v>
      </c>
      <c r="AI552" t="s">
        <v>2744</v>
      </c>
      <c r="AJ552" t="s">
        <v>2745</v>
      </c>
      <c r="AK552" t="s">
        <v>1522</v>
      </c>
      <c r="AL552" t="s">
        <v>272</v>
      </c>
    </row>
    <row r="553" spans="1:38">
      <c r="A553" t="s">
        <v>3008</v>
      </c>
      <c r="B553" t="s">
        <v>3009</v>
      </c>
      <c r="C553" t="s">
        <v>3010</v>
      </c>
      <c r="D553" t="s">
        <v>3010</v>
      </c>
      <c r="E553" t="s">
        <v>3011</v>
      </c>
      <c r="F553" t="s">
        <v>2759</v>
      </c>
      <c r="G553">
        <v>3</v>
      </c>
      <c r="H553">
        <v>1</v>
      </c>
      <c r="I553">
        <v>5</v>
      </c>
      <c r="J553" t="s">
        <v>226</v>
      </c>
      <c r="K553">
        <v>-1.33</v>
      </c>
      <c r="L553">
        <v>3700</v>
      </c>
      <c r="M553">
        <v>3750</v>
      </c>
      <c r="N553">
        <v>3700</v>
      </c>
      <c r="O553">
        <v>3700</v>
      </c>
      <c r="P553">
        <v>0</v>
      </c>
      <c r="Q553">
        <v>0</v>
      </c>
      <c r="R553">
        <v>0</v>
      </c>
      <c r="S553">
        <v>3770</v>
      </c>
      <c r="T553">
        <v>3805</v>
      </c>
      <c r="U553">
        <v>3700</v>
      </c>
      <c r="V553">
        <v>3805</v>
      </c>
      <c r="W553">
        <v>11310</v>
      </c>
      <c r="X553">
        <v>3685</v>
      </c>
      <c r="Y553">
        <v>3745</v>
      </c>
      <c r="Z553">
        <v>2</v>
      </c>
      <c r="AA553">
        <v>0</v>
      </c>
      <c r="AB553">
        <v>3700</v>
      </c>
      <c r="AC553">
        <v>0</v>
      </c>
      <c r="AD553" t="s">
        <v>94</v>
      </c>
      <c r="AE553" t="s">
        <v>94</v>
      </c>
      <c r="AF553" t="s">
        <v>226</v>
      </c>
      <c r="AG553" t="s">
        <v>226</v>
      </c>
      <c r="AH553">
        <v>-100</v>
      </c>
      <c r="AI553" t="s">
        <v>2744</v>
      </c>
      <c r="AJ553" t="s">
        <v>2745</v>
      </c>
      <c r="AK553" t="s">
        <v>1575</v>
      </c>
      <c r="AL553" t="s">
        <v>272</v>
      </c>
    </row>
    <row r="554" spans="1:38">
      <c r="A554" t="s">
        <v>3012</v>
      </c>
      <c r="B554" t="s">
        <v>3013</v>
      </c>
      <c r="C554" t="s">
        <v>3014</v>
      </c>
      <c r="D554" t="s">
        <v>3014</v>
      </c>
      <c r="E554" t="s">
        <v>3015</v>
      </c>
      <c r="F554" t="s">
        <v>2759</v>
      </c>
      <c r="G554">
        <v>3</v>
      </c>
      <c r="H554">
        <v>1</v>
      </c>
      <c r="I554">
        <v>5</v>
      </c>
      <c r="J554" t="s">
        <v>226</v>
      </c>
      <c r="K554">
        <v>-0.21</v>
      </c>
      <c r="L554">
        <v>2415</v>
      </c>
      <c r="M554">
        <v>2420</v>
      </c>
      <c r="N554">
        <v>2410</v>
      </c>
      <c r="O554">
        <v>2415</v>
      </c>
      <c r="P554">
        <v>0</v>
      </c>
      <c r="Q554">
        <v>0</v>
      </c>
      <c r="R554">
        <v>0</v>
      </c>
      <c r="S554">
        <v>2420</v>
      </c>
      <c r="T554">
        <v>2420</v>
      </c>
      <c r="U554">
        <v>2415</v>
      </c>
      <c r="V554">
        <v>2420</v>
      </c>
      <c r="W554">
        <v>154780</v>
      </c>
      <c r="X554">
        <v>2415</v>
      </c>
      <c r="Y554">
        <v>2450</v>
      </c>
      <c r="Z554">
        <v>4</v>
      </c>
      <c r="AA554">
        <v>0</v>
      </c>
      <c r="AB554">
        <v>2415</v>
      </c>
      <c r="AC554">
        <v>0</v>
      </c>
      <c r="AD554" t="s">
        <v>94</v>
      </c>
      <c r="AE554" t="s">
        <v>94</v>
      </c>
      <c r="AF554" t="s">
        <v>226</v>
      </c>
      <c r="AG554" t="s">
        <v>226</v>
      </c>
      <c r="AH554">
        <v>-100</v>
      </c>
      <c r="AI554" t="s">
        <v>2744</v>
      </c>
      <c r="AJ554" t="s">
        <v>2745</v>
      </c>
      <c r="AK554" t="s">
        <v>1575</v>
      </c>
      <c r="AL554" t="s">
        <v>272</v>
      </c>
    </row>
    <row r="555" spans="1:38">
      <c r="A555" t="s">
        <v>3016</v>
      </c>
      <c r="B555" t="s">
        <v>3017</v>
      </c>
      <c r="C555" t="s">
        <v>3018</v>
      </c>
      <c r="D555" t="s">
        <v>3018</v>
      </c>
      <c r="E555" t="s">
        <v>3019</v>
      </c>
      <c r="F555" t="s">
        <v>2759</v>
      </c>
      <c r="G555">
        <v>3</v>
      </c>
      <c r="H555">
        <v>1</v>
      </c>
      <c r="I555">
        <v>5</v>
      </c>
      <c r="J555" t="s">
        <v>226</v>
      </c>
      <c r="K555">
        <v>-2.09</v>
      </c>
      <c r="L555">
        <v>2810</v>
      </c>
      <c r="M555">
        <v>2870</v>
      </c>
      <c r="N555">
        <v>2825</v>
      </c>
      <c r="O555">
        <v>2810</v>
      </c>
      <c r="P555">
        <v>0</v>
      </c>
      <c r="Q555">
        <v>0</v>
      </c>
      <c r="R555">
        <v>0</v>
      </c>
      <c r="S555">
        <v>2825</v>
      </c>
      <c r="T555">
        <v>2830</v>
      </c>
      <c r="U555">
        <v>2810</v>
      </c>
      <c r="V555">
        <v>2830</v>
      </c>
      <c r="W555">
        <v>8470</v>
      </c>
      <c r="X555">
        <v>2810</v>
      </c>
      <c r="Y555">
        <v>2860</v>
      </c>
      <c r="Z555">
        <v>2</v>
      </c>
      <c r="AA555">
        <v>0</v>
      </c>
      <c r="AB555">
        <v>2810</v>
      </c>
      <c r="AC555">
        <v>0</v>
      </c>
      <c r="AD555" t="s">
        <v>94</v>
      </c>
      <c r="AE555" t="s">
        <v>94</v>
      </c>
      <c r="AF555" t="s">
        <v>226</v>
      </c>
      <c r="AG555" t="s">
        <v>226</v>
      </c>
      <c r="AH555">
        <v>-100</v>
      </c>
      <c r="AI555" t="s">
        <v>2744</v>
      </c>
      <c r="AJ555" t="s">
        <v>2745</v>
      </c>
      <c r="AK555" t="s">
        <v>1575</v>
      </c>
      <c r="AL555" t="s">
        <v>272</v>
      </c>
    </row>
    <row r="556" spans="1:38">
      <c r="A556" t="s">
        <v>3020</v>
      </c>
      <c r="B556" t="s">
        <v>3021</v>
      </c>
      <c r="C556" t="s">
        <v>3022</v>
      </c>
      <c r="D556" t="s">
        <v>3022</v>
      </c>
      <c r="E556" t="s">
        <v>3023</v>
      </c>
      <c r="F556" t="s">
        <v>2759</v>
      </c>
      <c r="G556">
        <v>3</v>
      </c>
      <c r="H556">
        <v>1</v>
      </c>
      <c r="I556">
        <v>2</v>
      </c>
      <c r="J556" t="s">
        <v>226</v>
      </c>
      <c r="K556">
        <v>-1.56</v>
      </c>
      <c r="L556">
        <v>1636</v>
      </c>
      <c r="M556">
        <v>1662</v>
      </c>
      <c r="N556">
        <v>1682</v>
      </c>
      <c r="O556">
        <v>1636</v>
      </c>
      <c r="P556">
        <v>0</v>
      </c>
      <c r="Q556">
        <v>0</v>
      </c>
      <c r="R556">
        <v>0</v>
      </c>
      <c r="S556">
        <v>1648</v>
      </c>
      <c r="T556">
        <v>1654</v>
      </c>
      <c r="U556">
        <v>1634</v>
      </c>
      <c r="V556">
        <v>1658</v>
      </c>
      <c r="W556">
        <v>24732</v>
      </c>
      <c r="X556">
        <v>1638</v>
      </c>
      <c r="Y556">
        <v>1652</v>
      </c>
      <c r="Z556">
        <v>11</v>
      </c>
      <c r="AA556">
        <v>0</v>
      </c>
      <c r="AB556">
        <v>1636</v>
      </c>
      <c r="AC556">
        <v>0</v>
      </c>
      <c r="AD556" t="s">
        <v>94</v>
      </c>
      <c r="AE556" t="s">
        <v>94</v>
      </c>
      <c r="AF556" t="s">
        <v>226</v>
      </c>
      <c r="AG556" t="s">
        <v>226</v>
      </c>
      <c r="AH556">
        <v>-100</v>
      </c>
      <c r="AI556" t="s">
        <v>2744</v>
      </c>
      <c r="AJ556" t="s">
        <v>2745</v>
      </c>
      <c r="AK556" t="s">
        <v>1575</v>
      </c>
      <c r="AL556" t="s">
        <v>272</v>
      </c>
    </row>
    <row r="557" spans="1:38">
      <c r="A557" t="s">
        <v>3024</v>
      </c>
      <c r="B557" t="s">
        <v>3025</v>
      </c>
      <c r="C557" t="s">
        <v>3026</v>
      </c>
      <c r="D557" t="s">
        <v>3026</v>
      </c>
      <c r="E557" t="s">
        <v>3027</v>
      </c>
      <c r="F557" t="s">
        <v>1521</v>
      </c>
      <c r="G557">
        <v>3</v>
      </c>
      <c r="H557">
        <v>1</v>
      </c>
      <c r="I557">
        <v>0.5</v>
      </c>
      <c r="J557" t="s">
        <v>226</v>
      </c>
      <c r="K557">
        <v>-0.92</v>
      </c>
      <c r="L557">
        <v>812</v>
      </c>
      <c r="M557">
        <v>819.5</v>
      </c>
      <c r="N557">
        <v>817</v>
      </c>
      <c r="O557">
        <v>812</v>
      </c>
      <c r="P557">
        <v>0</v>
      </c>
      <c r="Q557">
        <v>0</v>
      </c>
      <c r="R557">
        <v>0</v>
      </c>
      <c r="S557">
        <v>812</v>
      </c>
      <c r="T557">
        <v>813</v>
      </c>
      <c r="U557">
        <v>806</v>
      </c>
      <c r="V557">
        <v>818.5</v>
      </c>
      <c r="W557">
        <v>2427208</v>
      </c>
      <c r="X557">
        <v>810.5</v>
      </c>
      <c r="Y557">
        <v>812</v>
      </c>
      <c r="Z557">
        <v>32</v>
      </c>
      <c r="AA557">
        <v>0</v>
      </c>
      <c r="AB557">
        <v>2436</v>
      </c>
      <c r="AC557">
        <v>0</v>
      </c>
      <c r="AD557" t="s">
        <v>94</v>
      </c>
      <c r="AE557" t="s">
        <v>94</v>
      </c>
      <c r="AF557" t="s">
        <v>304</v>
      </c>
      <c r="AG557" t="s">
        <v>226</v>
      </c>
      <c r="AH557">
        <v>0</v>
      </c>
      <c r="AI557" t="s">
        <v>2744</v>
      </c>
      <c r="AJ557" t="s">
        <v>2745</v>
      </c>
      <c r="AK557" t="s">
        <v>1522</v>
      </c>
      <c r="AL557" t="s">
        <v>272</v>
      </c>
    </row>
    <row r="558" spans="1:38">
      <c r="A558" t="s">
        <v>3028</v>
      </c>
      <c r="B558" t="s">
        <v>3029</v>
      </c>
      <c r="C558" t="s">
        <v>3030</v>
      </c>
      <c r="D558" t="s">
        <v>3030</v>
      </c>
      <c r="E558" t="s">
        <v>3031</v>
      </c>
      <c r="F558" t="s">
        <v>1521</v>
      </c>
      <c r="G558">
        <v>3</v>
      </c>
      <c r="H558">
        <v>1</v>
      </c>
      <c r="I558">
        <v>0.1</v>
      </c>
      <c r="J558" t="s">
        <v>226</v>
      </c>
      <c r="K558">
        <v>0.31</v>
      </c>
      <c r="L558">
        <v>937.6</v>
      </c>
      <c r="M558">
        <v>934.7</v>
      </c>
      <c r="N558">
        <v>935</v>
      </c>
      <c r="O558">
        <v>937.3</v>
      </c>
      <c r="P558">
        <v>0</v>
      </c>
      <c r="Q558">
        <v>0</v>
      </c>
      <c r="R558">
        <v>0</v>
      </c>
      <c r="S558">
        <v>935.9</v>
      </c>
      <c r="T558">
        <v>942.7</v>
      </c>
      <c r="U558">
        <v>933.4</v>
      </c>
      <c r="V558">
        <v>942.7</v>
      </c>
      <c r="W558">
        <v>1037942</v>
      </c>
      <c r="X558">
        <v>936.8</v>
      </c>
      <c r="Y558">
        <v>937.5</v>
      </c>
      <c r="Z558">
        <v>135</v>
      </c>
      <c r="AA558">
        <v>0</v>
      </c>
      <c r="AB558">
        <v>32816</v>
      </c>
      <c r="AC558">
        <v>0</v>
      </c>
      <c r="AD558" t="s">
        <v>94</v>
      </c>
      <c r="AE558" t="s">
        <v>94</v>
      </c>
      <c r="AF558" t="s">
        <v>304</v>
      </c>
      <c r="AG558" t="s">
        <v>226</v>
      </c>
      <c r="AH558">
        <v>0</v>
      </c>
      <c r="AI558" t="s">
        <v>2744</v>
      </c>
      <c r="AJ558" t="s">
        <v>2745</v>
      </c>
      <c r="AK558" t="s">
        <v>1522</v>
      </c>
      <c r="AL558" t="s">
        <v>272</v>
      </c>
    </row>
    <row r="559" spans="1:38">
      <c r="A559" t="s">
        <v>3032</v>
      </c>
      <c r="B559" t="s">
        <v>3033</v>
      </c>
      <c r="C559" t="s">
        <v>3034</v>
      </c>
      <c r="D559" t="s">
        <v>3034</v>
      </c>
      <c r="E559" t="s">
        <v>3035</v>
      </c>
      <c r="F559" t="s">
        <v>1521</v>
      </c>
      <c r="G559">
        <v>3</v>
      </c>
      <c r="H559">
        <v>1</v>
      </c>
      <c r="I559">
        <v>10000</v>
      </c>
      <c r="J559" t="s">
        <v>226</v>
      </c>
      <c r="K559">
        <v>0</v>
      </c>
      <c r="L559">
        <v>0</v>
      </c>
      <c r="M559">
        <v>490000</v>
      </c>
      <c r="N559">
        <v>470000</v>
      </c>
      <c r="O559">
        <v>490000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470000</v>
      </c>
      <c r="Y559">
        <v>490000</v>
      </c>
      <c r="Z559">
        <v>0</v>
      </c>
      <c r="AA559">
        <v>0</v>
      </c>
      <c r="AB559">
        <v>0</v>
      </c>
      <c r="AC559">
        <v>0</v>
      </c>
      <c r="AD559" t="s">
        <v>94</v>
      </c>
      <c r="AE559" t="s">
        <v>94</v>
      </c>
      <c r="AF559" t="s">
        <v>226</v>
      </c>
      <c r="AG559" t="s">
        <v>226</v>
      </c>
      <c r="AH559">
        <v>5</v>
      </c>
      <c r="AI559" t="s">
        <v>2744</v>
      </c>
      <c r="AJ559" t="s">
        <v>2745</v>
      </c>
      <c r="AK559" t="s">
        <v>1522</v>
      </c>
      <c r="AL559" t="s">
        <v>272</v>
      </c>
    </row>
    <row r="560" spans="1:38">
      <c r="A560" t="s">
        <v>3036</v>
      </c>
      <c r="B560" t="s">
        <v>3037</v>
      </c>
      <c r="C560" t="s">
        <v>3038</v>
      </c>
      <c r="D560" t="s">
        <v>3038</v>
      </c>
      <c r="E560" t="s">
        <v>3039</v>
      </c>
      <c r="F560" t="s">
        <v>1521</v>
      </c>
      <c r="G560">
        <v>3</v>
      </c>
      <c r="H560">
        <v>1</v>
      </c>
      <c r="I560">
        <v>5000</v>
      </c>
      <c r="J560" t="s">
        <v>226</v>
      </c>
      <c r="K560">
        <v>0</v>
      </c>
      <c r="L560">
        <v>0</v>
      </c>
      <c r="M560">
        <v>175000</v>
      </c>
      <c r="N560">
        <v>180000</v>
      </c>
      <c r="O560">
        <v>175000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175000</v>
      </c>
      <c r="Y560">
        <v>185000</v>
      </c>
      <c r="Z560">
        <v>0</v>
      </c>
      <c r="AA560">
        <v>0</v>
      </c>
      <c r="AB560">
        <v>0</v>
      </c>
      <c r="AC560">
        <v>0</v>
      </c>
      <c r="AD560" t="s">
        <v>94</v>
      </c>
      <c r="AE560" t="s">
        <v>94</v>
      </c>
      <c r="AF560" t="s">
        <v>226</v>
      </c>
      <c r="AG560" t="s">
        <v>226</v>
      </c>
      <c r="AH560">
        <v>5</v>
      </c>
      <c r="AI560" t="s">
        <v>2744</v>
      </c>
      <c r="AJ560" t="s">
        <v>2745</v>
      </c>
      <c r="AK560" t="s">
        <v>1522</v>
      </c>
      <c r="AL560" t="s">
        <v>272</v>
      </c>
    </row>
    <row r="561" spans="1:38">
      <c r="A561" t="s">
        <v>3040</v>
      </c>
      <c r="B561" t="s">
        <v>3041</v>
      </c>
      <c r="C561" t="s">
        <v>3042</v>
      </c>
      <c r="D561" t="s">
        <v>3042</v>
      </c>
      <c r="E561" t="s">
        <v>3043</v>
      </c>
      <c r="F561" t="s">
        <v>1521</v>
      </c>
      <c r="G561">
        <v>3</v>
      </c>
      <c r="H561">
        <v>1</v>
      </c>
      <c r="I561">
        <v>5</v>
      </c>
      <c r="J561" t="s">
        <v>226</v>
      </c>
      <c r="K561">
        <v>0.69</v>
      </c>
      <c r="L561">
        <v>730</v>
      </c>
      <c r="M561">
        <v>725</v>
      </c>
      <c r="N561">
        <v>720</v>
      </c>
      <c r="O561">
        <v>730</v>
      </c>
      <c r="P561">
        <v>0</v>
      </c>
      <c r="Q561">
        <v>0</v>
      </c>
      <c r="R561">
        <v>0</v>
      </c>
      <c r="S561">
        <v>720</v>
      </c>
      <c r="T561">
        <v>735</v>
      </c>
      <c r="U561">
        <v>720</v>
      </c>
      <c r="V561">
        <v>745</v>
      </c>
      <c r="W561">
        <v>531650</v>
      </c>
      <c r="X561">
        <v>720</v>
      </c>
      <c r="Y561">
        <v>730</v>
      </c>
      <c r="Z561">
        <v>21</v>
      </c>
      <c r="AA561">
        <v>0</v>
      </c>
      <c r="AB561">
        <v>730</v>
      </c>
      <c r="AC561">
        <v>0</v>
      </c>
      <c r="AD561" t="s">
        <v>94</v>
      </c>
      <c r="AE561" t="s">
        <v>94</v>
      </c>
      <c r="AF561" t="s">
        <v>304</v>
      </c>
      <c r="AG561" t="s">
        <v>226</v>
      </c>
      <c r="AH561">
        <v>0</v>
      </c>
      <c r="AI561" t="s">
        <v>2744</v>
      </c>
      <c r="AJ561" t="s">
        <v>2745</v>
      </c>
      <c r="AK561" t="s">
        <v>1522</v>
      </c>
      <c r="AL561" t="s">
        <v>272</v>
      </c>
    </row>
    <row r="562" spans="1:38">
      <c r="A562" t="s">
        <v>3044</v>
      </c>
      <c r="B562" t="s">
        <v>3045</v>
      </c>
      <c r="C562" t="s">
        <v>3046</v>
      </c>
      <c r="D562" t="s">
        <v>3046</v>
      </c>
      <c r="E562" t="s">
        <v>3047</v>
      </c>
      <c r="F562" t="s">
        <v>2759</v>
      </c>
      <c r="G562">
        <v>3</v>
      </c>
      <c r="H562">
        <v>1</v>
      </c>
      <c r="I562">
        <v>2</v>
      </c>
      <c r="J562" t="s">
        <v>226</v>
      </c>
      <c r="K562">
        <v>0</v>
      </c>
      <c r="L562">
        <v>0</v>
      </c>
      <c r="M562">
        <v>8258</v>
      </c>
      <c r="N562">
        <v>8570</v>
      </c>
      <c r="O562">
        <v>8258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7800</v>
      </c>
      <c r="Y562">
        <v>7892</v>
      </c>
      <c r="Z562">
        <v>0</v>
      </c>
      <c r="AA562">
        <v>0</v>
      </c>
      <c r="AB562">
        <v>0</v>
      </c>
      <c r="AC562">
        <v>0</v>
      </c>
      <c r="AD562" t="s">
        <v>94</v>
      </c>
      <c r="AE562" t="s">
        <v>94</v>
      </c>
      <c r="AF562" t="s">
        <v>226</v>
      </c>
      <c r="AG562" t="s">
        <v>226</v>
      </c>
      <c r="AH562">
        <v>-100</v>
      </c>
      <c r="AI562" t="s">
        <v>2744</v>
      </c>
      <c r="AJ562" t="s">
        <v>2745</v>
      </c>
      <c r="AK562" t="s">
        <v>1575</v>
      </c>
      <c r="AL562" t="s">
        <v>272</v>
      </c>
    </row>
    <row r="563" spans="1:38">
      <c r="A563" t="s">
        <v>3048</v>
      </c>
      <c r="B563" t="s">
        <v>3049</v>
      </c>
      <c r="C563" t="s">
        <v>3050</v>
      </c>
      <c r="D563" t="s">
        <v>3050</v>
      </c>
      <c r="E563" t="s">
        <v>3051</v>
      </c>
      <c r="F563" t="s">
        <v>1521</v>
      </c>
      <c r="G563">
        <v>3</v>
      </c>
      <c r="H563">
        <v>1</v>
      </c>
      <c r="I563">
        <v>0.5</v>
      </c>
      <c r="J563" t="s">
        <v>226</v>
      </c>
      <c r="K563">
        <v>-0.53</v>
      </c>
      <c r="L563">
        <v>843</v>
      </c>
      <c r="M563">
        <v>847</v>
      </c>
      <c r="N563">
        <v>847</v>
      </c>
      <c r="O563">
        <v>843</v>
      </c>
      <c r="P563">
        <v>0</v>
      </c>
      <c r="Q563">
        <v>0</v>
      </c>
      <c r="R563">
        <v>0</v>
      </c>
      <c r="S563">
        <v>843</v>
      </c>
      <c r="T563">
        <v>860</v>
      </c>
      <c r="U563">
        <v>832</v>
      </c>
      <c r="V563">
        <v>860</v>
      </c>
      <c r="W563">
        <v>892792</v>
      </c>
      <c r="X563">
        <v>843</v>
      </c>
      <c r="Y563">
        <v>844.5</v>
      </c>
      <c r="Z563">
        <v>71</v>
      </c>
      <c r="AA563">
        <v>0</v>
      </c>
      <c r="AB563">
        <v>11802</v>
      </c>
      <c r="AC563">
        <v>0</v>
      </c>
      <c r="AD563" t="s">
        <v>94</v>
      </c>
      <c r="AE563" t="s">
        <v>94</v>
      </c>
      <c r="AF563" t="s">
        <v>304</v>
      </c>
      <c r="AG563" t="s">
        <v>226</v>
      </c>
      <c r="AH563">
        <v>0</v>
      </c>
      <c r="AI563" t="s">
        <v>2744</v>
      </c>
      <c r="AJ563" t="s">
        <v>2745</v>
      </c>
      <c r="AK563" t="s">
        <v>1522</v>
      </c>
      <c r="AL563" t="s">
        <v>272</v>
      </c>
    </row>
    <row r="564" spans="1:38">
      <c r="A564" t="s">
        <v>3052</v>
      </c>
      <c r="B564" t="s">
        <v>3053</v>
      </c>
      <c r="C564" t="s">
        <v>3054</v>
      </c>
      <c r="D564" t="s">
        <v>3054</v>
      </c>
      <c r="E564" t="s">
        <v>3055</v>
      </c>
      <c r="F564" t="s">
        <v>2743</v>
      </c>
      <c r="G564">
        <v>3</v>
      </c>
      <c r="H564">
        <v>1</v>
      </c>
      <c r="I564">
        <v>10</v>
      </c>
      <c r="J564" t="s">
        <v>226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 t="s">
        <v>94</v>
      </c>
      <c r="AE564" t="s">
        <v>94</v>
      </c>
      <c r="AF564" t="s">
        <v>226</v>
      </c>
      <c r="AG564" t="s">
        <v>226</v>
      </c>
      <c r="AH564">
        <v>-100</v>
      </c>
      <c r="AI564" t="s">
        <v>2744</v>
      </c>
      <c r="AJ564" t="s">
        <v>2745</v>
      </c>
      <c r="AK564" t="s">
        <v>2746</v>
      </c>
      <c r="AL564" t="s">
        <v>272</v>
      </c>
    </row>
    <row r="565" spans="1:38">
      <c r="A565" t="s">
        <v>3056</v>
      </c>
      <c r="B565" t="s">
        <v>3057</v>
      </c>
      <c r="C565" t="s">
        <v>3058</v>
      </c>
      <c r="D565" t="s">
        <v>3058</v>
      </c>
      <c r="E565" t="s">
        <v>3059</v>
      </c>
      <c r="F565" t="s">
        <v>2759</v>
      </c>
      <c r="G565">
        <v>3</v>
      </c>
      <c r="H565">
        <v>1</v>
      </c>
      <c r="I565">
        <v>0.05</v>
      </c>
      <c r="J565" t="s">
        <v>226</v>
      </c>
      <c r="K565">
        <v>0.75</v>
      </c>
      <c r="L565">
        <v>86.95</v>
      </c>
      <c r="M565">
        <v>86.25</v>
      </c>
      <c r="N565">
        <v>85.8</v>
      </c>
      <c r="O565">
        <v>86.85</v>
      </c>
      <c r="P565">
        <v>0</v>
      </c>
      <c r="Q565">
        <v>0</v>
      </c>
      <c r="R565">
        <v>0</v>
      </c>
      <c r="S565">
        <v>86.85</v>
      </c>
      <c r="T565">
        <v>86.9</v>
      </c>
      <c r="U565">
        <v>86.3</v>
      </c>
      <c r="V565">
        <v>86.95</v>
      </c>
      <c r="W565">
        <v>10509</v>
      </c>
      <c r="X565">
        <v>86.4</v>
      </c>
      <c r="Y565">
        <v>86.95</v>
      </c>
      <c r="Z565">
        <v>17</v>
      </c>
      <c r="AA565">
        <v>0</v>
      </c>
      <c r="AB565">
        <v>434.75</v>
      </c>
      <c r="AC565">
        <v>0</v>
      </c>
      <c r="AD565" t="s">
        <v>94</v>
      </c>
      <c r="AE565" t="s">
        <v>94</v>
      </c>
      <c r="AF565" t="s">
        <v>226</v>
      </c>
      <c r="AG565" t="s">
        <v>226</v>
      </c>
      <c r="AH565">
        <v>-100</v>
      </c>
      <c r="AI565" t="s">
        <v>2744</v>
      </c>
      <c r="AJ565" t="s">
        <v>2745</v>
      </c>
      <c r="AK565" t="s">
        <v>1575</v>
      </c>
      <c r="AL565" t="s">
        <v>272</v>
      </c>
    </row>
    <row r="566" spans="1:38">
      <c r="A566" t="s">
        <v>3060</v>
      </c>
      <c r="B566" t="s">
        <v>3061</v>
      </c>
      <c r="C566" t="s">
        <v>3062</v>
      </c>
      <c r="D566" t="s">
        <v>3062</v>
      </c>
      <c r="E566" t="s">
        <v>3063</v>
      </c>
      <c r="F566" t="s">
        <v>2759</v>
      </c>
      <c r="G566">
        <v>3</v>
      </c>
      <c r="H566">
        <v>1</v>
      </c>
      <c r="I566">
        <v>0.5</v>
      </c>
      <c r="J566" t="s">
        <v>226</v>
      </c>
      <c r="K566">
        <v>-0.83</v>
      </c>
      <c r="L566">
        <v>180</v>
      </c>
      <c r="M566">
        <v>180.5</v>
      </c>
      <c r="N566">
        <v>177</v>
      </c>
      <c r="O566">
        <v>179</v>
      </c>
      <c r="P566">
        <v>0</v>
      </c>
      <c r="Q566">
        <v>0</v>
      </c>
      <c r="R566">
        <v>0</v>
      </c>
      <c r="S566">
        <v>178</v>
      </c>
      <c r="T566">
        <v>179.5</v>
      </c>
      <c r="U566">
        <v>176.5</v>
      </c>
      <c r="V566">
        <v>180</v>
      </c>
      <c r="W566">
        <v>2849</v>
      </c>
      <c r="X566">
        <v>177</v>
      </c>
      <c r="Y566">
        <v>180.5</v>
      </c>
      <c r="Z566">
        <v>8</v>
      </c>
      <c r="AA566">
        <v>0</v>
      </c>
      <c r="AB566">
        <v>180</v>
      </c>
      <c r="AC566">
        <v>0</v>
      </c>
      <c r="AD566" t="s">
        <v>94</v>
      </c>
      <c r="AE566" t="s">
        <v>94</v>
      </c>
      <c r="AF566" t="s">
        <v>226</v>
      </c>
      <c r="AG566" t="s">
        <v>226</v>
      </c>
      <c r="AH566">
        <v>-100</v>
      </c>
      <c r="AI566" t="s">
        <v>2744</v>
      </c>
      <c r="AJ566" t="s">
        <v>2745</v>
      </c>
      <c r="AK566" t="s">
        <v>1575</v>
      </c>
      <c r="AL566" t="s">
        <v>272</v>
      </c>
    </row>
    <row r="567" spans="1:38">
      <c r="A567" t="s">
        <v>3064</v>
      </c>
      <c r="B567" t="s">
        <v>3065</v>
      </c>
      <c r="C567" t="s">
        <v>3066</v>
      </c>
      <c r="D567" t="s">
        <v>3066</v>
      </c>
      <c r="E567" t="s">
        <v>3067</v>
      </c>
      <c r="F567" t="s">
        <v>2759</v>
      </c>
      <c r="G567">
        <v>3</v>
      </c>
      <c r="H567">
        <v>1</v>
      </c>
      <c r="I567">
        <v>0.2</v>
      </c>
      <c r="J567" t="s">
        <v>226</v>
      </c>
      <c r="K567">
        <v>-0.71</v>
      </c>
      <c r="L567">
        <v>139.19999999999999</v>
      </c>
      <c r="M567">
        <v>138.6</v>
      </c>
      <c r="N567">
        <v>139.4</v>
      </c>
      <c r="O567">
        <v>139.19999999999999</v>
      </c>
      <c r="P567">
        <v>0</v>
      </c>
      <c r="Q567">
        <v>0</v>
      </c>
      <c r="R567">
        <v>0</v>
      </c>
      <c r="S567">
        <v>139.80000000000001</v>
      </c>
      <c r="T567">
        <v>139.19999999999999</v>
      </c>
      <c r="U567">
        <v>139.19999999999999</v>
      </c>
      <c r="V567">
        <v>141</v>
      </c>
      <c r="W567">
        <v>3075</v>
      </c>
      <c r="X567">
        <v>138.6</v>
      </c>
      <c r="Y567">
        <v>139</v>
      </c>
      <c r="Z567">
        <v>11</v>
      </c>
      <c r="AA567">
        <v>0</v>
      </c>
      <c r="AB567">
        <v>139.19999999999999</v>
      </c>
      <c r="AC567">
        <v>0</v>
      </c>
      <c r="AD567" t="s">
        <v>94</v>
      </c>
      <c r="AE567" t="s">
        <v>94</v>
      </c>
      <c r="AF567" t="s">
        <v>226</v>
      </c>
      <c r="AG567" t="s">
        <v>226</v>
      </c>
      <c r="AH567">
        <v>-100</v>
      </c>
      <c r="AI567" t="s">
        <v>2744</v>
      </c>
      <c r="AJ567" t="s">
        <v>2745</v>
      </c>
      <c r="AK567" t="s">
        <v>1575</v>
      </c>
      <c r="AL567" t="s">
        <v>272</v>
      </c>
    </row>
    <row r="568" spans="1:38">
      <c r="A568" t="s">
        <v>3068</v>
      </c>
      <c r="B568" t="s">
        <v>3069</v>
      </c>
      <c r="C568" t="s">
        <v>3070</v>
      </c>
      <c r="D568" t="s">
        <v>3070</v>
      </c>
      <c r="E568" t="s">
        <v>3071</v>
      </c>
      <c r="F568" t="s">
        <v>2743</v>
      </c>
      <c r="G568">
        <v>3</v>
      </c>
      <c r="H568">
        <v>1</v>
      </c>
      <c r="I568">
        <v>200</v>
      </c>
      <c r="J568" t="s">
        <v>226</v>
      </c>
      <c r="K568">
        <v>0</v>
      </c>
      <c r="L568">
        <v>0</v>
      </c>
      <c r="M568">
        <v>5800</v>
      </c>
      <c r="N568">
        <v>6200</v>
      </c>
      <c r="O568">
        <v>5800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5800</v>
      </c>
      <c r="Y568">
        <v>6800</v>
      </c>
      <c r="Z568">
        <v>0</v>
      </c>
      <c r="AA568">
        <v>0</v>
      </c>
      <c r="AB568">
        <v>0</v>
      </c>
      <c r="AC568">
        <v>0</v>
      </c>
      <c r="AD568" t="s">
        <v>94</v>
      </c>
      <c r="AE568" t="s">
        <v>94</v>
      </c>
      <c r="AF568" t="s">
        <v>304</v>
      </c>
      <c r="AG568" t="s">
        <v>226</v>
      </c>
      <c r="AH568">
        <v>0</v>
      </c>
      <c r="AI568" t="s">
        <v>2744</v>
      </c>
      <c r="AJ568" t="s">
        <v>2745</v>
      </c>
      <c r="AK568" t="s">
        <v>2746</v>
      </c>
      <c r="AL568" t="s">
        <v>272</v>
      </c>
    </row>
    <row r="569" spans="1:38">
      <c r="A569" t="s">
        <v>3072</v>
      </c>
      <c r="B569" t="s">
        <v>3073</v>
      </c>
      <c r="C569" t="s">
        <v>3074</v>
      </c>
      <c r="D569" t="s">
        <v>3074</v>
      </c>
      <c r="E569" t="s">
        <v>3075</v>
      </c>
      <c r="F569" t="s">
        <v>2743</v>
      </c>
      <c r="G569">
        <v>3</v>
      </c>
      <c r="H569">
        <v>1</v>
      </c>
      <c r="I569">
        <v>100</v>
      </c>
      <c r="J569" t="s">
        <v>226</v>
      </c>
      <c r="K569">
        <v>0</v>
      </c>
      <c r="L569">
        <v>0</v>
      </c>
      <c r="M569">
        <v>4100</v>
      </c>
      <c r="N569">
        <v>4100</v>
      </c>
      <c r="O569">
        <v>4100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4100</v>
      </c>
      <c r="Y569">
        <v>4800</v>
      </c>
      <c r="Z569">
        <v>0</v>
      </c>
      <c r="AA569">
        <v>0</v>
      </c>
      <c r="AB569">
        <v>0</v>
      </c>
      <c r="AC569">
        <v>0</v>
      </c>
      <c r="AD569" t="s">
        <v>94</v>
      </c>
      <c r="AE569" t="s">
        <v>94</v>
      </c>
      <c r="AF569" t="s">
        <v>304</v>
      </c>
      <c r="AG569" t="s">
        <v>226</v>
      </c>
      <c r="AH569">
        <v>0</v>
      </c>
      <c r="AI569" t="s">
        <v>2744</v>
      </c>
      <c r="AJ569" t="s">
        <v>2745</v>
      </c>
      <c r="AK569" t="s">
        <v>2746</v>
      </c>
      <c r="AL569" t="s">
        <v>272</v>
      </c>
    </row>
    <row r="570" spans="1:38">
      <c r="A570" t="s">
        <v>3076</v>
      </c>
      <c r="B570" t="s">
        <v>3077</v>
      </c>
      <c r="C570" t="s">
        <v>3078</v>
      </c>
      <c r="D570" t="s">
        <v>3078</v>
      </c>
      <c r="E570" t="s">
        <v>3079</v>
      </c>
      <c r="F570" t="s">
        <v>2743</v>
      </c>
      <c r="G570">
        <v>3</v>
      </c>
      <c r="H570">
        <v>1</v>
      </c>
      <c r="I570">
        <v>50</v>
      </c>
      <c r="J570" t="s">
        <v>226</v>
      </c>
      <c r="K570">
        <v>1.19</v>
      </c>
      <c r="L570">
        <v>4250</v>
      </c>
      <c r="M570">
        <v>4200</v>
      </c>
      <c r="N570">
        <v>4000</v>
      </c>
      <c r="O570">
        <v>4250</v>
      </c>
      <c r="P570">
        <v>0</v>
      </c>
      <c r="Q570">
        <v>0</v>
      </c>
      <c r="R570">
        <v>0</v>
      </c>
      <c r="S570">
        <v>4200</v>
      </c>
      <c r="T570">
        <v>4200</v>
      </c>
      <c r="U570">
        <v>4150</v>
      </c>
      <c r="V570">
        <v>4300</v>
      </c>
      <c r="W570">
        <v>2246700</v>
      </c>
      <c r="X570">
        <v>4200</v>
      </c>
      <c r="Y570">
        <v>4800</v>
      </c>
      <c r="Z570">
        <v>10</v>
      </c>
      <c r="AA570">
        <v>0</v>
      </c>
      <c r="AB570">
        <v>59500</v>
      </c>
      <c r="AC570">
        <v>0</v>
      </c>
      <c r="AD570" t="s">
        <v>94</v>
      </c>
      <c r="AE570" t="s">
        <v>94</v>
      </c>
      <c r="AF570" t="s">
        <v>304</v>
      </c>
      <c r="AG570" t="s">
        <v>226</v>
      </c>
      <c r="AH570">
        <v>0</v>
      </c>
      <c r="AI570" t="s">
        <v>2744</v>
      </c>
      <c r="AJ570" t="s">
        <v>2745</v>
      </c>
      <c r="AK570" t="s">
        <v>2746</v>
      </c>
      <c r="AL570" t="s">
        <v>272</v>
      </c>
    </row>
    <row r="571" spans="1:38">
      <c r="A571" t="s">
        <v>3080</v>
      </c>
      <c r="B571" t="s">
        <v>3081</v>
      </c>
      <c r="C571" t="s">
        <v>3082</v>
      </c>
      <c r="D571" t="s">
        <v>3082</v>
      </c>
      <c r="E571" t="s">
        <v>3083</v>
      </c>
      <c r="F571" t="s">
        <v>2743</v>
      </c>
      <c r="G571">
        <v>3</v>
      </c>
      <c r="H571">
        <v>1</v>
      </c>
      <c r="I571">
        <v>0.1</v>
      </c>
      <c r="J571" t="s">
        <v>226</v>
      </c>
      <c r="K571">
        <v>0</v>
      </c>
      <c r="L571">
        <v>0</v>
      </c>
      <c r="M571">
        <v>1030.8</v>
      </c>
      <c r="N571">
        <v>0</v>
      </c>
      <c r="O571">
        <v>1030.8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1031.8</v>
      </c>
      <c r="Y571">
        <v>1062.5999999999999</v>
      </c>
      <c r="Z571">
        <v>0</v>
      </c>
      <c r="AA571">
        <v>0</v>
      </c>
      <c r="AB571">
        <v>0</v>
      </c>
      <c r="AC571">
        <v>0</v>
      </c>
      <c r="AD571" t="s">
        <v>94</v>
      </c>
      <c r="AE571" t="s">
        <v>94</v>
      </c>
      <c r="AF571" t="s">
        <v>304</v>
      </c>
      <c r="AG571" t="s">
        <v>226</v>
      </c>
      <c r="AH571">
        <v>0</v>
      </c>
      <c r="AI571" t="s">
        <v>2744</v>
      </c>
      <c r="AJ571" t="s">
        <v>2745</v>
      </c>
      <c r="AK571" t="s">
        <v>2746</v>
      </c>
      <c r="AL571" t="s">
        <v>272</v>
      </c>
    </row>
    <row r="572" spans="1:38">
      <c r="A572" t="s">
        <v>3084</v>
      </c>
      <c r="B572" t="s">
        <v>3085</v>
      </c>
      <c r="C572" t="s">
        <v>3086</v>
      </c>
      <c r="D572" t="s">
        <v>3086</v>
      </c>
      <c r="E572" t="s">
        <v>3087</v>
      </c>
      <c r="F572" t="s">
        <v>2743</v>
      </c>
      <c r="G572">
        <v>3</v>
      </c>
      <c r="H572">
        <v>1</v>
      </c>
      <c r="I572">
        <v>0.2</v>
      </c>
      <c r="J572" t="s">
        <v>226</v>
      </c>
      <c r="K572">
        <v>0</v>
      </c>
      <c r="L572">
        <v>0</v>
      </c>
      <c r="M572">
        <v>1042.2</v>
      </c>
      <c r="N572">
        <v>0</v>
      </c>
      <c r="O572">
        <v>1042.2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1136.4000000000001</v>
      </c>
      <c r="Y572">
        <v>1159</v>
      </c>
      <c r="Z572">
        <v>0</v>
      </c>
      <c r="AA572">
        <v>0</v>
      </c>
      <c r="AB572">
        <v>0</v>
      </c>
      <c r="AC572">
        <v>0</v>
      </c>
      <c r="AD572" t="s">
        <v>94</v>
      </c>
      <c r="AE572" t="s">
        <v>94</v>
      </c>
      <c r="AF572" t="s">
        <v>304</v>
      </c>
      <c r="AG572" t="s">
        <v>226</v>
      </c>
      <c r="AH572">
        <v>0</v>
      </c>
      <c r="AI572" t="s">
        <v>2744</v>
      </c>
      <c r="AJ572" t="s">
        <v>2745</v>
      </c>
      <c r="AK572" t="s">
        <v>2746</v>
      </c>
      <c r="AL572" t="s">
        <v>272</v>
      </c>
    </row>
    <row r="573" spans="1:38">
      <c r="A573" t="s">
        <v>3088</v>
      </c>
      <c r="B573" t="s">
        <v>3089</v>
      </c>
      <c r="C573" t="s">
        <v>3090</v>
      </c>
      <c r="D573" t="s">
        <v>3090</v>
      </c>
      <c r="E573" t="s">
        <v>3091</v>
      </c>
      <c r="F573" t="s">
        <v>2743</v>
      </c>
      <c r="G573">
        <v>3</v>
      </c>
      <c r="H573">
        <v>1</v>
      </c>
      <c r="I573">
        <v>0.2</v>
      </c>
      <c r="J573" t="s">
        <v>226</v>
      </c>
      <c r="K573">
        <v>0</v>
      </c>
      <c r="L573">
        <v>0</v>
      </c>
      <c r="M573">
        <v>1550.6</v>
      </c>
      <c r="N573">
        <v>1591.4</v>
      </c>
      <c r="O573">
        <v>1550.6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1538.2</v>
      </c>
      <c r="Y573">
        <v>1569</v>
      </c>
      <c r="Z573">
        <v>0</v>
      </c>
      <c r="AA573">
        <v>0</v>
      </c>
      <c r="AB573">
        <v>0</v>
      </c>
      <c r="AC573">
        <v>0</v>
      </c>
      <c r="AD573" t="s">
        <v>94</v>
      </c>
      <c r="AE573" t="s">
        <v>94</v>
      </c>
      <c r="AF573" t="s">
        <v>304</v>
      </c>
      <c r="AG573" t="s">
        <v>226</v>
      </c>
      <c r="AH573">
        <v>0</v>
      </c>
      <c r="AI573" t="s">
        <v>2744</v>
      </c>
      <c r="AJ573" t="s">
        <v>2745</v>
      </c>
      <c r="AK573" t="s">
        <v>2746</v>
      </c>
      <c r="AL573" t="s">
        <v>272</v>
      </c>
    </row>
    <row r="574" spans="1:38">
      <c r="A574" t="s">
        <v>3092</v>
      </c>
      <c r="B574" t="s">
        <v>3093</v>
      </c>
      <c r="C574" t="s">
        <v>3094</v>
      </c>
      <c r="D574" t="s">
        <v>3094</v>
      </c>
      <c r="E574" t="s">
        <v>3095</v>
      </c>
      <c r="F574" t="s">
        <v>2743</v>
      </c>
      <c r="G574">
        <v>3</v>
      </c>
      <c r="H574">
        <v>1</v>
      </c>
      <c r="I574">
        <v>0.2</v>
      </c>
      <c r="J574" t="s">
        <v>226</v>
      </c>
      <c r="K574">
        <v>3.79</v>
      </c>
      <c r="L574">
        <v>1725.8</v>
      </c>
      <c r="M574">
        <v>1662.8</v>
      </c>
      <c r="N574">
        <v>1709.4</v>
      </c>
      <c r="O574">
        <v>1725.8</v>
      </c>
      <c r="P574">
        <v>0</v>
      </c>
      <c r="Q574">
        <v>0</v>
      </c>
      <c r="R574">
        <v>0</v>
      </c>
      <c r="S574">
        <v>1723.8</v>
      </c>
      <c r="T574">
        <v>1692.4</v>
      </c>
      <c r="U574">
        <v>1692.4</v>
      </c>
      <c r="V574">
        <v>1725.8</v>
      </c>
      <c r="W574">
        <v>27579</v>
      </c>
      <c r="X574">
        <v>1692.2</v>
      </c>
      <c r="Y574">
        <v>1725.8</v>
      </c>
      <c r="Z574">
        <v>2</v>
      </c>
      <c r="AA574">
        <v>0</v>
      </c>
      <c r="AB574">
        <v>25887</v>
      </c>
      <c r="AC574">
        <v>0</v>
      </c>
      <c r="AD574" t="s">
        <v>94</v>
      </c>
      <c r="AE574" t="s">
        <v>94</v>
      </c>
      <c r="AF574" t="s">
        <v>304</v>
      </c>
      <c r="AG574" t="s">
        <v>226</v>
      </c>
      <c r="AH574">
        <v>0</v>
      </c>
      <c r="AI574" t="s">
        <v>2744</v>
      </c>
      <c r="AJ574" t="s">
        <v>2745</v>
      </c>
      <c r="AK574" t="s">
        <v>2746</v>
      </c>
      <c r="AL574" t="s">
        <v>272</v>
      </c>
    </row>
    <row r="575" spans="1:38">
      <c r="A575" t="s">
        <v>3096</v>
      </c>
      <c r="B575" t="s">
        <v>3097</v>
      </c>
      <c r="C575" t="s">
        <v>3098</v>
      </c>
      <c r="D575" t="s">
        <v>3098</v>
      </c>
      <c r="E575" t="s">
        <v>3099</v>
      </c>
      <c r="F575" t="s">
        <v>2743</v>
      </c>
      <c r="G575">
        <v>3</v>
      </c>
      <c r="H575">
        <v>1</v>
      </c>
      <c r="I575">
        <v>0.2</v>
      </c>
      <c r="J575" t="s">
        <v>226</v>
      </c>
      <c r="K575">
        <v>0</v>
      </c>
      <c r="L575">
        <v>0</v>
      </c>
      <c r="M575">
        <v>1664</v>
      </c>
      <c r="N575">
        <v>0</v>
      </c>
      <c r="O575">
        <v>1664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1604.2</v>
      </c>
      <c r="Y575">
        <v>1636.2</v>
      </c>
      <c r="Z575">
        <v>0</v>
      </c>
      <c r="AA575">
        <v>0</v>
      </c>
      <c r="AB575">
        <v>0</v>
      </c>
      <c r="AC575">
        <v>0</v>
      </c>
      <c r="AD575" t="s">
        <v>94</v>
      </c>
      <c r="AE575" t="s">
        <v>94</v>
      </c>
      <c r="AF575" t="s">
        <v>304</v>
      </c>
      <c r="AG575" t="s">
        <v>226</v>
      </c>
      <c r="AH575">
        <v>0</v>
      </c>
      <c r="AI575" t="s">
        <v>2744</v>
      </c>
      <c r="AJ575" t="s">
        <v>2745</v>
      </c>
      <c r="AK575" t="s">
        <v>2746</v>
      </c>
      <c r="AL575" t="s">
        <v>272</v>
      </c>
    </row>
    <row r="576" spans="1:38">
      <c r="A576" t="s">
        <v>3100</v>
      </c>
      <c r="B576" t="s">
        <v>3101</v>
      </c>
      <c r="C576" t="s">
        <v>3102</v>
      </c>
      <c r="D576" t="s">
        <v>3102</v>
      </c>
      <c r="E576" t="s">
        <v>3103</v>
      </c>
      <c r="F576" t="s">
        <v>2425</v>
      </c>
      <c r="G576">
        <v>3</v>
      </c>
      <c r="H576">
        <v>1</v>
      </c>
      <c r="I576">
        <v>0.01</v>
      </c>
      <c r="J576">
        <v>500</v>
      </c>
      <c r="K576">
        <v>0.1</v>
      </c>
      <c r="L576">
        <v>94</v>
      </c>
      <c r="M576">
        <v>93.91</v>
      </c>
      <c r="N576">
        <v>93.75</v>
      </c>
      <c r="O576">
        <v>94</v>
      </c>
      <c r="P576">
        <v>0</v>
      </c>
      <c r="Q576">
        <v>0</v>
      </c>
      <c r="R576">
        <v>0</v>
      </c>
      <c r="S576">
        <v>93.89</v>
      </c>
      <c r="T576">
        <v>95.61</v>
      </c>
      <c r="U576">
        <v>93.32</v>
      </c>
      <c r="V576">
        <v>95.61</v>
      </c>
      <c r="W576">
        <v>202340</v>
      </c>
      <c r="X576">
        <v>93.81</v>
      </c>
      <c r="Y576">
        <v>94</v>
      </c>
      <c r="Z576">
        <v>76</v>
      </c>
      <c r="AA576">
        <v>201783</v>
      </c>
      <c r="AB576">
        <v>3290</v>
      </c>
      <c r="AC576">
        <v>0</v>
      </c>
      <c r="AD576" t="s">
        <v>94</v>
      </c>
      <c r="AE576" t="s">
        <v>94</v>
      </c>
      <c r="AF576" t="s">
        <v>304</v>
      </c>
      <c r="AG576" t="s">
        <v>1494</v>
      </c>
      <c r="AH576">
        <v>0</v>
      </c>
      <c r="AI576" t="s">
        <v>3104</v>
      </c>
      <c r="AJ576" t="s">
        <v>3105</v>
      </c>
      <c r="AK576" t="s">
        <v>2426</v>
      </c>
      <c r="AL576" t="s">
        <v>272</v>
      </c>
    </row>
    <row r="577" spans="1:38">
      <c r="A577" t="s">
        <v>3106</v>
      </c>
      <c r="B577" t="s">
        <v>3107</v>
      </c>
      <c r="C577" t="s">
        <v>3108</v>
      </c>
      <c r="D577" t="s">
        <v>3108</v>
      </c>
      <c r="E577" t="s">
        <v>3109</v>
      </c>
      <c r="F577" t="s">
        <v>2425</v>
      </c>
      <c r="G577">
        <v>3</v>
      </c>
      <c r="H577">
        <v>1</v>
      </c>
      <c r="I577">
        <v>0.01</v>
      </c>
      <c r="J577">
        <v>1000</v>
      </c>
      <c r="K577">
        <v>0</v>
      </c>
      <c r="L577">
        <v>0</v>
      </c>
      <c r="M577">
        <v>102</v>
      </c>
      <c r="N577">
        <v>0</v>
      </c>
      <c r="O577">
        <v>102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85.01</v>
      </c>
      <c r="Y577">
        <v>0</v>
      </c>
      <c r="Z577">
        <v>0</v>
      </c>
      <c r="AA577">
        <v>1000000</v>
      </c>
      <c r="AB577">
        <v>0</v>
      </c>
      <c r="AC577">
        <v>0</v>
      </c>
      <c r="AD577" t="s">
        <v>94</v>
      </c>
      <c r="AE577" t="s">
        <v>94</v>
      </c>
      <c r="AF577" t="s">
        <v>226</v>
      </c>
      <c r="AG577" t="s">
        <v>1494</v>
      </c>
      <c r="AH577">
        <v>800</v>
      </c>
      <c r="AI577" t="s">
        <v>3104</v>
      </c>
      <c r="AJ577" t="s">
        <v>3105</v>
      </c>
      <c r="AK577" t="s">
        <v>2426</v>
      </c>
      <c r="AL577" t="s">
        <v>272</v>
      </c>
    </row>
    <row r="578" spans="1:38">
      <c r="A578" t="s">
        <v>3110</v>
      </c>
      <c r="B578" t="s">
        <v>3111</v>
      </c>
      <c r="C578" t="s">
        <v>3112</v>
      </c>
      <c r="D578" t="s">
        <v>3112</v>
      </c>
      <c r="E578" t="s">
        <v>3113</v>
      </c>
      <c r="F578" t="s">
        <v>2425</v>
      </c>
      <c r="G578">
        <v>3</v>
      </c>
      <c r="H578">
        <v>1</v>
      </c>
      <c r="I578">
        <v>0.01</v>
      </c>
      <c r="J578">
        <v>409.47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1600000</v>
      </c>
      <c r="AB578">
        <v>0</v>
      </c>
      <c r="AC578">
        <v>0</v>
      </c>
      <c r="AD578" t="s">
        <v>94</v>
      </c>
      <c r="AE578" t="s">
        <v>94</v>
      </c>
      <c r="AF578" t="s">
        <v>226</v>
      </c>
      <c r="AG578" t="s">
        <v>1494</v>
      </c>
      <c r="AH578">
        <v>800</v>
      </c>
      <c r="AI578" t="s">
        <v>3104</v>
      </c>
      <c r="AJ578" t="s">
        <v>3105</v>
      </c>
      <c r="AK578" t="s">
        <v>2426</v>
      </c>
      <c r="AL578" t="s">
        <v>272</v>
      </c>
    </row>
    <row r="579" spans="1:38">
      <c r="A579" t="s">
        <v>3114</v>
      </c>
      <c r="B579" t="s">
        <v>3115</v>
      </c>
      <c r="C579" t="s">
        <v>3116</v>
      </c>
      <c r="D579" t="s">
        <v>3116</v>
      </c>
      <c r="E579" t="s">
        <v>3117</v>
      </c>
      <c r="F579" t="s">
        <v>2413</v>
      </c>
      <c r="G579">
        <v>3</v>
      </c>
      <c r="H579">
        <v>1</v>
      </c>
      <c r="I579">
        <v>0.01</v>
      </c>
      <c r="J579">
        <v>1000</v>
      </c>
      <c r="K579">
        <v>0.7</v>
      </c>
      <c r="L579">
        <v>73.31</v>
      </c>
      <c r="M579">
        <v>72.8</v>
      </c>
      <c r="N579">
        <v>72.209999999999994</v>
      </c>
      <c r="O579">
        <v>73.31</v>
      </c>
      <c r="P579">
        <v>0</v>
      </c>
      <c r="Q579">
        <v>0</v>
      </c>
      <c r="R579">
        <v>0</v>
      </c>
      <c r="S579">
        <v>73.540000000000006</v>
      </c>
      <c r="T579">
        <v>73.680000000000007</v>
      </c>
      <c r="U579">
        <v>70.23</v>
      </c>
      <c r="V579">
        <v>74.989999999999995</v>
      </c>
      <c r="W579">
        <v>344920</v>
      </c>
      <c r="X579">
        <v>73.010000000000005</v>
      </c>
      <c r="Y579">
        <v>73.3</v>
      </c>
      <c r="Z579">
        <v>32</v>
      </c>
      <c r="AA579">
        <v>300000</v>
      </c>
      <c r="AB579">
        <v>45452.2</v>
      </c>
      <c r="AC579">
        <v>0</v>
      </c>
      <c r="AD579" t="s">
        <v>94</v>
      </c>
      <c r="AE579" t="s">
        <v>94</v>
      </c>
      <c r="AF579" t="s">
        <v>304</v>
      </c>
      <c r="AG579" t="s">
        <v>1494</v>
      </c>
      <c r="AH579">
        <v>0</v>
      </c>
      <c r="AI579" t="s">
        <v>3104</v>
      </c>
      <c r="AJ579" t="s">
        <v>3105</v>
      </c>
      <c r="AK579" t="s">
        <v>2416</v>
      </c>
      <c r="AL579" t="s">
        <v>272</v>
      </c>
    </row>
    <row r="580" spans="1:38">
      <c r="A580" t="s">
        <v>3118</v>
      </c>
      <c r="B580" t="s">
        <v>3119</v>
      </c>
      <c r="C580" t="s">
        <v>3120</v>
      </c>
      <c r="D580" t="s">
        <v>3120</v>
      </c>
      <c r="E580" t="s">
        <v>3121</v>
      </c>
      <c r="F580" t="s">
        <v>2413</v>
      </c>
      <c r="G580">
        <v>3</v>
      </c>
      <c r="H580">
        <v>1</v>
      </c>
      <c r="I580">
        <v>0.01</v>
      </c>
      <c r="J580">
        <v>1000</v>
      </c>
      <c r="K580">
        <v>-0.03</v>
      </c>
      <c r="L580">
        <v>67.150000000000006</v>
      </c>
      <c r="M580">
        <v>67.17</v>
      </c>
      <c r="N580">
        <v>66.66</v>
      </c>
      <c r="O580">
        <v>67.150000000000006</v>
      </c>
      <c r="P580">
        <v>0</v>
      </c>
      <c r="Q580">
        <v>0</v>
      </c>
      <c r="R580">
        <v>0</v>
      </c>
      <c r="S580">
        <v>67.09</v>
      </c>
      <c r="T580">
        <v>67.14</v>
      </c>
      <c r="U580">
        <v>66.900000000000006</v>
      </c>
      <c r="V580">
        <v>67.150000000000006</v>
      </c>
      <c r="W580">
        <v>272380</v>
      </c>
      <c r="X580">
        <v>66.94</v>
      </c>
      <c r="Y580">
        <v>67.150000000000006</v>
      </c>
      <c r="Z580">
        <v>45</v>
      </c>
      <c r="AA580">
        <v>333356</v>
      </c>
      <c r="AB580">
        <v>3357.5</v>
      </c>
      <c r="AC580">
        <v>0</v>
      </c>
      <c r="AD580" t="s">
        <v>94</v>
      </c>
      <c r="AE580" t="s">
        <v>94</v>
      </c>
      <c r="AF580" t="s">
        <v>304</v>
      </c>
      <c r="AG580" t="s">
        <v>1494</v>
      </c>
      <c r="AH580">
        <v>0</v>
      </c>
      <c r="AI580" t="s">
        <v>3104</v>
      </c>
      <c r="AJ580" t="s">
        <v>3105</v>
      </c>
      <c r="AK580" t="s">
        <v>2416</v>
      </c>
      <c r="AL580" t="s">
        <v>272</v>
      </c>
    </row>
    <row r="581" spans="1:38">
      <c r="A581" t="s">
        <v>3122</v>
      </c>
      <c r="B581" t="s">
        <v>3123</v>
      </c>
      <c r="C581" t="s">
        <v>3124</v>
      </c>
      <c r="D581" t="s">
        <v>3124</v>
      </c>
      <c r="E581" t="s">
        <v>3125</v>
      </c>
      <c r="F581" t="s">
        <v>2413</v>
      </c>
      <c r="G581">
        <v>3</v>
      </c>
      <c r="H581">
        <v>1</v>
      </c>
      <c r="I581">
        <v>0.01</v>
      </c>
      <c r="J581">
        <v>1000</v>
      </c>
      <c r="K581">
        <v>0.49</v>
      </c>
      <c r="L581">
        <v>98.68</v>
      </c>
      <c r="M581">
        <v>98.2</v>
      </c>
      <c r="N581">
        <v>97.78</v>
      </c>
      <c r="O581">
        <v>98.61</v>
      </c>
      <c r="P581">
        <v>0</v>
      </c>
      <c r="Q581">
        <v>0</v>
      </c>
      <c r="R581">
        <v>0</v>
      </c>
      <c r="S581">
        <v>98.16</v>
      </c>
      <c r="T581">
        <v>97.96</v>
      </c>
      <c r="U581">
        <v>97.73</v>
      </c>
      <c r="V581">
        <v>98.68</v>
      </c>
      <c r="W581">
        <v>673361</v>
      </c>
      <c r="X581">
        <v>98.58</v>
      </c>
      <c r="Y581">
        <v>98.68</v>
      </c>
      <c r="Z581">
        <v>88</v>
      </c>
      <c r="AA581">
        <v>366644</v>
      </c>
      <c r="AB581">
        <v>4934</v>
      </c>
      <c r="AC581">
        <v>0</v>
      </c>
      <c r="AD581" t="s">
        <v>94</v>
      </c>
      <c r="AE581" t="s">
        <v>94</v>
      </c>
      <c r="AF581" t="s">
        <v>304</v>
      </c>
      <c r="AG581" t="s">
        <v>1494</v>
      </c>
      <c r="AH581">
        <v>0</v>
      </c>
      <c r="AI581" t="s">
        <v>3104</v>
      </c>
      <c r="AJ581" t="s">
        <v>3105</v>
      </c>
      <c r="AK581" t="s">
        <v>2416</v>
      </c>
      <c r="AL581" t="s">
        <v>272</v>
      </c>
    </row>
    <row r="582" spans="1:38">
      <c r="A582" t="s">
        <v>3126</v>
      </c>
      <c r="B582" t="s">
        <v>3127</v>
      </c>
      <c r="C582" t="s">
        <v>3128</v>
      </c>
      <c r="D582" t="s">
        <v>3128</v>
      </c>
      <c r="E582" t="s">
        <v>3129</v>
      </c>
      <c r="F582" t="s">
        <v>2413</v>
      </c>
      <c r="G582">
        <v>3</v>
      </c>
      <c r="H582">
        <v>1</v>
      </c>
      <c r="I582">
        <v>0.01</v>
      </c>
      <c r="J582">
        <v>1000</v>
      </c>
      <c r="K582">
        <v>0.46</v>
      </c>
      <c r="L582">
        <v>95.73</v>
      </c>
      <c r="M582">
        <v>95.29</v>
      </c>
      <c r="N582">
        <v>95.23</v>
      </c>
      <c r="O582">
        <v>95.73</v>
      </c>
      <c r="P582">
        <v>0</v>
      </c>
      <c r="Q582">
        <v>0</v>
      </c>
      <c r="R582">
        <v>0</v>
      </c>
      <c r="S582">
        <v>95.62</v>
      </c>
      <c r="T582">
        <v>95.5</v>
      </c>
      <c r="U582">
        <v>95.2</v>
      </c>
      <c r="V582">
        <v>95.75</v>
      </c>
      <c r="W582">
        <v>1082373</v>
      </c>
      <c r="X582">
        <v>95.6</v>
      </c>
      <c r="Y582">
        <v>95.73</v>
      </c>
      <c r="Z582">
        <v>74</v>
      </c>
      <c r="AA582">
        <v>300000</v>
      </c>
      <c r="AB582">
        <v>9573</v>
      </c>
      <c r="AC582">
        <v>0</v>
      </c>
      <c r="AD582" t="s">
        <v>94</v>
      </c>
      <c r="AE582" t="s">
        <v>94</v>
      </c>
      <c r="AF582" t="s">
        <v>304</v>
      </c>
      <c r="AG582" t="s">
        <v>1494</v>
      </c>
      <c r="AH582">
        <v>0</v>
      </c>
      <c r="AI582" t="s">
        <v>3104</v>
      </c>
      <c r="AJ582" t="s">
        <v>3105</v>
      </c>
      <c r="AK582" t="s">
        <v>2416</v>
      </c>
      <c r="AL582" t="s">
        <v>272</v>
      </c>
    </row>
    <row r="583" spans="1:38">
      <c r="A583" t="s">
        <v>3130</v>
      </c>
      <c r="B583" t="s">
        <v>3131</v>
      </c>
      <c r="C583" t="s">
        <v>3132</v>
      </c>
      <c r="D583" t="s">
        <v>3132</v>
      </c>
      <c r="E583" t="s">
        <v>3133</v>
      </c>
      <c r="F583" t="s">
        <v>2413</v>
      </c>
      <c r="G583">
        <v>3</v>
      </c>
      <c r="H583">
        <v>1</v>
      </c>
      <c r="I583">
        <v>0.01</v>
      </c>
      <c r="J583">
        <v>1000</v>
      </c>
      <c r="K583">
        <v>-0.05</v>
      </c>
      <c r="L583">
        <v>94.5</v>
      </c>
      <c r="M583">
        <v>94.55</v>
      </c>
      <c r="N583">
        <v>94.67</v>
      </c>
      <c r="O583">
        <v>94.5</v>
      </c>
      <c r="P583">
        <v>0</v>
      </c>
      <c r="Q583">
        <v>0</v>
      </c>
      <c r="R583">
        <v>0</v>
      </c>
      <c r="S583">
        <v>94.61</v>
      </c>
      <c r="T583">
        <v>95.05</v>
      </c>
      <c r="U583">
        <v>94.08</v>
      </c>
      <c r="V583">
        <v>95.26</v>
      </c>
      <c r="W583">
        <v>939439</v>
      </c>
      <c r="X583">
        <v>94.49</v>
      </c>
      <c r="Y583">
        <v>94.58</v>
      </c>
      <c r="Z583">
        <v>80</v>
      </c>
      <c r="AA583">
        <v>418184</v>
      </c>
      <c r="AB583">
        <v>2835</v>
      </c>
      <c r="AC583">
        <v>0</v>
      </c>
      <c r="AD583" t="s">
        <v>94</v>
      </c>
      <c r="AE583" t="s">
        <v>94</v>
      </c>
      <c r="AF583" t="s">
        <v>304</v>
      </c>
      <c r="AG583" t="s">
        <v>1494</v>
      </c>
      <c r="AH583">
        <v>0</v>
      </c>
      <c r="AI583" t="s">
        <v>3104</v>
      </c>
      <c r="AJ583" t="s">
        <v>3105</v>
      </c>
      <c r="AK583" t="s">
        <v>2416</v>
      </c>
      <c r="AL583" t="s">
        <v>272</v>
      </c>
    </row>
    <row r="584" spans="1:38">
      <c r="A584" t="s">
        <v>3134</v>
      </c>
      <c r="B584" t="s">
        <v>3135</v>
      </c>
      <c r="C584" t="s">
        <v>3136</v>
      </c>
      <c r="D584" t="s">
        <v>3136</v>
      </c>
      <c r="E584" t="s">
        <v>3137</v>
      </c>
      <c r="F584" t="s">
        <v>2413</v>
      </c>
      <c r="G584">
        <v>3</v>
      </c>
      <c r="H584">
        <v>1</v>
      </c>
      <c r="I584">
        <v>0.01</v>
      </c>
      <c r="J584">
        <v>1000</v>
      </c>
      <c r="K584">
        <v>-0.88</v>
      </c>
      <c r="L584">
        <v>89.4</v>
      </c>
      <c r="M584">
        <v>90.11</v>
      </c>
      <c r="N584">
        <v>90.22</v>
      </c>
      <c r="O584">
        <v>89.8</v>
      </c>
      <c r="P584">
        <v>0</v>
      </c>
      <c r="Q584">
        <v>0</v>
      </c>
      <c r="R584">
        <v>0</v>
      </c>
      <c r="S584">
        <v>90.05</v>
      </c>
      <c r="T584">
        <v>90.21</v>
      </c>
      <c r="U584">
        <v>89.4</v>
      </c>
      <c r="V584">
        <v>90.93</v>
      </c>
      <c r="W584">
        <v>303463</v>
      </c>
      <c r="X584">
        <v>89.4</v>
      </c>
      <c r="Y584">
        <v>89.58</v>
      </c>
      <c r="Z584">
        <v>66</v>
      </c>
      <c r="AA584">
        <v>124579</v>
      </c>
      <c r="AB584">
        <v>894</v>
      </c>
      <c r="AC584">
        <v>0</v>
      </c>
      <c r="AD584" t="s">
        <v>94</v>
      </c>
      <c r="AE584" t="s">
        <v>94</v>
      </c>
      <c r="AF584" t="s">
        <v>304</v>
      </c>
      <c r="AG584" t="s">
        <v>1494</v>
      </c>
      <c r="AH584">
        <v>0</v>
      </c>
      <c r="AI584" t="s">
        <v>3104</v>
      </c>
      <c r="AJ584" t="s">
        <v>3105</v>
      </c>
      <c r="AK584" t="s">
        <v>2416</v>
      </c>
      <c r="AL584" t="s">
        <v>272</v>
      </c>
    </row>
    <row r="585" spans="1:38">
      <c r="A585" t="s">
        <v>3138</v>
      </c>
      <c r="B585" t="s">
        <v>3139</v>
      </c>
      <c r="C585" t="s">
        <v>3140</v>
      </c>
      <c r="D585" t="s">
        <v>3140</v>
      </c>
      <c r="E585" t="s">
        <v>3141</v>
      </c>
      <c r="F585" t="s">
        <v>2413</v>
      </c>
      <c r="G585">
        <v>3</v>
      </c>
      <c r="H585">
        <v>1</v>
      </c>
      <c r="I585">
        <v>1E-4</v>
      </c>
      <c r="J585">
        <v>100</v>
      </c>
      <c r="K585">
        <v>-3.27</v>
      </c>
      <c r="L585">
        <v>90</v>
      </c>
      <c r="M585">
        <v>88.668199999999999</v>
      </c>
      <c r="N585">
        <v>89.742500000000007</v>
      </c>
      <c r="O585">
        <v>90</v>
      </c>
      <c r="P585">
        <v>0</v>
      </c>
      <c r="Q585">
        <v>0</v>
      </c>
      <c r="R585">
        <v>0</v>
      </c>
      <c r="S585">
        <v>89.886200000000002</v>
      </c>
      <c r="T585">
        <v>88</v>
      </c>
      <c r="U585">
        <v>88</v>
      </c>
      <c r="V585">
        <v>98.997699999999995</v>
      </c>
      <c r="W585">
        <v>77241</v>
      </c>
      <c r="X585">
        <v>88</v>
      </c>
      <c r="Y585">
        <v>98.936000000000007</v>
      </c>
      <c r="Z585">
        <v>4</v>
      </c>
      <c r="AA585">
        <v>175000</v>
      </c>
      <c r="AB585">
        <v>68115.06</v>
      </c>
      <c r="AC585">
        <v>0</v>
      </c>
      <c r="AD585" t="s">
        <v>1663</v>
      </c>
      <c r="AE585" t="s">
        <v>94</v>
      </c>
      <c r="AF585" t="s">
        <v>304</v>
      </c>
      <c r="AG585" t="s">
        <v>1494</v>
      </c>
      <c r="AH585">
        <v>0</v>
      </c>
      <c r="AI585" t="s">
        <v>3104</v>
      </c>
      <c r="AJ585" t="s">
        <v>3105</v>
      </c>
      <c r="AK585" t="s">
        <v>2416</v>
      </c>
      <c r="AL585" t="s">
        <v>272</v>
      </c>
    </row>
    <row r="586" spans="1:38">
      <c r="A586" t="s">
        <v>3142</v>
      </c>
      <c r="B586" t="s">
        <v>3143</v>
      </c>
      <c r="C586" t="s">
        <v>3144</v>
      </c>
      <c r="D586" t="s">
        <v>3144</v>
      </c>
      <c r="E586" t="s">
        <v>3145</v>
      </c>
      <c r="F586" t="s">
        <v>2425</v>
      </c>
      <c r="G586">
        <v>3</v>
      </c>
      <c r="H586">
        <v>1</v>
      </c>
      <c r="I586">
        <v>0.01</v>
      </c>
      <c r="J586">
        <v>1000</v>
      </c>
      <c r="K586">
        <v>0.13</v>
      </c>
      <c r="L586">
        <v>100.43</v>
      </c>
      <c r="M586">
        <v>100.3</v>
      </c>
      <c r="N586">
        <v>100.48</v>
      </c>
      <c r="O586">
        <v>100.43</v>
      </c>
      <c r="P586">
        <v>0</v>
      </c>
      <c r="Q586">
        <v>0</v>
      </c>
      <c r="R586">
        <v>0</v>
      </c>
      <c r="S586">
        <v>100.36</v>
      </c>
      <c r="T586">
        <v>100.3</v>
      </c>
      <c r="U586">
        <v>100.01</v>
      </c>
      <c r="V586">
        <v>100.7</v>
      </c>
      <c r="W586">
        <v>598137</v>
      </c>
      <c r="X586">
        <v>100.05</v>
      </c>
      <c r="Y586">
        <v>100.49</v>
      </c>
      <c r="Z586">
        <v>80</v>
      </c>
      <c r="AA586">
        <v>132085</v>
      </c>
      <c r="AB586">
        <v>48206.400000000001</v>
      </c>
      <c r="AC586">
        <v>0</v>
      </c>
      <c r="AD586" t="s">
        <v>94</v>
      </c>
      <c r="AE586" t="s">
        <v>94</v>
      </c>
      <c r="AF586" t="s">
        <v>304</v>
      </c>
      <c r="AG586" t="s">
        <v>1494</v>
      </c>
      <c r="AH586">
        <v>0</v>
      </c>
      <c r="AI586" t="s">
        <v>3104</v>
      </c>
      <c r="AJ586" t="s">
        <v>3105</v>
      </c>
      <c r="AK586" t="s">
        <v>2426</v>
      </c>
      <c r="AL586" t="s">
        <v>272</v>
      </c>
    </row>
    <row r="587" spans="1:38">
      <c r="A587" t="s">
        <v>3146</v>
      </c>
      <c r="B587" t="s">
        <v>3147</v>
      </c>
      <c r="C587" t="s">
        <v>3148</v>
      </c>
      <c r="D587" t="s">
        <v>3148</v>
      </c>
      <c r="E587" t="s">
        <v>3149</v>
      </c>
      <c r="F587" t="s">
        <v>2413</v>
      </c>
      <c r="G587">
        <v>3</v>
      </c>
      <c r="H587">
        <v>1</v>
      </c>
      <c r="I587">
        <v>0.01</v>
      </c>
      <c r="J587">
        <v>370</v>
      </c>
      <c r="K587">
        <v>-0.28000000000000003</v>
      </c>
      <c r="L587">
        <v>91.24</v>
      </c>
      <c r="M587">
        <v>91.5</v>
      </c>
      <c r="N587">
        <v>92.97</v>
      </c>
      <c r="O587">
        <v>91.24</v>
      </c>
      <c r="P587">
        <v>0</v>
      </c>
      <c r="Q587">
        <v>0</v>
      </c>
      <c r="R587">
        <v>0</v>
      </c>
      <c r="S587">
        <v>91.46</v>
      </c>
      <c r="T587">
        <v>91.51</v>
      </c>
      <c r="U587">
        <v>91.24</v>
      </c>
      <c r="V587">
        <v>92.81</v>
      </c>
      <c r="W587">
        <v>62267</v>
      </c>
      <c r="X587">
        <v>91.19</v>
      </c>
      <c r="Y587">
        <v>91.24</v>
      </c>
      <c r="Z587">
        <v>18</v>
      </c>
      <c r="AA587">
        <v>200000</v>
      </c>
      <c r="AB587">
        <v>337.59</v>
      </c>
      <c r="AC587">
        <v>0</v>
      </c>
      <c r="AD587" t="s">
        <v>94</v>
      </c>
      <c r="AE587" t="s">
        <v>94</v>
      </c>
      <c r="AF587" t="s">
        <v>226</v>
      </c>
      <c r="AG587" t="s">
        <v>1494</v>
      </c>
      <c r="AH587">
        <v>6</v>
      </c>
      <c r="AI587" t="s">
        <v>3104</v>
      </c>
      <c r="AJ587" t="s">
        <v>3105</v>
      </c>
      <c r="AK587" t="s">
        <v>2416</v>
      </c>
      <c r="AL587" t="s">
        <v>272</v>
      </c>
    </row>
    <row r="588" spans="1:38">
      <c r="A588" t="s">
        <v>3150</v>
      </c>
      <c r="B588" t="s">
        <v>3151</v>
      </c>
      <c r="C588" t="s">
        <v>3152</v>
      </c>
      <c r="D588" t="s">
        <v>3152</v>
      </c>
      <c r="E588" t="s">
        <v>3153</v>
      </c>
      <c r="F588" t="s">
        <v>2413</v>
      </c>
      <c r="G588">
        <v>3</v>
      </c>
      <c r="H588">
        <v>1</v>
      </c>
      <c r="I588">
        <v>0.01</v>
      </c>
      <c r="J588">
        <v>715</v>
      </c>
      <c r="K588">
        <v>3.06</v>
      </c>
      <c r="L588">
        <v>84.1</v>
      </c>
      <c r="M588">
        <v>82.63</v>
      </c>
      <c r="N588">
        <v>82.01</v>
      </c>
      <c r="O588">
        <v>83.07</v>
      </c>
      <c r="P588">
        <v>0</v>
      </c>
      <c r="Q588">
        <v>0</v>
      </c>
      <c r="R588">
        <v>0</v>
      </c>
      <c r="S588">
        <v>82.61</v>
      </c>
      <c r="T588">
        <v>85.21</v>
      </c>
      <c r="U588">
        <v>82.06</v>
      </c>
      <c r="V588">
        <v>85.21</v>
      </c>
      <c r="W588">
        <v>26580</v>
      </c>
      <c r="X588">
        <v>82.69</v>
      </c>
      <c r="Y588">
        <v>83.69</v>
      </c>
      <c r="Z588">
        <v>17</v>
      </c>
      <c r="AA588">
        <v>250000</v>
      </c>
      <c r="AB588">
        <v>1202.6300000000001</v>
      </c>
      <c r="AC588">
        <v>0</v>
      </c>
      <c r="AD588" t="s">
        <v>94</v>
      </c>
      <c r="AE588" t="s">
        <v>94</v>
      </c>
      <c r="AF588" t="s">
        <v>226</v>
      </c>
      <c r="AG588" t="s">
        <v>1494</v>
      </c>
      <c r="AH588">
        <v>6</v>
      </c>
      <c r="AI588" t="s">
        <v>3104</v>
      </c>
      <c r="AJ588" t="s">
        <v>3105</v>
      </c>
      <c r="AK588" t="s">
        <v>2416</v>
      </c>
      <c r="AL588" t="s">
        <v>272</v>
      </c>
    </row>
    <row r="589" spans="1:38">
      <c r="A589" t="s">
        <v>3154</v>
      </c>
      <c r="B589" t="s">
        <v>3155</v>
      </c>
      <c r="C589" t="s">
        <v>3156</v>
      </c>
      <c r="D589" t="s">
        <v>3156</v>
      </c>
      <c r="E589" t="s">
        <v>3157</v>
      </c>
      <c r="F589" t="s">
        <v>2413</v>
      </c>
      <c r="G589">
        <v>3</v>
      </c>
      <c r="H589">
        <v>1</v>
      </c>
      <c r="I589">
        <v>0.01</v>
      </c>
      <c r="J589">
        <v>650</v>
      </c>
      <c r="K589">
        <v>-0.54</v>
      </c>
      <c r="L589">
        <v>91.89</v>
      </c>
      <c r="M589">
        <v>92.39</v>
      </c>
      <c r="N589">
        <v>92.32</v>
      </c>
      <c r="O589">
        <v>91.9</v>
      </c>
      <c r="P589">
        <v>0</v>
      </c>
      <c r="Q589">
        <v>0</v>
      </c>
      <c r="R589">
        <v>0</v>
      </c>
      <c r="S589">
        <v>91.23</v>
      </c>
      <c r="T589">
        <v>91.08</v>
      </c>
      <c r="U589">
        <v>90.45</v>
      </c>
      <c r="V589">
        <v>93.75</v>
      </c>
      <c r="W589">
        <v>273376</v>
      </c>
      <c r="X589">
        <v>91.44</v>
      </c>
      <c r="Y589">
        <v>92.1</v>
      </c>
      <c r="Z589">
        <v>52</v>
      </c>
      <c r="AA589">
        <v>250000</v>
      </c>
      <c r="AB589">
        <v>597.29</v>
      </c>
      <c r="AC589">
        <v>0</v>
      </c>
      <c r="AD589" t="s">
        <v>94</v>
      </c>
      <c r="AE589" t="s">
        <v>94</v>
      </c>
      <c r="AF589" t="s">
        <v>226</v>
      </c>
      <c r="AG589" t="s">
        <v>1494</v>
      </c>
      <c r="AH589">
        <v>6</v>
      </c>
      <c r="AI589" t="s">
        <v>3104</v>
      </c>
      <c r="AJ589" t="s">
        <v>3105</v>
      </c>
      <c r="AK589" t="s">
        <v>2416</v>
      </c>
      <c r="AL589" t="s">
        <v>272</v>
      </c>
    </row>
    <row r="590" spans="1:38">
      <c r="A590" t="s">
        <v>3158</v>
      </c>
      <c r="B590" t="s">
        <v>3159</v>
      </c>
      <c r="C590" t="s">
        <v>3160</v>
      </c>
      <c r="D590" t="s">
        <v>3160</v>
      </c>
      <c r="E590" t="s">
        <v>3161</v>
      </c>
      <c r="F590" t="s">
        <v>2413</v>
      </c>
      <c r="G590">
        <v>3</v>
      </c>
      <c r="H590">
        <v>1</v>
      </c>
      <c r="I590">
        <v>0.01</v>
      </c>
      <c r="J590">
        <v>1000</v>
      </c>
      <c r="K590">
        <v>-3.74</v>
      </c>
      <c r="L590">
        <v>76.38</v>
      </c>
      <c r="M590">
        <v>79.349999999999994</v>
      </c>
      <c r="N590">
        <v>78.209999999999994</v>
      </c>
      <c r="O590">
        <v>76.349999999999994</v>
      </c>
      <c r="P590">
        <v>0</v>
      </c>
      <c r="Q590">
        <v>0</v>
      </c>
      <c r="R590">
        <v>0</v>
      </c>
      <c r="S590">
        <v>76.64</v>
      </c>
      <c r="T590">
        <v>79</v>
      </c>
      <c r="U590">
        <v>75.83</v>
      </c>
      <c r="V590">
        <v>79</v>
      </c>
      <c r="W590">
        <v>114958</v>
      </c>
      <c r="X590">
        <v>76.37</v>
      </c>
      <c r="Y590">
        <v>76.5</v>
      </c>
      <c r="Z590">
        <v>45</v>
      </c>
      <c r="AA590">
        <v>185000</v>
      </c>
      <c r="AB590">
        <v>2291.4</v>
      </c>
      <c r="AC590">
        <v>0</v>
      </c>
      <c r="AD590" t="s">
        <v>94</v>
      </c>
      <c r="AE590" t="s">
        <v>94</v>
      </c>
      <c r="AF590" t="s">
        <v>226</v>
      </c>
      <c r="AG590" t="s">
        <v>1494</v>
      </c>
      <c r="AH590">
        <v>6</v>
      </c>
      <c r="AI590" t="s">
        <v>3104</v>
      </c>
      <c r="AJ590" t="s">
        <v>3105</v>
      </c>
      <c r="AK590" t="s">
        <v>2416</v>
      </c>
      <c r="AL590" t="s">
        <v>272</v>
      </c>
    </row>
    <row r="591" spans="1:38">
      <c r="A591" t="s">
        <v>3162</v>
      </c>
      <c r="B591" t="s">
        <v>3163</v>
      </c>
      <c r="C591" t="s">
        <v>3164</v>
      </c>
      <c r="D591" t="s">
        <v>3164</v>
      </c>
      <c r="E591" t="s">
        <v>3165</v>
      </c>
      <c r="F591" t="s">
        <v>2425</v>
      </c>
      <c r="G591">
        <v>3</v>
      </c>
      <c r="H591">
        <v>1</v>
      </c>
      <c r="I591">
        <v>0.01</v>
      </c>
      <c r="J591">
        <v>83.7</v>
      </c>
      <c r="K591">
        <v>0.01</v>
      </c>
      <c r="L591">
        <v>99.5</v>
      </c>
      <c r="M591">
        <v>99.36</v>
      </c>
      <c r="N591">
        <v>99.49</v>
      </c>
      <c r="O591">
        <v>99.5</v>
      </c>
      <c r="P591">
        <v>0</v>
      </c>
      <c r="Q591">
        <v>0</v>
      </c>
      <c r="R591">
        <v>0</v>
      </c>
      <c r="S591">
        <v>99.29</v>
      </c>
      <c r="T591">
        <v>99.5</v>
      </c>
      <c r="U591">
        <v>99.01</v>
      </c>
      <c r="V591">
        <v>99.5</v>
      </c>
      <c r="W591">
        <v>54598</v>
      </c>
      <c r="X591">
        <v>99.45</v>
      </c>
      <c r="Y591">
        <v>99.49</v>
      </c>
      <c r="Z591">
        <v>30</v>
      </c>
      <c r="AA591">
        <v>300000</v>
      </c>
      <c r="AB591">
        <v>83.28</v>
      </c>
      <c r="AC591">
        <v>0</v>
      </c>
      <c r="AD591" t="s">
        <v>94</v>
      </c>
      <c r="AE591" t="s">
        <v>94</v>
      </c>
      <c r="AF591" t="s">
        <v>304</v>
      </c>
      <c r="AG591" t="s">
        <v>1494</v>
      </c>
      <c r="AH591">
        <v>0</v>
      </c>
      <c r="AI591" t="s">
        <v>3104</v>
      </c>
      <c r="AJ591" t="s">
        <v>3105</v>
      </c>
      <c r="AK591" t="s">
        <v>2426</v>
      </c>
      <c r="AL591" t="s">
        <v>272</v>
      </c>
    </row>
    <row r="592" spans="1:38">
      <c r="A592" t="s">
        <v>3166</v>
      </c>
      <c r="B592" t="s">
        <v>3167</v>
      </c>
      <c r="C592" t="s">
        <v>3168</v>
      </c>
      <c r="D592" t="s">
        <v>3168</v>
      </c>
      <c r="E592" t="s">
        <v>3169</v>
      </c>
      <c r="F592" t="s">
        <v>2413</v>
      </c>
      <c r="G592">
        <v>3</v>
      </c>
      <c r="H592">
        <v>1</v>
      </c>
      <c r="I592">
        <v>0.01</v>
      </c>
      <c r="J592">
        <v>1000</v>
      </c>
      <c r="K592">
        <v>0.1</v>
      </c>
      <c r="L592">
        <v>80</v>
      </c>
      <c r="M592">
        <v>79.92</v>
      </c>
      <c r="N592">
        <v>78.88</v>
      </c>
      <c r="O592">
        <v>80</v>
      </c>
      <c r="P592">
        <v>0</v>
      </c>
      <c r="Q592">
        <v>0</v>
      </c>
      <c r="R592">
        <v>0</v>
      </c>
      <c r="S592">
        <v>80.19</v>
      </c>
      <c r="T592">
        <v>80.55</v>
      </c>
      <c r="U592">
        <v>79.599999999999994</v>
      </c>
      <c r="V592">
        <v>80.569999999999993</v>
      </c>
      <c r="W592">
        <v>55330</v>
      </c>
      <c r="X592">
        <v>79.66</v>
      </c>
      <c r="Y592">
        <v>80</v>
      </c>
      <c r="Z592">
        <v>11</v>
      </c>
      <c r="AA592">
        <v>100000</v>
      </c>
      <c r="AB592">
        <v>4000</v>
      </c>
      <c r="AC592">
        <v>0</v>
      </c>
      <c r="AD592" t="s">
        <v>94</v>
      </c>
      <c r="AE592" t="s">
        <v>94</v>
      </c>
      <c r="AF592" t="s">
        <v>304</v>
      </c>
      <c r="AG592" t="s">
        <v>1494</v>
      </c>
      <c r="AH592">
        <v>0</v>
      </c>
      <c r="AI592" t="s">
        <v>3104</v>
      </c>
      <c r="AJ592" t="s">
        <v>3105</v>
      </c>
      <c r="AK592" t="s">
        <v>2416</v>
      </c>
      <c r="AL592" t="s">
        <v>272</v>
      </c>
    </row>
    <row r="593" spans="1:38">
      <c r="A593" t="s">
        <v>3170</v>
      </c>
      <c r="B593" t="s">
        <v>3171</v>
      </c>
      <c r="C593" t="s">
        <v>3172</v>
      </c>
      <c r="D593" t="s">
        <v>3172</v>
      </c>
      <c r="E593" t="s">
        <v>3173</v>
      </c>
      <c r="F593" t="s">
        <v>2413</v>
      </c>
      <c r="G593">
        <v>3</v>
      </c>
      <c r="H593">
        <v>1</v>
      </c>
      <c r="I593">
        <v>0.01</v>
      </c>
      <c r="J593">
        <v>1000</v>
      </c>
      <c r="K593">
        <v>0.09</v>
      </c>
      <c r="L593">
        <v>75.069999999999993</v>
      </c>
      <c r="M593">
        <v>74.989999999999995</v>
      </c>
      <c r="N593">
        <v>74.930000000000007</v>
      </c>
      <c r="O593">
        <v>75.069999999999993</v>
      </c>
      <c r="P593">
        <v>0</v>
      </c>
      <c r="Q593">
        <v>0</v>
      </c>
      <c r="R593">
        <v>0</v>
      </c>
      <c r="S593">
        <v>74.510000000000005</v>
      </c>
      <c r="T593">
        <v>74.599999999999994</v>
      </c>
      <c r="U593">
        <v>74.5</v>
      </c>
      <c r="V593">
        <v>75.069999999999993</v>
      </c>
      <c r="W593">
        <v>909763</v>
      </c>
      <c r="X593">
        <v>75.150000000000006</v>
      </c>
      <c r="Y593">
        <v>76.12</v>
      </c>
      <c r="Z593">
        <v>22</v>
      </c>
      <c r="AA593">
        <v>100000</v>
      </c>
      <c r="AB593">
        <v>3002.8</v>
      </c>
      <c r="AC593">
        <v>0</v>
      </c>
      <c r="AD593" t="s">
        <v>94</v>
      </c>
      <c r="AE593" t="s">
        <v>94</v>
      </c>
      <c r="AF593" t="s">
        <v>304</v>
      </c>
      <c r="AG593" t="s">
        <v>1494</v>
      </c>
      <c r="AH593">
        <v>0</v>
      </c>
      <c r="AI593" t="s">
        <v>3104</v>
      </c>
      <c r="AJ593" t="s">
        <v>3105</v>
      </c>
      <c r="AK593" t="s">
        <v>2416</v>
      </c>
      <c r="AL593" t="s">
        <v>272</v>
      </c>
    </row>
    <row r="594" spans="1:38">
      <c r="A594" t="s">
        <v>3174</v>
      </c>
      <c r="B594" t="s">
        <v>3175</v>
      </c>
      <c r="C594" t="s">
        <v>3176</v>
      </c>
      <c r="D594" t="s">
        <v>3176</v>
      </c>
      <c r="E594" t="s">
        <v>3177</v>
      </c>
      <c r="F594" t="s">
        <v>2413</v>
      </c>
      <c r="G594">
        <v>3</v>
      </c>
      <c r="H594">
        <v>1</v>
      </c>
      <c r="I594">
        <v>0.01</v>
      </c>
      <c r="J594">
        <v>1000</v>
      </c>
      <c r="K594">
        <v>-0.35</v>
      </c>
      <c r="L594">
        <v>67.989999999999995</v>
      </c>
      <c r="M594">
        <v>68.23</v>
      </c>
      <c r="N594">
        <v>67.36</v>
      </c>
      <c r="O594">
        <v>67.98</v>
      </c>
      <c r="P594">
        <v>0</v>
      </c>
      <c r="Q594">
        <v>0</v>
      </c>
      <c r="R594">
        <v>0</v>
      </c>
      <c r="S594">
        <v>67.819999999999993</v>
      </c>
      <c r="T594">
        <v>68.38</v>
      </c>
      <c r="U594">
        <v>67.67</v>
      </c>
      <c r="V594">
        <v>68.38</v>
      </c>
      <c r="W594">
        <v>689016</v>
      </c>
      <c r="X594">
        <v>67.7</v>
      </c>
      <c r="Y594">
        <v>68.02</v>
      </c>
      <c r="Z594">
        <v>73</v>
      </c>
      <c r="AA594">
        <v>350000</v>
      </c>
      <c r="AB594">
        <v>679.9</v>
      </c>
      <c r="AC594">
        <v>0</v>
      </c>
      <c r="AD594" t="s">
        <v>94</v>
      </c>
      <c r="AE594" t="s">
        <v>94</v>
      </c>
      <c r="AF594" t="s">
        <v>304</v>
      </c>
      <c r="AG594" t="s">
        <v>1494</v>
      </c>
      <c r="AH594">
        <v>0</v>
      </c>
      <c r="AI594" t="s">
        <v>3104</v>
      </c>
      <c r="AJ594" t="s">
        <v>3105</v>
      </c>
      <c r="AK594" t="s">
        <v>2416</v>
      </c>
      <c r="AL594" t="s">
        <v>272</v>
      </c>
    </row>
    <row r="595" spans="1:38">
      <c r="A595" t="s">
        <v>3178</v>
      </c>
      <c r="B595" t="s">
        <v>3179</v>
      </c>
      <c r="C595" t="s">
        <v>3180</v>
      </c>
      <c r="D595" t="s">
        <v>3180</v>
      </c>
      <c r="E595" t="s">
        <v>3181</v>
      </c>
      <c r="F595" t="s">
        <v>2413</v>
      </c>
      <c r="G595">
        <v>3</v>
      </c>
      <c r="H595">
        <v>1</v>
      </c>
      <c r="I595">
        <v>0.01</v>
      </c>
      <c r="J595">
        <v>1000</v>
      </c>
      <c r="K595">
        <v>-1.29</v>
      </c>
      <c r="L595">
        <v>71.27</v>
      </c>
      <c r="M595">
        <v>72.2</v>
      </c>
      <c r="N595">
        <v>71.7</v>
      </c>
      <c r="O595">
        <v>71.27</v>
      </c>
      <c r="P595">
        <v>0</v>
      </c>
      <c r="Q595">
        <v>0</v>
      </c>
      <c r="R595">
        <v>0</v>
      </c>
      <c r="S595">
        <v>71.48</v>
      </c>
      <c r="T595">
        <v>71.03</v>
      </c>
      <c r="U595">
        <v>71.02</v>
      </c>
      <c r="V595">
        <v>72.319999999999993</v>
      </c>
      <c r="W595">
        <v>23589</v>
      </c>
      <c r="X595">
        <v>71.06</v>
      </c>
      <c r="Y595">
        <v>71.28</v>
      </c>
      <c r="Z595">
        <v>17</v>
      </c>
      <c r="AA595">
        <v>150000</v>
      </c>
      <c r="AB595">
        <v>712.7</v>
      </c>
      <c r="AC595">
        <v>0</v>
      </c>
      <c r="AD595" t="s">
        <v>94</v>
      </c>
      <c r="AE595" t="s">
        <v>94</v>
      </c>
      <c r="AF595" t="s">
        <v>304</v>
      </c>
      <c r="AG595" t="s">
        <v>1494</v>
      </c>
      <c r="AH595">
        <v>0</v>
      </c>
      <c r="AI595" t="s">
        <v>3104</v>
      </c>
      <c r="AJ595" t="s">
        <v>3105</v>
      </c>
      <c r="AK595" t="s">
        <v>2416</v>
      </c>
      <c r="AL595" t="s">
        <v>272</v>
      </c>
    </row>
    <row r="596" spans="1:38">
      <c r="A596" t="s">
        <v>3182</v>
      </c>
      <c r="B596" t="s">
        <v>3183</v>
      </c>
      <c r="C596" t="s">
        <v>3184</v>
      </c>
      <c r="D596" t="s">
        <v>3184</v>
      </c>
      <c r="E596" t="s">
        <v>3185</v>
      </c>
      <c r="F596" t="s">
        <v>2413</v>
      </c>
      <c r="G596">
        <v>3</v>
      </c>
      <c r="H596">
        <v>1</v>
      </c>
      <c r="I596">
        <v>0.01</v>
      </c>
      <c r="J596">
        <v>1000</v>
      </c>
      <c r="K596">
        <v>-0.36</v>
      </c>
      <c r="L596">
        <v>93.6</v>
      </c>
      <c r="M596">
        <v>93.94</v>
      </c>
      <c r="N596">
        <v>93.8</v>
      </c>
      <c r="O596">
        <v>93.66</v>
      </c>
      <c r="P596">
        <v>0</v>
      </c>
      <c r="Q596">
        <v>0</v>
      </c>
      <c r="R596">
        <v>0</v>
      </c>
      <c r="S596">
        <v>93.81</v>
      </c>
      <c r="T596">
        <v>93.94</v>
      </c>
      <c r="U596">
        <v>93.53</v>
      </c>
      <c r="V596">
        <v>94</v>
      </c>
      <c r="W596">
        <v>660402</v>
      </c>
      <c r="X596">
        <v>93.61</v>
      </c>
      <c r="Y596">
        <v>93.75</v>
      </c>
      <c r="Z596">
        <v>63</v>
      </c>
      <c r="AA596">
        <v>350000</v>
      </c>
      <c r="AB596">
        <v>4680</v>
      </c>
      <c r="AC596">
        <v>0</v>
      </c>
      <c r="AD596" t="s">
        <v>94</v>
      </c>
      <c r="AE596" t="s">
        <v>94</v>
      </c>
      <c r="AF596" t="s">
        <v>304</v>
      </c>
      <c r="AG596" t="s">
        <v>1494</v>
      </c>
      <c r="AH596">
        <v>0</v>
      </c>
      <c r="AI596" t="s">
        <v>3104</v>
      </c>
      <c r="AJ596" t="s">
        <v>3105</v>
      </c>
      <c r="AK596" t="s">
        <v>2416</v>
      </c>
      <c r="AL596" t="s">
        <v>272</v>
      </c>
    </row>
    <row r="597" spans="1:38">
      <c r="A597" t="s">
        <v>3186</v>
      </c>
      <c r="B597" t="s">
        <v>3187</v>
      </c>
      <c r="C597" t="s">
        <v>3188</v>
      </c>
      <c r="D597" t="s">
        <v>3188</v>
      </c>
      <c r="E597" t="s">
        <v>3189</v>
      </c>
      <c r="F597" t="s">
        <v>2413</v>
      </c>
      <c r="G597">
        <v>3</v>
      </c>
      <c r="H597">
        <v>1</v>
      </c>
      <c r="I597">
        <v>0.01</v>
      </c>
      <c r="J597">
        <v>1000</v>
      </c>
      <c r="K597">
        <v>-0.1</v>
      </c>
      <c r="L597">
        <v>96</v>
      </c>
      <c r="M597">
        <v>96.62</v>
      </c>
      <c r="N597">
        <v>96.69</v>
      </c>
      <c r="O597">
        <v>95.86</v>
      </c>
      <c r="P597">
        <v>0</v>
      </c>
      <c r="Q597">
        <v>0</v>
      </c>
      <c r="R597">
        <v>0</v>
      </c>
      <c r="S597">
        <v>95.9</v>
      </c>
      <c r="T597">
        <v>97.48</v>
      </c>
      <c r="U597">
        <v>95.3</v>
      </c>
      <c r="V597">
        <v>97.48</v>
      </c>
      <c r="W597">
        <v>706753</v>
      </c>
      <c r="X597">
        <v>96</v>
      </c>
      <c r="Y597">
        <v>96.1</v>
      </c>
      <c r="Z597">
        <v>119</v>
      </c>
      <c r="AA597">
        <v>150000</v>
      </c>
      <c r="AB597">
        <v>3840</v>
      </c>
      <c r="AC597">
        <v>0</v>
      </c>
      <c r="AD597" t="s">
        <v>94</v>
      </c>
      <c r="AE597" t="s">
        <v>94</v>
      </c>
      <c r="AF597" t="s">
        <v>304</v>
      </c>
      <c r="AG597" t="s">
        <v>1494</v>
      </c>
      <c r="AH597">
        <v>0</v>
      </c>
      <c r="AI597" t="s">
        <v>3104</v>
      </c>
      <c r="AJ597" t="s">
        <v>3105</v>
      </c>
      <c r="AK597" t="s">
        <v>2416</v>
      </c>
      <c r="AL597" t="s">
        <v>272</v>
      </c>
    </row>
    <row r="598" spans="1:38">
      <c r="A598" t="s">
        <v>3190</v>
      </c>
      <c r="B598" t="s">
        <v>3191</v>
      </c>
      <c r="C598" t="s">
        <v>3192</v>
      </c>
      <c r="D598" t="s">
        <v>3192</v>
      </c>
      <c r="E598" t="s">
        <v>3193</v>
      </c>
      <c r="F598" t="s">
        <v>2413</v>
      </c>
      <c r="G598">
        <v>3</v>
      </c>
      <c r="H598">
        <v>1</v>
      </c>
      <c r="I598">
        <v>0.01</v>
      </c>
      <c r="J598">
        <v>520</v>
      </c>
      <c r="K598">
        <v>0.47</v>
      </c>
      <c r="L598">
        <v>97.78</v>
      </c>
      <c r="M598">
        <v>97.32</v>
      </c>
      <c r="N598">
        <v>95.51</v>
      </c>
      <c r="O598">
        <v>97.78</v>
      </c>
      <c r="P598">
        <v>0</v>
      </c>
      <c r="Q598">
        <v>0</v>
      </c>
      <c r="R598">
        <v>0</v>
      </c>
      <c r="S598">
        <v>97.44</v>
      </c>
      <c r="T598">
        <v>97.17</v>
      </c>
      <c r="U598">
        <v>97.12</v>
      </c>
      <c r="V598">
        <v>98.28</v>
      </c>
      <c r="W598">
        <v>86134</v>
      </c>
      <c r="X598">
        <v>97.53</v>
      </c>
      <c r="Y598">
        <v>97.74</v>
      </c>
      <c r="Z598">
        <v>29</v>
      </c>
      <c r="AA598">
        <v>100000</v>
      </c>
      <c r="AB598">
        <v>508.46</v>
      </c>
      <c r="AC598">
        <v>0</v>
      </c>
      <c r="AD598" t="s">
        <v>94</v>
      </c>
      <c r="AE598" t="s">
        <v>94</v>
      </c>
      <c r="AF598" t="s">
        <v>226</v>
      </c>
      <c r="AG598" t="s">
        <v>1494</v>
      </c>
      <c r="AH598">
        <v>6</v>
      </c>
      <c r="AI598" t="s">
        <v>3104</v>
      </c>
      <c r="AJ598" t="s">
        <v>3105</v>
      </c>
      <c r="AK598" t="s">
        <v>2416</v>
      </c>
      <c r="AL598" t="s">
        <v>272</v>
      </c>
    </row>
    <row r="599" spans="1:38">
      <c r="A599" t="s">
        <v>3194</v>
      </c>
      <c r="B599" t="s">
        <v>3195</v>
      </c>
      <c r="C599" t="s">
        <v>3196</v>
      </c>
      <c r="D599" t="s">
        <v>3196</v>
      </c>
      <c r="E599" t="s">
        <v>3197</v>
      </c>
      <c r="F599" t="s">
        <v>2413</v>
      </c>
      <c r="G599">
        <v>3</v>
      </c>
      <c r="H599">
        <v>1</v>
      </c>
      <c r="I599">
        <v>0.01</v>
      </c>
      <c r="J599">
        <v>880</v>
      </c>
      <c r="K599">
        <v>-0.01</v>
      </c>
      <c r="L599">
        <v>86.98</v>
      </c>
      <c r="M599">
        <v>86.99</v>
      </c>
      <c r="N599">
        <v>85.77</v>
      </c>
      <c r="O599">
        <v>86.98</v>
      </c>
      <c r="P599">
        <v>0</v>
      </c>
      <c r="Q599">
        <v>0</v>
      </c>
      <c r="R599">
        <v>0</v>
      </c>
      <c r="S599">
        <v>86.52</v>
      </c>
      <c r="T599">
        <v>86.99</v>
      </c>
      <c r="U599">
        <v>85.98</v>
      </c>
      <c r="V599">
        <v>86.99</v>
      </c>
      <c r="W599">
        <v>64715</v>
      </c>
      <c r="X599">
        <v>86.74</v>
      </c>
      <c r="Y599">
        <v>86.98</v>
      </c>
      <c r="Z599">
        <v>21</v>
      </c>
      <c r="AA599">
        <v>150000</v>
      </c>
      <c r="AB599">
        <v>765.42</v>
      </c>
      <c r="AC599">
        <v>0</v>
      </c>
      <c r="AD599" t="s">
        <v>94</v>
      </c>
      <c r="AE599" t="s">
        <v>94</v>
      </c>
      <c r="AF599" t="s">
        <v>226</v>
      </c>
      <c r="AG599" t="s">
        <v>1494</v>
      </c>
      <c r="AH599">
        <v>6</v>
      </c>
      <c r="AI599" t="s">
        <v>3104</v>
      </c>
      <c r="AJ599" t="s">
        <v>3105</v>
      </c>
      <c r="AK599" t="s">
        <v>2416</v>
      </c>
      <c r="AL599" t="s">
        <v>272</v>
      </c>
    </row>
    <row r="600" spans="1:38">
      <c r="A600" t="s">
        <v>3198</v>
      </c>
      <c r="B600" t="s">
        <v>3199</v>
      </c>
      <c r="C600" t="s">
        <v>3200</v>
      </c>
      <c r="D600" t="s">
        <v>3200</v>
      </c>
      <c r="E600" t="s">
        <v>3201</v>
      </c>
      <c r="F600" t="s">
        <v>2413</v>
      </c>
      <c r="G600">
        <v>3</v>
      </c>
      <c r="H600">
        <v>1</v>
      </c>
      <c r="I600">
        <v>0.01</v>
      </c>
      <c r="J600">
        <v>1000</v>
      </c>
      <c r="K600">
        <v>-0.33</v>
      </c>
      <c r="L600">
        <v>76.17</v>
      </c>
      <c r="M600">
        <v>76.42</v>
      </c>
      <c r="N600">
        <v>75.67</v>
      </c>
      <c r="O600">
        <v>76.39</v>
      </c>
      <c r="P600">
        <v>0</v>
      </c>
      <c r="Q600">
        <v>0</v>
      </c>
      <c r="R600">
        <v>0</v>
      </c>
      <c r="S600">
        <v>76.63</v>
      </c>
      <c r="T600">
        <v>75.89</v>
      </c>
      <c r="U600">
        <v>75.459999999999994</v>
      </c>
      <c r="V600">
        <v>76.739999999999995</v>
      </c>
      <c r="W600">
        <v>290426</v>
      </c>
      <c r="X600">
        <v>75.78</v>
      </c>
      <c r="Y600">
        <v>76.599999999999994</v>
      </c>
      <c r="Z600">
        <v>26</v>
      </c>
      <c r="AA600">
        <v>150000</v>
      </c>
      <c r="AB600">
        <v>761.7</v>
      </c>
      <c r="AC600">
        <v>0</v>
      </c>
      <c r="AD600" t="s">
        <v>94</v>
      </c>
      <c r="AE600" t="s">
        <v>94</v>
      </c>
      <c r="AF600" t="s">
        <v>226</v>
      </c>
      <c r="AG600" t="s">
        <v>1494</v>
      </c>
      <c r="AH600">
        <v>6</v>
      </c>
      <c r="AI600" t="s">
        <v>3104</v>
      </c>
      <c r="AJ600" t="s">
        <v>3105</v>
      </c>
      <c r="AK600" t="s">
        <v>2416</v>
      </c>
      <c r="AL600" t="s">
        <v>272</v>
      </c>
    </row>
    <row r="601" spans="1:38">
      <c r="A601" t="s">
        <v>3202</v>
      </c>
      <c r="B601" t="s">
        <v>3203</v>
      </c>
      <c r="C601" t="s">
        <v>3204</v>
      </c>
      <c r="D601" t="s">
        <v>3204</v>
      </c>
      <c r="E601" t="s">
        <v>3205</v>
      </c>
      <c r="F601" t="s">
        <v>2413</v>
      </c>
      <c r="G601">
        <v>3</v>
      </c>
      <c r="H601">
        <v>1</v>
      </c>
      <c r="I601">
        <v>0.01</v>
      </c>
      <c r="J601">
        <v>1000</v>
      </c>
      <c r="K601">
        <v>0.44</v>
      </c>
      <c r="L601">
        <v>99.98</v>
      </c>
      <c r="M601">
        <v>99.54</v>
      </c>
      <c r="N601">
        <v>99.66</v>
      </c>
      <c r="O601">
        <v>99.72</v>
      </c>
      <c r="P601">
        <v>0</v>
      </c>
      <c r="Q601">
        <v>0</v>
      </c>
      <c r="R601">
        <v>0</v>
      </c>
      <c r="S601">
        <v>99.46</v>
      </c>
      <c r="T601">
        <v>99.98</v>
      </c>
      <c r="U601">
        <v>98.7</v>
      </c>
      <c r="V601">
        <v>102</v>
      </c>
      <c r="W601">
        <v>1882734</v>
      </c>
      <c r="X601">
        <v>99.65</v>
      </c>
      <c r="Y601">
        <v>99.98</v>
      </c>
      <c r="Z601">
        <v>138</v>
      </c>
      <c r="AA601">
        <v>150000</v>
      </c>
      <c r="AB601">
        <v>10997.8</v>
      </c>
      <c r="AC601">
        <v>0</v>
      </c>
      <c r="AD601" t="s">
        <v>94</v>
      </c>
      <c r="AE601" t="s">
        <v>94</v>
      </c>
      <c r="AF601" t="s">
        <v>226</v>
      </c>
      <c r="AG601" t="s">
        <v>1494</v>
      </c>
      <c r="AH601">
        <v>800</v>
      </c>
      <c r="AI601" t="s">
        <v>3104</v>
      </c>
      <c r="AJ601" t="s">
        <v>3105</v>
      </c>
      <c r="AK601" t="s">
        <v>2416</v>
      </c>
      <c r="AL601" t="s">
        <v>272</v>
      </c>
    </row>
    <row r="602" spans="1:38">
      <c r="A602" t="s">
        <v>3206</v>
      </c>
      <c r="B602" t="s">
        <v>3207</v>
      </c>
      <c r="C602" t="s">
        <v>3208</v>
      </c>
      <c r="D602" t="s">
        <v>3208</v>
      </c>
      <c r="E602" t="s">
        <v>3209</v>
      </c>
      <c r="F602" t="s">
        <v>2413</v>
      </c>
      <c r="G602">
        <v>3</v>
      </c>
      <c r="H602">
        <v>1</v>
      </c>
      <c r="I602">
        <v>0.01</v>
      </c>
      <c r="J602">
        <v>1000</v>
      </c>
      <c r="K602">
        <v>-1.21</v>
      </c>
      <c r="L602">
        <v>92.25</v>
      </c>
      <c r="M602">
        <v>93.38</v>
      </c>
      <c r="N602">
        <v>93.2</v>
      </c>
      <c r="O602">
        <v>92.29</v>
      </c>
      <c r="P602">
        <v>0</v>
      </c>
      <c r="Q602">
        <v>0</v>
      </c>
      <c r="R602">
        <v>0</v>
      </c>
      <c r="S602">
        <v>92.06</v>
      </c>
      <c r="T602">
        <v>93.78</v>
      </c>
      <c r="U602">
        <v>90.65</v>
      </c>
      <c r="V602">
        <v>93.84</v>
      </c>
      <c r="W602">
        <v>1016294</v>
      </c>
      <c r="X602">
        <v>91.98</v>
      </c>
      <c r="Y602">
        <v>92.23</v>
      </c>
      <c r="Z602">
        <v>155</v>
      </c>
      <c r="AA602">
        <v>150000</v>
      </c>
      <c r="AB602">
        <v>922.5</v>
      </c>
      <c r="AC602">
        <v>0</v>
      </c>
      <c r="AD602" t="s">
        <v>94</v>
      </c>
      <c r="AE602" t="s">
        <v>94</v>
      </c>
      <c r="AF602" t="s">
        <v>226</v>
      </c>
      <c r="AG602" t="s">
        <v>1494</v>
      </c>
      <c r="AH602">
        <v>6</v>
      </c>
      <c r="AI602" t="s">
        <v>3104</v>
      </c>
      <c r="AJ602" t="s">
        <v>3105</v>
      </c>
      <c r="AK602" t="s">
        <v>2416</v>
      </c>
      <c r="AL602" t="s">
        <v>272</v>
      </c>
    </row>
    <row r="603" spans="1:38">
      <c r="A603" t="s">
        <v>3210</v>
      </c>
      <c r="B603" t="s">
        <v>3211</v>
      </c>
      <c r="C603" t="s">
        <v>3212</v>
      </c>
      <c r="D603" t="s">
        <v>3212</v>
      </c>
      <c r="E603" t="s">
        <v>3213</v>
      </c>
      <c r="F603" t="s">
        <v>2413</v>
      </c>
      <c r="G603">
        <v>3</v>
      </c>
      <c r="H603">
        <v>1</v>
      </c>
      <c r="I603">
        <v>0.01</v>
      </c>
      <c r="J603">
        <v>1000</v>
      </c>
      <c r="K603">
        <v>1.79</v>
      </c>
      <c r="L603">
        <v>89.13</v>
      </c>
      <c r="M603">
        <v>87.56</v>
      </c>
      <c r="N603">
        <v>87.48</v>
      </c>
      <c r="O603">
        <v>89.13</v>
      </c>
      <c r="P603">
        <v>0</v>
      </c>
      <c r="Q603">
        <v>0</v>
      </c>
      <c r="R603">
        <v>0</v>
      </c>
      <c r="S603">
        <v>88.58</v>
      </c>
      <c r="T603">
        <v>87.51</v>
      </c>
      <c r="U603">
        <v>87.3</v>
      </c>
      <c r="V603">
        <v>89.96</v>
      </c>
      <c r="W603">
        <v>126676</v>
      </c>
      <c r="X603">
        <v>89.11</v>
      </c>
      <c r="Y603">
        <v>89.13</v>
      </c>
      <c r="Z603">
        <v>32</v>
      </c>
      <c r="AA603">
        <v>170000</v>
      </c>
      <c r="AB603">
        <v>891.3</v>
      </c>
      <c r="AC603">
        <v>0</v>
      </c>
      <c r="AD603" t="s">
        <v>94</v>
      </c>
      <c r="AE603" t="s">
        <v>94</v>
      </c>
      <c r="AF603" t="s">
        <v>226</v>
      </c>
      <c r="AG603" t="s">
        <v>1494</v>
      </c>
      <c r="AH603">
        <v>6</v>
      </c>
      <c r="AI603" t="s">
        <v>3104</v>
      </c>
      <c r="AJ603" t="s">
        <v>3105</v>
      </c>
      <c r="AK603" t="s">
        <v>2416</v>
      </c>
      <c r="AL603" t="s">
        <v>272</v>
      </c>
    </row>
    <row r="604" spans="1:38">
      <c r="A604" t="s">
        <v>3214</v>
      </c>
      <c r="B604" t="s">
        <v>3215</v>
      </c>
      <c r="C604" t="s">
        <v>3216</v>
      </c>
      <c r="D604" t="s">
        <v>3216</v>
      </c>
      <c r="E604" t="s">
        <v>3217</v>
      </c>
      <c r="F604" t="s">
        <v>2413</v>
      </c>
      <c r="G604">
        <v>3</v>
      </c>
      <c r="H604">
        <v>1</v>
      </c>
      <c r="I604">
        <v>0.01</v>
      </c>
      <c r="J604">
        <v>1000</v>
      </c>
      <c r="K604">
        <v>3.54</v>
      </c>
      <c r="L604">
        <v>77.86</v>
      </c>
      <c r="M604">
        <v>75.25</v>
      </c>
      <c r="N604">
        <v>76.95</v>
      </c>
      <c r="O604">
        <v>77.86</v>
      </c>
      <c r="P604">
        <v>0</v>
      </c>
      <c r="Q604">
        <v>0</v>
      </c>
      <c r="R604">
        <v>0</v>
      </c>
      <c r="S604">
        <v>77.099999999999994</v>
      </c>
      <c r="T604">
        <v>77.680000000000007</v>
      </c>
      <c r="U604">
        <v>75.400000000000006</v>
      </c>
      <c r="V604">
        <v>77.95</v>
      </c>
      <c r="W604">
        <v>296848</v>
      </c>
      <c r="X604">
        <v>77.48</v>
      </c>
      <c r="Y604">
        <v>77.86</v>
      </c>
      <c r="Z604">
        <v>56</v>
      </c>
      <c r="AA604">
        <v>300000</v>
      </c>
      <c r="AB604">
        <v>1557.2</v>
      </c>
      <c r="AC604">
        <v>0</v>
      </c>
      <c r="AD604" t="s">
        <v>94</v>
      </c>
      <c r="AE604" t="s">
        <v>94</v>
      </c>
      <c r="AF604" t="s">
        <v>226</v>
      </c>
      <c r="AG604" t="s">
        <v>1494</v>
      </c>
      <c r="AH604">
        <v>6</v>
      </c>
      <c r="AI604" t="s">
        <v>3104</v>
      </c>
      <c r="AJ604" t="s">
        <v>3105</v>
      </c>
      <c r="AK604" t="s">
        <v>2416</v>
      </c>
      <c r="AL604" t="s">
        <v>272</v>
      </c>
    </row>
    <row r="605" spans="1:38">
      <c r="A605" t="s">
        <v>3218</v>
      </c>
      <c r="B605" t="s">
        <v>3219</v>
      </c>
      <c r="C605" t="s">
        <v>3220</v>
      </c>
      <c r="D605" t="s">
        <v>3220</v>
      </c>
      <c r="E605" t="s">
        <v>3221</v>
      </c>
      <c r="F605" t="s">
        <v>2413</v>
      </c>
      <c r="G605">
        <v>3</v>
      </c>
      <c r="H605">
        <v>1</v>
      </c>
      <c r="I605">
        <v>0.01</v>
      </c>
      <c r="J605">
        <v>1000</v>
      </c>
      <c r="K605">
        <v>-0.55000000000000004</v>
      </c>
      <c r="L605">
        <v>100.05</v>
      </c>
      <c r="M605">
        <v>100.6</v>
      </c>
      <c r="N605">
        <v>101.63</v>
      </c>
      <c r="O605">
        <v>100.05</v>
      </c>
      <c r="P605">
        <v>0</v>
      </c>
      <c r="Q605">
        <v>0</v>
      </c>
      <c r="R605">
        <v>0</v>
      </c>
      <c r="S605">
        <v>100.9</v>
      </c>
      <c r="T605">
        <v>103.46</v>
      </c>
      <c r="U605">
        <v>100.04</v>
      </c>
      <c r="V605">
        <v>103.46</v>
      </c>
      <c r="W605">
        <v>199776</v>
      </c>
      <c r="X605">
        <v>100.03</v>
      </c>
      <c r="Y605">
        <v>100.05</v>
      </c>
      <c r="Z605">
        <v>59</v>
      </c>
      <c r="AA605">
        <v>80000</v>
      </c>
      <c r="AB605">
        <v>10005</v>
      </c>
      <c r="AC605">
        <v>0</v>
      </c>
      <c r="AD605" t="s">
        <v>94</v>
      </c>
      <c r="AE605" t="s">
        <v>94</v>
      </c>
      <c r="AF605" t="s">
        <v>226</v>
      </c>
      <c r="AG605" t="s">
        <v>1494</v>
      </c>
      <c r="AH605">
        <v>6</v>
      </c>
      <c r="AI605" t="s">
        <v>3104</v>
      </c>
      <c r="AJ605" t="s">
        <v>3105</v>
      </c>
      <c r="AK605" t="s">
        <v>2416</v>
      </c>
      <c r="AL605" t="s">
        <v>272</v>
      </c>
    </row>
    <row r="606" spans="1:38">
      <c r="A606" t="s">
        <v>3222</v>
      </c>
      <c r="B606" t="s">
        <v>3223</v>
      </c>
      <c r="C606" t="s">
        <v>3224</v>
      </c>
      <c r="D606" t="s">
        <v>3224</v>
      </c>
      <c r="E606" t="s">
        <v>3225</v>
      </c>
      <c r="F606" t="s">
        <v>2413</v>
      </c>
      <c r="G606">
        <v>3</v>
      </c>
      <c r="H606">
        <v>1</v>
      </c>
      <c r="I606">
        <v>0.01</v>
      </c>
      <c r="J606">
        <v>1000</v>
      </c>
      <c r="K606">
        <v>1.37</v>
      </c>
      <c r="L606">
        <v>78.459999999999994</v>
      </c>
      <c r="M606">
        <v>77.489999999999995</v>
      </c>
      <c r="N606">
        <v>78.260000000000005</v>
      </c>
      <c r="O606">
        <v>78.459999999999994</v>
      </c>
      <c r="P606">
        <v>0</v>
      </c>
      <c r="Q606">
        <v>0</v>
      </c>
      <c r="R606">
        <v>0</v>
      </c>
      <c r="S606">
        <v>76.73</v>
      </c>
      <c r="T606">
        <v>78.14</v>
      </c>
      <c r="U606">
        <v>71</v>
      </c>
      <c r="V606">
        <v>78.459999999999994</v>
      </c>
      <c r="W606">
        <v>508736</v>
      </c>
      <c r="X606">
        <v>77.91</v>
      </c>
      <c r="Y606">
        <v>78.42</v>
      </c>
      <c r="Z606">
        <v>103</v>
      </c>
      <c r="AA606">
        <v>250000</v>
      </c>
      <c r="AB606">
        <v>784.6</v>
      </c>
      <c r="AC606">
        <v>0</v>
      </c>
      <c r="AD606" t="s">
        <v>94</v>
      </c>
      <c r="AE606" t="s">
        <v>94</v>
      </c>
      <c r="AF606" t="s">
        <v>304</v>
      </c>
      <c r="AG606" t="s">
        <v>1494</v>
      </c>
      <c r="AH606">
        <v>0</v>
      </c>
      <c r="AI606" t="s">
        <v>3104</v>
      </c>
      <c r="AJ606" t="s">
        <v>3105</v>
      </c>
      <c r="AK606" t="s">
        <v>2416</v>
      </c>
      <c r="AL606" t="s">
        <v>272</v>
      </c>
    </row>
    <row r="607" spans="1:38">
      <c r="A607" t="s">
        <v>3226</v>
      </c>
      <c r="B607" t="s">
        <v>3227</v>
      </c>
      <c r="C607" t="s">
        <v>3228</v>
      </c>
      <c r="D607" t="s">
        <v>3228</v>
      </c>
      <c r="E607" t="s">
        <v>3229</v>
      </c>
      <c r="F607" t="s">
        <v>2413</v>
      </c>
      <c r="G607">
        <v>3</v>
      </c>
      <c r="H607">
        <v>1</v>
      </c>
      <c r="I607">
        <v>0.01</v>
      </c>
      <c r="J607">
        <v>1000</v>
      </c>
      <c r="K607">
        <v>-0.5</v>
      </c>
      <c r="L607">
        <v>83.74</v>
      </c>
      <c r="M607">
        <v>84.04</v>
      </c>
      <c r="N607">
        <v>84.26</v>
      </c>
      <c r="O607">
        <v>83.7</v>
      </c>
      <c r="P607">
        <v>0</v>
      </c>
      <c r="Q607">
        <v>0</v>
      </c>
      <c r="R607">
        <v>0</v>
      </c>
      <c r="S607">
        <v>83.76</v>
      </c>
      <c r="T607">
        <v>84.49</v>
      </c>
      <c r="U607">
        <v>83.26</v>
      </c>
      <c r="V607">
        <v>84.49</v>
      </c>
      <c r="W607">
        <v>400394</v>
      </c>
      <c r="X607">
        <v>83.58</v>
      </c>
      <c r="Y607">
        <v>83.74</v>
      </c>
      <c r="Z607">
        <v>105</v>
      </c>
      <c r="AA607">
        <v>250000</v>
      </c>
      <c r="AB607">
        <v>2512.1999999999998</v>
      </c>
      <c r="AC607">
        <v>0</v>
      </c>
      <c r="AD607" t="s">
        <v>94</v>
      </c>
      <c r="AE607" t="s">
        <v>94</v>
      </c>
      <c r="AF607" t="s">
        <v>304</v>
      </c>
      <c r="AG607" t="s">
        <v>1494</v>
      </c>
      <c r="AH607">
        <v>0</v>
      </c>
      <c r="AI607" t="s">
        <v>3104</v>
      </c>
      <c r="AJ607" t="s">
        <v>3105</v>
      </c>
      <c r="AK607" t="s">
        <v>2416</v>
      </c>
      <c r="AL607" t="s">
        <v>272</v>
      </c>
    </row>
    <row r="608" spans="1:38">
      <c r="A608" t="s">
        <v>3230</v>
      </c>
      <c r="B608" t="s">
        <v>3231</v>
      </c>
      <c r="C608" t="s">
        <v>3232</v>
      </c>
      <c r="D608" t="s">
        <v>3232</v>
      </c>
      <c r="E608" t="s">
        <v>3233</v>
      </c>
      <c r="F608" t="s">
        <v>2413</v>
      </c>
      <c r="G608">
        <v>3</v>
      </c>
      <c r="H608">
        <v>1</v>
      </c>
      <c r="I608">
        <v>0.01</v>
      </c>
      <c r="J608">
        <v>1000</v>
      </c>
      <c r="K608">
        <v>-0.32</v>
      </c>
      <c r="L608">
        <v>99.06</v>
      </c>
      <c r="M608">
        <v>99.38</v>
      </c>
      <c r="N608">
        <v>99.37</v>
      </c>
      <c r="O608">
        <v>99.23</v>
      </c>
      <c r="P608">
        <v>0</v>
      </c>
      <c r="Q608">
        <v>0</v>
      </c>
      <c r="R608">
        <v>0</v>
      </c>
      <c r="S608">
        <v>99.38</v>
      </c>
      <c r="T608">
        <v>99.38</v>
      </c>
      <c r="U608">
        <v>98.8</v>
      </c>
      <c r="V608">
        <v>99.6</v>
      </c>
      <c r="W608">
        <v>1346565</v>
      </c>
      <c r="X608">
        <v>99.14</v>
      </c>
      <c r="Y608">
        <v>99.54</v>
      </c>
      <c r="Z608">
        <v>106</v>
      </c>
      <c r="AA608">
        <v>350000</v>
      </c>
      <c r="AB608">
        <v>990.6</v>
      </c>
      <c r="AC608">
        <v>0</v>
      </c>
      <c r="AD608" t="s">
        <v>94</v>
      </c>
      <c r="AE608" t="s">
        <v>94</v>
      </c>
      <c r="AF608" t="s">
        <v>226</v>
      </c>
      <c r="AG608" t="s">
        <v>1494</v>
      </c>
      <c r="AH608">
        <v>6</v>
      </c>
      <c r="AI608" t="s">
        <v>3104</v>
      </c>
      <c r="AJ608" t="s">
        <v>3105</v>
      </c>
      <c r="AK608" t="s">
        <v>2416</v>
      </c>
      <c r="AL608" t="s">
        <v>272</v>
      </c>
    </row>
    <row r="609" spans="1:38">
      <c r="A609" t="s">
        <v>3234</v>
      </c>
      <c r="B609" t="s">
        <v>3235</v>
      </c>
      <c r="C609" t="s">
        <v>3236</v>
      </c>
      <c r="D609" t="s">
        <v>3236</v>
      </c>
      <c r="E609" t="s">
        <v>3237</v>
      </c>
      <c r="F609" t="s">
        <v>2413</v>
      </c>
      <c r="G609">
        <v>3</v>
      </c>
      <c r="H609">
        <v>1</v>
      </c>
      <c r="I609">
        <v>0.01</v>
      </c>
      <c r="J609">
        <v>1000</v>
      </c>
      <c r="K609">
        <v>0</v>
      </c>
      <c r="L609">
        <v>0</v>
      </c>
      <c r="M609">
        <v>100.21</v>
      </c>
      <c r="N609">
        <v>99.89</v>
      </c>
      <c r="O609">
        <v>100.21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99.96</v>
      </c>
      <c r="Y609">
        <v>99.99</v>
      </c>
      <c r="Z609">
        <v>0</v>
      </c>
      <c r="AA609">
        <v>8500000</v>
      </c>
      <c r="AB609">
        <v>0</v>
      </c>
      <c r="AC609">
        <v>0</v>
      </c>
      <c r="AD609" t="s">
        <v>94</v>
      </c>
      <c r="AE609" t="s">
        <v>94</v>
      </c>
      <c r="AF609" t="s">
        <v>226</v>
      </c>
      <c r="AG609" t="s">
        <v>1494</v>
      </c>
      <c r="AH609">
        <v>800</v>
      </c>
      <c r="AI609" t="s">
        <v>3104</v>
      </c>
      <c r="AJ609" t="s">
        <v>3105</v>
      </c>
      <c r="AK609" t="s">
        <v>2416</v>
      </c>
      <c r="AL609" t="s">
        <v>272</v>
      </c>
    </row>
    <row r="610" spans="1:38">
      <c r="A610" t="s">
        <v>3238</v>
      </c>
      <c r="B610" t="s">
        <v>3239</v>
      </c>
      <c r="C610" t="s">
        <v>3240</v>
      </c>
      <c r="D610" t="s">
        <v>3240</v>
      </c>
      <c r="E610" t="s">
        <v>3241</v>
      </c>
      <c r="F610" t="s">
        <v>2413</v>
      </c>
      <c r="G610">
        <v>3</v>
      </c>
      <c r="H610">
        <v>1</v>
      </c>
      <c r="I610">
        <v>0.01</v>
      </c>
      <c r="J610">
        <v>1000</v>
      </c>
      <c r="K610">
        <v>-0.06</v>
      </c>
      <c r="L610">
        <v>84.33</v>
      </c>
      <c r="M610">
        <v>84.37</v>
      </c>
      <c r="N610">
        <v>84.18</v>
      </c>
      <c r="O610">
        <v>84.33</v>
      </c>
      <c r="P610">
        <v>0</v>
      </c>
      <c r="Q610">
        <v>0</v>
      </c>
      <c r="R610">
        <v>0</v>
      </c>
      <c r="S610">
        <v>84.29</v>
      </c>
      <c r="T610">
        <v>84.3</v>
      </c>
      <c r="U610">
        <v>84.14</v>
      </c>
      <c r="V610">
        <v>84.34</v>
      </c>
      <c r="W610">
        <v>8429</v>
      </c>
      <c r="X610">
        <v>84.22</v>
      </c>
      <c r="Y610">
        <v>84.37</v>
      </c>
      <c r="Z610">
        <v>9</v>
      </c>
      <c r="AA610">
        <v>300000</v>
      </c>
      <c r="AB610">
        <v>843.3</v>
      </c>
      <c r="AC610">
        <v>0</v>
      </c>
      <c r="AD610" t="s">
        <v>94</v>
      </c>
      <c r="AE610" t="s">
        <v>94</v>
      </c>
      <c r="AF610" t="s">
        <v>226</v>
      </c>
      <c r="AG610" t="s">
        <v>1494</v>
      </c>
      <c r="AH610">
        <v>6</v>
      </c>
      <c r="AI610" t="s">
        <v>3104</v>
      </c>
      <c r="AJ610" t="s">
        <v>3105</v>
      </c>
      <c r="AK610" t="s">
        <v>2416</v>
      </c>
      <c r="AL610" t="s">
        <v>272</v>
      </c>
    </row>
    <row r="611" spans="1:38">
      <c r="A611" t="s">
        <v>3242</v>
      </c>
      <c r="B611" t="s">
        <v>3243</v>
      </c>
      <c r="C611" t="s">
        <v>3244</v>
      </c>
      <c r="D611" t="s">
        <v>3244</v>
      </c>
      <c r="E611" t="s">
        <v>3245</v>
      </c>
      <c r="F611" t="s">
        <v>2425</v>
      </c>
      <c r="G611">
        <v>3</v>
      </c>
      <c r="H611">
        <v>1</v>
      </c>
      <c r="I611">
        <v>0.01</v>
      </c>
      <c r="J611">
        <v>600</v>
      </c>
      <c r="K611">
        <v>-0.57999999999999996</v>
      </c>
      <c r="L611">
        <v>95.2</v>
      </c>
      <c r="M611">
        <v>95.56</v>
      </c>
      <c r="N611">
        <v>95.42</v>
      </c>
      <c r="O611">
        <v>95.2</v>
      </c>
      <c r="P611">
        <v>0</v>
      </c>
      <c r="Q611">
        <v>0</v>
      </c>
      <c r="R611">
        <v>0</v>
      </c>
      <c r="S611">
        <v>95.01</v>
      </c>
      <c r="T611">
        <v>95.99</v>
      </c>
      <c r="U611">
        <v>94.29</v>
      </c>
      <c r="V611">
        <v>95.99</v>
      </c>
      <c r="W611">
        <v>170446</v>
      </c>
      <c r="X611">
        <v>94.45</v>
      </c>
      <c r="Y611">
        <v>95.2</v>
      </c>
      <c r="Z611">
        <v>20</v>
      </c>
      <c r="AA611">
        <v>274622</v>
      </c>
      <c r="AB611">
        <v>571.20000000000005</v>
      </c>
      <c r="AC611">
        <v>0</v>
      </c>
      <c r="AD611" t="s">
        <v>94</v>
      </c>
      <c r="AE611" t="s">
        <v>94</v>
      </c>
      <c r="AF611" t="s">
        <v>304</v>
      </c>
      <c r="AG611" t="s">
        <v>1494</v>
      </c>
      <c r="AH611">
        <v>0</v>
      </c>
      <c r="AI611" t="s">
        <v>3104</v>
      </c>
      <c r="AJ611" t="s">
        <v>3105</v>
      </c>
      <c r="AK611" t="s">
        <v>2426</v>
      </c>
      <c r="AL611" t="s">
        <v>272</v>
      </c>
    </row>
    <row r="612" spans="1:38">
      <c r="A612" t="s">
        <v>3246</v>
      </c>
      <c r="B612" t="s">
        <v>3247</v>
      </c>
      <c r="C612" t="s">
        <v>3248</v>
      </c>
      <c r="D612" t="s">
        <v>3248</v>
      </c>
      <c r="E612" t="s">
        <v>3249</v>
      </c>
      <c r="F612" t="s">
        <v>2413</v>
      </c>
      <c r="G612">
        <v>3</v>
      </c>
      <c r="H612">
        <v>1</v>
      </c>
      <c r="I612">
        <v>0.01</v>
      </c>
      <c r="J612">
        <v>1000</v>
      </c>
      <c r="K612">
        <v>0.37</v>
      </c>
      <c r="L612">
        <v>97.6</v>
      </c>
      <c r="M612">
        <v>97.24</v>
      </c>
      <c r="N612">
        <v>96.6</v>
      </c>
      <c r="O612">
        <v>97.6</v>
      </c>
      <c r="P612">
        <v>0</v>
      </c>
      <c r="Q612">
        <v>0</v>
      </c>
      <c r="R612">
        <v>0</v>
      </c>
      <c r="S612">
        <v>97.8</v>
      </c>
      <c r="T612">
        <v>97.28</v>
      </c>
      <c r="U612">
        <v>96.7</v>
      </c>
      <c r="V612">
        <v>98.28</v>
      </c>
      <c r="W612">
        <v>1927656</v>
      </c>
      <c r="X612">
        <v>97.3</v>
      </c>
      <c r="Y612">
        <v>97.57</v>
      </c>
      <c r="Z612">
        <v>106</v>
      </c>
      <c r="AA612">
        <v>500000</v>
      </c>
      <c r="AB612">
        <v>1952</v>
      </c>
      <c r="AC612">
        <v>0</v>
      </c>
      <c r="AD612" t="s">
        <v>94</v>
      </c>
      <c r="AE612" t="s">
        <v>94</v>
      </c>
      <c r="AF612" t="s">
        <v>304</v>
      </c>
      <c r="AG612" t="s">
        <v>1494</v>
      </c>
      <c r="AH612">
        <v>0</v>
      </c>
      <c r="AI612" t="s">
        <v>3104</v>
      </c>
      <c r="AJ612" t="s">
        <v>3105</v>
      </c>
      <c r="AK612" t="s">
        <v>2416</v>
      </c>
      <c r="AL612" t="s">
        <v>272</v>
      </c>
    </row>
    <row r="613" spans="1:38">
      <c r="A613" t="s">
        <v>3250</v>
      </c>
      <c r="B613" t="s">
        <v>3251</v>
      </c>
      <c r="C613" t="s">
        <v>3252</v>
      </c>
      <c r="D613" t="s">
        <v>3252</v>
      </c>
      <c r="E613" t="s">
        <v>3253</v>
      </c>
      <c r="F613" t="s">
        <v>2413</v>
      </c>
      <c r="G613">
        <v>3</v>
      </c>
      <c r="H613">
        <v>1</v>
      </c>
      <c r="I613">
        <v>0.01</v>
      </c>
      <c r="J613">
        <v>700</v>
      </c>
      <c r="K613">
        <v>-0.43</v>
      </c>
      <c r="L613">
        <v>97.53</v>
      </c>
      <c r="M613">
        <v>97.95</v>
      </c>
      <c r="N613">
        <v>93.92</v>
      </c>
      <c r="O613">
        <v>97.53</v>
      </c>
      <c r="P613">
        <v>0</v>
      </c>
      <c r="Q613">
        <v>0</v>
      </c>
      <c r="R613">
        <v>0</v>
      </c>
      <c r="S613">
        <v>95.22</v>
      </c>
      <c r="T613">
        <v>97.94</v>
      </c>
      <c r="U613">
        <v>94.73</v>
      </c>
      <c r="V613">
        <v>97.94</v>
      </c>
      <c r="W613">
        <v>11998</v>
      </c>
      <c r="X613">
        <v>94.76</v>
      </c>
      <c r="Y613">
        <v>97.53</v>
      </c>
      <c r="Z613">
        <v>4</v>
      </c>
      <c r="AA613">
        <v>50000</v>
      </c>
      <c r="AB613">
        <v>1365.42</v>
      </c>
      <c r="AC613">
        <v>0</v>
      </c>
      <c r="AD613" t="s">
        <v>94</v>
      </c>
      <c r="AE613" t="s">
        <v>94</v>
      </c>
      <c r="AF613" t="s">
        <v>226</v>
      </c>
      <c r="AG613" t="s">
        <v>1494</v>
      </c>
      <c r="AH613">
        <v>6</v>
      </c>
      <c r="AI613" t="s">
        <v>3104</v>
      </c>
      <c r="AJ613" t="s">
        <v>3105</v>
      </c>
      <c r="AK613" t="s">
        <v>2416</v>
      </c>
      <c r="AL613" t="s">
        <v>272</v>
      </c>
    </row>
    <row r="614" spans="1:38">
      <c r="A614" t="s">
        <v>3254</v>
      </c>
      <c r="B614" t="s">
        <v>3255</v>
      </c>
      <c r="C614" t="s">
        <v>3256</v>
      </c>
      <c r="D614" t="s">
        <v>3256</v>
      </c>
      <c r="E614" t="s">
        <v>3257</v>
      </c>
      <c r="F614" t="s">
        <v>2413</v>
      </c>
      <c r="G614">
        <v>3</v>
      </c>
      <c r="H614">
        <v>1</v>
      </c>
      <c r="I614">
        <v>0.01</v>
      </c>
      <c r="J614">
        <v>1000</v>
      </c>
      <c r="K614">
        <v>2.63</v>
      </c>
      <c r="L614">
        <v>38.69</v>
      </c>
      <c r="M614">
        <v>37.700000000000003</v>
      </c>
      <c r="N614">
        <v>36.54</v>
      </c>
      <c r="O614">
        <v>38.69</v>
      </c>
      <c r="P614">
        <v>0</v>
      </c>
      <c r="Q614">
        <v>0</v>
      </c>
      <c r="R614">
        <v>0</v>
      </c>
      <c r="S614">
        <v>38.6</v>
      </c>
      <c r="T614">
        <v>38.299999999999997</v>
      </c>
      <c r="U614">
        <v>37.97</v>
      </c>
      <c r="V614">
        <v>38.69</v>
      </c>
      <c r="W614">
        <v>23933</v>
      </c>
      <c r="X614">
        <v>37.770000000000003</v>
      </c>
      <c r="Y614">
        <v>38.69</v>
      </c>
      <c r="Z614">
        <v>13</v>
      </c>
      <c r="AA614">
        <v>70000</v>
      </c>
      <c r="AB614">
        <v>773.8</v>
      </c>
      <c r="AC614">
        <v>0</v>
      </c>
      <c r="AD614" t="s">
        <v>94</v>
      </c>
      <c r="AE614" t="s">
        <v>94</v>
      </c>
      <c r="AF614" t="s">
        <v>226</v>
      </c>
      <c r="AG614" t="s">
        <v>1494</v>
      </c>
      <c r="AH614">
        <v>6</v>
      </c>
      <c r="AI614" t="s">
        <v>3104</v>
      </c>
      <c r="AJ614" t="s">
        <v>3105</v>
      </c>
      <c r="AK614" t="s">
        <v>2416</v>
      </c>
      <c r="AL614" t="s">
        <v>272</v>
      </c>
    </row>
    <row r="615" spans="1:38">
      <c r="A615" t="s">
        <v>3258</v>
      </c>
      <c r="B615" t="s">
        <v>3259</v>
      </c>
      <c r="C615" t="s">
        <v>3260</v>
      </c>
      <c r="D615" t="s">
        <v>3260</v>
      </c>
      <c r="E615" t="s">
        <v>3261</v>
      </c>
      <c r="F615" t="s">
        <v>2425</v>
      </c>
      <c r="G615">
        <v>3</v>
      </c>
      <c r="H615">
        <v>1</v>
      </c>
      <c r="I615">
        <v>0.01</v>
      </c>
      <c r="J615">
        <v>500</v>
      </c>
      <c r="K615">
        <v>0.25</v>
      </c>
      <c r="L615">
        <v>99.6</v>
      </c>
      <c r="M615">
        <v>99.43</v>
      </c>
      <c r="N615">
        <v>99.5</v>
      </c>
      <c r="O615">
        <v>99.6</v>
      </c>
      <c r="P615">
        <v>0</v>
      </c>
      <c r="Q615">
        <v>0</v>
      </c>
      <c r="R615">
        <v>0</v>
      </c>
      <c r="S615">
        <v>99.52</v>
      </c>
      <c r="T615">
        <v>99.4</v>
      </c>
      <c r="U615">
        <v>99.4</v>
      </c>
      <c r="V615">
        <v>99.6</v>
      </c>
      <c r="W615">
        <v>131867</v>
      </c>
      <c r="X615">
        <v>99.51</v>
      </c>
      <c r="Y615">
        <v>99.63</v>
      </c>
      <c r="Z615">
        <v>35</v>
      </c>
      <c r="AA615">
        <v>300000</v>
      </c>
      <c r="AB615">
        <v>2490</v>
      </c>
      <c r="AC615">
        <v>0</v>
      </c>
      <c r="AD615" t="s">
        <v>94</v>
      </c>
      <c r="AE615" t="s">
        <v>94</v>
      </c>
      <c r="AF615" t="s">
        <v>304</v>
      </c>
      <c r="AG615" t="s">
        <v>1494</v>
      </c>
      <c r="AH615">
        <v>0</v>
      </c>
      <c r="AI615" t="s">
        <v>3104</v>
      </c>
      <c r="AJ615" t="s">
        <v>3105</v>
      </c>
      <c r="AK615" t="s">
        <v>2426</v>
      </c>
      <c r="AL615" t="s">
        <v>272</v>
      </c>
    </row>
    <row r="616" spans="1:38">
      <c r="A616" t="s">
        <v>3262</v>
      </c>
      <c r="B616" t="s">
        <v>3263</v>
      </c>
      <c r="C616" t="s">
        <v>3264</v>
      </c>
      <c r="D616" t="s">
        <v>3264</v>
      </c>
      <c r="E616" t="s">
        <v>3265</v>
      </c>
      <c r="F616" t="s">
        <v>2413</v>
      </c>
      <c r="G616">
        <v>3</v>
      </c>
      <c r="H616">
        <v>1</v>
      </c>
      <c r="I616">
        <v>0.01</v>
      </c>
      <c r="J616">
        <v>600</v>
      </c>
      <c r="K616">
        <v>-0.32</v>
      </c>
      <c r="L616">
        <v>94.5</v>
      </c>
      <c r="M616">
        <v>94.8</v>
      </c>
      <c r="N616">
        <v>94.75</v>
      </c>
      <c r="O616">
        <v>94.5</v>
      </c>
      <c r="P616">
        <v>0</v>
      </c>
      <c r="Q616">
        <v>0</v>
      </c>
      <c r="R616">
        <v>0</v>
      </c>
      <c r="S616">
        <v>94.54</v>
      </c>
      <c r="T616">
        <v>95.2</v>
      </c>
      <c r="U616">
        <v>94.33</v>
      </c>
      <c r="V616">
        <v>96.21</v>
      </c>
      <c r="W616">
        <v>408973</v>
      </c>
      <c r="X616">
        <v>94.4</v>
      </c>
      <c r="Y616">
        <v>94.5</v>
      </c>
      <c r="Z616">
        <v>57</v>
      </c>
      <c r="AA616">
        <v>500000</v>
      </c>
      <c r="AB616">
        <v>567</v>
      </c>
      <c r="AC616">
        <v>0</v>
      </c>
      <c r="AD616" t="s">
        <v>94</v>
      </c>
      <c r="AE616" t="s">
        <v>94</v>
      </c>
      <c r="AF616" t="s">
        <v>304</v>
      </c>
      <c r="AG616" t="s">
        <v>1494</v>
      </c>
      <c r="AH616">
        <v>0</v>
      </c>
      <c r="AI616" t="s">
        <v>3104</v>
      </c>
      <c r="AJ616" t="s">
        <v>3105</v>
      </c>
      <c r="AK616" t="s">
        <v>2416</v>
      </c>
      <c r="AL616" t="s">
        <v>272</v>
      </c>
    </row>
    <row r="617" spans="1:38">
      <c r="A617" t="s">
        <v>3266</v>
      </c>
      <c r="B617" t="s">
        <v>3267</v>
      </c>
      <c r="C617" t="s">
        <v>3268</v>
      </c>
      <c r="D617" t="s">
        <v>3268</v>
      </c>
      <c r="E617" t="s">
        <v>3269</v>
      </c>
      <c r="F617" t="s">
        <v>2413</v>
      </c>
      <c r="G617">
        <v>3</v>
      </c>
      <c r="H617">
        <v>1</v>
      </c>
      <c r="I617">
        <v>0.01</v>
      </c>
      <c r="J617">
        <v>700</v>
      </c>
      <c r="K617">
        <v>-1.06</v>
      </c>
      <c r="L617">
        <v>82.12</v>
      </c>
      <c r="M617">
        <v>83.01</v>
      </c>
      <c r="N617">
        <v>83.25</v>
      </c>
      <c r="O617">
        <v>82.07</v>
      </c>
      <c r="P617">
        <v>0</v>
      </c>
      <c r="Q617">
        <v>0</v>
      </c>
      <c r="R617">
        <v>0</v>
      </c>
      <c r="S617">
        <v>82.02</v>
      </c>
      <c r="T617">
        <v>83.23</v>
      </c>
      <c r="U617">
        <v>81.400000000000006</v>
      </c>
      <c r="V617">
        <v>83.48</v>
      </c>
      <c r="W617">
        <v>781781</v>
      </c>
      <c r="X617">
        <v>81.59</v>
      </c>
      <c r="Y617">
        <v>82.12</v>
      </c>
      <c r="Z617">
        <v>100</v>
      </c>
      <c r="AA617">
        <v>800000</v>
      </c>
      <c r="AB617">
        <v>1149.68</v>
      </c>
      <c r="AC617">
        <v>0</v>
      </c>
      <c r="AD617" t="s">
        <v>94</v>
      </c>
      <c r="AE617" t="s">
        <v>94</v>
      </c>
      <c r="AF617" t="s">
        <v>304</v>
      </c>
      <c r="AG617" t="s">
        <v>1494</v>
      </c>
      <c r="AH617">
        <v>0</v>
      </c>
      <c r="AI617" t="s">
        <v>3104</v>
      </c>
      <c r="AJ617" t="s">
        <v>3105</v>
      </c>
      <c r="AK617" t="s">
        <v>2416</v>
      </c>
      <c r="AL617" t="s">
        <v>272</v>
      </c>
    </row>
    <row r="618" spans="1:38">
      <c r="A618" t="s">
        <v>3270</v>
      </c>
      <c r="B618" t="s">
        <v>3271</v>
      </c>
      <c r="C618" t="s">
        <v>3272</v>
      </c>
      <c r="D618" t="s">
        <v>3272</v>
      </c>
      <c r="E618" t="s">
        <v>3273</v>
      </c>
      <c r="F618" t="s">
        <v>2413</v>
      </c>
      <c r="G618">
        <v>3</v>
      </c>
      <c r="H618">
        <v>1</v>
      </c>
      <c r="I618">
        <v>0.01</v>
      </c>
      <c r="J618">
        <v>800</v>
      </c>
      <c r="K618">
        <v>-0.05</v>
      </c>
      <c r="L618">
        <v>77.62</v>
      </c>
      <c r="M618">
        <v>77.66</v>
      </c>
      <c r="N618">
        <v>77.540000000000006</v>
      </c>
      <c r="O618">
        <v>77.569999999999993</v>
      </c>
      <c r="P618">
        <v>0</v>
      </c>
      <c r="Q618">
        <v>0</v>
      </c>
      <c r="R618">
        <v>0</v>
      </c>
      <c r="S618">
        <v>77.739999999999995</v>
      </c>
      <c r="T618">
        <v>77.260000000000005</v>
      </c>
      <c r="U618">
        <v>77.239999999999995</v>
      </c>
      <c r="V618">
        <v>77.900000000000006</v>
      </c>
      <c r="W618">
        <v>1472096</v>
      </c>
      <c r="X618">
        <v>77.540000000000006</v>
      </c>
      <c r="Y618">
        <v>77.62</v>
      </c>
      <c r="Z618">
        <v>121</v>
      </c>
      <c r="AA618">
        <v>500000</v>
      </c>
      <c r="AB618">
        <v>620.96</v>
      </c>
      <c r="AC618">
        <v>0</v>
      </c>
      <c r="AD618" t="s">
        <v>94</v>
      </c>
      <c r="AE618" t="s">
        <v>94</v>
      </c>
      <c r="AF618" t="s">
        <v>304</v>
      </c>
      <c r="AG618" t="s">
        <v>1494</v>
      </c>
      <c r="AH618">
        <v>0</v>
      </c>
      <c r="AI618" t="s">
        <v>3104</v>
      </c>
      <c r="AJ618" t="s">
        <v>3105</v>
      </c>
      <c r="AK618" t="s">
        <v>2416</v>
      </c>
      <c r="AL618" t="s">
        <v>272</v>
      </c>
    </row>
    <row r="619" spans="1:38">
      <c r="A619" t="s">
        <v>3274</v>
      </c>
      <c r="B619" t="s">
        <v>3275</v>
      </c>
      <c r="C619" t="s">
        <v>3276</v>
      </c>
      <c r="D619" t="s">
        <v>3276</v>
      </c>
      <c r="E619" t="s">
        <v>3277</v>
      </c>
      <c r="F619" t="s">
        <v>2413</v>
      </c>
      <c r="G619">
        <v>3</v>
      </c>
      <c r="H619">
        <v>1</v>
      </c>
      <c r="I619">
        <v>0.01</v>
      </c>
      <c r="J619">
        <v>700</v>
      </c>
      <c r="K619">
        <v>-0.6</v>
      </c>
      <c r="L619">
        <v>91.3</v>
      </c>
      <c r="M619">
        <v>91.5</v>
      </c>
      <c r="N619">
        <v>91.52</v>
      </c>
      <c r="O619">
        <v>91.3</v>
      </c>
      <c r="P619">
        <v>0</v>
      </c>
      <c r="Q619">
        <v>0</v>
      </c>
      <c r="R619">
        <v>0</v>
      </c>
      <c r="S619">
        <v>91.53</v>
      </c>
      <c r="T619">
        <v>91.95</v>
      </c>
      <c r="U619">
        <v>90.66</v>
      </c>
      <c r="V619">
        <v>92.5</v>
      </c>
      <c r="W619">
        <v>447880</v>
      </c>
      <c r="X619">
        <v>91.03</v>
      </c>
      <c r="Y619">
        <v>91.28</v>
      </c>
      <c r="Z619">
        <v>131</v>
      </c>
      <c r="AA619">
        <v>200000</v>
      </c>
      <c r="AB619">
        <v>639.1</v>
      </c>
      <c r="AC619">
        <v>0</v>
      </c>
      <c r="AD619" t="s">
        <v>94</v>
      </c>
      <c r="AE619" t="s">
        <v>94</v>
      </c>
      <c r="AF619" t="s">
        <v>226</v>
      </c>
      <c r="AG619" t="s">
        <v>1494</v>
      </c>
      <c r="AH619">
        <v>6</v>
      </c>
      <c r="AI619" t="s">
        <v>3104</v>
      </c>
      <c r="AJ619" t="s">
        <v>3105</v>
      </c>
      <c r="AK619" t="s">
        <v>2416</v>
      </c>
      <c r="AL619" t="s">
        <v>272</v>
      </c>
    </row>
    <row r="620" spans="1:38">
      <c r="A620" t="s">
        <v>3278</v>
      </c>
      <c r="B620" t="s">
        <v>3279</v>
      </c>
      <c r="C620" t="s">
        <v>3280</v>
      </c>
      <c r="D620" t="s">
        <v>3280</v>
      </c>
      <c r="E620" t="s">
        <v>3281</v>
      </c>
      <c r="F620" t="s">
        <v>2413</v>
      </c>
      <c r="G620">
        <v>3</v>
      </c>
      <c r="H620">
        <v>1</v>
      </c>
      <c r="I620">
        <v>0.01</v>
      </c>
      <c r="J620">
        <v>1000</v>
      </c>
      <c r="K620">
        <v>-0.24</v>
      </c>
      <c r="L620">
        <v>79</v>
      </c>
      <c r="M620">
        <v>79.38</v>
      </c>
      <c r="N620">
        <v>79.95</v>
      </c>
      <c r="O620">
        <v>79.150000000000006</v>
      </c>
      <c r="P620">
        <v>0</v>
      </c>
      <c r="Q620">
        <v>0</v>
      </c>
      <c r="R620">
        <v>0</v>
      </c>
      <c r="S620">
        <v>79.52</v>
      </c>
      <c r="T620">
        <v>81.47</v>
      </c>
      <c r="U620">
        <v>79</v>
      </c>
      <c r="V620">
        <v>81.47</v>
      </c>
      <c r="W620">
        <v>192448</v>
      </c>
      <c r="X620">
        <v>79</v>
      </c>
      <c r="Y620">
        <v>79.94</v>
      </c>
      <c r="Z620">
        <v>48</v>
      </c>
      <c r="AA620">
        <v>200000</v>
      </c>
      <c r="AB620">
        <v>3160</v>
      </c>
      <c r="AC620">
        <v>0</v>
      </c>
      <c r="AD620" t="s">
        <v>94</v>
      </c>
      <c r="AE620" t="s">
        <v>94</v>
      </c>
      <c r="AF620" t="s">
        <v>226</v>
      </c>
      <c r="AG620" t="s">
        <v>1494</v>
      </c>
      <c r="AH620">
        <v>6</v>
      </c>
      <c r="AI620" t="s">
        <v>3104</v>
      </c>
      <c r="AJ620" t="s">
        <v>3105</v>
      </c>
      <c r="AK620" t="s">
        <v>2416</v>
      </c>
      <c r="AL620" t="s">
        <v>272</v>
      </c>
    </row>
    <row r="621" spans="1:38">
      <c r="A621" t="s">
        <v>3282</v>
      </c>
      <c r="B621" t="s">
        <v>3283</v>
      </c>
      <c r="C621" t="s">
        <v>3284</v>
      </c>
      <c r="D621" t="s">
        <v>3284</v>
      </c>
      <c r="E621" t="s">
        <v>3285</v>
      </c>
      <c r="F621" t="s">
        <v>2413</v>
      </c>
      <c r="G621">
        <v>3</v>
      </c>
      <c r="H621">
        <v>1</v>
      </c>
      <c r="I621">
        <v>0.01</v>
      </c>
      <c r="J621">
        <v>1000</v>
      </c>
      <c r="K621">
        <v>-0.38</v>
      </c>
      <c r="L621">
        <v>78.2</v>
      </c>
      <c r="M621">
        <v>78.5</v>
      </c>
      <c r="N621">
        <v>78.63</v>
      </c>
      <c r="O621">
        <v>78.010000000000005</v>
      </c>
      <c r="P621">
        <v>0</v>
      </c>
      <c r="Q621">
        <v>0</v>
      </c>
      <c r="R621">
        <v>0</v>
      </c>
      <c r="S621">
        <v>77.680000000000007</v>
      </c>
      <c r="T621">
        <v>78.62</v>
      </c>
      <c r="U621">
        <v>74.150000000000006</v>
      </c>
      <c r="V621">
        <v>78.62</v>
      </c>
      <c r="W621">
        <v>1109210</v>
      </c>
      <c r="X621">
        <v>78.2</v>
      </c>
      <c r="Y621">
        <v>78.25</v>
      </c>
      <c r="Z621">
        <v>82</v>
      </c>
      <c r="AA621">
        <v>150000</v>
      </c>
      <c r="AB621">
        <v>3128</v>
      </c>
      <c r="AC621">
        <v>0</v>
      </c>
      <c r="AD621" t="s">
        <v>94</v>
      </c>
      <c r="AE621" t="s">
        <v>94</v>
      </c>
      <c r="AF621" t="s">
        <v>304</v>
      </c>
      <c r="AG621" t="s">
        <v>1494</v>
      </c>
      <c r="AH621">
        <v>0</v>
      </c>
      <c r="AI621" t="s">
        <v>3104</v>
      </c>
      <c r="AJ621" t="s">
        <v>3105</v>
      </c>
      <c r="AK621" t="s">
        <v>2416</v>
      </c>
      <c r="AL621" t="s">
        <v>272</v>
      </c>
    </row>
    <row r="622" spans="1:38">
      <c r="A622" t="s">
        <v>3286</v>
      </c>
      <c r="B622" t="s">
        <v>3287</v>
      </c>
      <c r="C622" t="s">
        <v>3288</v>
      </c>
      <c r="D622" t="s">
        <v>3288</v>
      </c>
      <c r="E622" t="s">
        <v>3289</v>
      </c>
      <c r="F622" t="s">
        <v>2413</v>
      </c>
      <c r="G622">
        <v>3</v>
      </c>
      <c r="H622">
        <v>1</v>
      </c>
      <c r="I622">
        <v>0.01</v>
      </c>
      <c r="J622">
        <v>1000</v>
      </c>
      <c r="K622">
        <v>-0.87</v>
      </c>
      <c r="L622">
        <v>78.5</v>
      </c>
      <c r="M622">
        <v>79.19</v>
      </c>
      <c r="N622">
        <v>78.63</v>
      </c>
      <c r="O622">
        <v>78.5</v>
      </c>
      <c r="P622">
        <v>0</v>
      </c>
      <c r="Q622">
        <v>0</v>
      </c>
      <c r="R622">
        <v>0</v>
      </c>
      <c r="S622">
        <v>78.56</v>
      </c>
      <c r="T622">
        <v>79.17</v>
      </c>
      <c r="U622">
        <v>78.5</v>
      </c>
      <c r="V622">
        <v>79.17</v>
      </c>
      <c r="W622">
        <v>76205</v>
      </c>
      <c r="X622">
        <v>78.52</v>
      </c>
      <c r="Y622">
        <v>78.67</v>
      </c>
      <c r="Z622">
        <v>12</v>
      </c>
      <c r="AA622">
        <v>150000</v>
      </c>
      <c r="AB622">
        <v>47885</v>
      </c>
      <c r="AC622">
        <v>0</v>
      </c>
      <c r="AD622" t="s">
        <v>94</v>
      </c>
      <c r="AE622" t="s">
        <v>94</v>
      </c>
      <c r="AF622" t="s">
        <v>304</v>
      </c>
      <c r="AG622" t="s">
        <v>1494</v>
      </c>
      <c r="AH622">
        <v>0</v>
      </c>
      <c r="AI622" t="s">
        <v>3104</v>
      </c>
      <c r="AJ622" t="s">
        <v>3105</v>
      </c>
      <c r="AK622" t="s">
        <v>2416</v>
      </c>
      <c r="AL622" t="s">
        <v>272</v>
      </c>
    </row>
    <row r="623" spans="1:38">
      <c r="A623" t="s">
        <v>3290</v>
      </c>
      <c r="B623" t="s">
        <v>3291</v>
      </c>
      <c r="C623" t="s">
        <v>3292</v>
      </c>
      <c r="D623" t="s">
        <v>3292</v>
      </c>
      <c r="E623" t="s">
        <v>3293</v>
      </c>
      <c r="F623" t="s">
        <v>2413</v>
      </c>
      <c r="G623">
        <v>3</v>
      </c>
      <c r="H623">
        <v>1</v>
      </c>
      <c r="I623">
        <v>0.01</v>
      </c>
      <c r="J623">
        <v>1000</v>
      </c>
      <c r="K623">
        <v>-0.16</v>
      </c>
      <c r="L623">
        <v>76.86</v>
      </c>
      <c r="M623">
        <v>76.98</v>
      </c>
      <c r="N623">
        <v>76.66</v>
      </c>
      <c r="O623">
        <v>76.86</v>
      </c>
      <c r="P623">
        <v>0</v>
      </c>
      <c r="Q623">
        <v>0</v>
      </c>
      <c r="R623">
        <v>0</v>
      </c>
      <c r="S623">
        <v>76.87</v>
      </c>
      <c r="T623">
        <v>76.989999999999995</v>
      </c>
      <c r="U623">
        <v>76.73</v>
      </c>
      <c r="V623">
        <v>77.09</v>
      </c>
      <c r="W623">
        <v>81480</v>
      </c>
      <c r="X623">
        <v>76.819999999999993</v>
      </c>
      <c r="Y623">
        <v>76.86</v>
      </c>
      <c r="Z623">
        <v>14</v>
      </c>
      <c r="AA623">
        <v>300000</v>
      </c>
      <c r="AB623">
        <v>6148.8</v>
      </c>
      <c r="AC623">
        <v>0</v>
      </c>
      <c r="AD623" t="s">
        <v>94</v>
      </c>
      <c r="AE623" t="s">
        <v>94</v>
      </c>
      <c r="AF623" t="s">
        <v>304</v>
      </c>
      <c r="AG623" t="s">
        <v>1494</v>
      </c>
      <c r="AH623">
        <v>0</v>
      </c>
      <c r="AI623" t="s">
        <v>3104</v>
      </c>
      <c r="AJ623" t="s">
        <v>3105</v>
      </c>
      <c r="AK623" t="s">
        <v>2416</v>
      </c>
      <c r="AL623" t="s">
        <v>272</v>
      </c>
    </row>
    <row r="624" spans="1:38">
      <c r="A624" t="s">
        <v>3294</v>
      </c>
      <c r="B624" t="s">
        <v>3295</v>
      </c>
      <c r="C624" t="s">
        <v>3296</v>
      </c>
      <c r="D624" t="s">
        <v>3296</v>
      </c>
      <c r="E624" t="s">
        <v>3297</v>
      </c>
      <c r="F624" t="s">
        <v>2413</v>
      </c>
      <c r="G624">
        <v>3</v>
      </c>
      <c r="H624">
        <v>1</v>
      </c>
      <c r="I624">
        <v>0.01</v>
      </c>
      <c r="J624">
        <v>1000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3000000</v>
      </c>
      <c r="AB624">
        <v>0</v>
      </c>
      <c r="AC624">
        <v>0</v>
      </c>
      <c r="AD624" t="s">
        <v>94</v>
      </c>
      <c r="AE624" t="s">
        <v>94</v>
      </c>
      <c r="AF624" t="s">
        <v>304</v>
      </c>
      <c r="AG624" t="s">
        <v>1494</v>
      </c>
      <c r="AH624">
        <v>0</v>
      </c>
      <c r="AI624" t="s">
        <v>3104</v>
      </c>
      <c r="AJ624" t="s">
        <v>3105</v>
      </c>
      <c r="AK624" t="s">
        <v>2416</v>
      </c>
      <c r="AL624" t="s">
        <v>272</v>
      </c>
    </row>
    <row r="625" spans="1:38">
      <c r="A625" t="s">
        <v>3298</v>
      </c>
      <c r="B625" t="s">
        <v>3299</v>
      </c>
      <c r="C625" t="s">
        <v>3300</v>
      </c>
      <c r="D625" t="s">
        <v>3300</v>
      </c>
      <c r="E625" t="s">
        <v>3301</v>
      </c>
      <c r="F625" t="s">
        <v>2413</v>
      </c>
      <c r="G625">
        <v>3</v>
      </c>
      <c r="H625">
        <v>1</v>
      </c>
      <c r="I625">
        <v>0.01</v>
      </c>
      <c r="J625">
        <v>800</v>
      </c>
      <c r="K625">
        <v>0.96</v>
      </c>
      <c r="L625">
        <v>90.36</v>
      </c>
      <c r="M625">
        <v>89.52</v>
      </c>
      <c r="N625">
        <v>87.9</v>
      </c>
      <c r="O625">
        <v>90.36</v>
      </c>
      <c r="P625">
        <v>0</v>
      </c>
      <c r="Q625">
        <v>0</v>
      </c>
      <c r="R625">
        <v>0</v>
      </c>
      <c r="S625">
        <v>90.47</v>
      </c>
      <c r="T625">
        <v>89.97</v>
      </c>
      <c r="U625">
        <v>89.97</v>
      </c>
      <c r="V625">
        <v>91.03</v>
      </c>
      <c r="W625">
        <v>172977</v>
      </c>
      <c r="X625">
        <v>90.36</v>
      </c>
      <c r="Y625">
        <v>90.83</v>
      </c>
      <c r="Z625">
        <v>22</v>
      </c>
      <c r="AA625">
        <v>200000</v>
      </c>
      <c r="AB625">
        <v>722.88</v>
      </c>
      <c r="AC625">
        <v>0</v>
      </c>
      <c r="AD625" t="s">
        <v>94</v>
      </c>
      <c r="AE625" t="s">
        <v>94</v>
      </c>
      <c r="AF625" t="s">
        <v>304</v>
      </c>
      <c r="AG625" t="s">
        <v>1494</v>
      </c>
      <c r="AH625">
        <v>0</v>
      </c>
      <c r="AI625" t="s">
        <v>3104</v>
      </c>
      <c r="AJ625" t="s">
        <v>3105</v>
      </c>
      <c r="AK625" t="s">
        <v>2416</v>
      </c>
      <c r="AL625" t="s">
        <v>272</v>
      </c>
    </row>
    <row r="626" spans="1:38">
      <c r="A626" t="s">
        <v>3302</v>
      </c>
      <c r="B626" t="s">
        <v>3303</v>
      </c>
      <c r="C626" t="s">
        <v>3304</v>
      </c>
      <c r="D626" t="s">
        <v>3304</v>
      </c>
      <c r="E626" t="s">
        <v>3305</v>
      </c>
      <c r="F626" t="s">
        <v>2413</v>
      </c>
      <c r="G626">
        <v>3</v>
      </c>
      <c r="H626">
        <v>1</v>
      </c>
      <c r="I626">
        <v>0.01</v>
      </c>
      <c r="J626">
        <v>840</v>
      </c>
      <c r="K626">
        <v>0.12</v>
      </c>
      <c r="L626">
        <v>95.48</v>
      </c>
      <c r="M626">
        <v>95.42</v>
      </c>
      <c r="N626">
        <v>95.3</v>
      </c>
      <c r="O626">
        <v>95.48</v>
      </c>
      <c r="P626">
        <v>0</v>
      </c>
      <c r="Q626">
        <v>0</v>
      </c>
      <c r="R626">
        <v>0</v>
      </c>
      <c r="S626">
        <v>95.07</v>
      </c>
      <c r="T626">
        <v>94.54</v>
      </c>
      <c r="U626">
        <v>94.54</v>
      </c>
      <c r="V626">
        <v>96.38</v>
      </c>
      <c r="W626">
        <v>371330</v>
      </c>
      <c r="X626">
        <v>95.06</v>
      </c>
      <c r="Y626">
        <v>95.5</v>
      </c>
      <c r="Z626">
        <v>33</v>
      </c>
      <c r="AA626">
        <v>200000</v>
      </c>
      <c r="AB626">
        <v>802.03</v>
      </c>
      <c r="AC626">
        <v>0</v>
      </c>
      <c r="AD626" t="s">
        <v>94</v>
      </c>
      <c r="AE626" t="s">
        <v>94</v>
      </c>
      <c r="AF626" t="s">
        <v>304</v>
      </c>
      <c r="AG626" t="s">
        <v>1494</v>
      </c>
      <c r="AH626">
        <v>0</v>
      </c>
      <c r="AI626" t="s">
        <v>3104</v>
      </c>
      <c r="AJ626" t="s">
        <v>3105</v>
      </c>
      <c r="AK626" t="s">
        <v>2416</v>
      </c>
      <c r="AL626" t="s">
        <v>272</v>
      </c>
    </row>
    <row r="627" spans="1:38">
      <c r="A627" t="s">
        <v>3306</v>
      </c>
      <c r="B627" t="s">
        <v>3307</v>
      </c>
      <c r="C627" t="s">
        <v>3308</v>
      </c>
      <c r="D627" t="s">
        <v>3308</v>
      </c>
      <c r="E627" t="s">
        <v>3309</v>
      </c>
      <c r="F627" t="s">
        <v>2413</v>
      </c>
      <c r="G627">
        <v>3</v>
      </c>
      <c r="H627">
        <v>1</v>
      </c>
      <c r="I627">
        <v>0.01</v>
      </c>
      <c r="J627">
        <v>1000</v>
      </c>
      <c r="K627">
        <v>0.17</v>
      </c>
      <c r="L627">
        <v>98.15</v>
      </c>
      <c r="M627">
        <v>97.96</v>
      </c>
      <c r="N627">
        <v>97.8</v>
      </c>
      <c r="O627">
        <v>98.14</v>
      </c>
      <c r="P627">
        <v>0</v>
      </c>
      <c r="Q627">
        <v>0</v>
      </c>
      <c r="R627">
        <v>0</v>
      </c>
      <c r="S627">
        <v>98</v>
      </c>
      <c r="T627">
        <v>97.95</v>
      </c>
      <c r="U627">
        <v>97.71</v>
      </c>
      <c r="V627">
        <v>98.15</v>
      </c>
      <c r="W627">
        <v>743841</v>
      </c>
      <c r="X627">
        <v>98.06</v>
      </c>
      <c r="Y627">
        <v>98.14</v>
      </c>
      <c r="Z627">
        <v>42</v>
      </c>
      <c r="AA627">
        <v>300000</v>
      </c>
      <c r="AB627">
        <v>4907.5</v>
      </c>
      <c r="AC627">
        <v>0</v>
      </c>
      <c r="AD627" t="s">
        <v>94</v>
      </c>
      <c r="AE627" t="s">
        <v>94</v>
      </c>
      <c r="AF627" t="s">
        <v>304</v>
      </c>
      <c r="AG627" t="s">
        <v>1494</v>
      </c>
      <c r="AH627">
        <v>0</v>
      </c>
      <c r="AI627" t="s">
        <v>3104</v>
      </c>
      <c r="AJ627" t="s">
        <v>3105</v>
      </c>
      <c r="AK627" t="s">
        <v>2416</v>
      </c>
      <c r="AL627" t="s">
        <v>272</v>
      </c>
    </row>
    <row r="628" spans="1:38">
      <c r="A628" t="s">
        <v>3310</v>
      </c>
      <c r="B628" t="s">
        <v>3311</v>
      </c>
      <c r="C628" t="s">
        <v>3312</v>
      </c>
      <c r="D628" t="s">
        <v>3312</v>
      </c>
      <c r="E628" t="s">
        <v>3313</v>
      </c>
      <c r="F628" t="s">
        <v>2413</v>
      </c>
      <c r="G628">
        <v>3</v>
      </c>
      <c r="H628">
        <v>1</v>
      </c>
      <c r="I628">
        <v>0.01</v>
      </c>
      <c r="J628">
        <v>1000</v>
      </c>
      <c r="K628">
        <v>-1.92</v>
      </c>
      <c r="L628">
        <v>75.06</v>
      </c>
      <c r="M628">
        <v>76.53</v>
      </c>
      <c r="N628">
        <v>75.61</v>
      </c>
      <c r="O628">
        <v>75.06</v>
      </c>
      <c r="P628">
        <v>0</v>
      </c>
      <c r="Q628">
        <v>0</v>
      </c>
      <c r="R628">
        <v>0</v>
      </c>
      <c r="S628">
        <v>75.47</v>
      </c>
      <c r="T628">
        <v>76.2</v>
      </c>
      <c r="U628">
        <v>74.739999999999995</v>
      </c>
      <c r="V628">
        <v>76.2</v>
      </c>
      <c r="W628">
        <v>193954</v>
      </c>
      <c r="X628">
        <v>75.099999999999994</v>
      </c>
      <c r="Y628">
        <v>75.260000000000005</v>
      </c>
      <c r="Z628">
        <v>77</v>
      </c>
      <c r="AA628">
        <v>500000</v>
      </c>
      <c r="AB628">
        <v>1501.2</v>
      </c>
      <c r="AC628">
        <v>0</v>
      </c>
      <c r="AD628" t="s">
        <v>94</v>
      </c>
      <c r="AE628" t="s">
        <v>94</v>
      </c>
      <c r="AF628" t="s">
        <v>226</v>
      </c>
      <c r="AG628" t="s">
        <v>1494</v>
      </c>
      <c r="AH628">
        <v>6</v>
      </c>
      <c r="AI628" t="s">
        <v>3104</v>
      </c>
      <c r="AJ628" t="s">
        <v>3105</v>
      </c>
      <c r="AK628" t="s">
        <v>2416</v>
      </c>
      <c r="AL628" t="s">
        <v>272</v>
      </c>
    </row>
    <row r="629" spans="1:38">
      <c r="A629" t="s">
        <v>3314</v>
      </c>
      <c r="B629" t="s">
        <v>3315</v>
      </c>
      <c r="C629" t="s">
        <v>3316</v>
      </c>
      <c r="D629" t="s">
        <v>3316</v>
      </c>
      <c r="E629" t="s">
        <v>3317</v>
      </c>
      <c r="F629" t="s">
        <v>2413</v>
      </c>
      <c r="G629">
        <v>3</v>
      </c>
      <c r="H629">
        <v>1</v>
      </c>
      <c r="I629">
        <v>0.01</v>
      </c>
      <c r="J629">
        <v>1000</v>
      </c>
      <c r="K629">
        <v>0.95</v>
      </c>
      <c r="L629">
        <v>95.56</v>
      </c>
      <c r="M629">
        <v>94.7</v>
      </c>
      <c r="N629">
        <v>95.2</v>
      </c>
      <c r="O629">
        <v>95.56</v>
      </c>
      <c r="P629">
        <v>0</v>
      </c>
      <c r="Q629">
        <v>0</v>
      </c>
      <c r="R629">
        <v>0</v>
      </c>
      <c r="S629">
        <v>95.48</v>
      </c>
      <c r="T629">
        <v>94.66</v>
      </c>
      <c r="U629">
        <v>94.6</v>
      </c>
      <c r="V629">
        <v>96.02</v>
      </c>
      <c r="W629">
        <v>73519</v>
      </c>
      <c r="X629">
        <v>95.17</v>
      </c>
      <c r="Y629">
        <v>95.54</v>
      </c>
      <c r="Z629">
        <v>30</v>
      </c>
      <c r="AA629">
        <v>100000</v>
      </c>
      <c r="AB629">
        <v>9556</v>
      </c>
      <c r="AC629">
        <v>0</v>
      </c>
      <c r="AD629" t="s">
        <v>94</v>
      </c>
      <c r="AE629" t="s">
        <v>94</v>
      </c>
      <c r="AF629" t="s">
        <v>226</v>
      </c>
      <c r="AG629" t="s">
        <v>1494</v>
      </c>
      <c r="AH629">
        <v>6</v>
      </c>
      <c r="AI629" t="s">
        <v>3104</v>
      </c>
      <c r="AJ629" t="s">
        <v>3105</v>
      </c>
      <c r="AK629" t="s">
        <v>2416</v>
      </c>
      <c r="AL629" t="s">
        <v>272</v>
      </c>
    </row>
    <row r="630" spans="1:38">
      <c r="A630" t="s">
        <v>3318</v>
      </c>
      <c r="B630" t="s">
        <v>3319</v>
      </c>
      <c r="C630" t="s">
        <v>3320</v>
      </c>
      <c r="D630" t="s">
        <v>3320</v>
      </c>
      <c r="E630" t="s">
        <v>3321</v>
      </c>
      <c r="F630" t="s">
        <v>2413</v>
      </c>
      <c r="G630">
        <v>3</v>
      </c>
      <c r="H630">
        <v>1</v>
      </c>
      <c r="I630">
        <v>0.01</v>
      </c>
      <c r="J630">
        <v>1000</v>
      </c>
      <c r="K630">
        <v>0.36</v>
      </c>
      <c r="L630">
        <v>88.93</v>
      </c>
      <c r="M630">
        <v>88.61</v>
      </c>
      <c r="N630">
        <v>88.56</v>
      </c>
      <c r="O630">
        <v>88.93</v>
      </c>
      <c r="P630">
        <v>0</v>
      </c>
      <c r="Q630">
        <v>0</v>
      </c>
      <c r="R630">
        <v>0</v>
      </c>
      <c r="S630">
        <v>88.6</v>
      </c>
      <c r="T630">
        <v>90.86</v>
      </c>
      <c r="U630">
        <v>88.4</v>
      </c>
      <c r="V630">
        <v>90.86</v>
      </c>
      <c r="W630">
        <v>197583</v>
      </c>
      <c r="X630">
        <v>88.66</v>
      </c>
      <c r="Y630">
        <v>88.93</v>
      </c>
      <c r="Z630">
        <v>70</v>
      </c>
      <c r="AA630">
        <v>250000</v>
      </c>
      <c r="AB630">
        <v>2667.9</v>
      </c>
      <c r="AC630">
        <v>0</v>
      </c>
      <c r="AD630" t="s">
        <v>94</v>
      </c>
      <c r="AE630" t="s">
        <v>94</v>
      </c>
      <c r="AF630" t="s">
        <v>226</v>
      </c>
      <c r="AG630" t="s">
        <v>1494</v>
      </c>
      <c r="AH630">
        <v>6</v>
      </c>
      <c r="AI630" t="s">
        <v>3104</v>
      </c>
      <c r="AJ630" t="s">
        <v>3105</v>
      </c>
      <c r="AK630" t="s">
        <v>2416</v>
      </c>
      <c r="AL630" t="s">
        <v>272</v>
      </c>
    </row>
    <row r="631" spans="1:38">
      <c r="A631" t="s">
        <v>3322</v>
      </c>
      <c r="B631" t="s">
        <v>3323</v>
      </c>
      <c r="C631" t="s">
        <v>3324</v>
      </c>
      <c r="D631" t="s">
        <v>3324</v>
      </c>
      <c r="E631" t="s">
        <v>3325</v>
      </c>
      <c r="F631" t="s">
        <v>2413</v>
      </c>
      <c r="G631">
        <v>3</v>
      </c>
      <c r="H631">
        <v>1</v>
      </c>
      <c r="I631">
        <v>0.01</v>
      </c>
      <c r="J631">
        <v>1000</v>
      </c>
      <c r="K631">
        <v>-1.42</v>
      </c>
      <c r="L631">
        <v>78.23</v>
      </c>
      <c r="M631">
        <v>79.34</v>
      </c>
      <c r="N631">
        <v>78.91</v>
      </c>
      <c r="O631">
        <v>78.23</v>
      </c>
      <c r="P631">
        <v>0</v>
      </c>
      <c r="Q631">
        <v>0</v>
      </c>
      <c r="R631">
        <v>0</v>
      </c>
      <c r="S631">
        <v>78.47</v>
      </c>
      <c r="T631">
        <v>79.36</v>
      </c>
      <c r="U631">
        <v>77.5</v>
      </c>
      <c r="V631">
        <v>79.56</v>
      </c>
      <c r="W631">
        <v>1214643</v>
      </c>
      <c r="X631">
        <v>78.2</v>
      </c>
      <c r="Y631">
        <v>78.23</v>
      </c>
      <c r="Z631">
        <v>217</v>
      </c>
      <c r="AA631">
        <v>1000000</v>
      </c>
      <c r="AB631">
        <v>3911.5</v>
      </c>
      <c r="AC631">
        <v>0</v>
      </c>
      <c r="AD631" t="s">
        <v>94</v>
      </c>
      <c r="AE631" t="s">
        <v>94</v>
      </c>
      <c r="AF631" t="s">
        <v>226</v>
      </c>
      <c r="AG631" t="s">
        <v>1494</v>
      </c>
      <c r="AH631">
        <v>6</v>
      </c>
      <c r="AI631" t="s">
        <v>3104</v>
      </c>
      <c r="AJ631" t="s">
        <v>3105</v>
      </c>
      <c r="AK631" t="s">
        <v>2416</v>
      </c>
      <c r="AL631" t="s">
        <v>272</v>
      </c>
    </row>
    <row r="632" spans="1:38">
      <c r="A632" t="s">
        <v>3326</v>
      </c>
      <c r="B632" t="s">
        <v>3327</v>
      </c>
      <c r="C632" t="s">
        <v>3328</v>
      </c>
      <c r="D632" t="s">
        <v>3328</v>
      </c>
      <c r="E632" t="s">
        <v>3329</v>
      </c>
      <c r="F632" t="s">
        <v>2413</v>
      </c>
      <c r="G632">
        <v>3</v>
      </c>
      <c r="H632">
        <v>1</v>
      </c>
      <c r="I632">
        <v>0.01</v>
      </c>
      <c r="J632">
        <v>10000</v>
      </c>
      <c r="K632">
        <v>-0.53</v>
      </c>
      <c r="L632">
        <v>91.86</v>
      </c>
      <c r="M632">
        <v>92.35</v>
      </c>
      <c r="N632">
        <v>93.28</v>
      </c>
      <c r="O632">
        <v>91.86</v>
      </c>
      <c r="P632">
        <v>0</v>
      </c>
      <c r="Q632">
        <v>0</v>
      </c>
      <c r="R632">
        <v>0</v>
      </c>
      <c r="S632">
        <v>91.75</v>
      </c>
      <c r="T632">
        <v>92.34</v>
      </c>
      <c r="U632">
        <v>91.5</v>
      </c>
      <c r="V632">
        <v>92.34</v>
      </c>
      <c r="W632">
        <v>348667</v>
      </c>
      <c r="X632">
        <v>91.51</v>
      </c>
      <c r="Y632">
        <v>92.03</v>
      </c>
      <c r="Z632">
        <v>17</v>
      </c>
      <c r="AA632">
        <v>12000</v>
      </c>
      <c r="AB632">
        <v>9186</v>
      </c>
      <c r="AC632">
        <v>0</v>
      </c>
      <c r="AD632" t="s">
        <v>94</v>
      </c>
      <c r="AE632" t="s">
        <v>94</v>
      </c>
      <c r="AF632" t="s">
        <v>226</v>
      </c>
      <c r="AG632" t="s">
        <v>1494</v>
      </c>
      <c r="AH632">
        <v>6</v>
      </c>
      <c r="AI632" t="s">
        <v>3104</v>
      </c>
      <c r="AJ632" t="s">
        <v>3105</v>
      </c>
      <c r="AK632" t="s">
        <v>2416</v>
      </c>
      <c r="AL632" t="s">
        <v>272</v>
      </c>
    </row>
    <row r="633" spans="1:38">
      <c r="A633" t="s">
        <v>3330</v>
      </c>
      <c r="B633" t="s">
        <v>3331</v>
      </c>
      <c r="C633" t="s">
        <v>3332</v>
      </c>
      <c r="D633" t="s">
        <v>3332</v>
      </c>
      <c r="E633" t="s">
        <v>3333</v>
      </c>
      <c r="F633" t="s">
        <v>2413</v>
      </c>
      <c r="G633">
        <v>3</v>
      </c>
      <c r="H633">
        <v>1</v>
      </c>
      <c r="I633">
        <v>0.01</v>
      </c>
      <c r="J633">
        <v>1000</v>
      </c>
      <c r="K633">
        <v>-0.28000000000000003</v>
      </c>
      <c r="L633">
        <v>63.76</v>
      </c>
      <c r="M633">
        <v>63.94</v>
      </c>
      <c r="N633">
        <v>63.45</v>
      </c>
      <c r="O633">
        <v>63.74</v>
      </c>
      <c r="P633">
        <v>0</v>
      </c>
      <c r="Q633">
        <v>0</v>
      </c>
      <c r="R633">
        <v>0</v>
      </c>
      <c r="S633">
        <v>63.44</v>
      </c>
      <c r="T633">
        <v>63.95</v>
      </c>
      <c r="U633">
        <v>62.52</v>
      </c>
      <c r="V633">
        <v>63.97</v>
      </c>
      <c r="W633">
        <v>331172</v>
      </c>
      <c r="X633">
        <v>63.46</v>
      </c>
      <c r="Y633">
        <v>63.75</v>
      </c>
      <c r="Z633">
        <v>115</v>
      </c>
      <c r="AA633">
        <v>250000</v>
      </c>
      <c r="AB633">
        <v>1275.2</v>
      </c>
      <c r="AC633">
        <v>0</v>
      </c>
      <c r="AD633" t="s">
        <v>94</v>
      </c>
      <c r="AE633" t="s">
        <v>94</v>
      </c>
      <c r="AF633" t="s">
        <v>226</v>
      </c>
      <c r="AG633" t="s">
        <v>1494</v>
      </c>
      <c r="AH633">
        <v>6</v>
      </c>
      <c r="AI633" t="s">
        <v>3104</v>
      </c>
      <c r="AJ633" t="s">
        <v>3105</v>
      </c>
      <c r="AK633" t="s">
        <v>2416</v>
      </c>
      <c r="AL633" t="s">
        <v>272</v>
      </c>
    </row>
    <row r="634" spans="1:38">
      <c r="A634" t="s">
        <v>3334</v>
      </c>
      <c r="B634" t="s">
        <v>3335</v>
      </c>
      <c r="C634" t="s">
        <v>3336</v>
      </c>
      <c r="D634" t="s">
        <v>3336</v>
      </c>
      <c r="E634" t="s">
        <v>3337</v>
      </c>
      <c r="F634" t="s">
        <v>2413</v>
      </c>
      <c r="G634">
        <v>3</v>
      </c>
      <c r="H634">
        <v>1</v>
      </c>
      <c r="I634">
        <v>0.01</v>
      </c>
      <c r="J634">
        <v>1000</v>
      </c>
      <c r="K634">
        <v>-2.11</v>
      </c>
      <c r="L634">
        <v>47.35</v>
      </c>
      <c r="M634">
        <v>48.37</v>
      </c>
      <c r="N634">
        <v>48.97</v>
      </c>
      <c r="O634">
        <v>47.35</v>
      </c>
      <c r="P634">
        <v>0</v>
      </c>
      <c r="Q634">
        <v>0</v>
      </c>
      <c r="R634">
        <v>0</v>
      </c>
      <c r="S634">
        <v>47.59</v>
      </c>
      <c r="T634">
        <v>48.2</v>
      </c>
      <c r="U634">
        <v>46.6</v>
      </c>
      <c r="V634">
        <v>48.2</v>
      </c>
      <c r="W634">
        <v>293629</v>
      </c>
      <c r="X634">
        <v>46.63</v>
      </c>
      <c r="Y634">
        <v>47.41</v>
      </c>
      <c r="Z634">
        <v>98</v>
      </c>
      <c r="AA634">
        <v>250000</v>
      </c>
      <c r="AB634">
        <v>473.5</v>
      </c>
      <c r="AC634">
        <v>0</v>
      </c>
      <c r="AD634" t="s">
        <v>94</v>
      </c>
      <c r="AE634" t="s">
        <v>94</v>
      </c>
      <c r="AF634" t="s">
        <v>226</v>
      </c>
      <c r="AG634" t="s">
        <v>1494</v>
      </c>
      <c r="AH634">
        <v>6</v>
      </c>
      <c r="AI634" t="s">
        <v>3104</v>
      </c>
      <c r="AJ634" t="s">
        <v>3105</v>
      </c>
      <c r="AK634" t="s">
        <v>2416</v>
      </c>
      <c r="AL634" t="s">
        <v>272</v>
      </c>
    </row>
    <row r="635" spans="1:38">
      <c r="A635" t="s">
        <v>3338</v>
      </c>
      <c r="B635" t="s">
        <v>3339</v>
      </c>
      <c r="C635" t="s">
        <v>3340</v>
      </c>
      <c r="D635" t="s">
        <v>3340</v>
      </c>
      <c r="E635" t="s">
        <v>3341</v>
      </c>
      <c r="F635" t="s">
        <v>2413</v>
      </c>
      <c r="G635">
        <v>3</v>
      </c>
      <c r="H635">
        <v>1</v>
      </c>
      <c r="I635">
        <v>0.01</v>
      </c>
      <c r="J635">
        <v>1000</v>
      </c>
      <c r="K635">
        <v>0.31</v>
      </c>
      <c r="L635">
        <v>45.54</v>
      </c>
      <c r="M635">
        <v>45.4</v>
      </c>
      <c r="N635">
        <v>45.03</v>
      </c>
      <c r="O635">
        <v>45.54</v>
      </c>
      <c r="P635">
        <v>0</v>
      </c>
      <c r="Q635">
        <v>0</v>
      </c>
      <c r="R635">
        <v>0</v>
      </c>
      <c r="S635">
        <v>45.72</v>
      </c>
      <c r="T635">
        <v>46.97</v>
      </c>
      <c r="U635">
        <v>45.42</v>
      </c>
      <c r="V635">
        <v>46.97</v>
      </c>
      <c r="W635">
        <v>147224</v>
      </c>
      <c r="X635">
        <v>45.52</v>
      </c>
      <c r="Y635">
        <v>45.54</v>
      </c>
      <c r="Z635">
        <v>75</v>
      </c>
      <c r="AA635">
        <v>500000</v>
      </c>
      <c r="AB635">
        <v>455.4</v>
      </c>
      <c r="AC635">
        <v>0</v>
      </c>
      <c r="AD635" t="s">
        <v>94</v>
      </c>
      <c r="AE635" t="s">
        <v>94</v>
      </c>
      <c r="AF635" t="s">
        <v>226</v>
      </c>
      <c r="AG635" t="s">
        <v>1494</v>
      </c>
      <c r="AH635">
        <v>6</v>
      </c>
      <c r="AI635" t="s">
        <v>3104</v>
      </c>
      <c r="AJ635" t="s">
        <v>3105</v>
      </c>
      <c r="AK635" t="s">
        <v>2416</v>
      </c>
      <c r="AL635" t="s">
        <v>272</v>
      </c>
    </row>
    <row r="636" spans="1:38">
      <c r="A636" t="s">
        <v>3342</v>
      </c>
      <c r="B636" t="s">
        <v>3343</v>
      </c>
      <c r="C636" t="s">
        <v>3344</v>
      </c>
      <c r="D636" t="s">
        <v>3344</v>
      </c>
      <c r="E636" t="s">
        <v>3345</v>
      </c>
      <c r="F636" t="s">
        <v>2413</v>
      </c>
      <c r="G636">
        <v>3</v>
      </c>
      <c r="H636">
        <v>1</v>
      </c>
      <c r="I636">
        <v>0.01</v>
      </c>
      <c r="J636">
        <v>1000</v>
      </c>
      <c r="K636">
        <v>0.09</v>
      </c>
      <c r="L636">
        <v>99.38</v>
      </c>
      <c r="M636">
        <v>99.3</v>
      </c>
      <c r="N636">
        <v>96.66</v>
      </c>
      <c r="O636">
        <v>99.38</v>
      </c>
      <c r="P636">
        <v>0</v>
      </c>
      <c r="Q636">
        <v>0</v>
      </c>
      <c r="R636">
        <v>0</v>
      </c>
      <c r="S636">
        <v>99.06</v>
      </c>
      <c r="T636">
        <v>98.52</v>
      </c>
      <c r="U636">
        <v>98.5</v>
      </c>
      <c r="V636">
        <v>99.38</v>
      </c>
      <c r="W636">
        <v>7924</v>
      </c>
      <c r="X636">
        <v>98.52</v>
      </c>
      <c r="Y636">
        <v>99.3</v>
      </c>
      <c r="Z636">
        <v>3</v>
      </c>
      <c r="AA636">
        <v>3000000</v>
      </c>
      <c r="AB636">
        <v>4969</v>
      </c>
      <c r="AC636">
        <v>0</v>
      </c>
      <c r="AD636" t="s">
        <v>94</v>
      </c>
      <c r="AE636" t="s">
        <v>94</v>
      </c>
      <c r="AF636" t="s">
        <v>226</v>
      </c>
      <c r="AG636" t="s">
        <v>1494</v>
      </c>
      <c r="AH636">
        <v>6</v>
      </c>
      <c r="AI636" t="s">
        <v>3104</v>
      </c>
      <c r="AJ636" t="s">
        <v>3105</v>
      </c>
      <c r="AK636" t="s">
        <v>2416</v>
      </c>
      <c r="AL636" t="s">
        <v>272</v>
      </c>
    </row>
    <row r="637" spans="1:38">
      <c r="A637" t="s">
        <v>3346</v>
      </c>
      <c r="B637" t="s">
        <v>3347</v>
      </c>
      <c r="C637" t="s">
        <v>3348</v>
      </c>
      <c r="D637" t="s">
        <v>3348</v>
      </c>
      <c r="E637" t="s">
        <v>3349</v>
      </c>
      <c r="F637" t="s">
        <v>2413</v>
      </c>
      <c r="G637">
        <v>3</v>
      </c>
      <c r="H637">
        <v>1</v>
      </c>
      <c r="I637">
        <v>0.01</v>
      </c>
      <c r="J637">
        <v>1000</v>
      </c>
      <c r="K637">
        <v>0.76</v>
      </c>
      <c r="L637">
        <v>75.84</v>
      </c>
      <c r="M637">
        <v>75.73</v>
      </c>
      <c r="N637">
        <v>75.84</v>
      </c>
      <c r="O637">
        <v>75.84</v>
      </c>
      <c r="P637">
        <v>0</v>
      </c>
      <c r="Q637">
        <v>0</v>
      </c>
      <c r="R637">
        <v>0</v>
      </c>
      <c r="S637">
        <v>75.760000000000005</v>
      </c>
      <c r="T637">
        <v>75.569999999999993</v>
      </c>
      <c r="U637">
        <v>75.430000000000007</v>
      </c>
      <c r="V637">
        <v>76.099999999999994</v>
      </c>
      <c r="W637">
        <v>310596</v>
      </c>
      <c r="X637">
        <v>75.739999999999995</v>
      </c>
      <c r="Y637">
        <v>76.260000000000005</v>
      </c>
      <c r="Z637">
        <v>27</v>
      </c>
      <c r="AA637">
        <v>200000</v>
      </c>
      <c r="AB637">
        <v>9859.2000000000007</v>
      </c>
      <c r="AC637">
        <v>0</v>
      </c>
      <c r="AD637" t="s">
        <v>94</v>
      </c>
      <c r="AE637" t="s">
        <v>94</v>
      </c>
      <c r="AF637" t="s">
        <v>226</v>
      </c>
      <c r="AG637" t="s">
        <v>1494</v>
      </c>
      <c r="AH637">
        <v>800</v>
      </c>
      <c r="AI637" t="s">
        <v>3104</v>
      </c>
      <c r="AJ637" t="s">
        <v>3105</v>
      </c>
      <c r="AK637" t="s">
        <v>2416</v>
      </c>
      <c r="AL637" t="s">
        <v>272</v>
      </c>
    </row>
    <row r="638" spans="1:38">
      <c r="A638" t="s">
        <v>3350</v>
      </c>
      <c r="B638" t="s">
        <v>3351</v>
      </c>
      <c r="C638" t="s">
        <v>3352</v>
      </c>
      <c r="D638" t="s">
        <v>3352</v>
      </c>
      <c r="E638" t="s">
        <v>3353</v>
      </c>
      <c r="F638" t="s">
        <v>2413</v>
      </c>
      <c r="G638">
        <v>3</v>
      </c>
      <c r="H638">
        <v>1</v>
      </c>
      <c r="I638">
        <v>0.01</v>
      </c>
      <c r="J638">
        <v>1000</v>
      </c>
      <c r="K638">
        <v>0.91</v>
      </c>
      <c r="L638">
        <v>87.58</v>
      </c>
      <c r="M638">
        <v>86.98</v>
      </c>
      <c r="N638">
        <v>88.15</v>
      </c>
      <c r="O638">
        <v>87.61</v>
      </c>
      <c r="P638">
        <v>0</v>
      </c>
      <c r="Q638">
        <v>0</v>
      </c>
      <c r="R638">
        <v>0</v>
      </c>
      <c r="S638">
        <v>88.07</v>
      </c>
      <c r="T638">
        <v>89.26</v>
      </c>
      <c r="U638">
        <v>86.79</v>
      </c>
      <c r="V638">
        <v>89.26</v>
      </c>
      <c r="W638">
        <v>317927</v>
      </c>
      <c r="X638">
        <v>87.5</v>
      </c>
      <c r="Y638">
        <v>87.93</v>
      </c>
      <c r="Z638">
        <v>91</v>
      </c>
      <c r="AA638">
        <v>300000</v>
      </c>
      <c r="AB638">
        <v>875.8</v>
      </c>
      <c r="AC638">
        <v>0</v>
      </c>
      <c r="AD638" t="s">
        <v>94</v>
      </c>
      <c r="AE638" t="s">
        <v>94</v>
      </c>
      <c r="AF638" t="s">
        <v>226</v>
      </c>
      <c r="AG638" t="s">
        <v>1494</v>
      </c>
      <c r="AH638">
        <v>6</v>
      </c>
      <c r="AI638" t="s">
        <v>3104</v>
      </c>
      <c r="AJ638" t="s">
        <v>3105</v>
      </c>
      <c r="AK638" t="s">
        <v>2416</v>
      </c>
      <c r="AL638" t="s">
        <v>272</v>
      </c>
    </row>
    <row r="639" spans="1:38">
      <c r="A639" t="s">
        <v>3354</v>
      </c>
      <c r="B639" t="s">
        <v>3355</v>
      </c>
      <c r="C639" t="s">
        <v>3356</v>
      </c>
      <c r="D639" t="s">
        <v>3356</v>
      </c>
      <c r="E639" t="s">
        <v>3357</v>
      </c>
      <c r="F639" t="s">
        <v>2413</v>
      </c>
      <c r="G639">
        <v>3</v>
      </c>
      <c r="H639">
        <v>1</v>
      </c>
      <c r="I639">
        <v>0.01</v>
      </c>
      <c r="J639">
        <v>1000</v>
      </c>
      <c r="K639">
        <v>-0.09</v>
      </c>
      <c r="L639">
        <v>100.2</v>
      </c>
      <c r="M639">
        <v>100.29</v>
      </c>
      <c r="N639">
        <v>0</v>
      </c>
      <c r="O639">
        <v>100.19</v>
      </c>
      <c r="P639">
        <v>0</v>
      </c>
      <c r="Q639">
        <v>0</v>
      </c>
      <c r="R639">
        <v>0</v>
      </c>
      <c r="S639">
        <v>100.38</v>
      </c>
      <c r="T639">
        <v>100.28</v>
      </c>
      <c r="U639">
        <v>100</v>
      </c>
      <c r="V639">
        <v>100.49</v>
      </c>
      <c r="W639">
        <v>78297</v>
      </c>
      <c r="X639">
        <v>100</v>
      </c>
      <c r="Y639">
        <v>100.29</v>
      </c>
      <c r="Z639">
        <v>20</v>
      </c>
      <c r="AA639">
        <v>100000</v>
      </c>
      <c r="AB639">
        <v>2004</v>
      </c>
      <c r="AC639">
        <v>0</v>
      </c>
      <c r="AD639" t="s">
        <v>94</v>
      </c>
      <c r="AE639" t="s">
        <v>94</v>
      </c>
      <c r="AF639" t="s">
        <v>304</v>
      </c>
      <c r="AG639" t="s">
        <v>1494</v>
      </c>
      <c r="AH639">
        <v>0</v>
      </c>
      <c r="AI639" t="s">
        <v>3104</v>
      </c>
      <c r="AJ639" t="s">
        <v>3105</v>
      </c>
      <c r="AK639" t="s">
        <v>2416</v>
      </c>
      <c r="AL639" t="s">
        <v>272</v>
      </c>
    </row>
    <row r="640" spans="1:38">
      <c r="A640" t="s">
        <v>3358</v>
      </c>
      <c r="B640" t="s">
        <v>3359</v>
      </c>
      <c r="C640" t="s">
        <v>3360</v>
      </c>
      <c r="D640" t="s">
        <v>3360</v>
      </c>
      <c r="E640" t="s">
        <v>3361</v>
      </c>
      <c r="F640" t="s">
        <v>2413</v>
      </c>
      <c r="G640">
        <v>3</v>
      </c>
      <c r="H640">
        <v>1</v>
      </c>
      <c r="I640">
        <v>0.01</v>
      </c>
      <c r="J640">
        <v>1000</v>
      </c>
      <c r="K640">
        <v>7.0000000000000007E-2</v>
      </c>
      <c r="L640">
        <v>69.67</v>
      </c>
      <c r="M640">
        <v>69.62</v>
      </c>
      <c r="N640">
        <v>68.98</v>
      </c>
      <c r="O640">
        <v>69.73</v>
      </c>
      <c r="P640">
        <v>0</v>
      </c>
      <c r="Q640">
        <v>0</v>
      </c>
      <c r="R640">
        <v>0</v>
      </c>
      <c r="S640">
        <v>69.94</v>
      </c>
      <c r="T640">
        <v>70.63</v>
      </c>
      <c r="U640">
        <v>69.67</v>
      </c>
      <c r="V640">
        <v>71.5</v>
      </c>
      <c r="W640">
        <v>328025</v>
      </c>
      <c r="X640">
        <v>69.680000000000007</v>
      </c>
      <c r="Y640">
        <v>69.760000000000005</v>
      </c>
      <c r="Z640">
        <v>49</v>
      </c>
      <c r="AA640">
        <v>150000</v>
      </c>
      <c r="AB640">
        <v>120529.1</v>
      </c>
      <c r="AC640">
        <v>0</v>
      </c>
      <c r="AD640" t="s">
        <v>94</v>
      </c>
      <c r="AE640" t="s">
        <v>94</v>
      </c>
      <c r="AF640" t="s">
        <v>226</v>
      </c>
      <c r="AG640" t="s">
        <v>1494</v>
      </c>
      <c r="AH640">
        <v>6</v>
      </c>
      <c r="AI640" t="s">
        <v>3104</v>
      </c>
      <c r="AJ640" t="s">
        <v>3105</v>
      </c>
      <c r="AK640" t="s">
        <v>2416</v>
      </c>
      <c r="AL640" t="s">
        <v>272</v>
      </c>
    </row>
    <row r="641" spans="1:38">
      <c r="A641" t="s">
        <v>3362</v>
      </c>
      <c r="B641" t="s">
        <v>3363</v>
      </c>
      <c r="C641" t="s">
        <v>3364</v>
      </c>
      <c r="D641" t="s">
        <v>3364</v>
      </c>
      <c r="E641" t="s">
        <v>3365</v>
      </c>
      <c r="F641" t="s">
        <v>2413</v>
      </c>
      <c r="G641">
        <v>3</v>
      </c>
      <c r="H641">
        <v>1</v>
      </c>
      <c r="I641">
        <v>0.01</v>
      </c>
      <c r="J641">
        <v>1000</v>
      </c>
      <c r="K641">
        <v>0.15</v>
      </c>
      <c r="L641">
        <v>99.65</v>
      </c>
      <c r="M641">
        <v>99.5</v>
      </c>
      <c r="N641">
        <v>99.24</v>
      </c>
      <c r="O641">
        <v>99.65</v>
      </c>
      <c r="P641">
        <v>0</v>
      </c>
      <c r="Q641">
        <v>0</v>
      </c>
      <c r="R641">
        <v>0</v>
      </c>
      <c r="S641">
        <v>99.58</v>
      </c>
      <c r="T641">
        <v>99.68</v>
      </c>
      <c r="U641">
        <v>99.5</v>
      </c>
      <c r="V641">
        <v>99.9</v>
      </c>
      <c r="W641">
        <v>283814</v>
      </c>
      <c r="X641">
        <v>99.65</v>
      </c>
      <c r="Y641">
        <v>99.85</v>
      </c>
      <c r="Z641">
        <v>22</v>
      </c>
      <c r="AA641">
        <v>75000</v>
      </c>
      <c r="AB641">
        <v>2989.5</v>
      </c>
      <c r="AC641">
        <v>0</v>
      </c>
      <c r="AD641" t="s">
        <v>94</v>
      </c>
      <c r="AE641" t="s">
        <v>94</v>
      </c>
      <c r="AF641" t="s">
        <v>226</v>
      </c>
      <c r="AG641" t="s">
        <v>1494</v>
      </c>
      <c r="AH641">
        <v>6</v>
      </c>
      <c r="AI641" t="s">
        <v>3104</v>
      </c>
      <c r="AJ641" t="s">
        <v>3105</v>
      </c>
      <c r="AK641" t="s">
        <v>2416</v>
      </c>
      <c r="AL641" t="s">
        <v>272</v>
      </c>
    </row>
    <row r="642" spans="1:38">
      <c r="A642" t="s">
        <v>3366</v>
      </c>
      <c r="B642" t="s">
        <v>3367</v>
      </c>
      <c r="C642" t="s">
        <v>3368</v>
      </c>
      <c r="D642" t="s">
        <v>3368</v>
      </c>
      <c r="E642" t="s">
        <v>3369</v>
      </c>
      <c r="F642" t="s">
        <v>2413</v>
      </c>
      <c r="G642">
        <v>3</v>
      </c>
      <c r="H642">
        <v>1</v>
      </c>
      <c r="I642">
        <v>0.01</v>
      </c>
      <c r="J642">
        <v>1000</v>
      </c>
      <c r="K642">
        <v>-0.47</v>
      </c>
      <c r="L642">
        <v>96</v>
      </c>
      <c r="M642">
        <v>96.44</v>
      </c>
      <c r="N642">
        <v>95.72</v>
      </c>
      <c r="O642">
        <v>96</v>
      </c>
      <c r="P642">
        <v>0</v>
      </c>
      <c r="Q642">
        <v>0</v>
      </c>
      <c r="R642">
        <v>0</v>
      </c>
      <c r="S642">
        <v>96.01</v>
      </c>
      <c r="T642">
        <v>96.49</v>
      </c>
      <c r="U642">
        <v>96</v>
      </c>
      <c r="V642">
        <v>96.49</v>
      </c>
      <c r="W642">
        <v>340841</v>
      </c>
      <c r="X642">
        <v>96</v>
      </c>
      <c r="Y642">
        <v>96.28</v>
      </c>
      <c r="Z642">
        <v>18</v>
      </c>
      <c r="AA642">
        <v>100000</v>
      </c>
      <c r="AB642">
        <v>960</v>
      </c>
      <c r="AC642">
        <v>0</v>
      </c>
      <c r="AD642" t="s">
        <v>94</v>
      </c>
      <c r="AE642" t="s">
        <v>94</v>
      </c>
      <c r="AF642" t="s">
        <v>226</v>
      </c>
      <c r="AG642" t="s">
        <v>1494</v>
      </c>
      <c r="AH642">
        <v>6</v>
      </c>
      <c r="AI642" t="s">
        <v>3104</v>
      </c>
      <c r="AJ642" t="s">
        <v>3105</v>
      </c>
      <c r="AK642" t="s">
        <v>2416</v>
      </c>
      <c r="AL642" t="s">
        <v>272</v>
      </c>
    </row>
    <row r="643" spans="1:38">
      <c r="A643" t="s">
        <v>3370</v>
      </c>
      <c r="B643" t="s">
        <v>3371</v>
      </c>
      <c r="C643" t="s">
        <v>3372</v>
      </c>
      <c r="D643" t="s">
        <v>3372</v>
      </c>
      <c r="E643" t="s">
        <v>3373</v>
      </c>
      <c r="F643" t="s">
        <v>2413</v>
      </c>
      <c r="G643">
        <v>3</v>
      </c>
      <c r="H643">
        <v>1</v>
      </c>
      <c r="I643">
        <v>0.01</v>
      </c>
      <c r="J643">
        <v>1000</v>
      </c>
      <c r="K643">
        <v>4.75</v>
      </c>
      <c r="L643">
        <v>93.49</v>
      </c>
      <c r="M643">
        <v>89.25</v>
      </c>
      <c r="N643">
        <v>86.98</v>
      </c>
      <c r="O643">
        <v>92.3</v>
      </c>
      <c r="P643">
        <v>0</v>
      </c>
      <c r="Q643">
        <v>0</v>
      </c>
      <c r="R643">
        <v>0</v>
      </c>
      <c r="S643">
        <v>90.12</v>
      </c>
      <c r="T643">
        <v>89.98</v>
      </c>
      <c r="U643">
        <v>86.72</v>
      </c>
      <c r="V643">
        <v>93.49</v>
      </c>
      <c r="W643">
        <v>140589</v>
      </c>
      <c r="X643">
        <v>91.16</v>
      </c>
      <c r="Y643">
        <v>93.49</v>
      </c>
      <c r="Z643">
        <v>35</v>
      </c>
      <c r="AA643">
        <v>100000</v>
      </c>
      <c r="AB643">
        <v>6544.3</v>
      </c>
      <c r="AC643">
        <v>0</v>
      </c>
      <c r="AD643" t="s">
        <v>94</v>
      </c>
      <c r="AE643" t="s">
        <v>94</v>
      </c>
      <c r="AF643" t="s">
        <v>226</v>
      </c>
      <c r="AG643" t="s">
        <v>1494</v>
      </c>
      <c r="AH643">
        <v>6</v>
      </c>
      <c r="AI643" t="s">
        <v>3104</v>
      </c>
      <c r="AJ643" t="s">
        <v>3105</v>
      </c>
      <c r="AK643" t="s">
        <v>2416</v>
      </c>
      <c r="AL643" t="s">
        <v>272</v>
      </c>
    </row>
    <row r="644" spans="1:38">
      <c r="A644" t="s">
        <v>3374</v>
      </c>
      <c r="B644" t="s">
        <v>3375</v>
      </c>
      <c r="C644" t="s">
        <v>3376</v>
      </c>
      <c r="D644" t="s">
        <v>3376</v>
      </c>
      <c r="E644" t="s">
        <v>3377</v>
      </c>
      <c r="F644" t="s">
        <v>2413</v>
      </c>
      <c r="G644">
        <v>3</v>
      </c>
      <c r="H644">
        <v>1</v>
      </c>
      <c r="I644">
        <v>0.01</v>
      </c>
      <c r="J644">
        <v>1000</v>
      </c>
      <c r="K644">
        <v>0.42</v>
      </c>
      <c r="L644">
        <v>74</v>
      </c>
      <c r="M644">
        <v>73.69</v>
      </c>
      <c r="N644">
        <v>73.2</v>
      </c>
      <c r="O644">
        <v>73.989999999999995</v>
      </c>
      <c r="P644">
        <v>0</v>
      </c>
      <c r="Q644">
        <v>0</v>
      </c>
      <c r="R644">
        <v>0</v>
      </c>
      <c r="S644">
        <v>73.040000000000006</v>
      </c>
      <c r="T644">
        <v>70.989999999999995</v>
      </c>
      <c r="U644">
        <v>70.510000000000005</v>
      </c>
      <c r="V644">
        <v>74</v>
      </c>
      <c r="W644">
        <v>26295</v>
      </c>
      <c r="X644">
        <v>73.790000000000006</v>
      </c>
      <c r="Y644">
        <v>73.989999999999995</v>
      </c>
      <c r="Z644">
        <v>13</v>
      </c>
      <c r="AA644">
        <v>100000</v>
      </c>
      <c r="AB644">
        <v>1480</v>
      </c>
      <c r="AC644">
        <v>0</v>
      </c>
      <c r="AD644" t="s">
        <v>94</v>
      </c>
      <c r="AE644" t="s">
        <v>94</v>
      </c>
      <c r="AF644" t="s">
        <v>226</v>
      </c>
      <c r="AG644" t="s">
        <v>1494</v>
      </c>
      <c r="AH644">
        <v>6</v>
      </c>
      <c r="AI644" t="s">
        <v>3104</v>
      </c>
      <c r="AJ644" t="s">
        <v>3105</v>
      </c>
      <c r="AK644" t="s">
        <v>2416</v>
      </c>
      <c r="AL644" t="s">
        <v>272</v>
      </c>
    </row>
    <row r="645" spans="1:38">
      <c r="A645" t="s">
        <v>3378</v>
      </c>
      <c r="B645" t="s">
        <v>3379</v>
      </c>
      <c r="C645" t="s">
        <v>3380</v>
      </c>
      <c r="D645" t="s">
        <v>3380</v>
      </c>
      <c r="E645" t="s">
        <v>3381</v>
      </c>
      <c r="F645" t="s">
        <v>2413</v>
      </c>
      <c r="G645">
        <v>3</v>
      </c>
      <c r="H645">
        <v>1</v>
      </c>
      <c r="I645">
        <v>0.01</v>
      </c>
      <c r="J645">
        <v>125</v>
      </c>
      <c r="K645">
        <v>-0.1</v>
      </c>
      <c r="L645">
        <v>97.39</v>
      </c>
      <c r="M645">
        <v>97.49</v>
      </c>
      <c r="N645">
        <v>96.2</v>
      </c>
      <c r="O645">
        <v>97.39</v>
      </c>
      <c r="P645">
        <v>0</v>
      </c>
      <c r="Q645">
        <v>0</v>
      </c>
      <c r="R645">
        <v>0</v>
      </c>
      <c r="S645">
        <v>96.7</v>
      </c>
      <c r="T645">
        <v>97.47</v>
      </c>
      <c r="U645">
        <v>96.12</v>
      </c>
      <c r="V645">
        <v>97.47</v>
      </c>
      <c r="W645">
        <v>1209</v>
      </c>
      <c r="X645">
        <v>96.72</v>
      </c>
      <c r="Y645">
        <v>97.39</v>
      </c>
      <c r="Z645">
        <v>5</v>
      </c>
      <c r="AA645">
        <v>250000</v>
      </c>
      <c r="AB645">
        <v>121.74</v>
      </c>
      <c r="AC645">
        <v>0</v>
      </c>
      <c r="AD645" t="s">
        <v>94</v>
      </c>
      <c r="AE645" t="s">
        <v>94</v>
      </c>
      <c r="AF645" t="s">
        <v>226</v>
      </c>
      <c r="AG645" t="s">
        <v>1494</v>
      </c>
      <c r="AH645">
        <v>6</v>
      </c>
      <c r="AI645" t="s">
        <v>3104</v>
      </c>
      <c r="AJ645" t="s">
        <v>3105</v>
      </c>
      <c r="AK645" t="s">
        <v>2416</v>
      </c>
      <c r="AL645" t="s">
        <v>272</v>
      </c>
    </row>
    <row r="646" spans="1:38">
      <c r="A646" t="s">
        <v>3382</v>
      </c>
      <c r="B646" t="s">
        <v>3383</v>
      </c>
      <c r="C646" t="s">
        <v>3384</v>
      </c>
      <c r="D646" t="s">
        <v>3384</v>
      </c>
      <c r="E646" t="s">
        <v>3385</v>
      </c>
      <c r="F646" t="s">
        <v>2413</v>
      </c>
      <c r="G646">
        <v>3</v>
      </c>
      <c r="H646">
        <v>1</v>
      </c>
      <c r="I646">
        <v>0.01</v>
      </c>
      <c r="J646">
        <v>1000</v>
      </c>
      <c r="K646">
        <v>0.36</v>
      </c>
      <c r="L646">
        <v>100.03</v>
      </c>
      <c r="M646">
        <v>99.67</v>
      </c>
      <c r="N646">
        <v>98.48</v>
      </c>
      <c r="O646">
        <v>100.03</v>
      </c>
      <c r="P646">
        <v>0</v>
      </c>
      <c r="Q646">
        <v>0</v>
      </c>
      <c r="R646">
        <v>0</v>
      </c>
      <c r="S646">
        <v>100.45</v>
      </c>
      <c r="T646">
        <v>100.78</v>
      </c>
      <c r="U646">
        <v>98.3</v>
      </c>
      <c r="V646">
        <v>101.55</v>
      </c>
      <c r="W646">
        <v>1295854</v>
      </c>
      <c r="X646">
        <v>100.03</v>
      </c>
      <c r="Y646">
        <v>100.22</v>
      </c>
      <c r="Z646">
        <v>156</v>
      </c>
      <c r="AA646">
        <v>350000</v>
      </c>
      <c r="AB646">
        <v>23006.9</v>
      </c>
      <c r="AC646">
        <v>0</v>
      </c>
      <c r="AD646" t="s">
        <v>94</v>
      </c>
      <c r="AE646" t="s">
        <v>94</v>
      </c>
      <c r="AF646" t="s">
        <v>226</v>
      </c>
      <c r="AG646" t="s">
        <v>1494</v>
      </c>
      <c r="AH646">
        <v>800</v>
      </c>
      <c r="AI646" t="s">
        <v>3104</v>
      </c>
      <c r="AJ646" t="s">
        <v>3105</v>
      </c>
      <c r="AK646" t="s">
        <v>2416</v>
      </c>
      <c r="AL646" t="s">
        <v>272</v>
      </c>
    </row>
    <row r="647" spans="1:38">
      <c r="A647" t="s">
        <v>3386</v>
      </c>
      <c r="B647" t="s">
        <v>3387</v>
      </c>
      <c r="C647" t="s">
        <v>3388</v>
      </c>
      <c r="D647" t="s">
        <v>3388</v>
      </c>
      <c r="E647" t="s">
        <v>3389</v>
      </c>
      <c r="F647" t="s">
        <v>2413</v>
      </c>
      <c r="G647">
        <v>3</v>
      </c>
      <c r="H647">
        <v>1</v>
      </c>
      <c r="I647">
        <v>0.01</v>
      </c>
      <c r="J647">
        <v>1000</v>
      </c>
      <c r="K647">
        <v>0.05</v>
      </c>
      <c r="L647">
        <v>99.8</v>
      </c>
      <c r="M647">
        <v>99.68</v>
      </c>
      <c r="N647">
        <v>99.2</v>
      </c>
      <c r="O647">
        <v>99.79</v>
      </c>
      <c r="P647">
        <v>0</v>
      </c>
      <c r="Q647">
        <v>0</v>
      </c>
      <c r="R647">
        <v>0</v>
      </c>
      <c r="S647">
        <v>99.68</v>
      </c>
      <c r="T647">
        <v>98.73</v>
      </c>
      <c r="U647">
        <v>98.62</v>
      </c>
      <c r="V647">
        <v>99.99</v>
      </c>
      <c r="W647">
        <v>265153</v>
      </c>
      <c r="X647">
        <v>99.66</v>
      </c>
      <c r="Y647">
        <v>99.8</v>
      </c>
      <c r="Z647">
        <v>53</v>
      </c>
      <c r="AA647">
        <v>223407</v>
      </c>
      <c r="AB647">
        <v>4990</v>
      </c>
      <c r="AC647">
        <v>0</v>
      </c>
      <c r="AD647" t="s">
        <v>94</v>
      </c>
      <c r="AE647" t="s">
        <v>94</v>
      </c>
      <c r="AF647" t="s">
        <v>226</v>
      </c>
      <c r="AG647" t="s">
        <v>1494</v>
      </c>
      <c r="AH647">
        <v>6</v>
      </c>
      <c r="AI647" t="s">
        <v>3104</v>
      </c>
      <c r="AJ647" t="s">
        <v>3105</v>
      </c>
      <c r="AK647" t="s">
        <v>2416</v>
      </c>
      <c r="AL647" t="s">
        <v>272</v>
      </c>
    </row>
    <row r="648" spans="1:38">
      <c r="A648" t="s">
        <v>3390</v>
      </c>
      <c r="B648" t="s">
        <v>3391</v>
      </c>
      <c r="C648" t="s">
        <v>3392</v>
      </c>
      <c r="D648" t="s">
        <v>3392</v>
      </c>
      <c r="E648" t="s">
        <v>3393</v>
      </c>
      <c r="F648" t="s">
        <v>2413</v>
      </c>
      <c r="G648">
        <v>3</v>
      </c>
      <c r="H648">
        <v>1</v>
      </c>
      <c r="I648">
        <v>0.01</v>
      </c>
      <c r="J648">
        <v>625.6</v>
      </c>
      <c r="K648">
        <v>0.4</v>
      </c>
      <c r="L648">
        <v>95.8</v>
      </c>
      <c r="M648">
        <v>95.42</v>
      </c>
      <c r="N648">
        <v>95.2</v>
      </c>
      <c r="O648">
        <v>95.8</v>
      </c>
      <c r="P648">
        <v>0</v>
      </c>
      <c r="Q648">
        <v>0</v>
      </c>
      <c r="R648">
        <v>0</v>
      </c>
      <c r="S648">
        <v>95.97</v>
      </c>
      <c r="T648">
        <v>96.46</v>
      </c>
      <c r="U648">
        <v>95.8</v>
      </c>
      <c r="V648">
        <v>96.46</v>
      </c>
      <c r="W648">
        <v>24616</v>
      </c>
      <c r="X648">
        <v>95.2</v>
      </c>
      <c r="Y648">
        <v>95.8</v>
      </c>
      <c r="Z648">
        <v>8</v>
      </c>
      <c r="AA648">
        <v>200000</v>
      </c>
      <c r="AB648">
        <v>1198.6500000000001</v>
      </c>
      <c r="AC648">
        <v>0</v>
      </c>
      <c r="AD648" t="s">
        <v>94</v>
      </c>
      <c r="AE648" t="s">
        <v>94</v>
      </c>
      <c r="AF648" t="s">
        <v>304</v>
      </c>
      <c r="AG648" t="s">
        <v>1494</v>
      </c>
      <c r="AH648">
        <v>0</v>
      </c>
      <c r="AI648" t="s">
        <v>3104</v>
      </c>
      <c r="AJ648" t="s">
        <v>3105</v>
      </c>
      <c r="AK648" t="s">
        <v>2416</v>
      </c>
      <c r="AL648" t="s">
        <v>272</v>
      </c>
    </row>
    <row r="649" spans="1:38">
      <c r="A649" t="s">
        <v>3394</v>
      </c>
      <c r="B649" t="s">
        <v>3395</v>
      </c>
      <c r="C649" t="s">
        <v>3396</v>
      </c>
      <c r="D649" t="s">
        <v>3396</v>
      </c>
      <c r="E649" t="s">
        <v>3397</v>
      </c>
      <c r="F649" t="s">
        <v>2413</v>
      </c>
      <c r="G649">
        <v>3</v>
      </c>
      <c r="H649">
        <v>1</v>
      </c>
      <c r="I649">
        <v>0.01</v>
      </c>
      <c r="J649">
        <v>1000</v>
      </c>
      <c r="K649">
        <v>-0.08</v>
      </c>
      <c r="L649">
        <v>83.73</v>
      </c>
      <c r="M649">
        <v>83.8</v>
      </c>
      <c r="N649">
        <v>83.17</v>
      </c>
      <c r="O649">
        <v>83.73</v>
      </c>
      <c r="P649">
        <v>0</v>
      </c>
      <c r="Q649">
        <v>0</v>
      </c>
      <c r="R649">
        <v>0</v>
      </c>
      <c r="S649">
        <v>83.92</v>
      </c>
      <c r="T649">
        <v>83.9</v>
      </c>
      <c r="U649">
        <v>83.73</v>
      </c>
      <c r="V649">
        <v>84.14</v>
      </c>
      <c r="W649">
        <v>3357</v>
      </c>
      <c r="X649">
        <v>83.39</v>
      </c>
      <c r="Y649">
        <v>83.92</v>
      </c>
      <c r="Z649">
        <v>3</v>
      </c>
      <c r="AA649">
        <v>150000</v>
      </c>
      <c r="AB649">
        <v>837.3</v>
      </c>
      <c r="AC649">
        <v>0</v>
      </c>
      <c r="AD649" t="s">
        <v>94</v>
      </c>
      <c r="AE649" t="s">
        <v>94</v>
      </c>
      <c r="AF649" t="s">
        <v>304</v>
      </c>
      <c r="AG649" t="s">
        <v>1494</v>
      </c>
      <c r="AH649">
        <v>0</v>
      </c>
      <c r="AI649" t="s">
        <v>3104</v>
      </c>
      <c r="AJ649" t="s">
        <v>3105</v>
      </c>
      <c r="AK649" t="s">
        <v>2416</v>
      </c>
      <c r="AL649" t="s">
        <v>272</v>
      </c>
    </row>
    <row r="650" spans="1:38">
      <c r="A650" t="s">
        <v>3398</v>
      </c>
      <c r="B650" t="s">
        <v>3399</v>
      </c>
      <c r="C650" t="s">
        <v>3400</v>
      </c>
      <c r="D650" t="s">
        <v>3400</v>
      </c>
      <c r="E650" t="s">
        <v>3401</v>
      </c>
      <c r="F650" t="s">
        <v>2413</v>
      </c>
      <c r="G650">
        <v>3</v>
      </c>
      <c r="H650">
        <v>1</v>
      </c>
      <c r="I650">
        <v>0.01</v>
      </c>
      <c r="J650">
        <v>1000</v>
      </c>
      <c r="K650">
        <v>-0.71</v>
      </c>
      <c r="L650">
        <v>92.44</v>
      </c>
      <c r="M650">
        <v>93.1</v>
      </c>
      <c r="N650">
        <v>94.06</v>
      </c>
      <c r="O650">
        <v>92.39</v>
      </c>
      <c r="P650">
        <v>0</v>
      </c>
      <c r="Q650">
        <v>0</v>
      </c>
      <c r="R650">
        <v>0</v>
      </c>
      <c r="S650">
        <v>92.22</v>
      </c>
      <c r="T650">
        <v>92.98</v>
      </c>
      <c r="U650">
        <v>92</v>
      </c>
      <c r="V650">
        <v>92.98</v>
      </c>
      <c r="W650">
        <v>1137080</v>
      </c>
      <c r="X650">
        <v>92.35</v>
      </c>
      <c r="Y650">
        <v>92.53</v>
      </c>
      <c r="Z650">
        <v>89</v>
      </c>
      <c r="AA650">
        <v>150000</v>
      </c>
      <c r="AB650">
        <v>4622</v>
      </c>
      <c r="AC650">
        <v>0</v>
      </c>
      <c r="AD650" t="s">
        <v>94</v>
      </c>
      <c r="AE650" t="s">
        <v>94</v>
      </c>
      <c r="AF650" t="s">
        <v>304</v>
      </c>
      <c r="AG650" t="s">
        <v>1494</v>
      </c>
      <c r="AH650">
        <v>0</v>
      </c>
      <c r="AI650" t="s">
        <v>3104</v>
      </c>
      <c r="AJ650" t="s">
        <v>3105</v>
      </c>
      <c r="AK650" t="s">
        <v>2416</v>
      </c>
      <c r="AL650" t="s">
        <v>272</v>
      </c>
    </row>
    <row r="651" spans="1:38">
      <c r="A651" t="s">
        <v>3402</v>
      </c>
      <c r="B651" t="s">
        <v>3403</v>
      </c>
      <c r="C651" t="s">
        <v>3404</v>
      </c>
      <c r="D651" t="s">
        <v>3404</v>
      </c>
      <c r="E651" t="s">
        <v>3405</v>
      </c>
      <c r="F651" t="s">
        <v>2425</v>
      </c>
      <c r="G651">
        <v>3</v>
      </c>
      <c r="H651">
        <v>1</v>
      </c>
      <c r="I651">
        <v>0.01</v>
      </c>
      <c r="J651">
        <v>1000</v>
      </c>
      <c r="K651">
        <v>0</v>
      </c>
      <c r="L651">
        <v>0</v>
      </c>
      <c r="M651">
        <v>99.46</v>
      </c>
      <c r="N651">
        <v>99.1</v>
      </c>
      <c r="O651">
        <v>99.46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96.85</v>
      </c>
      <c r="Y651">
        <v>99.49</v>
      </c>
      <c r="Z651">
        <v>0</v>
      </c>
      <c r="AA651">
        <v>700000</v>
      </c>
      <c r="AB651">
        <v>0</v>
      </c>
      <c r="AC651">
        <v>0</v>
      </c>
      <c r="AD651" t="s">
        <v>94</v>
      </c>
      <c r="AE651" t="s">
        <v>94</v>
      </c>
      <c r="AF651" t="s">
        <v>226</v>
      </c>
      <c r="AG651" t="s">
        <v>1494</v>
      </c>
      <c r="AH651">
        <v>6</v>
      </c>
      <c r="AI651" t="s">
        <v>3104</v>
      </c>
      <c r="AJ651" t="s">
        <v>3105</v>
      </c>
      <c r="AK651" t="s">
        <v>2426</v>
      </c>
      <c r="AL651" t="s">
        <v>272</v>
      </c>
    </row>
    <row r="652" spans="1:38">
      <c r="A652" t="s">
        <v>3406</v>
      </c>
      <c r="B652" t="s">
        <v>3407</v>
      </c>
      <c r="C652" t="s">
        <v>3408</v>
      </c>
      <c r="D652" t="s">
        <v>3408</v>
      </c>
      <c r="E652" t="s">
        <v>3409</v>
      </c>
      <c r="F652" t="s">
        <v>2425</v>
      </c>
      <c r="G652">
        <v>3</v>
      </c>
      <c r="H652">
        <v>1</v>
      </c>
      <c r="I652">
        <v>0.01</v>
      </c>
      <c r="J652">
        <v>1000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1100000</v>
      </c>
      <c r="AB652">
        <v>0</v>
      </c>
      <c r="AC652">
        <v>0</v>
      </c>
      <c r="AD652" t="s">
        <v>94</v>
      </c>
      <c r="AE652" t="s">
        <v>94</v>
      </c>
      <c r="AF652" t="s">
        <v>226</v>
      </c>
      <c r="AG652" t="s">
        <v>1494</v>
      </c>
      <c r="AH652">
        <v>800</v>
      </c>
      <c r="AI652" t="s">
        <v>3104</v>
      </c>
      <c r="AJ652" t="s">
        <v>3105</v>
      </c>
      <c r="AK652" t="s">
        <v>2426</v>
      </c>
      <c r="AL652" t="s">
        <v>272</v>
      </c>
    </row>
    <row r="653" spans="1:38">
      <c r="A653" t="s">
        <v>3410</v>
      </c>
      <c r="B653" t="s">
        <v>3411</v>
      </c>
      <c r="C653" t="s">
        <v>3412</v>
      </c>
      <c r="D653" t="s">
        <v>3412</v>
      </c>
      <c r="E653" t="s">
        <v>3413</v>
      </c>
      <c r="F653" t="s">
        <v>2425</v>
      </c>
      <c r="G653">
        <v>3</v>
      </c>
      <c r="H653">
        <v>1</v>
      </c>
      <c r="I653">
        <v>0.01</v>
      </c>
      <c r="J653">
        <v>1000</v>
      </c>
      <c r="K653">
        <v>0</v>
      </c>
      <c r="L653">
        <v>0</v>
      </c>
      <c r="M653">
        <v>98.9</v>
      </c>
      <c r="N653">
        <v>0</v>
      </c>
      <c r="O653">
        <v>98.9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86.01</v>
      </c>
      <c r="Y653">
        <v>0</v>
      </c>
      <c r="Z653">
        <v>0</v>
      </c>
      <c r="AA653">
        <v>2800000</v>
      </c>
      <c r="AB653">
        <v>0</v>
      </c>
      <c r="AC653">
        <v>0</v>
      </c>
      <c r="AD653" t="s">
        <v>94</v>
      </c>
      <c r="AE653" t="s">
        <v>94</v>
      </c>
      <c r="AF653" t="s">
        <v>226</v>
      </c>
      <c r="AG653" t="s">
        <v>1494</v>
      </c>
      <c r="AH653">
        <v>800</v>
      </c>
      <c r="AI653" t="s">
        <v>3104</v>
      </c>
      <c r="AJ653" t="s">
        <v>3105</v>
      </c>
      <c r="AK653" t="s">
        <v>2426</v>
      </c>
      <c r="AL653" t="s">
        <v>272</v>
      </c>
    </row>
    <row r="654" spans="1:38">
      <c r="A654" t="s">
        <v>3414</v>
      </c>
      <c r="B654" t="s">
        <v>3415</v>
      </c>
      <c r="C654" t="s">
        <v>3416</v>
      </c>
      <c r="D654" t="s">
        <v>3416</v>
      </c>
      <c r="E654" t="s">
        <v>3417</v>
      </c>
      <c r="F654" t="s">
        <v>2425</v>
      </c>
      <c r="G654">
        <v>3</v>
      </c>
      <c r="H654">
        <v>1</v>
      </c>
      <c r="I654">
        <v>0.01</v>
      </c>
      <c r="J654">
        <v>142</v>
      </c>
      <c r="K654">
        <v>0</v>
      </c>
      <c r="L654">
        <v>0</v>
      </c>
      <c r="M654">
        <v>98.5</v>
      </c>
      <c r="N654">
        <v>0</v>
      </c>
      <c r="O654">
        <v>98.5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1700000</v>
      </c>
      <c r="AB654">
        <v>0</v>
      </c>
      <c r="AC654">
        <v>0</v>
      </c>
      <c r="AD654" t="s">
        <v>94</v>
      </c>
      <c r="AE654" t="s">
        <v>94</v>
      </c>
      <c r="AF654" t="s">
        <v>226</v>
      </c>
      <c r="AG654" t="s">
        <v>1494</v>
      </c>
      <c r="AH654">
        <v>800</v>
      </c>
      <c r="AI654" t="s">
        <v>3104</v>
      </c>
      <c r="AJ654" t="s">
        <v>3105</v>
      </c>
      <c r="AK654" t="s">
        <v>2426</v>
      </c>
      <c r="AL654" t="s">
        <v>272</v>
      </c>
    </row>
    <row r="655" spans="1:38">
      <c r="A655" t="s">
        <v>3418</v>
      </c>
      <c r="B655" t="s">
        <v>3419</v>
      </c>
      <c r="C655" t="s">
        <v>3420</v>
      </c>
      <c r="D655" t="s">
        <v>3420</v>
      </c>
      <c r="E655" t="s">
        <v>3421</v>
      </c>
      <c r="F655" t="s">
        <v>2413</v>
      </c>
      <c r="G655">
        <v>3</v>
      </c>
      <c r="H655">
        <v>1</v>
      </c>
      <c r="I655">
        <v>0.01</v>
      </c>
      <c r="J655">
        <v>1026.1500000000001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1850000</v>
      </c>
      <c r="AB655">
        <v>0</v>
      </c>
      <c r="AC655">
        <v>0</v>
      </c>
      <c r="AD655" t="s">
        <v>94</v>
      </c>
      <c r="AE655" t="s">
        <v>94</v>
      </c>
      <c r="AF655" t="s">
        <v>226</v>
      </c>
      <c r="AG655" t="s">
        <v>1494</v>
      </c>
      <c r="AH655">
        <v>800</v>
      </c>
      <c r="AI655" t="s">
        <v>3104</v>
      </c>
      <c r="AJ655" t="s">
        <v>3105</v>
      </c>
      <c r="AK655" t="s">
        <v>2416</v>
      </c>
      <c r="AL655" t="s">
        <v>272</v>
      </c>
    </row>
    <row r="656" spans="1:38">
      <c r="A656" t="s">
        <v>3422</v>
      </c>
      <c r="B656" t="s">
        <v>3423</v>
      </c>
      <c r="C656" t="s">
        <v>3424</v>
      </c>
      <c r="D656" t="s">
        <v>3424</v>
      </c>
      <c r="E656" t="s">
        <v>3425</v>
      </c>
      <c r="F656" t="s">
        <v>2413</v>
      </c>
      <c r="G656">
        <v>3</v>
      </c>
      <c r="H656">
        <v>1</v>
      </c>
      <c r="I656">
        <v>0.01</v>
      </c>
      <c r="J656">
        <v>1000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1750000</v>
      </c>
      <c r="AB656">
        <v>0</v>
      </c>
      <c r="AC656">
        <v>0</v>
      </c>
      <c r="AD656" t="s">
        <v>94</v>
      </c>
      <c r="AE656" t="s">
        <v>94</v>
      </c>
      <c r="AF656" t="s">
        <v>226</v>
      </c>
      <c r="AG656" t="s">
        <v>1494</v>
      </c>
      <c r="AH656">
        <v>800</v>
      </c>
      <c r="AI656" t="s">
        <v>3104</v>
      </c>
      <c r="AJ656" t="s">
        <v>3105</v>
      </c>
      <c r="AK656" t="s">
        <v>2416</v>
      </c>
      <c r="AL656" t="s">
        <v>272</v>
      </c>
    </row>
    <row r="657" spans="1:38">
      <c r="A657" t="s">
        <v>3426</v>
      </c>
      <c r="B657" t="s">
        <v>3427</v>
      </c>
      <c r="C657" t="s">
        <v>3428</v>
      </c>
      <c r="D657" t="s">
        <v>3428</v>
      </c>
      <c r="E657" t="s">
        <v>3429</v>
      </c>
      <c r="F657" t="s">
        <v>2425</v>
      </c>
      <c r="G657">
        <v>3</v>
      </c>
      <c r="H657">
        <v>1</v>
      </c>
      <c r="I657">
        <v>0.01</v>
      </c>
      <c r="J657">
        <v>1000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26.39</v>
      </c>
      <c r="Y657">
        <v>0</v>
      </c>
      <c r="Z657">
        <v>0</v>
      </c>
      <c r="AA657">
        <v>1150000</v>
      </c>
      <c r="AB657">
        <v>0</v>
      </c>
      <c r="AC657">
        <v>0</v>
      </c>
      <c r="AD657" t="s">
        <v>94</v>
      </c>
      <c r="AE657" t="s">
        <v>94</v>
      </c>
      <c r="AF657" t="s">
        <v>226</v>
      </c>
      <c r="AG657" t="s">
        <v>1494</v>
      </c>
      <c r="AH657">
        <v>6</v>
      </c>
      <c r="AI657" t="s">
        <v>3104</v>
      </c>
      <c r="AJ657" t="s">
        <v>3105</v>
      </c>
      <c r="AK657" t="s">
        <v>2426</v>
      </c>
      <c r="AL657" t="s">
        <v>272</v>
      </c>
    </row>
    <row r="658" spans="1:38">
      <c r="A658" t="s">
        <v>3430</v>
      </c>
      <c r="B658" t="s">
        <v>3431</v>
      </c>
      <c r="C658" t="s">
        <v>3432</v>
      </c>
      <c r="D658" t="s">
        <v>3432</v>
      </c>
      <c r="E658" t="s">
        <v>3433</v>
      </c>
      <c r="F658" t="s">
        <v>2413</v>
      </c>
      <c r="G658">
        <v>3</v>
      </c>
      <c r="H658">
        <v>1</v>
      </c>
      <c r="I658">
        <v>0.01</v>
      </c>
      <c r="J658">
        <v>1000</v>
      </c>
      <c r="K658">
        <v>0</v>
      </c>
      <c r="L658">
        <v>0</v>
      </c>
      <c r="M658">
        <v>99.76</v>
      </c>
      <c r="N658">
        <v>76.22</v>
      </c>
      <c r="O658">
        <v>99.76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82</v>
      </c>
      <c r="Y658">
        <v>99.74</v>
      </c>
      <c r="Z658">
        <v>0</v>
      </c>
      <c r="AA658">
        <v>700000</v>
      </c>
      <c r="AB658">
        <v>0</v>
      </c>
      <c r="AC658">
        <v>0</v>
      </c>
      <c r="AD658" t="s">
        <v>94</v>
      </c>
      <c r="AE658" t="s">
        <v>94</v>
      </c>
      <c r="AF658" t="s">
        <v>304</v>
      </c>
      <c r="AG658" t="s">
        <v>1494</v>
      </c>
      <c r="AH658">
        <v>0</v>
      </c>
      <c r="AI658" t="s">
        <v>3104</v>
      </c>
      <c r="AJ658" t="s">
        <v>3105</v>
      </c>
      <c r="AK658" t="s">
        <v>2416</v>
      </c>
      <c r="AL658" t="s">
        <v>272</v>
      </c>
    </row>
    <row r="659" spans="1:38">
      <c r="A659" t="s">
        <v>3434</v>
      </c>
      <c r="B659" t="s">
        <v>3435</v>
      </c>
      <c r="C659" t="s">
        <v>3436</v>
      </c>
      <c r="D659" t="s">
        <v>3436</v>
      </c>
      <c r="E659" t="s">
        <v>3437</v>
      </c>
      <c r="F659" t="s">
        <v>2413</v>
      </c>
      <c r="G659">
        <v>3</v>
      </c>
      <c r="H659">
        <v>1</v>
      </c>
      <c r="I659">
        <v>0.01</v>
      </c>
      <c r="J659">
        <v>850</v>
      </c>
      <c r="K659">
        <v>-2.12</v>
      </c>
      <c r="L659">
        <v>91.44</v>
      </c>
      <c r="M659">
        <v>93.42</v>
      </c>
      <c r="N659">
        <v>93.75</v>
      </c>
      <c r="O659">
        <v>91.88</v>
      </c>
      <c r="P659">
        <v>0</v>
      </c>
      <c r="Q659">
        <v>0</v>
      </c>
      <c r="R659">
        <v>0</v>
      </c>
      <c r="S659">
        <v>91.5</v>
      </c>
      <c r="T659">
        <v>93.42</v>
      </c>
      <c r="U659">
        <v>90.98</v>
      </c>
      <c r="V659">
        <v>93.99</v>
      </c>
      <c r="W659">
        <v>644005</v>
      </c>
      <c r="X659">
        <v>91.45</v>
      </c>
      <c r="Y659">
        <v>92.05</v>
      </c>
      <c r="Z659">
        <v>52</v>
      </c>
      <c r="AA659">
        <v>500000</v>
      </c>
      <c r="AB659">
        <v>3108.96</v>
      </c>
      <c r="AC659">
        <v>0</v>
      </c>
      <c r="AD659" t="s">
        <v>94</v>
      </c>
      <c r="AE659" t="s">
        <v>94</v>
      </c>
      <c r="AF659" t="s">
        <v>304</v>
      </c>
      <c r="AG659" t="s">
        <v>1494</v>
      </c>
      <c r="AH659">
        <v>0</v>
      </c>
      <c r="AI659" t="s">
        <v>3104</v>
      </c>
      <c r="AJ659" t="s">
        <v>3105</v>
      </c>
      <c r="AK659" t="s">
        <v>2416</v>
      </c>
      <c r="AL659" t="s">
        <v>272</v>
      </c>
    </row>
    <row r="660" spans="1:38">
      <c r="A660" t="s">
        <v>3438</v>
      </c>
      <c r="B660" t="s">
        <v>3439</v>
      </c>
      <c r="C660" t="s">
        <v>3440</v>
      </c>
      <c r="D660" t="s">
        <v>3440</v>
      </c>
      <c r="E660" t="s">
        <v>3441</v>
      </c>
      <c r="F660" t="s">
        <v>2425</v>
      </c>
      <c r="G660">
        <v>3</v>
      </c>
      <c r="H660">
        <v>1</v>
      </c>
      <c r="I660">
        <v>0.01</v>
      </c>
      <c r="J660">
        <v>550</v>
      </c>
      <c r="K660">
        <v>0</v>
      </c>
      <c r="L660">
        <v>0</v>
      </c>
      <c r="M660">
        <v>93.3</v>
      </c>
      <c r="N660">
        <v>88.09</v>
      </c>
      <c r="O660">
        <v>93.3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93.35</v>
      </c>
      <c r="Y660">
        <v>94.39</v>
      </c>
      <c r="Z660">
        <v>0</v>
      </c>
      <c r="AA660">
        <v>400000</v>
      </c>
      <c r="AB660">
        <v>0</v>
      </c>
      <c r="AC660">
        <v>0</v>
      </c>
      <c r="AD660" t="s">
        <v>94</v>
      </c>
      <c r="AE660" t="s">
        <v>94</v>
      </c>
      <c r="AF660" t="s">
        <v>304</v>
      </c>
      <c r="AG660" t="s">
        <v>1494</v>
      </c>
      <c r="AH660">
        <v>0</v>
      </c>
      <c r="AI660" t="s">
        <v>3104</v>
      </c>
      <c r="AJ660" t="s">
        <v>3105</v>
      </c>
      <c r="AK660" t="s">
        <v>2426</v>
      </c>
      <c r="AL660" t="s">
        <v>272</v>
      </c>
    </row>
    <row r="661" spans="1:38">
      <c r="A661" t="s">
        <v>3442</v>
      </c>
      <c r="B661" t="s">
        <v>3443</v>
      </c>
      <c r="C661" t="s">
        <v>3444</v>
      </c>
      <c r="D661" t="s">
        <v>3444</v>
      </c>
      <c r="E661" t="s">
        <v>3445</v>
      </c>
      <c r="F661" t="s">
        <v>2413</v>
      </c>
      <c r="G661">
        <v>3</v>
      </c>
      <c r="H661">
        <v>1</v>
      </c>
      <c r="I661">
        <v>0.01</v>
      </c>
      <c r="J661">
        <v>700</v>
      </c>
      <c r="K661">
        <v>0.97</v>
      </c>
      <c r="L661">
        <v>87.04</v>
      </c>
      <c r="M661">
        <v>86.2</v>
      </c>
      <c r="N661">
        <v>86.02</v>
      </c>
      <c r="O661">
        <v>87.04</v>
      </c>
      <c r="P661">
        <v>0</v>
      </c>
      <c r="Q661">
        <v>0</v>
      </c>
      <c r="R661">
        <v>0</v>
      </c>
      <c r="S661">
        <v>87.33</v>
      </c>
      <c r="T661">
        <v>85.57</v>
      </c>
      <c r="U661">
        <v>85.57</v>
      </c>
      <c r="V661">
        <v>88.99</v>
      </c>
      <c r="W661">
        <v>51960</v>
      </c>
      <c r="X661">
        <v>86.75</v>
      </c>
      <c r="Y661">
        <v>87.05</v>
      </c>
      <c r="Z661">
        <v>25</v>
      </c>
      <c r="AA661">
        <v>300000</v>
      </c>
      <c r="AB661">
        <v>2437.12</v>
      </c>
      <c r="AC661">
        <v>0</v>
      </c>
      <c r="AD661" t="s">
        <v>94</v>
      </c>
      <c r="AE661" t="s">
        <v>94</v>
      </c>
      <c r="AF661" t="s">
        <v>226</v>
      </c>
      <c r="AG661" t="s">
        <v>1494</v>
      </c>
      <c r="AH661">
        <v>6</v>
      </c>
      <c r="AI661" t="s">
        <v>3104</v>
      </c>
      <c r="AJ661" t="s">
        <v>3105</v>
      </c>
      <c r="AK661" t="s">
        <v>2416</v>
      </c>
      <c r="AL661" t="s">
        <v>272</v>
      </c>
    </row>
    <row r="662" spans="1:38">
      <c r="A662" t="s">
        <v>3446</v>
      </c>
      <c r="B662" t="s">
        <v>3447</v>
      </c>
      <c r="C662" t="s">
        <v>3448</v>
      </c>
      <c r="D662" t="s">
        <v>3448</v>
      </c>
      <c r="E662" t="s">
        <v>3449</v>
      </c>
      <c r="F662" t="s">
        <v>2413</v>
      </c>
      <c r="G662">
        <v>3</v>
      </c>
      <c r="H662">
        <v>1</v>
      </c>
      <c r="I662">
        <v>0.01</v>
      </c>
      <c r="J662">
        <v>1000</v>
      </c>
      <c r="K662">
        <v>0</v>
      </c>
      <c r="L662">
        <v>0</v>
      </c>
      <c r="M662">
        <v>100</v>
      </c>
      <c r="N662">
        <v>0</v>
      </c>
      <c r="O662">
        <v>100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99</v>
      </c>
      <c r="Y662">
        <v>0</v>
      </c>
      <c r="Z662">
        <v>0</v>
      </c>
      <c r="AA662">
        <v>1200000</v>
      </c>
      <c r="AB662">
        <v>0</v>
      </c>
      <c r="AC662">
        <v>0</v>
      </c>
      <c r="AD662" t="s">
        <v>94</v>
      </c>
      <c r="AE662" t="s">
        <v>94</v>
      </c>
      <c r="AF662" t="s">
        <v>226</v>
      </c>
      <c r="AG662" t="s">
        <v>1494</v>
      </c>
      <c r="AH662">
        <v>800</v>
      </c>
      <c r="AI662" t="s">
        <v>3104</v>
      </c>
      <c r="AJ662" t="s">
        <v>3105</v>
      </c>
      <c r="AK662" t="s">
        <v>2416</v>
      </c>
      <c r="AL662" t="s">
        <v>272</v>
      </c>
    </row>
    <row r="663" spans="1:38">
      <c r="A663" t="s">
        <v>3450</v>
      </c>
      <c r="B663" t="s">
        <v>3451</v>
      </c>
      <c r="C663" t="s">
        <v>3452</v>
      </c>
      <c r="D663" t="s">
        <v>3452</v>
      </c>
      <c r="E663" t="s">
        <v>3453</v>
      </c>
      <c r="F663" t="s">
        <v>2413</v>
      </c>
      <c r="G663">
        <v>3</v>
      </c>
      <c r="H663">
        <v>1</v>
      </c>
      <c r="I663">
        <v>0.01</v>
      </c>
      <c r="J663">
        <v>750</v>
      </c>
      <c r="K663">
        <v>0.38</v>
      </c>
      <c r="L663">
        <v>84</v>
      </c>
      <c r="M663">
        <v>83.68</v>
      </c>
      <c r="N663">
        <v>83.5</v>
      </c>
      <c r="O663">
        <v>83.97</v>
      </c>
      <c r="P663">
        <v>0</v>
      </c>
      <c r="Q663">
        <v>0</v>
      </c>
      <c r="R663">
        <v>0</v>
      </c>
      <c r="S663">
        <v>82.96</v>
      </c>
      <c r="T663">
        <v>81.94</v>
      </c>
      <c r="U663">
        <v>81.94</v>
      </c>
      <c r="V663">
        <v>85.6</v>
      </c>
      <c r="W663">
        <v>714892</v>
      </c>
      <c r="X663">
        <v>83.3</v>
      </c>
      <c r="Y663">
        <v>83.89</v>
      </c>
      <c r="Z663">
        <v>87</v>
      </c>
      <c r="AA663">
        <v>150000</v>
      </c>
      <c r="AB663">
        <v>630</v>
      </c>
      <c r="AC663">
        <v>0</v>
      </c>
      <c r="AD663" t="s">
        <v>94</v>
      </c>
      <c r="AE663" t="s">
        <v>94</v>
      </c>
      <c r="AF663" t="s">
        <v>304</v>
      </c>
      <c r="AG663" t="s">
        <v>1494</v>
      </c>
      <c r="AH663">
        <v>0</v>
      </c>
      <c r="AI663" t="s">
        <v>3104</v>
      </c>
      <c r="AJ663" t="s">
        <v>3105</v>
      </c>
      <c r="AK663" t="s">
        <v>2416</v>
      </c>
      <c r="AL663" t="s">
        <v>272</v>
      </c>
    </row>
    <row r="664" spans="1:38">
      <c r="A664" t="s">
        <v>3454</v>
      </c>
      <c r="B664" t="s">
        <v>3455</v>
      </c>
      <c r="C664" t="s">
        <v>3456</v>
      </c>
      <c r="D664" t="s">
        <v>3456</v>
      </c>
      <c r="E664" t="s">
        <v>3457</v>
      </c>
      <c r="F664" t="s">
        <v>2413</v>
      </c>
      <c r="G664">
        <v>3</v>
      </c>
      <c r="H664">
        <v>1</v>
      </c>
      <c r="I664">
        <v>0.01</v>
      </c>
      <c r="J664">
        <v>1000</v>
      </c>
      <c r="K664">
        <v>-1.51</v>
      </c>
      <c r="L664">
        <v>57.5</v>
      </c>
      <c r="M664">
        <v>57.95</v>
      </c>
      <c r="N664">
        <v>59.06</v>
      </c>
      <c r="O664">
        <v>57.52</v>
      </c>
      <c r="P664">
        <v>0</v>
      </c>
      <c r="Q664">
        <v>0</v>
      </c>
      <c r="R664">
        <v>0</v>
      </c>
      <c r="S664">
        <v>58.16</v>
      </c>
      <c r="T664">
        <v>58.54</v>
      </c>
      <c r="U664">
        <v>57.5</v>
      </c>
      <c r="V664">
        <v>58.95</v>
      </c>
      <c r="W664">
        <v>54090</v>
      </c>
      <c r="X664">
        <v>57.51</v>
      </c>
      <c r="Y664">
        <v>58.3</v>
      </c>
      <c r="Z664">
        <v>31</v>
      </c>
      <c r="AA664">
        <v>150000</v>
      </c>
      <c r="AB664">
        <v>5750</v>
      </c>
      <c r="AC664">
        <v>0</v>
      </c>
      <c r="AD664" t="s">
        <v>94</v>
      </c>
      <c r="AE664" t="s">
        <v>94</v>
      </c>
      <c r="AF664" t="s">
        <v>304</v>
      </c>
      <c r="AG664" t="s">
        <v>1494</v>
      </c>
      <c r="AH664">
        <v>0</v>
      </c>
      <c r="AI664" t="s">
        <v>3104</v>
      </c>
      <c r="AJ664" t="s">
        <v>3105</v>
      </c>
      <c r="AK664" t="s">
        <v>2416</v>
      </c>
      <c r="AL664" t="s">
        <v>272</v>
      </c>
    </row>
    <row r="665" spans="1:38">
      <c r="A665" t="s">
        <v>3458</v>
      </c>
      <c r="B665" t="s">
        <v>3459</v>
      </c>
      <c r="C665" t="s">
        <v>3460</v>
      </c>
      <c r="D665" t="s">
        <v>3460</v>
      </c>
      <c r="E665" t="s">
        <v>3461</v>
      </c>
      <c r="F665" t="s">
        <v>2413</v>
      </c>
      <c r="G665">
        <v>3</v>
      </c>
      <c r="H665">
        <v>1</v>
      </c>
      <c r="I665">
        <v>0.01</v>
      </c>
      <c r="J665">
        <v>1000</v>
      </c>
      <c r="K665">
        <v>-0.9</v>
      </c>
      <c r="L665">
        <v>60.3</v>
      </c>
      <c r="M665">
        <v>60.85</v>
      </c>
      <c r="N665">
        <v>60.23</v>
      </c>
      <c r="O665">
        <v>60.3</v>
      </c>
      <c r="P665">
        <v>0</v>
      </c>
      <c r="Q665">
        <v>0</v>
      </c>
      <c r="R665">
        <v>0</v>
      </c>
      <c r="S665">
        <v>60.51</v>
      </c>
      <c r="T665">
        <v>60.93</v>
      </c>
      <c r="U665">
        <v>59.99</v>
      </c>
      <c r="V665">
        <v>60.93</v>
      </c>
      <c r="W665">
        <v>912467</v>
      </c>
      <c r="X665">
        <v>60.35</v>
      </c>
      <c r="Y665">
        <v>60.87</v>
      </c>
      <c r="Z665">
        <v>98</v>
      </c>
      <c r="AA665">
        <v>500000</v>
      </c>
      <c r="AB665">
        <v>16884</v>
      </c>
      <c r="AC665">
        <v>0</v>
      </c>
      <c r="AD665" t="s">
        <v>94</v>
      </c>
      <c r="AE665" t="s">
        <v>94</v>
      </c>
      <c r="AF665" t="s">
        <v>304</v>
      </c>
      <c r="AG665" t="s">
        <v>1494</v>
      </c>
      <c r="AH665">
        <v>0</v>
      </c>
      <c r="AI665" t="s">
        <v>3104</v>
      </c>
      <c r="AJ665" t="s">
        <v>3105</v>
      </c>
      <c r="AK665" t="s">
        <v>2416</v>
      </c>
      <c r="AL665" t="s">
        <v>272</v>
      </c>
    </row>
    <row r="666" spans="1:38">
      <c r="A666" t="s">
        <v>3462</v>
      </c>
      <c r="B666" t="s">
        <v>3463</v>
      </c>
      <c r="C666" t="s">
        <v>3464</v>
      </c>
      <c r="D666" t="s">
        <v>3464</v>
      </c>
      <c r="E666" t="s">
        <v>3465</v>
      </c>
      <c r="F666" t="s">
        <v>2413</v>
      </c>
      <c r="G666">
        <v>3</v>
      </c>
      <c r="H666">
        <v>1</v>
      </c>
      <c r="I666">
        <v>0.01</v>
      </c>
      <c r="J666">
        <v>1000</v>
      </c>
      <c r="K666">
        <v>1.41</v>
      </c>
      <c r="L666">
        <v>75.03</v>
      </c>
      <c r="M666">
        <v>73.989999999999995</v>
      </c>
      <c r="N666">
        <v>73.69</v>
      </c>
      <c r="O666">
        <v>75.03</v>
      </c>
      <c r="P666">
        <v>0</v>
      </c>
      <c r="Q666">
        <v>0</v>
      </c>
      <c r="R666">
        <v>0</v>
      </c>
      <c r="S666">
        <v>74</v>
      </c>
      <c r="T666">
        <v>73.989999999999995</v>
      </c>
      <c r="U666">
        <v>73.209999999999994</v>
      </c>
      <c r="V666">
        <v>75.03</v>
      </c>
      <c r="W666">
        <v>663789</v>
      </c>
      <c r="X666">
        <v>74.66</v>
      </c>
      <c r="Y666">
        <v>74.8</v>
      </c>
      <c r="Z666">
        <v>18</v>
      </c>
      <c r="AA666">
        <v>200000</v>
      </c>
      <c r="AB666">
        <v>750.3</v>
      </c>
      <c r="AC666">
        <v>0</v>
      </c>
      <c r="AD666" t="s">
        <v>94</v>
      </c>
      <c r="AE666" t="s">
        <v>94</v>
      </c>
      <c r="AF666" t="s">
        <v>226</v>
      </c>
      <c r="AG666" t="s">
        <v>1494</v>
      </c>
      <c r="AH666">
        <v>6</v>
      </c>
      <c r="AI666" t="s">
        <v>3104</v>
      </c>
      <c r="AJ666" t="s">
        <v>3105</v>
      </c>
      <c r="AK666" t="s">
        <v>2416</v>
      </c>
      <c r="AL666" t="s">
        <v>272</v>
      </c>
    </row>
    <row r="667" spans="1:38">
      <c r="A667" t="s">
        <v>3466</v>
      </c>
      <c r="B667" t="s">
        <v>3467</v>
      </c>
      <c r="C667" t="s">
        <v>3468</v>
      </c>
      <c r="D667" t="s">
        <v>3468</v>
      </c>
      <c r="E667" t="s">
        <v>3469</v>
      </c>
      <c r="F667" t="s">
        <v>2413</v>
      </c>
      <c r="G667">
        <v>3</v>
      </c>
      <c r="H667">
        <v>1</v>
      </c>
      <c r="I667">
        <v>0.01</v>
      </c>
      <c r="J667">
        <v>1000</v>
      </c>
      <c r="K667">
        <v>-0.21</v>
      </c>
      <c r="L667">
        <v>74.61</v>
      </c>
      <c r="M667">
        <v>74.77</v>
      </c>
      <c r="N667">
        <v>74.19</v>
      </c>
      <c r="O667">
        <v>74.61</v>
      </c>
      <c r="P667">
        <v>0</v>
      </c>
      <c r="Q667">
        <v>0</v>
      </c>
      <c r="R667">
        <v>0</v>
      </c>
      <c r="S667">
        <v>74.540000000000006</v>
      </c>
      <c r="T667">
        <v>74.650000000000006</v>
      </c>
      <c r="U667">
        <v>73.73</v>
      </c>
      <c r="V667">
        <v>75.02</v>
      </c>
      <c r="W667">
        <v>456200</v>
      </c>
      <c r="X667">
        <v>74.61</v>
      </c>
      <c r="Y667">
        <v>74.7</v>
      </c>
      <c r="Z667">
        <v>61</v>
      </c>
      <c r="AA667">
        <v>450000</v>
      </c>
      <c r="AB667">
        <v>2238.3000000000002</v>
      </c>
      <c r="AC667">
        <v>0</v>
      </c>
      <c r="AD667" t="s">
        <v>94</v>
      </c>
      <c r="AE667" t="s">
        <v>94</v>
      </c>
      <c r="AF667" t="s">
        <v>226</v>
      </c>
      <c r="AG667" t="s">
        <v>1494</v>
      </c>
      <c r="AH667">
        <v>6</v>
      </c>
      <c r="AI667" t="s">
        <v>3104</v>
      </c>
      <c r="AJ667" t="s">
        <v>3105</v>
      </c>
      <c r="AK667" t="s">
        <v>2416</v>
      </c>
      <c r="AL667" t="s">
        <v>272</v>
      </c>
    </row>
    <row r="668" spans="1:38">
      <c r="A668" t="s">
        <v>3470</v>
      </c>
      <c r="B668" t="s">
        <v>3471</v>
      </c>
      <c r="C668" t="s">
        <v>3472</v>
      </c>
      <c r="D668" t="s">
        <v>3472</v>
      </c>
      <c r="E668" t="s">
        <v>3473</v>
      </c>
      <c r="F668" t="s">
        <v>2413</v>
      </c>
      <c r="G668">
        <v>3</v>
      </c>
      <c r="H668">
        <v>1</v>
      </c>
      <c r="I668">
        <v>0.01</v>
      </c>
      <c r="J668">
        <v>1000</v>
      </c>
      <c r="K668">
        <v>0.21</v>
      </c>
      <c r="L668">
        <v>81.09</v>
      </c>
      <c r="M668">
        <v>80.84</v>
      </c>
      <c r="N668">
        <v>80.900000000000006</v>
      </c>
      <c r="O668">
        <v>80.959999999999994</v>
      </c>
      <c r="P668">
        <v>0</v>
      </c>
      <c r="Q668">
        <v>0</v>
      </c>
      <c r="R668">
        <v>0</v>
      </c>
      <c r="S668">
        <v>80.45</v>
      </c>
      <c r="T668">
        <v>80.97</v>
      </c>
      <c r="U668">
        <v>80.05</v>
      </c>
      <c r="V668">
        <v>81.09</v>
      </c>
      <c r="W668">
        <v>275144</v>
      </c>
      <c r="X668">
        <v>81.010000000000005</v>
      </c>
      <c r="Y668">
        <v>81.09</v>
      </c>
      <c r="Z668">
        <v>92</v>
      </c>
      <c r="AA668">
        <v>160330</v>
      </c>
      <c r="AB668">
        <v>4054.5</v>
      </c>
      <c r="AC668">
        <v>0</v>
      </c>
      <c r="AD668" t="s">
        <v>94</v>
      </c>
      <c r="AE668" t="s">
        <v>94</v>
      </c>
      <c r="AF668" t="s">
        <v>226</v>
      </c>
      <c r="AG668" t="s">
        <v>1494</v>
      </c>
      <c r="AH668">
        <v>6</v>
      </c>
      <c r="AI668" t="s">
        <v>3104</v>
      </c>
      <c r="AJ668" t="s">
        <v>3105</v>
      </c>
      <c r="AK668" t="s">
        <v>2416</v>
      </c>
      <c r="AL668" t="s">
        <v>272</v>
      </c>
    </row>
    <row r="669" spans="1:38">
      <c r="A669" t="s">
        <v>3474</v>
      </c>
      <c r="B669" t="s">
        <v>3475</v>
      </c>
      <c r="C669" t="s">
        <v>3476</v>
      </c>
      <c r="D669" t="s">
        <v>3476</v>
      </c>
      <c r="E669" t="s">
        <v>3477</v>
      </c>
      <c r="F669" t="s">
        <v>2413</v>
      </c>
      <c r="G669">
        <v>3</v>
      </c>
      <c r="H669">
        <v>1</v>
      </c>
      <c r="I669">
        <v>0.01</v>
      </c>
      <c r="J669">
        <v>1000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14000000</v>
      </c>
      <c r="AB669">
        <v>0</v>
      </c>
      <c r="AC669">
        <v>0</v>
      </c>
      <c r="AD669" t="s">
        <v>94</v>
      </c>
      <c r="AE669" t="s">
        <v>94</v>
      </c>
      <c r="AF669" t="s">
        <v>226</v>
      </c>
      <c r="AG669" t="s">
        <v>1494</v>
      </c>
      <c r="AH669">
        <v>800</v>
      </c>
      <c r="AI669" t="s">
        <v>3104</v>
      </c>
      <c r="AJ669" t="s">
        <v>3105</v>
      </c>
      <c r="AK669" t="s">
        <v>2416</v>
      </c>
      <c r="AL669" t="s">
        <v>272</v>
      </c>
    </row>
    <row r="670" spans="1:38">
      <c r="A670" t="s">
        <v>3478</v>
      </c>
      <c r="B670" t="s">
        <v>3479</v>
      </c>
      <c r="C670" t="s">
        <v>3480</v>
      </c>
      <c r="D670" t="s">
        <v>3480</v>
      </c>
      <c r="E670" t="s">
        <v>3481</v>
      </c>
      <c r="F670" t="s">
        <v>2413</v>
      </c>
      <c r="G670">
        <v>3</v>
      </c>
      <c r="H670">
        <v>1</v>
      </c>
      <c r="I670">
        <v>0.01</v>
      </c>
      <c r="J670">
        <v>1000</v>
      </c>
      <c r="K670">
        <v>1.86</v>
      </c>
      <c r="L670">
        <v>91</v>
      </c>
      <c r="M670">
        <v>89.34</v>
      </c>
      <c r="N670">
        <v>90.08</v>
      </c>
      <c r="O670">
        <v>91</v>
      </c>
      <c r="P670">
        <v>0</v>
      </c>
      <c r="Q670">
        <v>0</v>
      </c>
      <c r="R670">
        <v>0</v>
      </c>
      <c r="S670">
        <v>90.77</v>
      </c>
      <c r="T670">
        <v>89.36</v>
      </c>
      <c r="U670">
        <v>89.35</v>
      </c>
      <c r="V670">
        <v>91.95</v>
      </c>
      <c r="W670">
        <v>665326</v>
      </c>
      <c r="X670">
        <v>90.95</v>
      </c>
      <c r="Y670">
        <v>91</v>
      </c>
      <c r="Z670">
        <v>120</v>
      </c>
      <c r="AA670">
        <v>200000</v>
      </c>
      <c r="AB670">
        <v>910</v>
      </c>
      <c r="AC670">
        <v>0</v>
      </c>
      <c r="AD670" t="s">
        <v>94</v>
      </c>
      <c r="AE670" t="s">
        <v>94</v>
      </c>
      <c r="AF670" t="s">
        <v>226</v>
      </c>
      <c r="AG670" t="s">
        <v>1494</v>
      </c>
      <c r="AH670">
        <v>6</v>
      </c>
      <c r="AI670" t="s">
        <v>3104</v>
      </c>
      <c r="AJ670" t="s">
        <v>3105</v>
      </c>
      <c r="AK670" t="s">
        <v>2416</v>
      </c>
      <c r="AL670" t="s">
        <v>272</v>
      </c>
    </row>
    <row r="671" spans="1:38">
      <c r="A671" t="s">
        <v>3482</v>
      </c>
      <c r="B671" t="s">
        <v>3483</v>
      </c>
      <c r="C671" t="s">
        <v>3484</v>
      </c>
      <c r="D671" t="s">
        <v>3484</v>
      </c>
      <c r="E671" t="s">
        <v>3485</v>
      </c>
      <c r="F671" t="s">
        <v>2413</v>
      </c>
      <c r="G671">
        <v>3</v>
      </c>
      <c r="H671">
        <v>1</v>
      </c>
      <c r="I671">
        <v>0.01</v>
      </c>
      <c r="J671">
        <v>600</v>
      </c>
      <c r="K671">
        <v>0.1</v>
      </c>
      <c r="L671">
        <v>89.56</v>
      </c>
      <c r="M671">
        <v>89.41</v>
      </c>
      <c r="N671">
        <v>88.94</v>
      </c>
      <c r="O671">
        <v>89.56</v>
      </c>
      <c r="P671">
        <v>0</v>
      </c>
      <c r="Q671">
        <v>0</v>
      </c>
      <c r="R671">
        <v>0</v>
      </c>
      <c r="S671">
        <v>89.46</v>
      </c>
      <c r="T671">
        <v>89.52</v>
      </c>
      <c r="U671">
        <v>89.06</v>
      </c>
      <c r="V671">
        <v>89.56</v>
      </c>
      <c r="W671">
        <v>66025</v>
      </c>
      <c r="X671">
        <v>89.46</v>
      </c>
      <c r="Y671">
        <v>89.56</v>
      </c>
      <c r="Z671">
        <v>41</v>
      </c>
      <c r="AA671">
        <v>200000</v>
      </c>
      <c r="AB671">
        <v>537.36</v>
      </c>
      <c r="AC671">
        <v>0</v>
      </c>
      <c r="AD671" t="s">
        <v>94</v>
      </c>
      <c r="AE671" t="s">
        <v>94</v>
      </c>
      <c r="AF671" t="s">
        <v>226</v>
      </c>
      <c r="AG671" t="s">
        <v>1494</v>
      </c>
      <c r="AH671">
        <v>6</v>
      </c>
      <c r="AI671" t="s">
        <v>3104</v>
      </c>
      <c r="AJ671" t="s">
        <v>3105</v>
      </c>
      <c r="AK671" t="s">
        <v>2416</v>
      </c>
      <c r="AL671" t="s">
        <v>272</v>
      </c>
    </row>
    <row r="672" spans="1:38">
      <c r="A672" t="s">
        <v>3486</v>
      </c>
      <c r="B672" t="s">
        <v>3487</v>
      </c>
      <c r="C672" t="s">
        <v>3488</v>
      </c>
      <c r="D672" t="s">
        <v>3488</v>
      </c>
      <c r="E672" t="s">
        <v>3489</v>
      </c>
      <c r="F672" t="s">
        <v>2413</v>
      </c>
      <c r="G672">
        <v>3</v>
      </c>
      <c r="H672">
        <v>1</v>
      </c>
      <c r="I672">
        <v>0.01</v>
      </c>
      <c r="J672">
        <v>850</v>
      </c>
      <c r="K672">
        <v>1.54</v>
      </c>
      <c r="L672">
        <v>81.260000000000005</v>
      </c>
      <c r="M672">
        <v>80.03</v>
      </c>
      <c r="N672">
        <v>80.84</v>
      </c>
      <c r="O672">
        <v>81.260000000000005</v>
      </c>
      <c r="P672">
        <v>0</v>
      </c>
      <c r="Q672">
        <v>0</v>
      </c>
      <c r="R672">
        <v>0</v>
      </c>
      <c r="S672">
        <v>80.89</v>
      </c>
      <c r="T672">
        <v>79.61</v>
      </c>
      <c r="U672">
        <v>79.61</v>
      </c>
      <c r="V672">
        <v>81.5</v>
      </c>
      <c r="W672">
        <v>315581</v>
      </c>
      <c r="X672">
        <v>80.7</v>
      </c>
      <c r="Y672">
        <v>81.260000000000005</v>
      </c>
      <c r="Z672">
        <v>62</v>
      </c>
      <c r="AA672">
        <v>250000</v>
      </c>
      <c r="AB672">
        <v>4834.97</v>
      </c>
      <c r="AC672">
        <v>0</v>
      </c>
      <c r="AD672" t="s">
        <v>94</v>
      </c>
      <c r="AE672" t="s">
        <v>94</v>
      </c>
      <c r="AF672" t="s">
        <v>226</v>
      </c>
      <c r="AG672" t="s">
        <v>1494</v>
      </c>
      <c r="AH672">
        <v>800</v>
      </c>
      <c r="AI672" t="s">
        <v>3104</v>
      </c>
      <c r="AJ672" t="s">
        <v>3105</v>
      </c>
      <c r="AK672" t="s">
        <v>2416</v>
      </c>
      <c r="AL672" t="s">
        <v>272</v>
      </c>
    </row>
    <row r="673" spans="1:38">
      <c r="A673" t="s">
        <v>3490</v>
      </c>
      <c r="B673" t="s">
        <v>3491</v>
      </c>
      <c r="C673" t="s">
        <v>3492</v>
      </c>
      <c r="D673" t="s">
        <v>3492</v>
      </c>
      <c r="E673" t="s">
        <v>3493</v>
      </c>
      <c r="F673" t="s">
        <v>2425</v>
      </c>
      <c r="G673">
        <v>3</v>
      </c>
      <c r="H673">
        <v>1</v>
      </c>
      <c r="I673">
        <v>0.01</v>
      </c>
      <c r="J673">
        <v>400</v>
      </c>
      <c r="K673">
        <v>0.47</v>
      </c>
      <c r="L673">
        <v>98.39</v>
      </c>
      <c r="M673">
        <v>97.93</v>
      </c>
      <c r="N673">
        <v>98.15</v>
      </c>
      <c r="O673">
        <v>98.39</v>
      </c>
      <c r="P673">
        <v>0</v>
      </c>
      <c r="Q673">
        <v>0</v>
      </c>
      <c r="R673">
        <v>0</v>
      </c>
      <c r="S673">
        <v>98.33</v>
      </c>
      <c r="T673">
        <v>98.29</v>
      </c>
      <c r="U673">
        <v>98.11</v>
      </c>
      <c r="V673">
        <v>98.4</v>
      </c>
      <c r="W673">
        <v>152219</v>
      </c>
      <c r="X673">
        <v>98.1</v>
      </c>
      <c r="Y673">
        <v>98.39</v>
      </c>
      <c r="Z673">
        <v>20</v>
      </c>
      <c r="AA673">
        <v>250000</v>
      </c>
      <c r="AB673">
        <v>393.56</v>
      </c>
      <c r="AC673">
        <v>0</v>
      </c>
      <c r="AD673" t="s">
        <v>94</v>
      </c>
      <c r="AE673" t="s">
        <v>94</v>
      </c>
      <c r="AF673" t="s">
        <v>304</v>
      </c>
      <c r="AG673" t="s">
        <v>1494</v>
      </c>
      <c r="AH673">
        <v>0</v>
      </c>
      <c r="AI673" t="s">
        <v>3104</v>
      </c>
      <c r="AJ673" t="s">
        <v>3105</v>
      </c>
      <c r="AK673" t="s">
        <v>2426</v>
      </c>
      <c r="AL673" t="s">
        <v>272</v>
      </c>
    </row>
    <row r="674" spans="1:38">
      <c r="A674" t="s">
        <v>3494</v>
      </c>
      <c r="B674" t="s">
        <v>3495</v>
      </c>
      <c r="C674" t="s">
        <v>3496</v>
      </c>
      <c r="D674" t="s">
        <v>3496</v>
      </c>
      <c r="E674" t="s">
        <v>3497</v>
      </c>
      <c r="F674" t="s">
        <v>2413</v>
      </c>
      <c r="G674">
        <v>3</v>
      </c>
      <c r="H674">
        <v>1</v>
      </c>
      <c r="I674">
        <v>0.01</v>
      </c>
      <c r="J674">
        <v>1000</v>
      </c>
      <c r="K674">
        <v>0.43</v>
      </c>
      <c r="L674">
        <v>77.8</v>
      </c>
      <c r="M674">
        <v>77.47</v>
      </c>
      <c r="N674">
        <v>76.92</v>
      </c>
      <c r="O674">
        <v>77.78</v>
      </c>
      <c r="P674">
        <v>0</v>
      </c>
      <c r="Q674">
        <v>0</v>
      </c>
      <c r="R674">
        <v>0</v>
      </c>
      <c r="S674">
        <v>77.39</v>
      </c>
      <c r="T674">
        <v>77.48</v>
      </c>
      <c r="U674">
        <v>76.989999999999995</v>
      </c>
      <c r="V674">
        <v>77.8</v>
      </c>
      <c r="W674">
        <v>759214</v>
      </c>
      <c r="X674">
        <v>77.67</v>
      </c>
      <c r="Y674">
        <v>77.8</v>
      </c>
      <c r="Z674">
        <v>41</v>
      </c>
      <c r="AA674">
        <v>500000</v>
      </c>
      <c r="AB674">
        <v>778</v>
      </c>
      <c r="AC674">
        <v>0</v>
      </c>
      <c r="AD674" t="s">
        <v>94</v>
      </c>
      <c r="AE674" t="s">
        <v>94</v>
      </c>
      <c r="AF674" t="s">
        <v>304</v>
      </c>
      <c r="AG674" t="s">
        <v>1494</v>
      </c>
      <c r="AH674">
        <v>0</v>
      </c>
      <c r="AI674" t="s">
        <v>3104</v>
      </c>
      <c r="AJ674" t="s">
        <v>3105</v>
      </c>
      <c r="AK674" t="s">
        <v>2416</v>
      </c>
      <c r="AL674" t="s">
        <v>272</v>
      </c>
    </row>
    <row r="675" spans="1:38">
      <c r="A675" t="s">
        <v>3498</v>
      </c>
      <c r="B675" t="s">
        <v>3499</v>
      </c>
      <c r="C675" t="s">
        <v>3500</v>
      </c>
      <c r="D675" t="s">
        <v>3500</v>
      </c>
      <c r="E675" t="s">
        <v>3501</v>
      </c>
      <c r="F675" t="s">
        <v>2413</v>
      </c>
      <c r="G675">
        <v>3</v>
      </c>
      <c r="H675">
        <v>1</v>
      </c>
      <c r="I675">
        <v>0.01</v>
      </c>
      <c r="J675">
        <v>1000</v>
      </c>
      <c r="K675">
        <v>-1.67</v>
      </c>
      <c r="L675">
        <v>71.290000000000006</v>
      </c>
      <c r="M675">
        <v>72.47</v>
      </c>
      <c r="N675">
        <v>70.75</v>
      </c>
      <c r="O675">
        <v>71.290000000000006</v>
      </c>
      <c r="P675">
        <v>0</v>
      </c>
      <c r="Q675">
        <v>0</v>
      </c>
      <c r="R675">
        <v>0</v>
      </c>
      <c r="S675">
        <v>71.459999999999994</v>
      </c>
      <c r="T675">
        <v>71.989999999999995</v>
      </c>
      <c r="U675">
        <v>71</v>
      </c>
      <c r="V675">
        <v>72.31</v>
      </c>
      <c r="W675">
        <v>411621</v>
      </c>
      <c r="X675">
        <v>71.2</v>
      </c>
      <c r="Y675">
        <v>71.599999999999994</v>
      </c>
      <c r="Z675">
        <v>44</v>
      </c>
      <c r="AA675">
        <v>500000</v>
      </c>
      <c r="AB675">
        <v>22812.799999999999</v>
      </c>
      <c r="AC675">
        <v>0</v>
      </c>
      <c r="AD675" t="s">
        <v>94</v>
      </c>
      <c r="AE675" t="s">
        <v>94</v>
      </c>
      <c r="AF675" t="s">
        <v>304</v>
      </c>
      <c r="AG675" t="s">
        <v>1494</v>
      </c>
      <c r="AH675">
        <v>0</v>
      </c>
      <c r="AI675" t="s">
        <v>3104</v>
      </c>
      <c r="AJ675" t="s">
        <v>3105</v>
      </c>
      <c r="AK675" t="s">
        <v>2416</v>
      </c>
      <c r="AL675" t="s">
        <v>272</v>
      </c>
    </row>
    <row r="676" spans="1:38">
      <c r="A676" t="s">
        <v>3502</v>
      </c>
      <c r="B676" t="s">
        <v>3503</v>
      </c>
      <c r="C676" t="s">
        <v>3504</v>
      </c>
      <c r="D676" t="s">
        <v>3504</v>
      </c>
      <c r="E676" t="s">
        <v>3505</v>
      </c>
      <c r="F676" t="s">
        <v>2413</v>
      </c>
      <c r="G676">
        <v>3</v>
      </c>
      <c r="H676">
        <v>1</v>
      </c>
      <c r="I676">
        <v>0.01</v>
      </c>
      <c r="J676">
        <v>1000</v>
      </c>
      <c r="K676">
        <v>0.38</v>
      </c>
      <c r="L676">
        <v>72.010000000000005</v>
      </c>
      <c r="M676">
        <v>71.739999999999995</v>
      </c>
      <c r="N676">
        <v>72.16</v>
      </c>
      <c r="O676">
        <v>72.010000000000005</v>
      </c>
      <c r="P676">
        <v>0</v>
      </c>
      <c r="Q676">
        <v>0</v>
      </c>
      <c r="R676">
        <v>0</v>
      </c>
      <c r="S676">
        <v>71.650000000000006</v>
      </c>
      <c r="T676">
        <v>71.5</v>
      </c>
      <c r="U676">
        <v>71.22</v>
      </c>
      <c r="V676">
        <v>72.42</v>
      </c>
      <c r="W676">
        <v>509450</v>
      </c>
      <c r="X676">
        <v>71.599999999999994</v>
      </c>
      <c r="Y676">
        <v>71.989999999999995</v>
      </c>
      <c r="Z676">
        <v>56</v>
      </c>
      <c r="AA676">
        <v>300000</v>
      </c>
      <c r="AB676">
        <v>720.1</v>
      </c>
      <c r="AC676">
        <v>0</v>
      </c>
      <c r="AD676" t="s">
        <v>94</v>
      </c>
      <c r="AE676" t="s">
        <v>94</v>
      </c>
      <c r="AF676" t="s">
        <v>304</v>
      </c>
      <c r="AG676" t="s">
        <v>1494</v>
      </c>
      <c r="AH676">
        <v>0</v>
      </c>
      <c r="AI676" t="s">
        <v>3104</v>
      </c>
      <c r="AJ676" t="s">
        <v>3105</v>
      </c>
      <c r="AK676" t="s">
        <v>2416</v>
      </c>
      <c r="AL676" t="s">
        <v>272</v>
      </c>
    </row>
    <row r="677" spans="1:38">
      <c r="A677" t="s">
        <v>3506</v>
      </c>
      <c r="B677" t="s">
        <v>3507</v>
      </c>
      <c r="C677" t="s">
        <v>3508</v>
      </c>
      <c r="D677" t="s">
        <v>3508</v>
      </c>
      <c r="E677" t="s">
        <v>3509</v>
      </c>
      <c r="F677" t="s">
        <v>2413</v>
      </c>
      <c r="G677">
        <v>3</v>
      </c>
      <c r="H677">
        <v>1</v>
      </c>
      <c r="I677">
        <v>0.01</v>
      </c>
      <c r="J677">
        <v>1000</v>
      </c>
      <c r="K677">
        <v>-0.06</v>
      </c>
      <c r="L677">
        <v>92.7</v>
      </c>
      <c r="M677">
        <v>92.76</v>
      </c>
      <c r="N677">
        <v>92.84</v>
      </c>
      <c r="O677">
        <v>92.7</v>
      </c>
      <c r="P677">
        <v>0</v>
      </c>
      <c r="Q677">
        <v>0</v>
      </c>
      <c r="R677">
        <v>0</v>
      </c>
      <c r="S677">
        <v>92.65</v>
      </c>
      <c r="T677">
        <v>92.65</v>
      </c>
      <c r="U677">
        <v>92.53</v>
      </c>
      <c r="V677">
        <v>92.85</v>
      </c>
      <c r="W677">
        <v>920952</v>
      </c>
      <c r="X677">
        <v>92.68</v>
      </c>
      <c r="Y677">
        <v>92.7</v>
      </c>
      <c r="Z677">
        <v>88</v>
      </c>
      <c r="AA677">
        <v>431434</v>
      </c>
      <c r="AB677">
        <v>5562</v>
      </c>
      <c r="AC677">
        <v>0</v>
      </c>
      <c r="AD677" t="s">
        <v>94</v>
      </c>
      <c r="AE677" t="s">
        <v>94</v>
      </c>
      <c r="AF677" t="s">
        <v>304</v>
      </c>
      <c r="AG677" t="s">
        <v>1494</v>
      </c>
      <c r="AH677">
        <v>0</v>
      </c>
      <c r="AI677" t="s">
        <v>3104</v>
      </c>
      <c r="AJ677" t="s">
        <v>3105</v>
      </c>
      <c r="AK677" t="s">
        <v>2416</v>
      </c>
      <c r="AL677" t="s">
        <v>272</v>
      </c>
    </row>
    <row r="678" spans="1:38">
      <c r="A678" t="s">
        <v>3510</v>
      </c>
      <c r="B678" t="s">
        <v>3511</v>
      </c>
      <c r="C678" t="s">
        <v>3512</v>
      </c>
      <c r="D678" t="s">
        <v>3512</v>
      </c>
      <c r="E678" t="s">
        <v>3513</v>
      </c>
      <c r="F678" t="s">
        <v>2413</v>
      </c>
      <c r="G678">
        <v>3</v>
      </c>
      <c r="H678">
        <v>1</v>
      </c>
      <c r="I678">
        <v>0.01</v>
      </c>
      <c r="J678">
        <v>1000</v>
      </c>
      <c r="K678">
        <v>-0.01</v>
      </c>
      <c r="L678">
        <v>89.99</v>
      </c>
      <c r="M678">
        <v>90</v>
      </c>
      <c r="N678">
        <v>90.63</v>
      </c>
      <c r="O678">
        <v>88.99</v>
      </c>
      <c r="P678">
        <v>0</v>
      </c>
      <c r="Q678">
        <v>0</v>
      </c>
      <c r="R678">
        <v>0</v>
      </c>
      <c r="S678">
        <v>88.71</v>
      </c>
      <c r="T678">
        <v>89.6</v>
      </c>
      <c r="U678">
        <v>87.2</v>
      </c>
      <c r="V678">
        <v>90</v>
      </c>
      <c r="W678">
        <v>847160</v>
      </c>
      <c r="X678">
        <v>89.09</v>
      </c>
      <c r="Y678">
        <v>90</v>
      </c>
      <c r="Z678">
        <v>52</v>
      </c>
      <c r="AA678">
        <v>37909</v>
      </c>
      <c r="AB678">
        <v>4499.5</v>
      </c>
      <c r="AC678">
        <v>0</v>
      </c>
      <c r="AD678" t="s">
        <v>94</v>
      </c>
      <c r="AE678" t="s">
        <v>94</v>
      </c>
      <c r="AF678" t="s">
        <v>304</v>
      </c>
      <c r="AG678" t="s">
        <v>1494</v>
      </c>
      <c r="AH678">
        <v>0</v>
      </c>
      <c r="AI678" t="s">
        <v>3104</v>
      </c>
      <c r="AJ678" t="s">
        <v>3105</v>
      </c>
      <c r="AK678" t="s">
        <v>2416</v>
      </c>
      <c r="AL678" t="s">
        <v>272</v>
      </c>
    </row>
    <row r="679" spans="1:38">
      <c r="A679" t="s">
        <v>3514</v>
      </c>
      <c r="B679" t="s">
        <v>3515</v>
      </c>
      <c r="C679" t="s">
        <v>3516</v>
      </c>
      <c r="D679" t="s">
        <v>3516</v>
      </c>
      <c r="E679" t="s">
        <v>3517</v>
      </c>
      <c r="F679" t="s">
        <v>2413</v>
      </c>
      <c r="G679">
        <v>3</v>
      </c>
      <c r="H679">
        <v>1</v>
      </c>
      <c r="I679">
        <v>0.01</v>
      </c>
      <c r="J679">
        <v>500</v>
      </c>
      <c r="K679">
        <v>-0.35</v>
      </c>
      <c r="L679">
        <v>95.5</v>
      </c>
      <c r="M679">
        <v>95.72</v>
      </c>
      <c r="N679">
        <v>95.67</v>
      </c>
      <c r="O679">
        <v>95.54</v>
      </c>
      <c r="P679">
        <v>0</v>
      </c>
      <c r="Q679">
        <v>0</v>
      </c>
      <c r="R679">
        <v>0</v>
      </c>
      <c r="S679">
        <v>95.52</v>
      </c>
      <c r="T679">
        <v>95.85</v>
      </c>
      <c r="U679">
        <v>95.21</v>
      </c>
      <c r="V679">
        <v>95.85</v>
      </c>
      <c r="W679">
        <v>106506</v>
      </c>
      <c r="X679">
        <v>95.48</v>
      </c>
      <c r="Y679">
        <v>95.5</v>
      </c>
      <c r="Z679">
        <v>31</v>
      </c>
      <c r="AA679">
        <v>300000</v>
      </c>
      <c r="AB679">
        <v>477.5</v>
      </c>
      <c r="AC679">
        <v>0</v>
      </c>
      <c r="AD679" t="s">
        <v>94</v>
      </c>
      <c r="AE679" t="s">
        <v>94</v>
      </c>
      <c r="AF679" t="s">
        <v>226</v>
      </c>
      <c r="AG679" t="s">
        <v>1494</v>
      </c>
      <c r="AH679">
        <v>6</v>
      </c>
      <c r="AI679" t="s">
        <v>3104</v>
      </c>
      <c r="AJ679" t="s">
        <v>3105</v>
      </c>
      <c r="AK679" t="s">
        <v>2416</v>
      </c>
      <c r="AL679" t="s">
        <v>272</v>
      </c>
    </row>
    <row r="680" spans="1:38">
      <c r="A680" t="s">
        <v>3518</v>
      </c>
      <c r="B680" t="s">
        <v>3519</v>
      </c>
      <c r="C680" t="s">
        <v>3520</v>
      </c>
      <c r="D680" t="s">
        <v>3520</v>
      </c>
      <c r="E680" t="s">
        <v>3521</v>
      </c>
      <c r="F680" t="s">
        <v>2413</v>
      </c>
      <c r="G680">
        <v>3</v>
      </c>
      <c r="H680">
        <v>1</v>
      </c>
      <c r="I680">
        <v>0.01</v>
      </c>
      <c r="J680">
        <v>750</v>
      </c>
      <c r="K680">
        <v>0</v>
      </c>
      <c r="L680">
        <v>90.75</v>
      </c>
      <c r="M680">
        <v>90.65</v>
      </c>
      <c r="N680">
        <v>90.39</v>
      </c>
      <c r="O680">
        <v>90.75</v>
      </c>
      <c r="P680">
        <v>0</v>
      </c>
      <c r="Q680">
        <v>0</v>
      </c>
      <c r="R680">
        <v>0</v>
      </c>
      <c r="S680">
        <v>90.75</v>
      </c>
      <c r="T680">
        <v>90.74</v>
      </c>
      <c r="U680">
        <v>90.41</v>
      </c>
      <c r="V680">
        <v>90.75</v>
      </c>
      <c r="W680">
        <v>98006</v>
      </c>
      <c r="X680">
        <v>90.41</v>
      </c>
      <c r="Y680">
        <v>90.66</v>
      </c>
      <c r="Z680">
        <v>11</v>
      </c>
      <c r="AA680">
        <v>250000</v>
      </c>
      <c r="AB680">
        <v>680.63</v>
      </c>
      <c r="AC680">
        <v>0</v>
      </c>
      <c r="AD680" t="s">
        <v>94</v>
      </c>
      <c r="AE680" t="s">
        <v>94</v>
      </c>
      <c r="AF680" t="s">
        <v>226</v>
      </c>
      <c r="AG680" t="s">
        <v>1494</v>
      </c>
      <c r="AH680">
        <v>6</v>
      </c>
      <c r="AI680" t="s">
        <v>3104</v>
      </c>
      <c r="AJ680" t="s">
        <v>3105</v>
      </c>
      <c r="AK680" t="s">
        <v>2416</v>
      </c>
      <c r="AL680" t="s">
        <v>272</v>
      </c>
    </row>
    <row r="681" spans="1:38">
      <c r="A681" t="s">
        <v>3522</v>
      </c>
      <c r="B681" t="s">
        <v>3523</v>
      </c>
      <c r="C681" t="s">
        <v>3524</v>
      </c>
      <c r="D681" t="s">
        <v>3524</v>
      </c>
      <c r="E681" t="s">
        <v>3525</v>
      </c>
      <c r="F681" t="s">
        <v>2413</v>
      </c>
      <c r="G681">
        <v>3</v>
      </c>
      <c r="H681">
        <v>1</v>
      </c>
      <c r="I681">
        <v>0.01</v>
      </c>
      <c r="J681">
        <v>1000</v>
      </c>
      <c r="K681">
        <v>2.2799999999999998</v>
      </c>
      <c r="L681">
        <v>71.22</v>
      </c>
      <c r="M681">
        <v>69.63</v>
      </c>
      <c r="N681">
        <v>71.209999999999994</v>
      </c>
      <c r="O681">
        <v>71.209999999999994</v>
      </c>
      <c r="P681">
        <v>0</v>
      </c>
      <c r="Q681">
        <v>0</v>
      </c>
      <c r="R681">
        <v>0</v>
      </c>
      <c r="S681">
        <v>70.209999999999994</v>
      </c>
      <c r="T681">
        <v>69.83</v>
      </c>
      <c r="U681">
        <v>69</v>
      </c>
      <c r="V681">
        <v>72</v>
      </c>
      <c r="W681">
        <v>143225</v>
      </c>
      <c r="X681">
        <v>70.86</v>
      </c>
      <c r="Y681">
        <v>71.22</v>
      </c>
      <c r="Z681">
        <v>37</v>
      </c>
      <c r="AA681">
        <v>250000</v>
      </c>
      <c r="AB681">
        <v>12107.4</v>
      </c>
      <c r="AC681">
        <v>0</v>
      </c>
      <c r="AD681" t="s">
        <v>94</v>
      </c>
      <c r="AE681" t="s">
        <v>94</v>
      </c>
      <c r="AF681" t="s">
        <v>226</v>
      </c>
      <c r="AG681" t="s">
        <v>1494</v>
      </c>
      <c r="AH681">
        <v>6</v>
      </c>
      <c r="AI681" t="s">
        <v>3104</v>
      </c>
      <c r="AJ681" t="s">
        <v>3105</v>
      </c>
      <c r="AK681" t="s">
        <v>2416</v>
      </c>
      <c r="AL681" t="s">
        <v>272</v>
      </c>
    </row>
    <row r="682" spans="1:38">
      <c r="A682" t="s">
        <v>3526</v>
      </c>
      <c r="B682" t="s">
        <v>3527</v>
      </c>
      <c r="C682" t="s">
        <v>3528</v>
      </c>
      <c r="D682" t="s">
        <v>3528</v>
      </c>
      <c r="E682" t="s">
        <v>3529</v>
      </c>
      <c r="F682" t="s">
        <v>2425</v>
      </c>
      <c r="G682">
        <v>3</v>
      </c>
      <c r="H682">
        <v>1</v>
      </c>
      <c r="I682">
        <v>0.01</v>
      </c>
      <c r="J682">
        <v>1000</v>
      </c>
      <c r="K682">
        <v>0.19</v>
      </c>
      <c r="L682">
        <v>74.75</v>
      </c>
      <c r="M682">
        <v>74.61</v>
      </c>
      <c r="N682">
        <v>74.040000000000006</v>
      </c>
      <c r="O682">
        <v>74.75</v>
      </c>
      <c r="P682">
        <v>0</v>
      </c>
      <c r="Q682">
        <v>0</v>
      </c>
      <c r="R682">
        <v>0</v>
      </c>
      <c r="S682">
        <v>73.099999999999994</v>
      </c>
      <c r="T682">
        <v>75.11</v>
      </c>
      <c r="U682">
        <v>70.08</v>
      </c>
      <c r="V682">
        <v>75.11</v>
      </c>
      <c r="W682">
        <v>5848</v>
      </c>
      <c r="X682">
        <v>70.92</v>
      </c>
      <c r="Y682">
        <v>74.819999999999993</v>
      </c>
      <c r="Z682">
        <v>4</v>
      </c>
      <c r="AA682">
        <v>400000</v>
      </c>
      <c r="AB682">
        <v>747.5</v>
      </c>
      <c r="AC682">
        <v>0</v>
      </c>
      <c r="AD682" t="s">
        <v>94</v>
      </c>
      <c r="AE682" t="s">
        <v>94</v>
      </c>
      <c r="AF682" t="s">
        <v>226</v>
      </c>
      <c r="AG682" t="s">
        <v>1494</v>
      </c>
      <c r="AH682">
        <v>6</v>
      </c>
      <c r="AI682" t="s">
        <v>3104</v>
      </c>
      <c r="AJ682" t="s">
        <v>3105</v>
      </c>
      <c r="AK682" t="s">
        <v>2426</v>
      </c>
      <c r="AL682" t="s">
        <v>272</v>
      </c>
    </row>
    <row r="683" spans="1:38">
      <c r="A683" t="s">
        <v>3530</v>
      </c>
      <c r="B683" t="s">
        <v>3139</v>
      </c>
      <c r="C683" t="s">
        <v>3140</v>
      </c>
      <c r="D683" t="s">
        <v>3140</v>
      </c>
      <c r="E683" t="s">
        <v>3141</v>
      </c>
      <c r="F683" t="s">
        <v>2413</v>
      </c>
      <c r="G683">
        <v>3</v>
      </c>
      <c r="H683">
        <v>1</v>
      </c>
      <c r="I683">
        <v>1E-4</v>
      </c>
      <c r="J683">
        <v>100</v>
      </c>
      <c r="K683">
        <v>-0.19</v>
      </c>
      <c r="L683">
        <v>90.879900000000006</v>
      </c>
      <c r="M683">
        <v>88.668199999999999</v>
      </c>
      <c r="N683">
        <v>89.742500000000007</v>
      </c>
      <c r="O683">
        <v>90</v>
      </c>
      <c r="P683">
        <v>0</v>
      </c>
      <c r="Q683">
        <v>0</v>
      </c>
      <c r="R683">
        <v>0</v>
      </c>
      <c r="S683">
        <v>89.886200000000002</v>
      </c>
      <c r="T683">
        <v>88.52</v>
      </c>
      <c r="U683">
        <v>88.52</v>
      </c>
      <c r="V683">
        <v>90.88</v>
      </c>
      <c r="W683">
        <v>3502</v>
      </c>
      <c r="X683">
        <v>89.000200000000007</v>
      </c>
      <c r="Y683">
        <v>90.79</v>
      </c>
      <c r="Z683">
        <v>15</v>
      </c>
      <c r="AA683">
        <v>175000</v>
      </c>
      <c r="AB683">
        <v>272.64</v>
      </c>
      <c r="AC683">
        <v>0</v>
      </c>
      <c r="AD683" t="s">
        <v>1663</v>
      </c>
      <c r="AE683" t="s">
        <v>1663</v>
      </c>
      <c r="AF683" t="s">
        <v>304</v>
      </c>
      <c r="AG683" t="s">
        <v>1494</v>
      </c>
      <c r="AH683">
        <v>0</v>
      </c>
      <c r="AI683" t="s">
        <v>3531</v>
      </c>
      <c r="AJ683" t="s">
        <v>3532</v>
      </c>
      <c r="AK683" t="s">
        <v>2416</v>
      </c>
      <c r="AL683" t="s">
        <v>272</v>
      </c>
    </row>
    <row r="684" spans="1:38">
      <c r="A684" t="s">
        <v>3533</v>
      </c>
      <c r="B684" t="s">
        <v>3534</v>
      </c>
      <c r="C684" t="s">
        <v>3535</v>
      </c>
      <c r="D684" t="s">
        <v>3535</v>
      </c>
      <c r="E684" t="s">
        <v>3536</v>
      </c>
      <c r="F684" t="s">
        <v>2425</v>
      </c>
      <c r="G684">
        <v>3</v>
      </c>
      <c r="H684">
        <v>1</v>
      </c>
      <c r="I684">
        <v>0.01</v>
      </c>
      <c r="J684">
        <v>1000</v>
      </c>
      <c r="K684">
        <v>0.18</v>
      </c>
      <c r="L684">
        <v>97.15</v>
      </c>
      <c r="M684">
        <v>96.98</v>
      </c>
      <c r="N684">
        <v>96.73</v>
      </c>
      <c r="O684">
        <v>97.15</v>
      </c>
      <c r="P684">
        <v>0</v>
      </c>
      <c r="Q684">
        <v>0</v>
      </c>
      <c r="R684">
        <v>0</v>
      </c>
      <c r="S684">
        <v>97.22</v>
      </c>
      <c r="T684">
        <v>96.6</v>
      </c>
      <c r="U684">
        <v>96.6</v>
      </c>
      <c r="V684">
        <v>97.6</v>
      </c>
      <c r="W684">
        <v>1172418</v>
      </c>
      <c r="X684">
        <v>97.13</v>
      </c>
      <c r="Y684">
        <v>97.57</v>
      </c>
      <c r="Z684">
        <v>39</v>
      </c>
      <c r="AA684">
        <v>300145</v>
      </c>
      <c r="AB684">
        <v>15544</v>
      </c>
      <c r="AC684">
        <v>0</v>
      </c>
      <c r="AD684" t="s">
        <v>94</v>
      </c>
      <c r="AE684" t="s">
        <v>94</v>
      </c>
      <c r="AF684" t="s">
        <v>304</v>
      </c>
      <c r="AG684" t="s">
        <v>226</v>
      </c>
      <c r="AH684">
        <v>0</v>
      </c>
      <c r="AI684" t="s">
        <v>3537</v>
      </c>
      <c r="AJ684" t="s">
        <v>1976</v>
      </c>
      <c r="AK684" t="s">
        <v>2426</v>
      </c>
      <c r="AL684" t="s">
        <v>272</v>
      </c>
    </row>
    <row r="685" spans="1:38">
      <c r="A685" t="s">
        <v>3538</v>
      </c>
      <c r="B685" t="s">
        <v>3539</v>
      </c>
      <c r="C685" t="s">
        <v>3540</v>
      </c>
      <c r="D685" t="s">
        <v>3540</v>
      </c>
      <c r="E685" t="s">
        <v>3541</v>
      </c>
      <c r="F685" t="s">
        <v>2413</v>
      </c>
      <c r="G685">
        <v>3</v>
      </c>
      <c r="H685">
        <v>1</v>
      </c>
      <c r="I685">
        <v>0.01</v>
      </c>
      <c r="J685">
        <v>1000</v>
      </c>
      <c r="K685">
        <v>1.87</v>
      </c>
      <c r="L685">
        <v>82.2</v>
      </c>
      <c r="M685">
        <v>80.69</v>
      </c>
      <c r="N685">
        <v>80.58</v>
      </c>
      <c r="O685">
        <v>82.14</v>
      </c>
      <c r="P685">
        <v>0</v>
      </c>
      <c r="Q685">
        <v>0</v>
      </c>
      <c r="R685">
        <v>0</v>
      </c>
      <c r="S685">
        <v>81.77</v>
      </c>
      <c r="T685">
        <v>80.599999999999994</v>
      </c>
      <c r="U685">
        <v>80.59</v>
      </c>
      <c r="V685">
        <v>83.46</v>
      </c>
      <c r="W685">
        <v>278840</v>
      </c>
      <c r="X685">
        <v>82.19</v>
      </c>
      <c r="Y685">
        <v>82.2</v>
      </c>
      <c r="Z685">
        <v>85</v>
      </c>
      <c r="AA685">
        <v>200000</v>
      </c>
      <c r="AB685">
        <v>4110</v>
      </c>
      <c r="AC685">
        <v>0</v>
      </c>
      <c r="AD685" t="s">
        <v>94</v>
      </c>
      <c r="AE685" t="s">
        <v>94</v>
      </c>
      <c r="AF685" t="s">
        <v>226</v>
      </c>
      <c r="AG685" t="s">
        <v>226</v>
      </c>
      <c r="AH685">
        <v>6</v>
      </c>
      <c r="AI685" t="s">
        <v>3537</v>
      </c>
      <c r="AJ685" t="s">
        <v>1976</v>
      </c>
      <c r="AK685" t="s">
        <v>2416</v>
      </c>
      <c r="AL685" t="s">
        <v>272</v>
      </c>
    </row>
    <row r="686" spans="1:38">
      <c r="A686" t="s">
        <v>3542</v>
      </c>
      <c r="B686" t="s">
        <v>3543</v>
      </c>
      <c r="C686" t="s">
        <v>3544</v>
      </c>
      <c r="D686" t="s">
        <v>3544</v>
      </c>
      <c r="E686" t="s">
        <v>3545</v>
      </c>
      <c r="F686" t="s">
        <v>2413</v>
      </c>
      <c r="G686">
        <v>3</v>
      </c>
      <c r="H686">
        <v>1</v>
      </c>
      <c r="I686">
        <v>0.01</v>
      </c>
      <c r="J686">
        <v>1000</v>
      </c>
      <c r="K686">
        <v>-0.04</v>
      </c>
      <c r="L686">
        <v>82.86</v>
      </c>
      <c r="M686">
        <v>82.55</v>
      </c>
      <c r="N686">
        <v>82.63</v>
      </c>
      <c r="O686">
        <v>82.72</v>
      </c>
      <c r="P686">
        <v>0</v>
      </c>
      <c r="Q686">
        <v>0</v>
      </c>
      <c r="R686">
        <v>0</v>
      </c>
      <c r="S686">
        <v>82.48</v>
      </c>
      <c r="T686">
        <v>82.94</v>
      </c>
      <c r="U686">
        <v>82</v>
      </c>
      <c r="V686">
        <v>82.94</v>
      </c>
      <c r="W686">
        <v>177326</v>
      </c>
      <c r="X686">
        <v>82.62</v>
      </c>
      <c r="Y686">
        <v>82.85</v>
      </c>
      <c r="Z686">
        <v>72</v>
      </c>
      <c r="AA686">
        <v>250000</v>
      </c>
      <c r="AB686">
        <v>828.6</v>
      </c>
      <c r="AC686">
        <v>0</v>
      </c>
      <c r="AD686" t="s">
        <v>94</v>
      </c>
      <c r="AE686" t="s">
        <v>94</v>
      </c>
      <c r="AF686" t="s">
        <v>226</v>
      </c>
      <c r="AG686" t="s">
        <v>226</v>
      </c>
      <c r="AH686">
        <v>6</v>
      </c>
      <c r="AI686" t="s">
        <v>3537</v>
      </c>
      <c r="AJ686" t="s">
        <v>1976</v>
      </c>
      <c r="AK686" t="s">
        <v>2416</v>
      </c>
      <c r="AL686" t="s">
        <v>272</v>
      </c>
    </row>
    <row r="687" spans="1:38">
      <c r="A687" t="s">
        <v>3546</v>
      </c>
      <c r="B687" t="s">
        <v>226</v>
      </c>
      <c r="C687" t="s">
        <v>2581</v>
      </c>
      <c r="D687" t="s">
        <v>2581</v>
      </c>
      <c r="E687" t="s">
        <v>2582</v>
      </c>
      <c r="F687" t="s">
        <v>2125</v>
      </c>
      <c r="G687">
        <v>3</v>
      </c>
      <c r="H687">
        <v>1</v>
      </c>
      <c r="I687">
        <v>1E-4</v>
      </c>
      <c r="J687">
        <v>1000</v>
      </c>
      <c r="K687">
        <v>0</v>
      </c>
      <c r="L687">
        <v>0</v>
      </c>
      <c r="M687">
        <v>75.909800000000004</v>
      </c>
      <c r="N687">
        <v>0</v>
      </c>
      <c r="O687">
        <v>75.909800000000004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600000</v>
      </c>
      <c r="AB687">
        <v>0</v>
      </c>
      <c r="AC687">
        <v>0</v>
      </c>
      <c r="AD687" t="s">
        <v>2</v>
      </c>
      <c r="AE687" t="s">
        <v>94</v>
      </c>
      <c r="AF687" t="s">
        <v>304</v>
      </c>
      <c r="AG687" t="s">
        <v>226</v>
      </c>
      <c r="AH687">
        <v>0</v>
      </c>
      <c r="AI687" t="s">
        <v>3537</v>
      </c>
      <c r="AJ687" t="s">
        <v>1976</v>
      </c>
      <c r="AK687" t="s">
        <v>2556</v>
      </c>
      <c r="AL687" t="s">
        <v>272</v>
      </c>
    </row>
    <row r="688" spans="1:38">
      <c r="A688" t="s">
        <v>3547</v>
      </c>
      <c r="B688" t="s">
        <v>226</v>
      </c>
      <c r="C688" t="s">
        <v>2586</v>
      </c>
      <c r="D688" t="s">
        <v>2586</v>
      </c>
      <c r="E688" t="s">
        <v>2587</v>
      </c>
      <c r="F688" t="s">
        <v>2125</v>
      </c>
      <c r="G688">
        <v>3</v>
      </c>
      <c r="H688">
        <v>1</v>
      </c>
      <c r="I688">
        <v>1E-4</v>
      </c>
      <c r="J688">
        <v>1000</v>
      </c>
      <c r="K688">
        <v>0</v>
      </c>
      <c r="L688">
        <v>0</v>
      </c>
      <c r="M688">
        <v>72.5</v>
      </c>
      <c r="N688">
        <v>0</v>
      </c>
      <c r="O688">
        <v>72.5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600000</v>
      </c>
      <c r="AB688">
        <v>0</v>
      </c>
      <c r="AC688">
        <v>0</v>
      </c>
      <c r="AD688" t="s">
        <v>2</v>
      </c>
      <c r="AE688" t="s">
        <v>94</v>
      </c>
      <c r="AF688" t="s">
        <v>304</v>
      </c>
      <c r="AG688" t="s">
        <v>226</v>
      </c>
      <c r="AH688">
        <v>0</v>
      </c>
      <c r="AI688" t="s">
        <v>3537</v>
      </c>
      <c r="AJ688" t="s">
        <v>1976</v>
      </c>
      <c r="AK688" t="s">
        <v>2556</v>
      </c>
      <c r="AL688" t="s">
        <v>272</v>
      </c>
    </row>
    <row r="689" spans="1:38">
      <c r="A689" t="s">
        <v>3548</v>
      </c>
      <c r="B689" t="s">
        <v>226</v>
      </c>
      <c r="C689" t="s">
        <v>2589</v>
      </c>
      <c r="D689" t="s">
        <v>2589</v>
      </c>
      <c r="E689" t="s">
        <v>2590</v>
      </c>
      <c r="F689" t="s">
        <v>2125</v>
      </c>
      <c r="G689">
        <v>3</v>
      </c>
      <c r="H689">
        <v>1</v>
      </c>
      <c r="I689">
        <v>1E-4</v>
      </c>
      <c r="J689">
        <v>1000</v>
      </c>
      <c r="K689">
        <v>0</v>
      </c>
      <c r="L689">
        <v>0</v>
      </c>
      <c r="M689">
        <v>74.400000000000006</v>
      </c>
      <c r="N689">
        <v>0</v>
      </c>
      <c r="O689">
        <v>74.400000000000006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750000</v>
      </c>
      <c r="AB689">
        <v>0</v>
      </c>
      <c r="AC689">
        <v>0</v>
      </c>
      <c r="AD689" t="s">
        <v>2</v>
      </c>
      <c r="AE689" t="s">
        <v>94</v>
      </c>
      <c r="AF689" t="s">
        <v>304</v>
      </c>
      <c r="AG689" t="s">
        <v>226</v>
      </c>
      <c r="AH689">
        <v>0</v>
      </c>
      <c r="AI689" t="s">
        <v>3537</v>
      </c>
      <c r="AJ689" t="s">
        <v>1976</v>
      </c>
      <c r="AK689" t="s">
        <v>2556</v>
      </c>
      <c r="AL689" t="s">
        <v>272</v>
      </c>
    </row>
    <row r="690" spans="1:38">
      <c r="A690" t="s">
        <v>3549</v>
      </c>
      <c r="B690" t="s">
        <v>3550</v>
      </c>
      <c r="C690" t="s">
        <v>3551</v>
      </c>
      <c r="D690" t="s">
        <v>3551</v>
      </c>
      <c r="E690" t="s">
        <v>3552</v>
      </c>
      <c r="F690" t="s">
        <v>2413</v>
      </c>
      <c r="G690">
        <v>3</v>
      </c>
      <c r="H690">
        <v>1</v>
      </c>
      <c r="I690">
        <v>0.01</v>
      </c>
      <c r="J690">
        <v>965</v>
      </c>
      <c r="K690">
        <v>-0.13</v>
      </c>
      <c r="L690">
        <v>71.08</v>
      </c>
      <c r="M690">
        <v>71.17</v>
      </c>
      <c r="N690">
        <v>71.05</v>
      </c>
      <c r="O690">
        <v>71.099999999999994</v>
      </c>
      <c r="P690">
        <v>0</v>
      </c>
      <c r="Q690">
        <v>0</v>
      </c>
      <c r="R690">
        <v>0</v>
      </c>
      <c r="S690">
        <v>70.94</v>
      </c>
      <c r="T690">
        <v>70.37</v>
      </c>
      <c r="U690">
        <v>70.37</v>
      </c>
      <c r="V690">
        <v>71.27</v>
      </c>
      <c r="W690">
        <v>548304</v>
      </c>
      <c r="X690">
        <v>71.08</v>
      </c>
      <c r="Y690">
        <v>71.14</v>
      </c>
      <c r="Z690">
        <v>135</v>
      </c>
      <c r="AA690">
        <v>1000000</v>
      </c>
      <c r="AB690">
        <v>2057.77</v>
      </c>
      <c r="AC690">
        <v>0</v>
      </c>
      <c r="AD690" t="s">
        <v>94</v>
      </c>
      <c r="AE690" t="s">
        <v>94</v>
      </c>
      <c r="AF690" t="s">
        <v>226</v>
      </c>
      <c r="AG690" t="s">
        <v>226</v>
      </c>
      <c r="AH690">
        <v>6</v>
      </c>
      <c r="AI690" t="s">
        <v>3537</v>
      </c>
      <c r="AJ690" t="s">
        <v>1976</v>
      </c>
      <c r="AK690" t="s">
        <v>2416</v>
      </c>
      <c r="AL690" t="s">
        <v>272</v>
      </c>
    </row>
    <row r="691" spans="1:38">
      <c r="A691" t="s">
        <v>3553</v>
      </c>
      <c r="B691" t="s">
        <v>3554</v>
      </c>
      <c r="C691" t="s">
        <v>3555</v>
      </c>
      <c r="D691" t="s">
        <v>3555</v>
      </c>
      <c r="E691" t="s">
        <v>3556</v>
      </c>
      <c r="F691" t="s">
        <v>2413</v>
      </c>
      <c r="G691">
        <v>3</v>
      </c>
      <c r="H691">
        <v>1</v>
      </c>
      <c r="I691">
        <v>0.01</v>
      </c>
      <c r="J691">
        <v>1000</v>
      </c>
      <c r="K691">
        <v>-1.38</v>
      </c>
      <c r="L691">
        <v>71.430000000000007</v>
      </c>
      <c r="M691">
        <v>72.430000000000007</v>
      </c>
      <c r="N691">
        <v>72.45</v>
      </c>
      <c r="O691">
        <v>71.41</v>
      </c>
      <c r="P691">
        <v>0</v>
      </c>
      <c r="Q691">
        <v>0</v>
      </c>
      <c r="R691">
        <v>0</v>
      </c>
      <c r="S691">
        <v>71.62</v>
      </c>
      <c r="T691">
        <v>72.36</v>
      </c>
      <c r="U691">
        <v>71</v>
      </c>
      <c r="V691">
        <v>72.36</v>
      </c>
      <c r="W691">
        <v>966865</v>
      </c>
      <c r="X691">
        <v>71.16</v>
      </c>
      <c r="Y691">
        <v>71.38</v>
      </c>
      <c r="Z691">
        <v>128</v>
      </c>
      <c r="AA691">
        <v>1000000</v>
      </c>
      <c r="AB691">
        <v>714.3</v>
      </c>
      <c r="AC691">
        <v>0</v>
      </c>
      <c r="AD691" t="s">
        <v>94</v>
      </c>
      <c r="AE691" t="s">
        <v>94</v>
      </c>
      <c r="AF691" t="s">
        <v>226</v>
      </c>
      <c r="AG691" t="s">
        <v>226</v>
      </c>
      <c r="AH691">
        <v>6</v>
      </c>
      <c r="AI691" t="s">
        <v>3537</v>
      </c>
      <c r="AJ691" t="s">
        <v>1976</v>
      </c>
      <c r="AK691" t="s">
        <v>2416</v>
      </c>
      <c r="AL691" t="s">
        <v>272</v>
      </c>
    </row>
    <row r="692" spans="1:38">
      <c r="A692" t="s">
        <v>3557</v>
      </c>
      <c r="B692" t="s">
        <v>3558</v>
      </c>
      <c r="C692" t="s">
        <v>3559</v>
      </c>
      <c r="D692" t="s">
        <v>3559</v>
      </c>
      <c r="E692" t="s">
        <v>3560</v>
      </c>
      <c r="F692" t="s">
        <v>2413</v>
      </c>
      <c r="G692">
        <v>3</v>
      </c>
      <c r="H692">
        <v>1</v>
      </c>
      <c r="I692">
        <v>0.01</v>
      </c>
      <c r="J692">
        <v>1000</v>
      </c>
      <c r="K692">
        <v>-0.05</v>
      </c>
      <c r="L692">
        <v>99.45</v>
      </c>
      <c r="M692">
        <v>99.5</v>
      </c>
      <c r="N692">
        <v>99.71</v>
      </c>
      <c r="O692">
        <v>99.45</v>
      </c>
      <c r="P692">
        <v>0</v>
      </c>
      <c r="Q692">
        <v>0</v>
      </c>
      <c r="R692">
        <v>0</v>
      </c>
      <c r="S692">
        <v>99.43</v>
      </c>
      <c r="T692">
        <v>98.54</v>
      </c>
      <c r="U692">
        <v>98.54</v>
      </c>
      <c r="V692">
        <v>99.7</v>
      </c>
      <c r="W692">
        <v>92471</v>
      </c>
      <c r="X692">
        <v>99.25</v>
      </c>
      <c r="Y692">
        <v>99.41</v>
      </c>
      <c r="Z692">
        <v>22</v>
      </c>
      <c r="AA692">
        <v>300000</v>
      </c>
      <c r="AB692">
        <v>4972.5</v>
      </c>
      <c r="AC692">
        <v>0</v>
      </c>
      <c r="AD692" t="s">
        <v>94</v>
      </c>
      <c r="AE692" t="s">
        <v>94</v>
      </c>
      <c r="AF692" t="s">
        <v>226</v>
      </c>
      <c r="AG692" t="s">
        <v>226</v>
      </c>
      <c r="AH692">
        <v>6</v>
      </c>
      <c r="AI692" t="s">
        <v>3537</v>
      </c>
      <c r="AJ692" t="s">
        <v>1976</v>
      </c>
      <c r="AK692" t="s">
        <v>2416</v>
      </c>
      <c r="AL692" t="s">
        <v>272</v>
      </c>
    </row>
    <row r="693" spans="1:38">
      <c r="A693" t="s">
        <v>3561</v>
      </c>
      <c r="B693" t="s">
        <v>3562</v>
      </c>
      <c r="C693" t="s">
        <v>3563</v>
      </c>
      <c r="D693" t="s">
        <v>3563</v>
      </c>
      <c r="E693" t="s">
        <v>3564</v>
      </c>
      <c r="F693" t="s">
        <v>2413</v>
      </c>
      <c r="G693">
        <v>3</v>
      </c>
      <c r="H693">
        <v>1</v>
      </c>
      <c r="I693">
        <v>0.01</v>
      </c>
      <c r="J693">
        <v>1000</v>
      </c>
      <c r="K693">
        <v>0.36</v>
      </c>
      <c r="L693">
        <v>91.98</v>
      </c>
      <c r="M693">
        <v>91.22</v>
      </c>
      <c r="N693">
        <v>90.86</v>
      </c>
      <c r="O693">
        <v>91.76</v>
      </c>
      <c r="P693">
        <v>0</v>
      </c>
      <c r="Q693">
        <v>0</v>
      </c>
      <c r="R693">
        <v>0</v>
      </c>
      <c r="S693">
        <v>90.76</v>
      </c>
      <c r="T693">
        <v>88.12</v>
      </c>
      <c r="U693">
        <v>87.9</v>
      </c>
      <c r="V693">
        <v>92</v>
      </c>
      <c r="W693">
        <v>740574</v>
      </c>
      <c r="X693">
        <v>91.99</v>
      </c>
      <c r="Y693">
        <v>92</v>
      </c>
      <c r="Z693">
        <v>142</v>
      </c>
      <c r="AA693">
        <v>500000</v>
      </c>
      <c r="AB693">
        <v>1839.6</v>
      </c>
      <c r="AC693">
        <v>0</v>
      </c>
      <c r="AD693" t="s">
        <v>94</v>
      </c>
      <c r="AE693" t="s">
        <v>94</v>
      </c>
      <c r="AF693" t="s">
        <v>226</v>
      </c>
      <c r="AG693" t="s">
        <v>226</v>
      </c>
      <c r="AH693">
        <v>6</v>
      </c>
      <c r="AI693" t="s">
        <v>3537</v>
      </c>
      <c r="AJ693" t="s">
        <v>1976</v>
      </c>
      <c r="AK693" t="s">
        <v>2416</v>
      </c>
      <c r="AL693" t="s">
        <v>272</v>
      </c>
    </row>
    <row r="694" spans="1:38">
      <c r="A694" t="s">
        <v>3565</v>
      </c>
      <c r="B694" t="s">
        <v>3566</v>
      </c>
      <c r="C694" t="s">
        <v>3567</v>
      </c>
      <c r="D694" t="s">
        <v>3567</v>
      </c>
      <c r="E694" t="s">
        <v>3568</v>
      </c>
      <c r="F694" t="s">
        <v>2413</v>
      </c>
      <c r="G694">
        <v>3</v>
      </c>
      <c r="H694">
        <v>1</v>
      </c>
      <c r="I694">
        <v>0.01</v>
      </c>
      <c r="J694">
        <v>1000</v>
      </c>
      <c r="K694">
        <v>0.56000000000000005</v>
      </c>
      <c r="L694">
        <v>76</v>
      </c>
      <c r="M694">
        <v>75.58</v>
      </c>
      <c r="N694">
        <v>75.239999999999995</v>
      </c>
      <c r="O694">
        <v>76</v>
      </c>
      <c r="P694">
        <v>0</v>
      </c>
      <c r="Q694">
        <v>0</v>
      </c>
      <c r="R694">
        <v>0</v>
      </c>
      <c r="S694">
        <v>75.77</v>
      </c>
      <c r="T694">
        <v>75.58</v>
      </c>
      <c r="U694">
        <v>75.44</v>
      </c>
      <c r="V694">
        <v>76.709999999999994</v>
      </c>
      <c r="W694">
        <v>284910</v>
      </c>
      <c r="X694">
        <v>75.59</v>
      </c>
      <c r="Y694">
        <v>76</v>
      </c>
      <c r="Z694">
        <v>48</v>
      </c>
      <c r="AA694">
        <v>200000</v>
      </c>
      <c r="AB694">
        <v>760</v>
      </c>
      <c r="AC694">
        <v>0</v>
      </c>
      <c r="AD694" t="s">
        <v>94</v>
      </c>
      <c r="AE694" t="s">
        <v>94</v>
      </c>
      <c r="AF694" t="s">
        <v>226</v>
      </c>
      <c r="AG694" t="s">
        <v>226</v>
      </c>
      <c r="AH694">
        <v>6</v>
      </c>
      <c r="AI694" t="s">
        <v>3537</v>
      </c>
      <c r="AJ694" t="s">
        <v>1976</v>
      </c>
      <c r="AK694" t="s">
        <v>2416</v>
      </c>
      <c r="AL694" t="s">
        <v>272</v>
      </c>
    </row>
    <row r="695" spans="1:38">
      <c r="A695" t="s">
        <v>3569</v>
      </c>
      <c r="B695" t="s">
        <v>3570</v>
      </c>
      <c r="C695" t="s">
        <v>3571</v>
      </c>
      <c r="D695" t="s">
        <v>3571</v>
      </c>
      <c r="E695" t="s">
        <v>3572</v>
      </c>
      <c r="F695" t="s">
        <v>2413</v>
      </c>
      <c r="G695">
        <v>3</v>
      </c>
      <c r="H695">
        <v>1</v>
      </c>
      <c r="I695">
        <v>0.01</v>
      </c>
      <c r="J695">
        <v>1000</v>
      </c>
      <c r="K695">
        <v>-1.74</v>
      </c>
      <c r="L695">
        <v>78.61</v>
      </c>
      <c r="M695">
        <v>80</v>
      </c>
      <c r="N695">
        <v>79.77</v>
      </c>
      <c r="O695">
        <v>78.459999999999994</v>
      </c>
      <c r="P695">
        <v>0</v>
      </c>
      <c r="Q695">
        <v>0</v>
      </c>
      <c r="R695">
        <v>0</v>
      </c>
      <c r="S695">
        <v>78.819999999999993</v>
      </c>
      <c r="T695">
        <v>80</v>
      </c>
      <c r="U695">
        <v>77.180000000000007</v>
      </c>
      <c r="V695">
        <v>80</v>
      </c>
      <c r="W695">
        <v>251439</v>
      </c>
      <c r="X695">
        <v>78.44</v>
      </c>
      <c r="Y695">
        <v>78.61</v>
      </c>
      <c r="Z695">
        <v>68</v>
      </c>
      <c r="AA695">
        <v>100000</v>
      </c>
      <c r="AB695">
        <v>1572.2</v>
      </c>
      <c r="AC695">
        <v>0</v>
      </c>
      <c r="AD695" t="s">
        <v>94</v>
      </c>
      <c r="AE695" t="s">
        <v>94</v>
      </c>
      <c r="AF695" t="s">
        <v>226</v>
      </c>
      <c r="AG695" t="s">
        <v>226</v>
      </c>
      <c r="AH695">
        <v>6</v>
      </c>
      <c r="AI695" t="s">
        <v>3537</v>
      </c>
      <c r="AJ695" t="s">
        <v>1976</v>
      </c>
      <c r="AK695" t="s">
        <v>2416</v>
      </c>
      <c r="AL695" t="s">
        <v>272</v>
      </c>
    </row>
    <row r="696" spans="1:38">
      <c r="A696" t="s">
        <v>3573</v>
      </c>
      <c r="B696" t="s">
        <v>3574</v>
      </c>
      <c r="C696" t="s">
        <v>3575</v>
      </c>
      <c r="D696" t="s">
        <v>3575</v>
      </c>
      <c r="E696" t="s">
        <v>3576</v>
      </c>
      <c r="F696" t="s">
        <v>2425</v>
      </c>
      <c r="G696">
        <v>1</v>
      </c>
      <c r="H696">
        <v>1</v>
      </c>
      <c r="I696">
        <v>0.01</v>
      </c>
      <c r="J696">
        <v>9151.23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95.01</v>
      </c>
      <c r="Y696">
        <v>0</v>
      </c>
      <c r="Z696">
        <v>0</v>
      </c>
      <c r="AA696">
        <v>2614380</v>
      </c>
      <c r="AB696">
        <v>0</v>
      </c>
      <c r="AC696">
        <v>0</v>
      </c>
      <c r="AD696" t="s">
        <v>94</v>
      </c>
      <c r="AE696" t="s">
        <v>94</v>
      </c>
      <c r="AF696" t="s">
        <v>226</v>
      </c>
      <c r="AG696" t="s">
        <v>226</v>
      </c>
      <c r="AH696">
        <v>-100</v>
      </c>
      <c r="AI696" t="s">
        <v>3537</v>
      </c>
      <c r="AJ696" t="s">
        <v>1976</v>
      </c>
      <c r="AK696" t="s">
        <v>2426</v>
      </c>
      <c r="AL696" t="s">
        <v>272</v>
      </c>
    </row>
    <row r="697" spans="1:38">
      <c r="A697" t="s">
        <v>3577</v>
      </c>
      <c r="B697" t="s">
        <v>3578</v>
      </c>
      <c r="C697" t="s">
        <v>3579</v>
      </c>
      <c r="D697" t="s">
        <v>3579</v>
      </c>
      <c r="E697" t="s">
        <v>3580</v>
      </c>
      <c r="F697" t="s">
        <v>2413</v>
      </c>
      <c r="G697">
        <v>3</v>
      </c>
      <c r="H697">
        <v>1</v>
      </c>
      <c r="I697">
        <v>0.01</v>
      </c>
      <c r="J697">
        <v>1000</v>
      </c>
      <c r="K697">
        <v>0.7</v>
      </c>
      <c r="L697">
        <v>99.2</v>
      </c>
      <c r="M697">
        <v>98.51</v>
      </c>
      <c r="N697">
        <v>99.03</v>
      </c>
      <c r="O697">
        <v>99.2</v>
      </c>
      <c r="P697">
        <v>0</v>
      </c>
      <c r="Q697">
        <v>0</v>
      </c>
      <c r="R697">
        <v>0</v>
      </c>
      <c r="S697">
        <v>99.16</v>
      </c>
      <c r="T697">
        <v>98.7</v>
      </c>
      <c r="U697">
        <v>98.6</v>
      </c>
      <c r="V697">
        <v>99.3</v>
      </c>
      <c r="W697">
        <v>127916</v>
      </c>
      <c r="X697">
        <v>99.2</v>
      </c>
      <c r="Y697">
        <v>99.4</v>
      </c>
      <c r="Z697">
        <v>16</v>
      </c>
      <c r="AA697">
        <v>300000</v>
      </c>
      <c r="AB697">
        <v>992</v>
      </c>
      <c r="AC697">
        <v>0</v>
      </c>
      <c r="AD697" t="s">
        <v>94</v>
      </c>
      <c r="AE697" t="s">
        <v>94</v>
      </c>
      <c r="AF697" t="s">
        <v>226</v>
      </c>
      <c r="AG697" t="s">
        <v>226</v>
      </c>
      <c r="AH697">
        <v>800</v>
      </c>
      <c r="AI697" t="s">
        <v>3537</v>
      </c>
      <c r="AJ697" t="s">
        <v>1976</v>
      </c>
      <c r="AK697" t="s">
        <v>2416</v>
      </c>
      <c r="AL697" t="s">
        <v>272</v>
      </c>
    </row>
    <row r="698" spans="1:38">
      <c r="A698" t="s">
        <v>3581</v>
      </c>
      <c r="B698" t="s">
        <v>2551</v>
      </c>
      <c r="C698" t="s">
        <v>2552</v>
      </c>
      <c r="D698" t="s">
        <v>2552</v>
      </c>
      <c r="E698" t="s">
        <v>2553</v>
      </c>
      <c r="F698" t="s">
        <v>2125</v>
      </c>
      <c r="G698">
        <v>1</v>
      </c>
      <c r="H698">
        <v>1</v>
      </c>
      <c r="I698">
        <v>1E-4</v>
      </c>
      <c r="J698">
        <v>100000</v>
      </c>
      <c r="K698">
        <v>0</v>
      </c>
      <c r="L698">
        <v>0</v>
      </c>
      <c r="M698">
        <v>96.5</v>
      </c>
      <c r="N698">
        <v>92.469200000000001</v>
      </c>
      <c r="O698">
        <v>96.5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75.099999999999994</v>
      </c>
      <c r="Y698">
        <v>98.5</v>
      </c>
      <c r="Z698">
        <v>0</v>
      </c>
      <c r="AA698">
        <v>17500</v>
      </c>
      <c r="AB698">
        <v>0</v>
      </c>
      <c r="AC698">
        <v>0</v>
      </c>
      <c r="AD698" t="s">
        <v>4</v>
      </c>
      <c r="AE698" t="s">
        <v>94</v>
      </c>
      <c r="AF698" t="s">
        <v>226</v>
      </c>
      <c r="AG698" t="s">
        <v>226</v>
      </c>
      <c r="AH698">
        <v>-100</v>
      </c>
      <c r="AI698" t="s">
        <v>3537</v>
      </c>
      <c r="AJ698" t="s">
        <v>1976</v>
      </c>
      <c r="AK698" t="s">
        <v>2556</v>
      </c>
      <c r="AL698" t="s">
        <v>272</v>
      </c>
    </row>
    <row r="699" spans="1:38">
      <c r="A699" t="s">
        <v>3582</v>
      </c>
      <c r="B699" t="s">
        <v>2592</v>
      </c>
      <c r="C699" t="s">
        <v>2593</v>
      </c>
      <c r="D699" t="s">
        <v>2593</v>
      </c>
      <c r="E699" t="s">
        <v>2594</v>
      </c>
      <c r="F699" t="s">
        <v>2125</v>
      </c>
      <c r="G699">
        <v>1</v>
      </c>
      <c r="H699">
        <v>1</v>
      </c>
      <c r="I699">
        <v>1E-4</v>
      </c>
      <c r="J699">
        <v>200000</v>
      </c>
      <c r="K699">
        <v>0</v>
      </c>
      <c r="L699">
        <v>0</v>
      </c>
      <c r="M699">
        <v>87.2</v>
      </c>
      <c r="N699">
        <v>89.9542</v>
      </c>
      <c r="O699">
        <v>87.2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80.040000000000006</v>
      </c>
      <c r="Y699">
        <v>91.25</v>
      </c>
      <c r="Z699">
        <v>0</v>
      </c>
      <c r="AA699">
        <v>15000</v>
      </c>
      <c r="AB699">
        <v>0</v>
      </c>
      <c r="AC699">
        <v>0</v>
      </c>
      <c r="AD699" t="s">
        <v>2</v>
      </c>
      <c r="AE699" t="s">
        <v>94</v>
      </c>
      <c r="AF699" t="s">
        <v>226</v>
      </c>
      <c r="AG699" t="s">
        <v>226</v>
      </c>
      <c r="AH699">
        <v>-100</v>
      </c>
      <c r="AI699" t="s">
        <v>3537</v>
      </c>
      <c r="AJ699" t="s">
        <v>1976</v>
      </c>
      <c r="AK699" t="s">
        <v>2556</v>
      </c>
      <c r="AL699" t="s">
        <v>272</v>
      </c>
    </row>
    <row r="700" spans="1:38">
      <c r="A700" t="s">
        <v>3583</v>
      </c>
      <c r="B700" t="s">
        <v>2596</v>
      </c>
      <c r="C700" t="s">
        <v>2597</v>
      </c>
      <c r="D700" t="s">
        <v>2597</v>
      </c>
      <c r="E700" t="s">
        <v>2598</v>
      </c>
      <c r="F700" t="s">
        <v>2125</v>
      </c>
      <c r="G700">
        <v>1</v>
      </c>
      <c r="H700">
        <v>1</v>
      </c>
      <c r="I700">
        <v>1E-4</v>
      </c>
      <c r="J700">
        <v>200000</v>
      </c>
      <c r="K700">
        <v>0</v>
      </c>
      <c r="L700">
        <v>0</v>
      </c>
      <c r="M700">
        <v>86.5</v>
      </c>
      <c r="N700">
        <v>85.453800000000001</v>
      </c>
      <c r="O700">
        <v>86.5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63.500100000000003</v>
      </c>
      <c r="Y700">
        <v>0</v>
      </c>
      <c r="Z700">
        <v>0</v>
      </c>
      <c r="AA700">
        <v>12023</v>
      </c>
      <c r="AB700">
        <v>0</v>
      </c>
      <c r="AC700">
        <v>0</v>
      </c>
      <c r="AD700" t="s">
        <v>2</v>
      </c>
      <c r="AE700" t="s">
        <v>94</v>
      </c>
      <c r="AF700" t="s">
        <v>226</v>
      </c>
      <c r="AG700" t="s">
        <v>226</v>
      </c>
      <c r="AH700">
        <v>-100</v>
      </c>
      <c r="AI700" t="s">
        <v>3537</v>
      </c>
      <c r="AJ700" t="s">
        <v>1976</v>
      </c>
      <c r="AK700" t="s">
        <v>2556</v>
      </c>
      <c r="AL700" t="s">
        <v>272</v>
      </c>
    </row>
    <row r="701" spans="1:38">
      <c r="A701" t="s">
        <v>3584</v>
      </c>
      <c r="B701" t="s">
        <v>2558</v>
      </c>
      <c r="C701" t="s">
        <v>2559</v>
      </c>
      <c r="D701" t="s">
        <v>2559</v>
      </c>
      <c r="E701" t="s">
        <v>2560</v>
      </c>
      <c r="F701" t="s">
        <v>2125</v>
      </c>
      <c r="G701">
        <v>1</v>
      </c>
      <c r="H701">
        <v>1</v>
      </c>
      <c r="I701">
        <v>1E-4</v>
      </c>
      <c r="J701">
        <v>100000</v>
      </c>
      <c r="K701">
        <v>0</v>
      </c>
      <c r="L701">
        <v>0</v>
      </c>
      <c r="M701">
        <v>80</v>
      </c>
      <c r="N701">
        <v>76.727400000000003</v>
      </c>
      <c r="O701">
        <v>80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55.8</v>
      </c>
      <c r="Y701">
        <v>0</v>
      </c>
      <c r="Z701">
        <v>0</v>
      </c>
      <c r="AA701">
        <v>12500</v>
      </c>
      <c r="AB701">
        <v>0</v>
      </c>
      <c r="AC701">
        <v>0</v>
      </c>
      <c r="AD701" t="s">
        <v>4</v>
      </c>
      <c r="AE701" t="s">
        <v>94</v>
      </c>
      <c r="AF701" t="s">
        <v>226</v>
      </c>
      <c r="AG701" t="s">
        <v>226</v>
      </c>
      <c r="AH701">
        <v>-100</v>
      </c>
      <c r="AI701" t="s">
        <v>3537</v>
      </c>
      <c r="AJ701" t="s">
        <v>1976</v>
      </c>
      <c r="AK701" t="s">
        <v>2556</v>
      </c>
      <c r="AL701" t="s">
        <v>272</v>
      </c>
    </row>
    <row r="702" spans="1:38">
      <c r="A702" t="s">
        <v>3585</v>
      </c>
      <c r="B702" t="s">
        <v>2600</v>
      </c>
      <c r="C702" t="s">
        <v>2601</v>
      </c>
      <c r="D702" t="s">
        <v>2601</v>
      </c>
      <c r="E702" t="s">
        <v>2602</v>
      </c>
      <c r="F702" t="s">
        <v>2125</v>
      </c>
      <c r="G702">
        <v>1</v>
      </c>
      <c r="H702">
        <v>1</v>
      </c>
      <c r="I702">
        <v>1E-4</v>
      </c>
      <c r="J702">
        <v>1000</v>
      </c>
      <c r="K702">
        <v>-1.2</v>
      </c>
      <c r="L702">
        <v>104.58</v>
      </c>
      <c r="M702">
        <v>105.5001</v>
      </c>
      <c r="N702">
        <v>105.5821</v>
      </c>
      <c r="O702">
        <v>104.58</v>
      </c>
      <c r="P702">
        <v>0</v>
      </c>
      <c r="Q702">
        <v>0</v>
      </c>
      <c r="R702">
        <v>0</v>
      </c>
      <c r="S702">
        <v>104.5462</v>
      </c>
      <c r="T702">
        <v>104.7011</v>
      </c>
      <c r="U702">
        <v>104.06100000000001</v>
      </c>
      <c r="V702">
        <v>104.99590000000001</v>
      </c>
      <c r="W702">
        <v>29419052</v>
      </c>
      <c r="X702">
        <v>104.6</v>
      </c>
      <c r="Y702">
        <v>104.893</v>
      </c>
      <c r="Z702">
        <v>53</v>
      </c>
      <c r="AA702">
        <v>2499850</v>
      </c>
      <c r="AB702">
        <v>111051.2</v>
      </c>
      <c r="AC702">
        <v>0</v>
      </c>
      <c r="AD702" t="s">
        <v>2</v>
      </c>
      <c r="AE702" t="s">
        <v>94</v>
      </c>
      <c r="AF702" t="s">
        <v>226</v>
      </c>
      <c r="AG702" t="s">
        <v>226</v>
      </c>
      <c r="AH702">
        <v>-100</v>
      </c>
      <c r="AI702" t="s">
        <v>3537</v>
      </c>
      <c r="AJ702" t="s">
        <v>1976</v>
      </c>
      <c r="AK702" t="s">
        <v>2556</v>
      </c>
      <c r="AL702" t="s">
        <v>272</v>
      </c>
    </row>
    <row r="703" spans="1:38">
      <c r="A703" t="s">
        <v>3586</v>
      </c>
      <c r="B703" t="s">
        <v>2604</v>
      </c>
      <c r="C703" t="s">
        <v>2605</v>
      </c>
      <c r="D703" t="s">
        <v>2605</v>
      </c>
      <c r="E703" t="s">
        <v>2606</v>
      </c>
      <c r="F703" t="s">
        <v>2125</v>
      </c>
      <c r="G703">
        <v>1</v>
      </c>
      <c r="H703">
        <v>1</v>
      </c>
      <c r="I703">
        <v>1E-4</v>
      </c>
      <c r="J703">
        <v>200000</v>
      </c>
      <c r="K703">
        <v>0</v>
      </c>
      <c r="L703">
        <v>0</v>
      </c>
      <c r="M703">
        <v>83.25</v>
      </c>
      <c r="N703">
        <v>81.021600000000007</v>
      </c>
      <c r="O703">
        <v>83.25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58.4</v>
      </c>
      <c r="Y703">
        <v>0</v>
      </c>
      <c r="Z703">
        <v>0</v>
      </c>
      <c r="AA703">
        <v>15000</v>
      </c>
      <c r="AB703">
        <v>0</v>
      </c>
      <c r="AC703">
        <v>0</v>
      </c>
      <c r="AD703" t="s">
        <v>2</v>
      </c>
      <c r="AE703" t="s">
        <v>94</v>
      </c>
      <c r="AF703" t="s">
        <v>226</v>
      </c>
      <c r="AG703" t="s">
        <v>226</v>
      </c>
      <c r="AH703">
        <v>-100</v>
      </c>
      <c r="AI703" t="s">
        <v>3537</v>
      </c>
      <c r="AJ703" t="s">
        <v>1976</v>
      </c>
      <c r="AK703" t="s">
        <v>2556</v>
      </c>
      <c r="AL703" t="s">
        <v>272</v>
      </c>
    </row>
    <row r="704" spans="1:38">
      <c r="A704" t="s">
        <v>3587</v>
      </c>
      <c r="B704" t="s">
        <v>2608</v>
      </c>
      <c r="C704" t="s">
        <v>2609</v>
      </c>
      <c r="D704" t="s">
        <v>2609</v>
      </c>
      <c r="E704" t="s">
        <v>2610</v>
      </c>
      <c r="F704" t="s">
        <v>2125</v>
      </c>
      <c r="G704">
        <v>1</v>
      </c>
      <c r="H704">
        <v>1000</v>
      </c>
      <c r="I704">
        <v>1E-4</v>
      </c>
      <c r="J704">
        <v>5.5E-2</v>
      </c>
      <c r="K704">
        <v>-4.29</v>
      </c>
      <c r="L704">
        <v>89.013499999999993</v>
      </c>
      <c r="M704">
        <v>95.5351</v>
      </c>
      <c r="N704">
        <v>93.187100000000001</v>
      </c>
      <c r="O704">
        <v>89.013499999999993</v>
      </c>
      <c r="P704">
        <v>0</v>
      </c>
      <c r="Q704">
        <v>0</v>
      </c>
      <c r="R704">
        <v>0</v>
      </c>
      <c r="S704">
        <v>91.034800000000004</v>
      </c>
      <c r="T704">
        <v>86.826499999999996</v>
      </c>
      <c r="U704">
        <v>86.826499999999996</v>
      </c>
      <c r="V704">
        <v>95.909099999999995</v>
      </c>
      <c r="W704">
        <v>101018</v>
      </c>
      <c r="X704">
        <v>90.036900000000003</v>
      </c>
      <c r="Y704">
        <v>95.397199999999998</v>
      </c>
      <c r="Z704">
        <v>10</v>
      </c>
      <c r="AA704">
        <v>8823873937</v>
      </c>
      <c r="AB704">
        <v>20794.73</v>
      </c>
      <c r="AC704">
        <v>0</v>
      </c>
      <c r="AD704" t="s">
        <v>2</v>
      </c>
      <c r="AE704" t="s">
        <v>94</v>
      </c>
      <c r="AF704" t="s">
        <v>226</v>
      </c>
      <c r="AG704" t="s">
        <v>226</v>
      </c>
      <c r="AH704">
        <v>-100</v>
      </c>
      <c r="AI704" t="s">
        <v>3537</v>
      </c>
      <c r="AJ704" t="s">
        <v>1976</v>
      </c>
      <c r="AK704" t="s">
        <v>2556</v>
      </c>
      <c r="AL704" t="s">
        <v>272</v>
      </c>
    </row>
    <row r="705" spans="1:38">
      <c r="A705" t="s">
        <v>3588</v>
      </c>
      <c r="B705" t="s">
        <v>2562</v>
      </c>
      <c r="C705" t="s">
        <v>2563</v>
      </c>
      <c r="D705" t="s">
        <v>2563</v>
      </c>
      <c r="E705" t="s">
        <v>2564</v>
      </c>
      <c r="F705" t="s">
        <v>2125</v>
      </c>
      <c r="G705">
        <v>1</v>
      </c>
      <c r="H705">
        <v>1</v>
      </c>
      <c r="I705">
        <v>1E-4</v>
      </c>
      <c r="J705">
        <v>100000</v>
      </c>
      <c r="K705">
        <v>0</v>
      </c>
      <c r="L705">
        <v>0</v>
      </c>
      <c r="M705">
        <v>59.5</v>
      </c>
      <c r="N705">
        <v>60.52</v>
      </c>
      <c r="O705">
        <v>59.5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41.85</v>
      </c>
      <c r="Y705">
        <v>0</v>
      </c>
      <c r="Z705">
        <v>0</v>
      </c>
      <c r="AA705">
        <v>12500</v>
      </c>
      <c r="AB705">
        <v>0</v>
      </c>
      <c r="AC705">
        <v>0</v>
      </c>
      <c r="AD705" t="s">
        <v>4</v>
      </c>
      <c r="AE705" t="s">
        <v>94</v>
      </c>
      <c r="AF705" t="s">
        <v>226</v>
      </c>
      <c r="AG705" t="s">
        <v>226</v>
      </c>
      <c r="AH705">
        <v>-100</v>
      </c>
      <c r="AI705" t="s">
        <v>3537</v>
      </c>
      <c r="AJ705" t="s">
        <v>1976</v>
      </c>
      <c r="AK705" t="s">
        <v>2556</v>
      </c>
      <c r="AL705" t="s">
        <v>272</v>
      </c>
    </row>
    <row r="706" spans="1:38">
      <c r="A706" t="s">
        <v>3589</v>
      </c>
      <c r="B706" t="s">
        <v>2612</v>
      </c>
      <c r="C706" t="s">
        <v>2613</v>
      </c>
      <c r="D706" t="s">
        <v>2613</v>
      </c>
      <c r="E706" t="s">
        <v>2614</v>
      </c>
      <c r="F706" t="s">
        <v>2125</v>
      </c>
      <c r="G706">
        <v>1</v>
      </c>
      <c r="H706">
        <v>1</v>
      </c>
      <c r="I706">
        <v>1E-4</v>
      </c>
      <c r="J706">
        <v>200000</v>
      </c>
      <c r="K706">
        <v>0</v>
      </c>
      <c r="L706">
        <v>0</v>
      </c>
      <c r="M706">
        <v>77</v>
      </c>
      <c r="N706">
        <v>70.3857</v>
      </c>
      <c r="O706">
        <v>77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55.3</v>
      </c>
      <c r="Y706">
        <v>0</v>
      </c>
      <c r="Z706">
        <v>0</v>
      </c>
      <c r="AA706">
        <v>20000</v>
      </c>
      <c r="AB706">
        <v>0</v>
      </c>
      <c r="AC706">
        <v>0</v>
      </c>
      <c r="AD706" t="s">
        <v>2</v>
      </c>
      <c r="AE706" t="s">
        <v>94</v>
      </c>
      <c r="AF706" t="s">
        <v>226</v>
      </c>
      <c r="AG706" t="s">
        <v>226</v>
      </c>
      <c r="AH706">
        <v>-100</v>
      </c>
      <c r="AI706" t="s">
        <v>3537</v>
      </c>
      <c r="AJ706" t="s">
        <v>1976</v>
      </c>
      <c r="AK706" t="s">
        <v>2556</v>
      </c>
      <c r="AL706" t="s">
        <v>272</v>
      </c>
    </row>
    <row r="707" spans="1:38">
      <c r="A707" t="s">
        <v>3590</v>
      </c>
      <c r="B707" t="s">
        <v>2566</v>
      </c>
      <c r="C707" t="s">
        <v>2567</v>
      </c>
      <c r="D707" t="s">
        <v>2567</v>
      </c>
      <c r="E707" t="s">
        <v>2568</v>
      </c>
      <c r="F707" t="s">
        <v>2125</v>
      </c>
      <c r="G707">
        <v>1</v>
      </c>
      <c r="H707">
        <v>1</v>
      </c>
      <c r="I707">
        <v>1E-4</v>
      </c>
      <c r="J707">
        <v>100000</v>
      </c>
      <c r="K707">
        <v>0</v>
      </c>
      <c r="L707">
        <v>0</v>
      </c>
      <c r="M707">
        <v>50</v>
      </c>
      <c r="N707">
        <v>50.8001</v>
      </c>
      <c r="O707">
        <v>50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42.01</v>
      </c>
      <c r="Y707">
        <v>0</v>
      </c>
      <c r="Z707">
        <v>0</v>
      </c>
      <c r="AA707">
        <v>10000</v>
      </c>
      <c r="AB707">
        <v>0</v>
      </c>
      <c r="AC707">
        <v>0</v>
      </c>
      <c r="AD707" t="s">
        <v>4</v>
      </c>
      <c r="AE707" t="s">
        <v>94</v>
      </c>
      <c r="AF707" t="s">
        <v>226</v>
      </c>
      <c r="AG707" t="s">
        <v>226</v>
      </c>
      <c r="AH707">
        <v>-100</v>
      </c>
      <c r="AI707" t="s">
        <v>3537</v>
      </c>
      <c r="AJ707" t="s">
        <v>1976</v>
      </c>
      <c r="AK707" t="s">
        <v>2556</v>
      </c>
      <c r="AL707" t="s">
        <v>272</v>
      </c>
    </row>
    <row r="708" spans="1:38">
      <c r="A708" t="s">
        <v>3591</v>
      </c>
      <c r="B708" t="s">
        <v>2616</v>
      </c>
      <c r="C708" t="s">
        <v>2617</v>
      </c>
      <c r="D708" t="s">
        <v>2617</v>
      </c>
      <c r="E708" t="s">
        <v>2618</v>
      </c>
      <c r="F708" t="s">
        <v>2125</v>
      </c>
      <c r="G708">
        <v>1</v>
      </c>
      <c r="H708">
        <v>1</v>
      </c>
      <c r="I708">
        <v>1E-4</v>
      </c>
      <c r="J708">
        <v>200000</v>
      </c>
      <c r="K708">
        <v>0</v>
      </c>
      <c r="L708">
        <v>0</v>
      </c>
      <c r="M708">
        <v>75.5</v>
      </c>
      <c r="N708">
        <v>0</v>
      </c>
      <c r="O708">
        <v>75.5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39.15</v>
      </c>
      <c r="Y708">
        <v>0</v>
      </c>
      <c r="Z708">
        <v>0</v>
      </c>
      <c r="AA708">
        <v>15000</v>
      </c>
      <c r="AB708">
        <v>0</v>
      </c>
      <c r="AC708">
        <v>0</v>
      </c>
      <c r="AD708" t="s">
        <v>2</v>
      </c>
      <c r="AE708" t="s">
        <v>94</v>
      </c>
      <c r="AF708" t="s">
        <v>226</v>
      </c>
      <c r="AG708" t="s">
        <v>226</v>
      </c>
      <c r="AH708">
        <v>-100</v>
      </c>
      <c r="AI708" t="s">
        <v>3537</v>
      </c>
      <c r="AJ708" t="s">
        <v>1976</v>
      </c>
      <c r="AK708" t="s">
        <v>2556</v>
      </c>
      <c r="AL708" t="s">
        <v>272</v>
      </c>
    </row>
    <row r="709" spans="1:38">
      <c r="A709" t="s">
        <v>3592</v>
      </c>
      <c r="B709" t="s">
        <v>2620</v>
      </c>
      <c r="C709" t="s">
        <v>2621</v>
      </c>
      <c r="D709" t="s">
        <v>2621</v>
      </c>
      <c r="E709" t="s">
        <v>2622</v>
      </c>
      <c r="F709" t="s">
        <v>2125</v>
      </c>
      <c r="G709">
        <v>1</v>
      </c>
      <c r="H709">
        <v>1</v>
      </c>
      <c r="I709">
        <v>1E-4</v>
      </c>
      <c r="J709">
        <v>200000</v>
      </c>
      <c r="K709">
        <v>0</v>
      </c>
      <c r="L709">
        <v>0</v>
      </c>
      <c r="M709">
        <v>82.8</v>
      </c>
      <c r="N709">
        <v>0</v>
      </c>
      <c r="O709">
        <v>82.8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40.86</v>
      </c>
      <c r="Y709">
        <v>0</v>
      </c>
      <c r="Z709">
        <v>0</v>
      </c>
      <c r="AA709">
        <v>7500</v>
      </c>
      <c r="AB709">
        <v>0</v>
      </c>
      <c r="AC709">
        <v>0</v>
      </c>
      <c r="AD709" t="s">
        <v>2</v>
      </c>
      <c r="AE709" t="s">
        <v>94</v>
      </c>
      <c r="AF709" t="s">
        <v>226</v>
      </c>
      <c r="AG709" t="s">
        <v>226</v>
      </c>
      <c r="AH709">
        <v>-100</v>
      </c>
      <c r="AI709" t="s">
        <v>3537</v>
      </c>
      <c r="AJ709" t="s">
        <v>1976</v>
      </c>
      <c r="AK709" t="s">
        <v>2556</v>
      </c>
      <c r="AL709" t="s">
        <v>272</v>
      </c>
    </row>
    <row r="710" spans="1:38">
      <c r="A710" t="s">
        <v>3593</v>
      </c>
      <c r="B710" t="s">
        <v>2624</v>
      </c>
      <c r="C710" t="s">
        <v>2625</v>
      </c>
      <c r="D710" t="s">
        <v>2625</v>
      </c>
      <c r="E710" t="s">
        <v>2626</v>
      </c>
      <c r="F710" t="s">
        <v>2125</v>
      </c>
      <c r="G710">
        <v>1</v>
      </c>
      <c r="H710">
        <v>1</v>
      </c>
      <c r="I710">
        <v>1E-4</v>
      </c>
      <c r="J710">
        <v>200000</v>
      </c>
      <c r="K710">
        <v>0</v>
      </c>
      <c r="L710">
        <v>0</v>
      </c>
      <c r="M710">
        <v>65.16</v>
      </c>
      <c r="N710">
        <v>59.513500000000001</v>
      </c>
      <c r="O710">
        <v>65.16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90</v>
      </c>
      <c r="Z710">
        <v>0</v>
      </c>
      <c r="AA710">
        <v>35000</v>
      </c>
      <c r="AB710">
        <v>0</v>
      </c>
      <c r="AC710">
        <v>0</v>
      </c>
      <c r="AD710" t="s">
        <v>2</v>
      </c>
      <c r="AE710" t="s">
        <v>94</v>
      </c>
      <c r="AF710" t="s">
        <v>226</v>
      </c>
      <c r="AG710" t="s">
        <v>226</v>
      </c>
      <c r="AH710">
        <v>-100</v>
      </c>
      <c r="AI710" t="s">
        <v>3537</v>
      </c>
      <c r="AJ710" t="s">
        <v>1976</v>
      </c>
      <c r="AK710" t="s">
        <v>2556</v>
      </c>
      <c r="AL710" t="s">
        <v>272</v>
      </c>
    </row>
    <row r="711" spans="1:38">
      <c r="A711" t="s">
        <v>3594</v>
      </c>
      <c r="B711" t="s">
        <v>226</v>
      </c>
      <c r="C711" t="s">
        <v>2570</v>
      </c>
      <c r="D711" t="s">
        <v>2570</v>
      </c>
      <c r="E711" t="s">
        <v>2571</v>
      </c>
      <c r="F711" t="s">
        <v>2425</v>
      </c>
      <c r="G711">
        <v>3</v>
      </c>
      <c r="H711">
        <v>1</v>
      </c>
      <c r="I711">
        <v>1E-4</v>
      </c>
      <c r="J711">
        <v>1000</v>
      </c>
      <c r="K711">
        <v>0</v>
      </c>
      <c r="L711">
        <v>0</v>
      </c>
      <c r="M711">
        <v>75.099999999999994</v>
      </c>
      <c r="N711">
        <v>0</v>
      </c>
      <c r="O711">
        <v>75.099999999999994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500000</v>
      </c>
      <c r="AB711">
        <v>0</v>
      </c>
      <c r="AC711">
        <v>0</v>
      </c>
      <c r="AD711" t="s">
        <v>4</v>
      </c>
      <c r="AE711" t="s">
        <v>94</v>
      </c>
      <c r="AF711" t="s">
        <v>304</v>
      </c>
      <c r="AG711" t="s">
        <v>226</v>
      </c>
      <c r="AH711">
        <v>0</v>
      </c>
      <c r="AI711" t="s">
        <v>3537</v>
      </c>
      <c r="AJ711" t="s">
        <v>1976</v>
      </c>
      <c r="AK711" t="s">
        <v>2426</v>
      </c>
      <c r="AL711" t="s">
        <v>272</v>
      </c>
    </row>
    <row r="712" spans="1:38">
      <c r="A712" t="s">
        <v>3595</v>
      </c>
      <c r="B712" t="s">
        <v>226</v>
      </c>
      <c r="C712" t="s">
        <v>2628</v>
      </c>
      <c r="D712" t="s">
        <v>2628</v>
      </c>
      <c r="E712" t="s">
        <v>2629</v>
      </c>
      <c r="F712" t="s">
        <v>2425</v>
      </c>
      <c r="G712">
        <v>3</v>
      </c>
      <c r="H712">
        <v>1</v>
      </c>
      <c r="I712">
        <v>1E-4</v>
      </c>
      <c r="J712">
        <v>1000</v>
      </c>
      <c r="K712">
        <v>0</v>
      </c>
      <c r="L712">
        <v>0</v>
      </c>
      <c r="M712">
        <v>92</v>
      </c>
      <c r="N712">
        <v>0</v>
      </c>
      <c r="O712">
        <v>92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1000000</v>
      </c>
      <c r="AB712">
        <v>0</v>
      </c>
      <c r="AC712">
        <v>0</v>
      </c>
      <c r="AD712" t="s">
        <v>2</v>
      </c>
      <c r="AE712" t="s">
        <v>94</v>
      </c>
      <c r="AF712" t="s">
        <v>304</v>
      </c>
      <c r="AG712" t="s">
        <v>226</v>
      </c>
      <c r="AH712">
        <v>0</v>
      </c>
      <c r="AI712" t="s">
        <v>3537</v>
      </c>
      <c r="AJ712" t="s">
        <v>1976</v>
      </c>
      <c r="AK712" t="s">
        <v>2426</v>
      </c>
      <c r="AL712" t="s">
        <v>272</v>
      </c>
    </row>
    <row r="713" spans="1:38">
      <c r="A713" t="s">
        <v>3596</v>
      </c>
      <c r="B713" t="s">
        <v>3597</v>
      </c>
      <c r="C713" t="s">
        <v>3598</v>
      </c>
      <c r="D713" t="s">
        <v>3598</v>
      </c>
      <c r="E713" t="s">
        <v>3599</v>
      </c>
      <c r="F713" t="s">
        <v>2425</v>
      </c>
      <c r="G713">
        <v>2</v>
      </c>
      <c r="H713">
        <v>1</v>
      </c>
      <c r="I713">
        <v>0.01</v>
      </c>
      <c r="J713">
        <v>9151.23</v>
      </c>
      <c r="K713">
        <v>-0.01</v>
      </c>
      <c r="L713">
        <v>83.26</v>
      </c>
      <c r="M713">
        <v>83.33</v>
      </c>
      <c r="N713">
        <v>82.79</v>
      </c>
      <c r="O713">
        <v>83.35</v>
      </c>
      <c r="P713">
        <v>0</v>
      </c>
      <c r="Q713">
        <v>0</v>
      </c>
      <c r="R713">
        <v>0</v>
      </c>
      <c r="S713">
        <v>83.2</v>
      </c>
      <c r="T713">
        <v>83</v>
      </c>
      <c r="U713">
        <v>82.5</v>
      </c>
      <c r="V713">
        <v>83.47</v>
      </c>
      <c r="W713">
        <v>7370036</v>
      </c>
      <c r="X713">
        <v>83.25</v>
      </c>
      <c r="Y713">
        <v>83.26</v>
      </c>
      <c r="Z713">
        <v>155</v>
      </c>
      <c r="AA713">
        <v>2226146</v>
      </c>
      <c r="AB713">
        <v>60954.51</v>
      </c>
      <c r="AC713">
        <v>0</v>
      </c>
      <c r="AD713" t="s">
        <v>94</v>
      </c>
      <c r="AE713" t="s">
        <v>94</v>
      </c>
      <c r="AF713" t="s">
        <v>226</v>
      </c>
      <c r="AG713" t="s">
        <v>226</v>
      </c>
      <c r="AH713">
        <v>6</v>
      </c>
      <c r="AI713" t="s">
        <v>3537</v>
      </c>
      <c r="AJ713" t="s">
        <v>1976</v>
      </c>
      <c r="AK713" t="s">
        <v>2426</v>
      </c>
      <c r="AL713" t="s">
        <v>272</v>
      </c>
    </row>
    <row r="714" spans="1:38">
      <c r="A714" t="s">
        <v>3600</v>
      </c>
      <c r="B714" t="s">
        <v>3601</v>
      </c>
      <c r="C714" t="s">
        <v>3602</v>
      </c>
      <c r="D714" t="s">
        <v>3602</v>
      </c>
      <c r="E714" t="s">
        <v>3603</v>
      </c>
      <c r="F714" t="s">
        <v>2425</v>
      </c>
      <c r="G714">
        <v>2</v>
      </c>
      <c r="H714">
        <v>1</v>
      </c>
      <c r="I714">
        <v>0.01</v>
      </c>
      <c r="J714">
        <v>9151.23</v>
      </c>
      <c r="K714">
        <v>-1.18</v>
      </c>
      <c r="L714">
        <v>82.62</v>
      </c>
      <c r="M714">
        <v>83.61</v>
      </c>
      <c r="N714">
        <v>83.57</v>
      </c>
      <c r="O714">
        <v>82.72</v>
      </c>
      <c r="P714">
        <v>0</v>
      </c>
      <c r="Q714">
        <v>0</v>
      </c>
      <c r="R714">
        <v>0</v>
      </c>
      <c r="S714">
        <v>82.86</v>
      </c>
      <c r="T714">
        <v>84.72</v>
      </c>
      <c r="U714">
        <v>82.59</v>
      </c>
      <c r="V714">
        <v>84.72</v>
      </c>
      <c r="W714">
        <v>621792</v>
      </c>
      <c r="X714">
        <v>82.59</v>
      </c>
      <c r="Y714">
        <v>82.97</v>
      </c>
      <c r="Z714">
        <v>48</v>
      </c>
      <c r="AA714">
        <v>1154519</v>
      </c>
      <c r="AB714">
        <v>7560.75</v>
      </c>
      <c r="AC714">
        <v>0</v>
      </c>
      <c r="AD714" t="s">
        <v>94</v>
      </c>
      <c r="AE714" t="s">
        <v>94</v>
      </c>
      <c r="AF714" t="s">
        <v>226</v>
      </c>
      <c r="AG714" t="s">
        <v>226</v>
      </c>
      <c r="AH714">
        <v>6</v>
      </c>
      <c r="AI714" t="s">
        <v>3537</v>
      </c>
      <c r="AJ714" t="s">
        <v>1976</v>
      </c>
      <c r="AK714" t="s">
        <v>2426</v>
      </c>
      <c r="AL714" t="s">
        <v>272</v>
      </c>
    </row>
    <row r="715" spans="1:38">
      <c r="A715" t="s">
        <v>3604</v>
      </c>
      <c r="B715" t="s">
        <v>3605</v>
      </c>
      <c r="C715" t="s">
        <v>3606</v>
      </c>
      <c r="D715" t="s">
        <v>3606</v>
      </c>
      <c r="E715" t="s">
        <v>3607</v>
      </c>
      <c r="F715" t="s">
        <v>2425</v>
      </c>
      <c r="G715">
        <v>3</v>
      </c>
      <c r="H715">
        <v>1</v>
      </c>
      <c r="I715">
        <v>0.01</v>
      </c>
      <c r="J715">
        <v>9151.23</v>
      </c>
      <c r="K715">
        <v>-1.31</v>
      </c>
      <c r="L715">
        <v>79.28</v>
      </c>
      <c r="M715">
        <v>80.33</v>
      </c>
      <c r="N715">
        <v>80.349999999999994</v>
      </c>
      <c r="O715">
        <v>79.349999999999994</v>
      </c>
      <c r="P715">
        <v>0</v>
      </c>
      <c r="Q715">
        <v>0</v>
      </c>
      <c r="R715">
        <v>0</v>
      </c>
      <c r="S715">
        <v>79.83</v>
      </c>
      <c r="T715">
        <v>80.36</v>
      </c>
      <c r="U715">
        <v>79.17</v>
      </c>
      <c r="V715">
        <v>80.599999999999994</v>
      </c>
      <c r="W715">
        <v>7758578</v>
      </c>
      <c r="X715">
        <v>79.27</v>
      </c>
      <c r="Y715">
        <v>79.48</v>
      </c>
      <c r="Z715">
        <v>111</v>
      </c>
      <c r="AA715">
        <v>300000</v>
      </c>
      <c r="AB715">
        <v>14510.19</v>
      </c>
      <c r="AC715">
        <v>0</v>
      </c>
      <c r="AD715" t="s">
        <v>94</v>
      </c>
      <c r="AE715" t="s">
        <v>94</v>
      </c>
      <c r="AF715" t="s">
        <v>226</v>
      </c>
      <c r="AG715" t="s">
        <v>226</v>
      </c>
      <c r="AH715">
        <v>6</v>
      </c>
      <c r="AI715" t="s">
        <v>3537</v>
      </c>
      <c r="AJ715" t="s">
        <v>1976</v>
      </c>
      <c r="AK715" t="s">
        <v>2426</v>
      </c>
      <c r="AL715" t="s">
        <v>272</v>
      </c>
    </row>
    <row r="716" spans="1:38">
      <c r="A716" t="s">
        <v>3608</v>
      </c>
      <c r="B716" t="s">
        <v>226</v>
      </c>
      <c r="C716" t="s">
        <v>2631</v>
      </c>
      <c r="D716" t="s">
        <v>2631</v>
      </c>
      <c r="E716" t="s">
        <v>2632</v>
      </c>
      <c r="F716" t="s">
        <v>2425</v>
      </c>
      <c r="G716">
        <v>3</v>
      </c>
      <c r="H716">
        <v>1</v>
      </c>
      <c r="I716">
        <v>1E-4</v>
      </c>
      <c r="J716">
        <v>1000</v>
      </c>
      <c r="K716">
        <v>0</v>
      </c>
      <c r="L716">
        <v>0</v>
      </c>
      <c r="M716">
        <v>97</v>
      </c>
      <c r="N716">
        <v>0</v>
      </c>
      <c r="O716">
        <v>97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500000</v>
      </c>
      <c r="AB716">
        <v>0</v>
      </c>
      <c r="AC716">
        <v>0</v>
      </c>
      <c r="AD716" t="s">
        <v>2</v>
      </c>
      <c r="AE716" t="s">
        <v>94</v>
      </c>
      <c r="AF716" t="s">
        <v>304</v>
      </c>
      <c r="AG716" t="s">
        <v>226</v>
      </c>
      <c r="AH716">
        <v>0</v>
      </c>
      <c r="AI716" t="s">
        <v>3537</v>
      </c>
      <c r="AJ716" t="s">
        <v>1976</v>
      </c>
      <c r="AK716" t="s">
        <v>2426</v>
      </c>
      <c r="AL716" t="s">
        <v>272</v>
      </c>
    </row>
    <row r="717" spans="1:38">
      <c r="A717" t="s">
        <v>3609</v>
      </c>
      <c r="B717" t="s">
        <v>3610</v>
      </c>
      <c r="C717" t="s">
        <v>3611</v>
      </c>
      <c r="D717" t="s">
        <v>3611</v>
      </c>
      <c r="E717" t="s">
        <v>3612</v>
      </c>
      <c r="F717" t="s">
        <v>2425</v>
      </c>
      <c r="G717">
        <v>3</v>
      </c>
      <c r="H717">
        <v>1</v>
      </c>
      <c r="I717">
        <v>1E-4</v>
      </c>
      <c r="J717">
        <v>1000</v>
      </c>
      <c r="K717">
        <v>-0.48</v>
      </c>
      <c r="L717">
        <v>82.7</v>
      </c>
      <c r="M717">
        <v>83.964200000000005</v>
      </c>
      <c r="N717">
        <v>83.784099999999995</v>
      </c>
      <c r="O717">
        <v>82.700100000000006</v>
      </c>
      <c r="P717">
        <v>0</v>
      </c>
      <c r="Q717">
        <v>0</v>
      </c>
      <c r="R717">
        <v>0</v>
      </c>
      <c r="S717">
        <v>83.007499999999993</v>
      </c>
      <c r="T717">
        <v>83.168700000000001</v>
      </c>
      <c r="U717">
        <v>82.7</v>
      </c>
      <c r="V717">
        <v>83.168700000000001</v>
      </c>
      <c r="W717">
        <v>2291741</v>
      </c>
      <c r="X717">
        <v>82.516000000000005</v>
      </c>
      <c r="Y717">
        <v>82.999600000000001</v>
      </c>
      <c r="Z717">
        <v>22</v>
      </c>
      <c r="AA717">
        <v>146215</v>
      </c>
      <c r="AB717">
        <v>87817.31</v>
      </c>
      <c r="AC717">
        <v>0</v>
      </c>
      <c r="AD717" t="s">
        <v>2</v>
      </c>
      <c r="AE717" t="s">
        <v>94</v>
      </c>
      <c r="AF717" t="s">
        <v>304</v>
      </c>
      <c r="AG717" t="s">
        <v>226</v>
      </c>
      <c r="AH717">
        <v>0</v>
      </c>
      <c r="AI717" t="s">
        <v>3537</v>
      </c>
      <c r="AJ717" t="s">
        <v>1976</v>
      </c>
      <c r="AK717" t="s">
        <v>2426</v>
      </c>
      <c r="AL717" t="s">
        <v>272</v>
      </c>
    </row>
    <row r="718" spans="1:38">
      <c r="A718" t="s">
        <v>3613</v>
      </c>
      <c r="B718" t="s">
        <v>3614</v>
      </c>
      <c r="C718" t="s">
        <v>3615</v>
      </c>
      <c r="D718" t="s">
        <v>3615</v>
      </c>
      <c r="E718" t="s">
        <v>3616</v>
      </c>
      <c r="F718" t="s">
        <v>2425</v>
      </c>
      <c r="G718">
        <v>3</v>
      </c>
      <c r="H718">
        <v>1</v>
      </c>
      <c r="I718">
        <v>1E-4</v>
      </c>
      <c r="J718">
        <v>1000</v>
      </c>
      <c r="K718">
        <v>0.9</v>
      </c>
      <c r="L718">
        <v>53.95</v>
      </c>
      <c r="M718">
        <v>53.9</v>
      </c>
      <c r="N718">
        <v>53.928600000000003</v>
      </c>
      <c r="O718">
        <v>53.962499999999999</v>
      </c>
      <c r="P718">
        <v>0</v>
      </c>
      <c r="Q718">
        <v>0</v>
      </c>
      <c r="R718">
        <v>0</v>
      </c>
      <c r="S718">
        <v>53.619199999999999</v>
      </c>
      <c r="T718">
        <v>53.979500000000002</v>
      </c>
      <c r="U718">
        <v>53.2834</v>
      </c>
      <c r="V718">
        <v>54</v>
      </c>
      <c r="W718">
        <v>69633970</v>
      </c>
      <c r="X718">
        <v>53.95</v>
      </c>
      <c r="Y718">
        <v>54</v>
      </c>
      <c r="Z718">
        <v>32</v>
      </c>
      <c r="AA718">
        <v>288650</v>
      </c>
      <c r="AB718">
        <v>171864.95</v>
      </c>
      <c r="AC718">
        <v>0</v>
      </c>
      <c r="AD718" t="s">
        <v>2</v>
      </c>
      <c r="AE718" t="s">
        <v>94</v>
      </c>
      <c r="AF718" t="s">
        <v>304</v>
      </c>
      <c r="AG718" t="s">
        <v>226</v>
      </c>
      <c r="AH718">
        <v>0</v>
      </c>
      <c r="AI718" t="s">
        <v>3537</v>
      </c>
      <c r="AJ718" t="s">
        <v>1976</v>
      </c>
      <c r="AK718" t="s">
        <v>2426</v>
      </c>
      <c r="AL718" t="s">
        <v>272</v>
      </c>
    </row>
    <row r="719" spans="1:38">
      <c r="A719" t="s">
        <v>3617</v>
      </c>
      <c r="B719" t="s">
        <v>226</v>
      </c>
      <c r="C719" t="s">
        <v>2634</v>
      </c>
      <c r="D719" t="s">
        <v>2634</v>
      </c>
      <c r="E719" t="s">
        <v>2635</v>
      </c>
      <c r="F719" t="s">
        <v>2425</v>
      </c>
      <c r="G719">
        <v>3</v>
      </c>
      <c r="H719">
        <v>1</v>
      </c>
      <c r="I719">
        <v>1E-4</v>
      </c>
      <c r="J719">
        <v>1000</v>
      </c>
      <c r="K719">
        <v>0</v>
      </c>
      <c r="L719">
        <v>92.370099999999994</v>
      </c>
      <c r="M719">
        <v>92.608099999999993</v>
      </c>
      <c r="N719">
        <v>92.638099999999994</v>
      </c>
      <c r="O719">
        <v>92.370099999999994</v>
      </c>
      <c r="P719">
        <v>0</v>
      </c>
      <c r="Q719">
        <v>0</v>
      </c>
      <c r="R719">
        <v>0</v>
      </c>
      <c r="S719">
        <v>92.371499999999997</v>
      </c>
      <c r="T719">
        <v>92.371600000000001</v>
      </c>
      <c r="U719">
        <v>92.370099999999994</v>
      </c>
      <c r="V719">
        <v>92.371600000000001</v>
      </c>
      <c r="W719">
        <v>2844531</v>
      </c>
      <c r="X719">
        <v>92.37</v>
      </c>
      <c r="Y719">
        <v>94.499099999999999</v>
      </c>
      <c r="Z719">
        <v>8</v>
      </c>
      <c r="AA719">
        <v>1000000</v>
      </c>
      <c r="AB719">
        <v>98085.78</v>
      </c>
      <c r="AC719">
        <v>0</v>
      </c>
      <c r="AD719" t="s">
        <v>2</v>
      </c>
      <c r="AE719" t="s">
        <v>94</v>
      </c>
      <c r="AF719" t="s">
        <v>304</v>
      </c>
      <c r="AG719" t="s">
        <v>226</v>
      </c>
      <c r="AH719">
        <v>0</v>
      </c>
      <c r="AI719" t="s">
        <v>3537</v>
      </c>
      <c r="AJ719" t="s">
        <v>1976</v>
      </c>
      <c r="AK719" t="s">
        <v>2426</v>
      </c>
      <c r="AL719" t="s">
        <v>272</v>
      </c>
    </row>
    <row r="720" spans="1:38">
      <c r="A720" t="s">
        <v>3618</v>
      </c>
      <c r="B720" t="s">
        <v>3619</v>
      </c>
      <c r="C720" t="s">
        <v>3620</v>
      </c>
      <c r="D720" t="s">
        <v>3620</v>
      </c>
      <c r="E720" t="s">
        <v>3621</v>
      </c>
      <c r="F720" t="s">
        <v>2413</v>
      </c>
      <c r="G720">
        <v>3</v>
      </c>
      <c r="H720">
        <v>1</v>
      </c>
      <c r="I720">
        <v>0.01</v>
      </c>
      <c r="J720">
        <v>1000</v>
      </c>
      <c r="K720">
        <v>0.32</v>
      </c>
      <c r="L720">
        <v>96.8</v>
      </c>
      <c r="M720">
        <v>96.49</v>
      </c>
      <c r="N720">
        <v>96.45</v>
      </c>
      <c r="O720">
        <v>96.8</v>
      </c>
      <c r="P720">
        <v>0</v>
      </c>
      <c r="Q720">
        <v>0</v>
      </c>
      <c r="R720">
        <v>0</v>
      </c>
      <c r="S720">
        <v>96.7</v>
      </c>
      <c r="T720">
        <v>96.49</v>
      </c>
      <c r="U720">
        <v>96.49</v>
      </c>
      <c r="V720">
        <v>96.84</v>
      </c>
      <c r="W720">
        <v>931250</v>
      </c>
      <c r="X720">
        <v>96.73</v>
      </c>
      <c r="Y720">
        <v>96.8</v>
      </c>
      <c r="Z720">
        <v>59</v>
      </c>
      <c r="AA720">
        <v>3000000</v>
      </c>
      <c r="AB720">
        <v>18392</v>
      </c>
      <c r="AC720">
        <v>0</v>
      </c>
      <c r="AD720" t="s">
        <v>94</v>
      </c>
      <c r="AE720" t="s">
        <v>94</v>
      </c>
      <c r="AF720" t="s">
        <v>226</v>
      </c>
      <c r="AG720" t="s">
        <v>226</v>
      </c>
      <c r="AH720">
        <v>6</v>
      </c>
      <c r="AI720" t="s">
        <v>3537</v>
      </c>
      <c r="AJ720" t="s">
        <v>1976</v>
      </c>
      <c r="AK720" t="s">
        <v>2416</v>
      </c>
      <c r="AL720" t="s">
        <v>272</v>
      </c>
    </row>
    <row r="721" spans="1:38">
      <c r="A721" t="s">
        <v>3622</v>
      </c>
      <c r="B721" t="s">
        <v>3623</v>
      </c>
      <c r="C721" t="s">
        <v>3624</v>
      </c>
      <c r="D721" t="s">
        <v>3624</v>
      </c>
      <c r="E721" t="s">
        <v>3625</v>
      </c>
      <c r="F721" t="s">
        <v>2413</v>
      </c>
      <c r="G721">
        <v>2</v>
      </c>
      <c r="H721">
        <v>1</v>
      </c>
      <c r="I721">
        <v>0.01</v>
      </c>
      <c r="J721">
        <v>1000</v>
      </c>
      <c r="K721">
        <v>7.0000000000000007E-2</v>
      </c>
      <c r="L721">
        <v>93.84</v>
      </c>
      <c r="M721">
        <v>93.7</v>
      </c>
      <c r="N721">
        <v>93.66</v>
      </c>
      <c r="O721">
        <v>93.84</v>
      </c>
      <c r="P721">
        <v>0</v>
      </c>
      <c r="Q721">
        <v>0</v>
      </c>
      <c r="R721">
        <v>0</v>
      </c>
      <c r="S721">
        <v>93.83</v>
      </c>
      <c r="T721">
        <v>93.86</v>
      </c>
      <c r="U721">
        <v>93.65</v>
      </c>
      <c r="V721">
        <v>94.03</v>
      </c>
      <c r="W721">
        <v>3016648</v>
      </c>
      <c r="X721">
        <v>93.82</v>
      </c>
      <c r="Y721">
        <v>93.84</v>
      </c>
      <c r="Z721">
        <v>171</v>
      </c>
      <c r="AA721">
        <v>3500000</v>
      </c>
      <c r="AB721">
        <v>12199.2</v>
      </c>
      <c r="AC721">
        <v>0</v>
      </c>
      <c r="AD721" t="s">
        <v>94</v>
      </c>
      <c r="AE721" t="s">
        <v>94</v>
      </c>
      <c r="AF721" t="s">
        <v>226</v>
      </c>
      <c r="AG721" t="s">
        <v>226</v>
      </c>
      <c r="AH721">
        <v>6</v>
      </c>
      <c r="AI721" t="s">
        <v>3537</v>
      </c>
      <c r="AJ721" t="s">
        <v>1976</v>
      </c>
      <c r="AK721" t="s">
        <v>2416</v>
      </c>
      <c r="AL721" t="s">
        <v>272</v>
      </c>
    </row>
    <row r="722" spans="1:38">
      <c r="A722" t="s">
        <v>3626</v>
      </c>
      <c r="B722" t="s">
        <v>3627</v>
      </c>
      <c r="C722" t="s">
        <v>3628</v>
      </c>
      <c r="D722" t="s">
        <v>3628</v>
      </c>
      <c r="E722" t="s">
        <v>3629</v>
      </c>
      <c r="F722" t="s">
        <v>2413</v>
      </c>
      <c r="G722">
        <v>2</v>
      </c>
      <c r="H722">
        <v>1</v>
      </c>
      <c r="I722">
        <v>0.01</v>
      </c>
      <c r="J722">
        <v>1000</v>
      </c>
      <c r="K722">
        <v>0.25</v>
      </c>
      <c r="L722">
        <v>80.31</v>
      </c>
      <c r="M722">
        <v>80.11</v>
      </c>
      <c r="N722">
        <v>80.36</v>
      </c>
      <c r="O722">
        <v>80.37</v>
      </c>
      <c r="P722">
        <v>0</v>
      </c>
      <c r="Q722">
        <v>0</v>
      </c>
      <c r="R722">
        <v>0</v>
      </c>
      <c r="S722">
        <v>80.569999999999993</v>
      </c>
      <c r="T722">
        <v>80.09</v>
      </c>
      <c r="U722">
        <v>80.08</v>
      </c>
      <c r="V722">
        <v>80.98</v>
      </c>
      <c r="W722">
        <v>2316306</v>
      </c>
      <c r="X722">
        <v>80.31</v>
      </c>
      <c r="Y722">
        <v>80.45</v>
      </c>
      <c r="Z722">
        <v>338</v>
      </c>
      <c r="AA722">
        <v>4000000</v>
      </c>
      <c r="AB722">
        <v>2409.3000000000002</v>
      </c>
      <c r="AC722">
        <v>0</v>
      </c>
      <c r="AD722" t="s">
        <v>94</v>
      </c>
      <c r="AE722" t="s">
        <v>94</v>
      </c>
      <c r="AF722" t="s">
        <v>226</v>
      </c>
      <c r="AG722" t="s">
        <v>226</v>
      </c>
      <c r="AH722">
        <v>6</v>
      </c>
      <c r="AI722" t="s">
        <v>3537</v>
      </c>
      <c r="AJ722" t="s">
        <v>1976</v>
      </c>
      <c r="AK722" t="s">
        <v>2416</v>
      </c>
      <c r="AL722" t="s">
        <v>272</v>
      </c>
    </row>
    <row r="723" spans="1:38">
      <c r="A723" t="s">
        <v>3630</v>
      </c>
      <c r="B723" t="s">
        <v>3631</v>
      </c>
      <c r="C723" t="s">
        <v>3632</v>
      </c>
      <c r="D723" t="s">
        <v>3632</v>
      </c>
      <c r="E723" t="s">
        <v>3633</v>
      </c>
      <c r="F723" t="s">
        <v>2413</v>
      </c>
      <c r="G723">
        <v>2</v>
      </c>
      <c r="H723">
        <v>1</v>
      </c>
      <c r="I723">
        <v>0.01</v>
      </c>
      <c r="J723">
        <v>1000</v>
      </c>
      <c r="K723">
        <v>-0.16</v>
      </c>
      <c r="L723">
        <v>92.16</v>
      </c>
      <c r="M723">
        <v>92.31</v>
      </c>
      <c r="N723">
        <v>92.12</v>
      </c>
      <c r="O723">
        <v>92.16</v>
      </c>
      <c r="P723">
        <v>0</v>
      </c>
      <c r="Q723">
        <v>0</v>
      </c>
      <c r="R723">
        <v>0</v>
      </c>
      <c r="S723">
        <v>92.17</v>
      </c>
      <c r="T723">
        <v>92.46</v>
      </c>
      <c r="U723">
        <v>92.02</v>
      </c>
      <c r="V723">
        <v>92.5</v>
      </c>
      <c r="W723">
        <v>2030557</v>
      </c>
      <c r="X723">
        <v>92.14</v>
      </c>
      <c r="Y723">
        <v>92.16</v>
      </c>
      <c r="Z723">
        <v>66</v>
      </c>
      <c r="AA723">
        <v>4000000</v>
      </c>
      <c r="AB723">
        <v>921.6</v>
      </c>
      <c r="AC723">
        <v>0</v>
      </c>
      <c r="AD723" t="s">
        <v>94</v>
      </c>
      <c r="AE723" t="s">
        <v>94</v>
      </c>
      <c r="AF723" t="s">
        <v>226</v>
      </c>
      <c r="AG723" t="s">
        <v>226</v>
      </c>
      <c r="AH723">
        <v>800</v>
      </c>
      <c r="AI723" t="s">
        <v>3537</v>
      </c>
      <c r="AJ723" t="s">
        <v>1976</v>
      </c>
      <c r="AK723" t="s">
        <v>2416</v>
      </c>
      <c r="AL723" t="s">
        <v>272</v>
      </c>
    </row>
    <row r="724" spans="1:38">
      <c r="A724" t="s">
        <v>3634</v>
      </c>
      <c r="B724" t="s">
        <v>3635</v>
      </c>
      <c r="C724" t="s">
        <v>3636</v>
      </c>
      <c r="D724" t="s">
        <v>3636</v>
      </c>
      <c r="E724" t="s">
        <v>3637</v>
      </c>
      <c r="F724" t="s">
        <v>2413</v>
      </c>
      <c r="G724">
        <v>2</v>
      </c>
      <c r="H724">
        <v>1</v>
      </c>
      <c r="I724">
        <v>0.01</v>
      </c>
      <c r="J724">
        <v>1000</v>
      </c>
      <c r="K724">
        <v>-0.03</v>
      </c>
      <c r="L724">
        <v>92.45</v>
      </c>
      <c r="M724">
        <v>92.48</v>
      </c>
      <c r="N724">
        <v>92.49</v>
      </c>
      <c r="O724">
        <v>92.45</v>
      </c>
      <c r="P724">
        <v>0</v>
      </c>
      <c r="Q724">
        <v>0</v>
      </c>
      <c r="R724">
        <v>0</v>
      </c>
      <c r="S724">
        <v>92.72</v>
      </c>
      <c r="T724">
        <v>92.7</v>
      </c>
      <c r="U724">
        <v>92.4</v>
      </c>
      <c r="V724">
        <v>94.07</v>
      </c>
      <c r="W724">
        <v>3072693</v>
      </c>
      <c r="X724">
        <v>92.44</v>
      </c>
      <c r="Y724">
        <v>92.45</v>
      </c>
      <c r="Z724">
        <v>143</v>
      </c>
      <c r="AA724">
        <v>659808</v>
      </c>
      <c r="AB724">
        <v>924.5</v>
      </c>
      <c r="AC724">
        <v>0</v>
      </c>
      <c r="AD724" t="s">
        <v>94</v>
      </c>
      <c r="AE724" t="s">
        <v>94</v>
      </c>
      <c r="AF724" t="s">
        <v>226</v>
      </c>
      <c r="AG724" t="s">
        <v>226</v>
      </c>
      <c r="AH724">
        <v>6</v>
      </c>
      <c r="AI724" t="s">
        <v>3537</v>
      </c>
      <c r="AJ724" t="s">
        <v>1976</v>
      </c>
      <c r="AK724" t="s">
        <v>2416</v>
      </c>
      <c r="AL724" t="s">
        <v>272</v>
      </c>
    </row>
    <row r="725" spans="1:38">
      <c r="A725" t="s">
        <v>3638</v>
      </c>
      <c r="B725" t="s">
        <v>3639</v>
      </c>
      <c r="C725" t="s">
        <v>3640</v>
      </c>
      <c r="D725" t="s">
        <v>3640</v>
      </c>
      <c r="E725" t="s">
        <v>3641</v>
      </c>
      <c r="F725" t="s">
        <v>2413</v>
      </c>
      <c r="G725">
        <v>2</v>
      </c>
      <c r="H725">
        <v>1</v>
      </c>
      <c r="I725">
        <v>0.01</v>
      </c>
      <c r="J725">
        <v>1000</v>
      </c>
      <c r="K725">
        <v>0.06</v>
      </c>
      <c r="L725">
        <v>80.05</v>
      </c>
      <c r="M725">
        <v>80</v>
      </c>
      <c r="N725">
        <v>80.040000000000006</v>
      </c>
      <c r="O725">
        <v>80.040000000000006</v>
      </c>
      <c r="P725">
        <v>0</v>
      </c>
      <c r="Q725">
        <v>0</v>
      </c>
      <c r="R725">
        <v>0</v>
      </c>
      <c r="S725">
        <v>80.06</v>
      </c>
      <c r="T725">
        <v>80.239999999999995</v>
      </c>
      <c r="U725">
        <v>79.5</v>
      </c>
      <c r="V725">
        <v>80.91</v>
      </c>
      <c r="W725">
        <v>6001145</v>
      </c>
      <c r="X725">
        <v>80.010000000000005</v>
      </c>
      <c r="Y725">
        <v>80.05</v>
      </c>
      <c r="Z725">
        <v>461</v>
      </c>
      <c r="AA725">
        <v>4500000</v>
      </c>
      <c r="AB725">
        <v>16010</v>
      </c>
      <c r="AC725">
        <v>0</v>
      </c>
      <c r="AD725" t="s">
        <v>94</v>
      </c>
      <c r="AE725" t="s">
        <v>94</v>
      </c>
      <c r="AF725" t="s">
        <v>226</v>
      </c>
      <c r="AG725" t="s">
        <v>226</v>
      </c>
      <c r="AH725">
        <v>6</v>
      </c>
      <c r="AI725" t="s">
        <v>3537</v>
      </c>
      <c r="AJ725" t="s">
        <v>1976</v>
      </c>
      <c r="AK725" t="s">
        <v>2416</v>
      </c>
      <c r="AL725" t="s">
        <v>272</v>
      </c>
    </row>
    <row r="726" spans="1:38">
      <c r="A726" t="s">
        <v>3642</v>
      </c>
      <c r="B726" t="s">
        <v>3643</v>
      </c>
      <c r="C726" t="s">
        <v>3644</v>
      </c>
      <c r="D726" t="s">
        <v>3644</v>
      </c>
      <c r="E726" t="s">
        <v>3645</v>
      </c>
      <c r="F726" t="s">
        <v>2413</v>
      </c>
      <c r="G726">
        <v>2</v>
      </c>
      <c r="H726">
        <v>1</v>
      </c>
      <c r="I726">
        <v>0.01</v>
      </c>
      <c r="J726">
        <v>1000</v>
      </c>
      <c r="K726">
        <v>0.47</v>
      </c>
      <c r="L726">
        <v>74.400000000000006</v>
      </c>
      <c r="M726">
        <v>74.05</v>
      </c>
      <c r="N726">
        <v>74.209999999999994</v>
      </c>
      <c r="O726">
        <v>74.37</v>
      </c>
      <c r="P726">
        <v>0</v>
      </c>
      <c r="Q726">
        <v>0</v>
      </c>
      <c r="R726">
        <v>0</v>
      </c>
      <c r="S726">
        <v>74.209999999999994</v>
      </c>
      <c r="T726">
        <v>74.709999999999994</v>
      </c>
      <c r="U726">
        <v>73.52</v>
      </c>
      <c r="V726">
        <v>74.709999999999994</v>
      </c>
      <c r="W726">
        <v>6115307</v>
      </c>
      <c r="X726">
        <v>74.31</v>
      </c>
      <c r="Y726">
        <v>74.400000000000006</v>
      </c>
      <c r="Z726">
        <v>708</v>
      </c>
      <c r="AA726">
        <v>4500000</v>
      </c>
      <c r="AB726">
        <v>2232</v>
      </c>
      <c r="AC726">
        <v>0</v>
      </c>
      <c r="AD726" t="s">
        <v>94</v>
      </c>
      <c r="AE726" t="s">
        <v>94</v>
      </c>
      <c r="AF726" t="s">
        <v>226</v>
      </c>
      <c r="AG726" t="s">
        <v>226</v>
      </c>
      <c r="AH726">
        <v>6</v>
      </c>
      <c r="AI726" t="s">
        <v>3537</v>
      </c>
      <c r="AJ726" t="s">
        <v>1976</v>
      </c>
      <c r="AK726" t="s">
        <v>2416</v>
      </c>
      <c r="AL726" t="s">
        <v>272</v>
      </c>
    </row>
    <row r="727" spans="1:38">
      <c r="A727" t="s">
        <v>3646</v>
      </c>
      <c r="B727" t="s">
        <v>3647</v>
      </c>
      <c r="C727" t="s">
        <v>3648</v>
      </c>
      <c r="D727" t="s">
        <v>3648</v>
      </c>
      <c r="E727" t="s">
        <v>3649</v>
      </c>
      <c r="F727" t="s">
        <v>2413</v>
      </c>
      <c r="G727">
        <v>2</v>
      </c>
      <c r="H727">
        <v>1</v>
      </c>
      <c r="I727">
        <v>0.01</v>
      </c>
      <c r="J727">
        <v>1000</v>
      </c>
      <c r="K727">
        <v>-0.18</v>
      </c>
      <c r="L727">
        <v>93.7</v>
      </c>
      <c r="M727">
        <v>93.87</v>
      </c>
      <c r="N727">
        <v>93.66</v>
      </c>
      <c r="O727">
        <v>93.72</v>
      </c>
      <c r="P727">
        <v>0</v>
      </c>
      <c r="Q727">
        <v>0</v>
      </c>
      <c r="R727">
        <v>0</v>
      </c>
      <c r="S727">
        <v>93.75</v>
      </c>
      <c r="T727">
        <v>93.95</v>
      </c>
      <c r="U727">
        <v>93.5</v>
      </c>
      <c r="V727">
        <v>93.95</v>
      </c>
      <c r="W727">
        <v>1533684</v>
      </c>
      <c r="X727">
        <v>93.7</v>
      </c>
      <c r="Y727">
        <v>93.89</v>
      </c>
      <c r="Z727">
        <v>111</v>
      </c>
      <c r="AA727">
        <v>3500000</v>
      </c>
      <c r="AB727">
        <v>21551</v>
      </c>
      <c r="AC727">
        <v>0</v>
      </c>
      <c r="AD727" t="s">
        <v>94</v>
      </c>
      <c r="AE727" t="s">
        <v>94</v>
      </c>
      <c r="AF727" t="s">
        <v>226</v>
      </c>
      <c r="AG727" t="s">
        <v>226</v>
      </c>
      <c r="AH727">
        <v>800</v>
      </c>
      <c r="AI727" t="s">
        <v>3537</v>
      </c>
      <c r="AJ727" t="s">
        <v>1976</v>
      </c>
      <c r="AK727" t="s">
        <v>2416</v>
      </c>
      <c r="AL727" t="s">
        <v>272</v>
      </c>
    </row>
    <row r="728" spans="1:38">
      <c r="A728" t="s">
        <v>3650</v>
      </c>
      <c r="B728" t="s">
        <v>3651</v>
      </c>
      <c r="C728" t="s">
        <v>3652</v>
      </c>
      <c r="D728" t="s">
        <v>3652</v>
      </c>
      <c r="E728" t="s">
        <v>3653</v>
      </c>
      <c r="F728" t="s">
        <v>2413</v>
      </c>
      <c r="G728">
        <v>3</v>
      </c>
      <c r="H728">
        <v>1</v>
      </c>
      <c r="I728">
        <v>0.01</v>
      </c>
      <c r="J728">
        <v>1000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2500000</v>
      </c>
      <c r="AB728">
        <v>0</v>
      </c>
      <c r="AC728">
        <v>0</v>
      </c>
      <c r="AD728" t="s">
        <v>94</v>
      </c>
      <c r="AE728" t="s">
        <v>94</v>
      </c>
      <c r="AF728" t="s">
        <v>226</v>
      </c>
      <c r="AG728" t="s">
        <v>226</v>
      </c>
      <c r="AH728">
        <v>6</v>
      </c>
      <c r="AI728" t="s">
        <v>3537</v>
      </c>
      <c r="AJ728" t="s">
        <v>1976</v>
      </c>
      <c r="AK728" t="s">
        <v>2416</v>
      </c>
      <c r="AL728" t="s">
        <v>272</v>
      </c>
    </row>
    <row r="729" spans="1:38">
      <c r="A729" t="s">
        <v>3654</v>
      </c>
      <c r="B729" t="s">
        <v>3655</v>
      </c>
      <c r="C729" t="s">
        <v>3656</v>
      </c>
      <c r="D729" t="s">
        <v>3656</v>
      </c>
      <c r="E729" t="s">
        <v>3657</v>
      </c>
      <c r="F729" t="s">
        <v>2413</v>
      </c>
      <c r="G729">
        <v>3</v>
      </c>
      <c r="H729">
        <v>1</v>
      </c>
      <c r="I729">
        <v>0.01</v>
      </c>
      <c r="J729">
        <v>1000</v>
      </c>
      <c r="K729">
        <v>0.34</v>
      </c>
      <c r="L729">
        <v>85.31</v>
      </c>
      <c r="M729">
        <v>85.02</v>
      </c>
      <c r="N729">
        <v>84.3</v>
      </c>
      <c r="O729">
        <v>85.31</v>
      </c>
      <c r="P729">
        <v>0</v>
      </c>
      <c r="Q729">
        <v>0</v>
      </c>
      <c r="R729">
        <v>0</v>
      </c>
      <c r="S729">
        <v>85.31</v>
      </c>
      <c r="T729">
        <v>85.38</v>
      </c>
      <c r="U729">
        <v>85.11</v>
      </c>
      <c r="V729">
        <v>85.46</v>
      </c>
      <c r="W729">
        <v>1807773</v>
      </c>
      <c r="X729">
        <v>85.25</v>
      </c>
      <c r="Y729">
        <v>85.45</v>
      </c>
      <c r="Z729">
        <v>34</v>
      </c>
      <c r="AA729">
        <v>3500000</v>
      </c>
      <c r="AB729">
        <v>1694256.6</v>
      </c>
      <c r="AC729">
        <v>0</v>
      </c>
      <c r="AD729" t="s">
        <v>94</v>
      </c>
      <c r="AE729" t="s">
        <v>94</v>
      </c>
      <c r="AF729" t="s">
        <v>226</v>
      </c>
      <c r="AG729" t="s">
        <v>226</v>
      </c>
      <c r="AH729">
        <v>6</v>
      </c>
      <c r="AI729" t="s">
        <v>3537</v>
      </c>
      <c r="AJ729" t="s">
        <v>1976</v>
      </c>
      <c r="AK729" t="s">
        <v>2416</v>
      </c>
      <c r="AL729" t="s">
        <v>272</v>
      </c>
    </row>
    <row r="730" spans="1:38">
      <c r="A730" t="s">
        <v>3658</v>
      </c>
      <c r="B730" t="s">
        <v>3659</v>
      </c>
      <c r="C730" t="s">
        <v>3660</v>
      </c>
      <c r="D730" t="s">
        <v>3660</v>
      </c>
      <c r="E730" t="s">
        <v>3661</v>
      </c>
      <c r="F730" t="s">
        <v>2413</v>
      </c>
      <c r="G730">
        <v>2</v>
      </c>
      <c r="H730">
        <v>1</v>
      </c>
      <c r="I730">
        <v>0.01</v>
      </c>
      <c r="J730">
        <v>1000</v>
      </c>
      <c r="K730">
        <v>0.32</v>
      </c>
      <c r="L730">
        <v>99.29</v>
      </c>
      <c r="M730">
        <v>98.97</v>
      </c>
      <c r="N730">
        <v>98.87</v>
      </c>
      <c r="O730">
        <v>99.27</v>
      </c>
      <c r="P730">
        <v>0</v>
      </c>
      <c r="Q730">
        <v>0</v>
      </c>
      <c r="R730">
        <v>0</v>
      </c>
      <c r="S730">
        <v>99.28</v>
      </c>
      <c r="T730">
        <v>99.1</v>
      </c>
      <c r="U730">
        <v>98.8</v>
      </c>
      <c r="V730">
        <v>99.44</v>
      </c>
      <c r="W730">
        <v>4766566</v>
      </c>
      <c r="X730">
        <v>99.28</v>
      </c>
      <c r="Y730">
        <v>99.29</v>
      </c>
      <c r="Z730">
        <v>322</v>
      </c>
      <c r="AA730">
        <v>5000000</v>
      </c>
      <c r="AB730">
        <v>3971.6</v>
      </c>
      <c r="AC730">
        <v>0</v>
      </c>
      <c r="AD730" t="s">
        <v>94</v>
      </c>
      <c r="AE730" t="s">
        <v>94</v>
      </c>
      <c r="AF730" t="s">
        <v>226</v>
      </c>
      <c r="AG730" t="s">
        <v>226</v>
      </c>
      <c r="AH730">
        <v>8</v>
      </c>
      <c r="AI730" t="s">
        <v>3537</v>
      </c>
      <c r="AJ730" t="s">
        <v>1976</v>
      </c>
      <c r="AK730" t="s">
        <v>2416</v>
      </c>
      <c r="AL730" t="s">
        <v>272</v>
      </c>
    </row>
    <row r="731" spans="1:38">
      <c r="A731" t="s">
        <v>3662</v>
      </c>
      <c r="B731" t="s">
        <v>3663</v>
      </c>
      <c r="C731" t="s">
        <v>3664</v>
      </c>
      <c r="D731" t="s">
        <v>3664</v>
      </c>
      <c r="E731" t="s">
        <v>3665</v>
      </c>
      <c r="F731" t="s">
        <v>2413</v>
      </c>
      <c r="G731">
        <v>2</v>
      </c>
      <c r="H731">
        <v>1</v>
      </c>
      <c r="I731">
        <v>0.01</v>
      </c>
      <c r="J731">
        <v>1000</v>
      </c>
      <c r="K731">
        <v>0.49</v>
      </c>
      <c r="L731">
        <v>90.79</v>
      </c>
      <c r="M731">
        <v>90.35</v>
      </c>
      <c r="N731">
        <v>90.27</v>
      </c>
      <c r="O731">
        <v>90.79</v>
      </c>
      <c r="P731">
        <v>0</v>
      </c>
      <c r="Q731">
        <v>0</v>
      </c>
      <c r="R731">
        <v>0</v>
      </c>
      <c r="S731">
        <v>90.42</v>
      </c>
      <c r="T731">
        <v>90.58</v>
      </c>
      <c r="U731">
        <v>89.93</v>
      </c>
      <c r="V731">
        <v>90.9</v>
      </c>
      <c r="W731">
        <v>781192</v>
      </c>
      <c r="X731">
        <v>90.61</v>
      </c>
      <c r="Y731">
        <v>90.8</v>
      </c>
      <c r="Z731">
        <v>123</v>
      </c>
      <c r="AA731">
        <v>3000000</v>
      </c>
      <c r="AB731">
        <v>2723.7</v>
      </c>
      <c r="AC731">
        <v>0</v>
      </c>
      <c r="AD731" t="s">
        <v>94</v>
      </c>
      <c r="AE731" t="s">
        <v>94</v>
      </c>
      <c r="AF731" t="s">
        <v>226</v>
      </c>
      <c r="AG731" t="s">
        <v>226</v>
      </c>
      <c r="AH731">
        <v>6</v>
      </c>
      <c r="AI731" t="s">
        <v>3537</v>
      </c>
      <c r="AJ731" t="s">
        <v>1976</v>
      </c>
      <c r="AK731" t="s">
        <v>2416</v>
      </c>
      <c r="AL731" t="s">
        <v>272</v>
      </c>
    </row>
    <row r="732" spans="1:38">
      <c r="A732" t="s">
        <v>3666</v>
      </c>
      <c r="B732" t="s">
        <v>3667</v>
      </c>
      <c r="C732" t="s">
        <v>3668</v>
      </c>
      <c r="D732" t="s">
        <v>3668</v>
      </c>
      <c r="E732" t="s">
        <v>3669</v>
      </c>
      <c r="F732" t="s">
        <v>2413</v>
      </c>
      <c r="G732">
        <v>2</v>
      </c>
      <c r="H732">
        <v>1</v>
      </c>
      <c r="I732">
        <v>0.01</v>
      </c>
      <c r="J732">
        <v>1000</v>
      </c>
      <c r="K732">
        <v>0.11</v>
      </c>
      <c r="L732">
        <v>83.85</v>
      </c>
      <c r="M732">
        <v>83.75</v>
      </c>
      <c r="N732">
        <v>83.04</v>
      </c>
      <c r="O732">
        <v>83.84</v>
      </c>
      <c r="P732">
        <v>0</v>
      </c>
      <c r="Q732">
        <v>0</v>
      </c>
      <c r="R732">
        <v>0</v>
      </c>
      <c r="S732">
        <v>83.89</v>
      </c>
      <c r="T732">
        <v>84.46</v>
      </c>
      <c r="U732">
        <v>83.36</v>
      </c>
      <c r="V732">
        <v>84.46</v>
      </c>
      <c r="W732">
        <v>6051599</v>
      </c>
      <c r="X732">
        <v>83.81</v>
      </c>
      <c r="Y732">
        <v>83.84</v>
      </c>
      <c r="Z732">
        <v>237</v>
      </c>
      <c r="AA732">
        <v>3000000</v>
      </c>
      <c r="AB732">
        <v>838.5</v>
      </c>
      <c r="AC732">
        <v>0</v>
      </c>
      <c r="AD732" t="s">
        <v>94</v>
      </c>
      <c r="AE732" t="s">
        <v>94</v>
      </c>
      <c r="AF732" t="s">
        <v>226</v>
      </c>
      <c r="AG732" t="s">
        <v>226</v>
      </c>
      <c r="AH732">
        <v>6</v>
      </c>
      <c r="AI732" t="s">
        <v>3537</v>
      </c>
      <c r="AJ732" t="s">
        <v>1976</v>
      </c>
      <c r="AK732" t="s">
        <v>2416</v>
      </c>
      <c r="AL732" t="s">
        <v>272</v>
      </c>
    </row>
    <row r="733" spans="1:38">
      <c r="A733" t="s">
        <v>3670</v>
      </c>
      <c r="B733" t="s">
        <v>3671</v>
      </c>
      <c r="C733" t="s">
        <v>3672</v>
      </c>
      <c r="D733" t="s">
        <v>3672</v>
      </c>
      <c r="E733" t="s">
        <v>3673</v>
      </c>
      <c r="F733" t="s">
        <v>2413</v>
      </c>
      <c r="G733">
        <v>2</v>
      </c>
      <c r="H733">
        <v>1</v>
      </c>
      <c r="I733">
        <v>0.01</v>
      </c>
      <c r="J733">
        <v>1000</v>
      </c>
      <c r="K733">
        <v>-0.11</v>
      </c>
      <c r="L733">
        <v>89.89</v>
      </c>
      <c r="M733">
        <v>90</v>
      </c>
      <c r="N733">
        <v>90.13</v>
      </c>
      <c r="O733">
        <v>89.96</v>
      </c>
      <c r="P733">
        <v>0</v>
      </c>
      <c r="Q733">
        <v>0</v>
      </c>
      <c r="R733">
        <v>0</v>
      </c>
      <c r="S733">
        <v>90.06</v>
      </c>
      <c r="T733">
        <v>91.47</v>
      </c>
      <c r="U733">
        <v>89.85</v>
      </c>
      <c r="V733">
        <v>91.47</v>
      </c>
      <c r="W733">
        <v>2476550</v>
      </c>
      <c r="X733">
        <v>89.91</v>
      </c>
      <c r="Y733">
        <v>90</v>
      </c>
      <c r="Z733">
        <v>268</v>
      </c>
      <c r="AA733">
        <v>4000000</v>
      </c>
      <c r="AB733">
        <v>898.9</v>
      </c>
      <c r="AC733">
        <v>0</v>
      </c>
      <c r="AD733" t="s">
        <v>94</v>
      </c>
      <c r="AE733" t="s">
        <v>94</v>
      </c>
      <c r="AF733" t="s">
        <v>226</v>
      </c>
      <c r="AG733" t="s">
        <v>226</v>
      </c>
      <c r="AH733">
        <v>6</v>
      </c>
      <c r="AI733" t="s">
        <v>3537</v>
      </c>
      <c r="AJ733" t="s">
        <v>1976</v>
      </c>
      <c r="AK733" t="s">
        <v>2416</v>
      </c>
      <c r="AL733" t="s">
        <v>272</v>
      </c>
    </row>
    <row r="734" spans="1:38">
      <c r="A734" t="s">
        <v>3674</v>
      </c>
      <c r="B734" t="s">
        <v>3675</v>
      </c>
      <c r="C734" t="s">
        <v>3676</v>
      </c>
      <c r="D734" t="s">
        <v>3676</v>
      </c>
      <c r="E734" t="s">
        <v>3677</v>
      </c>
      <c r="F734" t="s">
        <v>2413</v>
      </c>
      <c r="G734">
        <v>2</v>
      </c>
      <c r="H734">
        <v>1</v>
      </c>
      <c r="I734">
        <v>0.01</v>
      </c>
      <c r="J734">
        <v>1000</v>
      </c>
      <c r="K734">
        <v>0</v>
      </c>
      <c r="L734">
        <v>99.62</v>
      </c>
      <c r="M734">
        <v>0</v>
      </c>
      <c r="N734">
        <v>0</v>
      </c>
      <c r="O734">
        <v>99.66</v>
      </c>
      <c r="P734">
        <v>0</v>
      </c>
      <c r="Q734">
        <v>0</v>
      </c>
      <c r="R734">
        <v>0</v>
      </c>
      <c r="S734">
        <v>99.6</v>
      </c>
      <c r="T734">
        <v>100.02</v>
      </c>
      <c r="U734">
        <v>99.51</v>
      </c>
      <c r="V734">
        <v>100.02</v>
      </c>
      <c r="W734">
        <v>62878325</v>
      </c>
      <c r="X734">
        <v>99.62</v>
      </c>
      <c r="Y734">
        <v>99.74</v>
      </c>
      <c r="Z734">
        <v>1839</v>
      </c>
      <c r="AA734">
        <v>4000000</v>
      </c>
      <c r="AB734">
        <v>3984.8</v>
      </c>
      <c r="AC734">
        <v>0</v>
      </c>
      <c r="AD734" t="s">
        <v>94</v>
      </c>
      <c r="AE734" t="s">
        <v>94</v>
      </c>
      <c r="AF734" t="s">
        <v>226</v>
      </c>
      <c r="AG734" t="s">
        <v>226</v>
      </c>
      <c r="AH734">
        <v>8</v>
      </c>
      <c r="AI734" t="s">
        <v>3537</v>
      </c>
      <c r="AJ734" t="s">
        <v>1976</v>
      </c>
      <c r="AK734" t="s">
        <v>2416</v>
      </c>
      <c r="AL734" t="s">
        <v>272</v>
      </c>
    </row>
    <row r="735" spans="1:38">
      <c r="A735" t="s">
        <v>3678</v>
      </c>
      <c r="B735" t="s">
        <v>3679</v>
      </c>
      <c r="C735" t="s">
        <v>3680</v>
      </c>
      <c r="D735" t="s">
        <v>3680</v>
      </c>
      <c r="E735" t="s">
        <v>3681</v>
      </c>
      <c r="F735" t="s">
        <v>2413</v>
      </c>
      <c r="G735">
        <v>3</v>
      </c>
      <c r="H735">
        <v>1</v>
      </c>
      <c r="I735">
        <v>0.01</v>
      </c>
      <c r="J735">
        <v>1000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3500000</v>
      </c>
      <c r="AB735">
        <v>0</v>
      </c>
      <c r="AC735">
        <v>0</v>
      </c>
      <c r="AD735" t="s">
        <v>94</v>
      </c>
      <c r="AE735" t="s">
        <v>94</v>
      </c>
      <c r="AF735" t="s">
        <v>304</v>
      </c>
      <c r="AG735" t="s">
        <v>226</v>
      </c>
      <c r="AH735">
        <v>800</v>
      </c>
      <c r="AI735" t="s">
        <v>3537</v>
      </c>
      <c r="AJ735" t="s">
        <v>1976</v>
      </c>
      <c r="AK735" t="s">
        <v>2416</v>
      </c>
      <c r="AL735" t="s">
        <v>272</v>
      </c>
    </row>
    <row r="736" spans="1:38">
      <c r="A736" t="s">
        <v>3682</v>
      </c>
      <c r="B736" t="s">
        <v>3683</v>
      </c>
      <c r="C736" t="s">
        <v>3684</v>
      </c>
      <c r="D736" t="s">
        <v>3684</v>
      </c>
      <c r="E736" t="s">
        <v>3685</v>
      </c>
      <c r="F736" t="s">
        <v>2413</v>
      </c>
      <c r="G736">
        <v>3</v>
      </c>
      <c r="H736">
        <v>1</v>
      </c>
      <c r="I736">
        <v>0.01</v>
      </c>
      <c r="J736">
        <v>1000</v>
      </c>
      <c r="K736">
        <v>-14.4</v>
      </c>
      <c r="L736">
        <v>89.02</v>
      </c>
      <c r="M736">
        <v>103.99</v>
      </c>
      <c r="N736">
        <v>0</v>
      </c>
      <c r="O736">
        <v>89.02</v>
      </c>
      <c r="P736">
        <v>0</v>
      </c>
      <c r="Q736">
        <v>0</v>
      </c>
      <c r="R736">
        <v>0</v>
      </c>
      <c r="S736">
        <v>89.53</v>
      </c>
      <c r="T736">
        <v>90.01</v>
      </c>
      <c r="U736">
        <v>89.02</v>
      </c>
      <c r="V736">
        <v>90.01</v>
      </c>
      <c r="W736">
        <v>176378</v>
      </c>
      <c r="X736">
        <v>89.02</v>
      </c>
      <c r="Y736">
        <v>94.96</v>
      </c>
      <c r="Z736">
        <v>11</v>
      </c>
      <c r="AA736">
        <v>2500000</v>
      </c>
      <c r="AB736">
        <v>32047.200000000001</v>
      </c>
      <c r="AC736">
        <v>0</v>
      </c>
      <c r="AD736" t="s">
        <v>94</v>
      </c>
      <c r="AE736" t="s">
        <v>94</v>
      </c>
      <c r="AF736" t="s">
        <v>304</v>
      </c>
      <c r="AG736" t="s">
        <v>226</v>
      </c>
      <c r="AH736">
        <v>0</v>
      </c>
      <c r="AI736" t="s">
        <v>3537</v>
      </c>
      <c r="AJ736" t="s">
        <v>1976</v>
      </c>
      <c r="AK736" t="s">
        <v>2416</v>
      </c>
      <c r="AL736" t="s">
        <v>272</v>
      </c>
    </row>
    <row r="737" spans="1:38">
      <c r="A737" t="s">
        <v>3686</v>
      </c>
      <c r="B737" t="s">
        <v>3687</v>
      </c>
      <c r="C737" t="s">
        <v>3688</v>
      </c>
      <c r="D737" t="s">
        <v>3688</v>
      </c>
      <c r="E737" t="s">
        <v>3689</v>
      </c>
      <c r="F737" t="s">
        <v>2413</v>
      </c>
      <c r="G737">
        <v>3</v>
      </c>
      <c r="H737">
        <v>1</v>
      </c>
      <c r="I737">
        <v>0.01</v>
      </c>
      <c r="J737">
        <v>1000</v>
      </c>
      <c r="K737">
        <v>0</v>
      </c>
      <c r="L737">
        <v>75.510000000000005</v>
      </c>
      <c r="M737">
        <v>75.510000000000005</v>
      </c>
      <c r="N737">
        <v>74.48</v>
      </c>
      <c r="O737">
        <v>75.510000000000005</v>
      </c>
      <c r="P737">
        <v>0</v>
      </c>
      <c r="Q737">
        <v>0</v>
      </c>
      <c r="R737">
        <v>0</v>
      </c>
      <c r="S737">
        <v>75.510000000000005</v>
      </c>
      <c r="T737">
        <v>75.510000000000005</v>
      </c>
      <c r="U737">
        <v>75.510000000000005</v>
      </c>
      <c r="V737">
        <v>75.510000000000005</v>
      </c>
      <c r="W737">
        <v>755</v>
      </c>
      <c r="X737">
        <v>75.5</v>
      </c>
      <c r="Y737">
        <v>79.47</v>
      </c>
      <c r="Z737">
        <v>1</v>
      </c>
      <c r="AA737">
        <v>3500000</v>
      </c>
      <c r="AB737">
        <v>755.1</v>
      </c>
      <c r="AC737">
        <v>0</v>
      </c>
      <c r="AD737" t="s">
        <v>94</v>
      </c>
      <c r="AE737" t="s">
        <v>94</v>
      </c>
      <c r="AF737" t="s">
        <v>226</v>
      </c>
      <c r="AG737" t="s">
        <v>226</v>
      </c>
      <c r="AH737">
        <v>6</v>
      </c>
      <c r="AI737" t="s">
        <v>3537</v>
      </c>
      <c r="AJ737" t="s">
        <v>1976</v>
      </c>
      <c r="AK737" t="s">
        <v>2416</v>
      </c>
      <c r="AL737" t="s">
        <v>272</v>
      </c>
    </row>
    <row r="738" spans="1:38">
      <c r="A738" t="s">
        <v>3690</v>
      </c>
      <c r="B738" t="s">
        <v>3691</v>
      </c>
      <c r="C738" t="s">
        <v>3692</v>
      </c>
      <c r="D738" t="s">
        <v>3692</v>
      </c>
      <c r="E738" t="s">
        <v>3693</v>
      </c>
      <c r="F738" t="s">
        <v>2413</v>
      </c>
      <c r="G738">
        <v>3</v>
      </c>
      <c r="H738">
        <v>1</v>
      </c>
      <c r="I738">
        <v>0.01</v>
      </c>
      <c r="J738">
        <v>1000</v>
      </c>
      <c r="K738">
        <v>0</v>
      </c>
      <c r="L738">
        <v>0</v>
      </c>
      <c r="M738">
        <v>82.01</v>
      </c>
      <c r="N738">
        <v>0</v>
      </c>
      <c r="O738">
        <v>82.01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80</v>
      </c>
      <c r="Y738">
        <v>87</v>
      </c>
      <c r="Z738">
        <v>0</v>
      </c>
      <c r="AA738">
        <v>1500000</v>
      </c>
      <c r="AB738">
        <v>0</v>
      </c>
      <c r="AC738">
        <v>0</v>
      </c>
      <c r="AD738" t="s">
        <v>94</v>
      </c>
      <c r="AE738" t="s">
        <v>94</v>
      </c>
      <c r="AF738" t="s">
        <v>226</v>
      </c>
      <c r="AG738" t="s">
        <v>226</v>
      </c>
      <c r="AH738">
        <v>6</v>
      </c>
      <c r="AI738" t="s">
        <v>3537</v>
      </c>
      <c r="AJ738" t="s">
        <v>1976</v>
      </c>
      <c r="AK738" t="s">
        <v>2416</v>
      </c>
      <c r="AL738" t="s">
        <v>272</v>
      </c>
    </row>
    <row r="739" spans="1:38">
      <c r="A739" t="s">
        <v>3694</v>
      </c>
      <c r="B739" t="s">
        <v>3695</v>
      </c>
      <c r="C739" t="s">
        <v>3696</v>
      </c>
      <c r="D739" t="s">
        <v>3696</v>
      </c>
      <c r="E739" t="s">
        <v>3697</v>
      </c>
      <c r="F739" t="s">
        <v>2413</v>
      </c>
      <c r="G739">
        <v>3</v>
      </c>
      <c r="H739">
        <v>1</v>
      </c>
      <c r="I739">
        <v>0.01</v>
      </c>
      <c r="J739">
        <v>1000</v>
      </c>
      <c r="K739">
        <v>0.17</v>
      </c>
      <c r="L739">
        <v>93.34</v>
      </c>
      <c r="M739">
        <v>93.28</v>
      </c>
      <c r="N739">
        <v>93.36</v>
      </c>
      <c r="O739">
        <v>93.34</v>
      </c>
      <c r="P739">
        <v>0</v>
      </c>
      <c r="Q739">
        <v>0</v>
      </c>
      <c r="R739">
        <v>0</v>
      </c>
      <c r="S739">
        <v>93.29</v>
      </c>
      <c r="T739">
        <v>93.25</v>
      </c>
      <c r="U739">
        <v>93.25</v>
      </c>
      <c r="V739">
        <v>93.62</v>
      </c>
      <c r="W739">
        <v>410486</v>
      </c>
      <c r="X739">
        <v>93.25</v>
      </c>
      <c r="Y739">
        <v>93.34</v>
      </c>
      <c r="Z739">
        <v>37</v>
      </c>
      <c r="AA739">
        <v>500000</v>
      </c>
      <c r="AB739">
        <v>4667</v>
      </c>
      <c r="AC739">
        <v>0</v>
      </c>
      <c r="AD739" t="s">
        <v>94</v>
      </c>
      <c r="AE739" t="s">
        <v>94</v>
      </c>
      <c r="AF739" t="s">
        <v>226</v>
      </c>
      <c r="AG739" t="s">
        <v>226</v>
      </c>
      <c r="AH739">
        <v>6</v>
      </c>
      <c r="AI739" t="s">
        <v>3537</v>
      </c>
      <c r="AJ739" t="s">
        <v>1976</v>
      </c>
      <c r="AK739" t="s">
        <v>2416</v>
      </c>
      <c r="AL739" t="s">
        <v>272</v>
      </c>
    </row>
    <row r="740" spans="1:38">
      <c r="A740" t="s">
        <v>3698</v>
      </c>
      <c r="B740" t="s">
        <v>3699</v>
      </c>
      <c r="C740" t="s">
        <v>3700</v>
      </c>
      <c r="D740" t="s">
        <v>3700</v>
      </c>
      <c r="E740" t="s">
        <v>3701</v>
      </c>
      <c r="F740" t="s">
        <v>2413</v>
      </c>
      <c r="G740">
        <v>2</v>
      </c>
      <c r="H740">
        <v>1</v>
      </c>
      <c r="I740">
        <v>0.01</v>
      </c>
      <c r="J740">
        <v>1000</v>
      </c>
      <c r="K740">
        <v>-1.4</v>
      </c>
      <c r="L740">
        <v>83.74</v>
      </c>
      <c r="M740">
        <v>84.93</v>
      </c>
      <c r="N740">
        <v>82.39</v>
      </c>
      <c r="O740">
        <v>83.79</v>
      </c>
      <c r="P740">
        <v>0</v>
      </c>
      <c r="Q740">
        <v>0</v>
      </c>
      <c r="R740">
        <v>0</v>
      </c>
      <c r="S740">
        <v>84.15</v>
      </c>
      <c r="T740">
        <v>84.94</v>
      </c>
      <c r="U740">
        <v>82.8</v>
      </c>
      <c r="V740">
        <v>84.94</v>
      </c>
      <c r="W740">
        <v>252446</v>
      </c>
      <c r="X740">
        <v>83.76</v>
      </c>
      <c r="Y740">
        <v>84.47</v>
      </c>
      <c r="Z740">
        <v>33</v>
      </c>
      <c r="AA740">
        <v>10000000</v>
      </c>
      <c r="AB740">
        <v>1674.8</v>
      </c>
      <c r="AC740">
        <v>0</v>
      </c>
      <c r="AD740" t="s">
        <v>94</v>
      </c>
      <c r="AE740" t="s">
        <v>94</v>
      </c>
      <c r="AF740" t="s">
        <v>226</v>
      </c>
      <c r="AG740" t="s">
        <v>226</v>
      </c>
      <c r="AH740">
        <v>-100</v>
      </c>
      <c r="AI740" t="s">
        <v>3537</v>
      </c>
      <c r="AJ740" t="s">
        <v>1976</v>
      </c>
      <c r="AK740" t="s">
        <v>2416</v>
      </c>
      <c r="AL740" t="s">
        <v>272</v>
      </c>
    </row>
    <row r="741" spans="1:38">
      <c r="A741" t="s">
        <v>3702</v>
      </c>
      <c r="B741" t="s">
        <v>3703</v>
      </c>
      <c r="C741" t="s">
        <v>3704</v>
      </c>
      <c r="D741" t="s">
        <v>3704</v>
      </c>
      <c r="E741" t="s">
        <v>3705</v>
      </c>
      <c r="F741" t="s">
        <v>2413</v>
      </c>
      <c r="G741">
        <v>2</v>
      </c>
      <c r="H741">
        <v>1</v>
      </c>
      <c r="I741">
        <v>0.01</v>
      </c>
      <c r="J741">
        <v>1000</v>
      </c>
      <c r="K741">
        <v>1.58</v>
      </c>
      <c r="L741">
        <v>91.22</v>
      </c>
      <c r="M741">
        <v>89.8</v>
      </c>
      <c r="N741">
        <v>89.42</v>
      </c>
      <c r="O741">
        <v>91.21</v>
      </c>
      <c r="P741">
        <v>0</v>
      </c>
      <c r="Q741">
        <v>0</v>
      </c>
      <c r="R741">
        <v>0</v>
      </c>
      <c r="S741">
        <v>91.05</v>
      </c>
      <c r="T741">
        <v>90.18</v>
      </c>
      <c r="U741">
        <v>90.18</v>
      </c>
      <c r="V741">
        <v>91.26</v>
      </c>
      <c r="W741">
        <v>966074</v>
      </c>
      <c r="X741">
        <v>91.2</v>
      </c>
      <c r="Y741">
        <v>91.21</v>
      </c>
      <c r="Z741">
        <v>133</v>
      </c>
      <c r="AA741">
        <v>9000000</v>
      </c>
      <c r="AB741">
        <v>912.2</v>
      </c>
      <c r="AC741">
        <v>0</v>
      </c>
      <c r="AD741" t="s">
        <v>94</v>
      </c>
      <c r="AE741" t="s">
        <v>94</v>
      </c>
      <c r="AF741" t="s">
        <v>226</v>
      </c>
      <c r="AG741" t="s">
        <v>226</v>
      </c>
      <c r="AH741">
        <v>-100</v>
      </c>
      <c r="AI741" t="s">
        <v>3537</v>
      </c>
      <c r="AJ741" t="s">
        <v>1976</v>
      </c>
      <c r="AK741" t="s">
        <v>2416</v>
      </c>
      <c r="AL741" t="s">
        <v>272</v>
      </c>
    </row>
    <row r="742" spans="1:38">
      <c r="A742" t="s">
        <v>3706</v>
      </c>
      <c r="B742" t="s">
        <v>3707</v>
      </c>
      <c r="C742" t="s">
        <v>3708</v>
      </c>
      <c r="D742" t="s">
        <v>3708</v>
      </c>
      <c r="E742" t="s">
        <v>3709</v>
      </c>
      <c r="F742" t="s">
        <v>2413</v>
      </c>
      <c r="G742">
        <v>2</v>
      </c>
      <c r="H742">
        <v>1</v>
      </c>
      <c r="I742">
        <v>0.01</v>
      </c>
      <c r="J742">
        <v>1000</v>
      </c>
      <c r="K742">
        <v>0.02</v>
      </c>
      <c r="L742">
        <v>97.62</v>
      </c>
      <c r="M742">
        <v>97.6</v>
      </c>
      <c r="N742">
        <v>97.6</v>
      </c>
      <c r="O742">
        <v>97.62</v>
      </c>
      <c r="P742">
        <v>0</v>
      </c>
      <c r="Q742">
        <v>0</v>
      </c>
      <c r="R742">
        <v>0</v>
      </c>
      <c r="S742">
        <v>97.62</v>
      </c>
      <c r="T742">
        <v>97.61</v>
      </c>
      <c r="U742">
        <v>97.61</v>
      </c>
      <c r="V742">
        <v>97.62</v>
      </c>
      <c r="W742">
        <v>9347099</v>
      </c>
      <c r="X742">
        <v>97.61</v>
      </c>
      <c r="Y742">
        <v>97.62</v>
      </c>
      <c r="Z742">
        <v>52</v>
      </c>
      <c r="AA742">
        <v>5000000</v>
      </c>
      <c r="AB742">
        <v>23428.799999999999</v>
      </c>
      <c r="AC742">
        <v>0</v>
      </c>
      <c r="AD742" t="s">
        <v>94</v>
      </c>
      <c r="AE742" t="s">
        <v>94</v>
      </c>
      <c r="AF742" t="s">
        <v>226</v>
      </c>
      <c r="AG742" t="s">
        <v>226</v>
      </c>
      <c r="AH742">
        <v>6</v>
      </c>
      <c r="AI742" t="s">
        <v>3537</v>
      </c>
      <c r="AJ742" t="s">
        <v>1976</v>
      </c>
      <c r="AK742" t="s">
        <v>2416</v>
      </c>
      <c r="AL742" t="s">
        <v>272</v>
      </c>
    </row>
    <row r="743" spans="1:38">
      <c r="A743" t="s">
        <v>3710</v>
      </c>
      <c r="B743" t="s">
        <v>3711</v>
      </c>
      <c r="C743" t="s">
        <v>3712</v>
      </c>
      <c r="D743" t="s">
        <v>3712</v>
      </c>
      <c r="E743" t="s">
        <v>3713</v>
      </c>
      <c r="F743" t="s">
        <v>2413</v>
      </c>
      <c r="G743">
        <v>3</v>
      </c>
      <c r="H743">
        <v>1</v>
      </c>
      <c r="I743">
        <v>0.01</v>
      </c>
      <c r="J743">
        <v>1000</v>
      </c>
      <c r="K743">
        <v>-0.42</v>
      </c>
      <c r="L743">
        <v>76.14</v>
      </c>
      <c r="M743">
        <v>76.459999999999994</v>
      </c>
      <c r="N743">
        <v>76.48</v>
      </c>
      <c r="O743">
        <v>76.180000000000007</v>
      </c>
      <c r="P743">
        <v>0</v>
      </c>
      <c r="Q743">
        <v>0</v>
      </c>
      <c r="R743">
        <v>0</v>
      </c>
      <c r="S743">
        <v>76.39</v>
      </c>
      <c r="T743">
        <v>76.48</v>
      </c>
      <c r="U743">
        <v>76.13</v>
      </c>
      <c r="V743">
        <v>76.599999999999994</v>
      </c>
      <c r="W743">
        <v>2240399</v>
      </c>
      <c r="X743">
        <v>76.150000000000006</v>
      </c>
      <c r="Y743">
        <v>76.2</v>
      </c>
      <c r="Z743">
        <v>154</v>
      </c>
      <c r="AA743">
        <v>50000000</v>
      </c>
      <c r="AB743">
        <v>761.4</v>
      </c>
      <c r="AC743">
        <v>0</v>
      </c>
      <c r="AD743" t="s">
        <v>94</v>
      </c>
      <c r="AE743" t="s">
        <v>94</v>
      </c>
      <c r="AF743" t="s">
        <v>226</v>
      </c>
      <c r="AG743" t="s">
        <v>226</v>
      </c>
      <c r="AH743">
        <v>-100</v>
      </c>
      <c r="AI743" t="s">
        <v>3537</v>
      </c>
      <c r="AJ743" t="s">
        <v>1976</v>
      </c>
      <c r="AK743" t="s">
        <v>2416</v>
      </c>
      <c r="AL743" t="s">
        <v>272</v>
      </c>
    </row>
    <row r="744" spans="1:38">
      <c r="A744" t="s">
        <v>3714</v>
      </c>
      <c r="B744" t="s">
        <v>3715</v>
      </c>
      <c r="C744" t="s">
        <v>3716</v>
      </c>
      <c r="D744" t="s">
        <v>3716</v>
      </c>
      <c r="E744" t="s">
        <v>3717</v>
      </c>
      <c r="F744" t="s">
        <v>2413</v>
      </c>
      <c r="G744">
        <v>3</v>
      </c>
      <c r="H744">
        <v>1</v>
      </c>
      <c r="I744">
        <v>0.01</v>
      </c>
      <c r="J744">
        <v>1000</v>
      </c>
      <c r="K744">
        <v>-0.34</v>
      </c>
      <c r="L744">
        <v>94.6</v>
      </c>
      <c r="M744">
        <v>94.92</v>
      </c>
      <c r="N744">
        <v>94.86</v>
      </c>
      <c r="O744">
        <v>94.6</v>
      </c>
      <c r="P744">
        <v>0</v>
      </c>
      <c r="Q744">
        <v>0</v>
      </c>
      <c r="R744">
        <v>0</v>
      </c>
      <c r="S744">
        <v>94.55</v>
      </c>
      <c r="T744">
        <v>94.5</v>
      </c>
      <c r="U744">
        <v>94.48</v>
      </c>
      <c r="V744">
        <v>94.6</v>
      </c>
      <c r="W744">
        <v>46329</v>
      </c>
      <c r="X744">
        <v>94.51</v>
      </c>
      <c r="Y744">
        <v>94.6</v>
      </c>
      <c r="Z744">
        <v>12</v>
      </c>
      <c r="AA744">
        <v>40000000</v>
      </c>
      <c r="AB744">
        <v>9460</v>
      </c>
      <c r="AC744">
        <v>0</v>
      </c>
      <c r="AD744" t="s">
        <v>94</v>
      </c>
      <c r="AE744" t="s">
        <v>94</v>
      </c>
      <c r="AF744" t="s">
        <v>226</v>
      </c>
      <c r="AG744" t="s">
        <v>226</v>
      </c>
      <c r="AH744">
        <v>8</v>
      </c>
      <c r="AI744" t="s">
        <v>3537</v>
      </c>
      <c r="AJ744" t="s">
        <v>1976</v>
      </c>
      <c r="AK744" t="s">
        <v>2416</v>
      </c>
      <c r="AL744" t="s">
        <v>272</v>
      </c>
    </row>
    <row r="745" spans="1:38">
      <c r="A745" t="s">
        <v>3718</v>
      </c>
      <c r="B745" t="s">
        <v>3719</v>
      </c>
      <c r="C745" t="s">
        <v>3720</v>
      </c>
      <c r="D745" t="s">
        <v>3720</v>
      </c>
      <c r="E745" t="s">
        <v>3721</v>
      </c>
      <c r="F745" t="s">
        <v>2413</v>
      </c>
      <c r="G745">
        <v>3</v>
      </c>
      <c r="H745">
        <v>1</v>
      </c>
      <c r="I745">
        <v>0.01</v>
      </c>
      <c r="J745">
        <v>1000</v>
      </c>
      <c r="K745">
        <v>-0.28000000000000003</v>
      </c>
      <c r="L745">
        <v>88.2</v>
      </c>
      <c r="M745">
        <v>88.79</v>
      </c>
      <c r="N745">
        <v>88.51</v>
      </c>
      <c r="O745">
        <v>88.2</v>
      </c>
      <c r="P745">
        <v>0</v>
      </c>
      <c r="Q745">
        <v>0</v>
      </c>
      <c r="R745">
        <v>0</v>
      </c>
      <c r="S745">
        <v>88.2</v>
      </c>
      <c r="T745">
        <v>88.23</v>
      </c>
      <c r="U745">
        <v>88.19</v>
      </c>
      <c r="V745">
        <v>88.23</v>
      </c>
      <c r="W745">
        <v>118189</v>
      </c>
      <c r="X745">
        <v>88.02</v>
      </c>
      <c r="Y745">
        <v>88.2</v>
      </c>
      <c r="Z745">
        <v>35</v>
      </c>
      <c r="AA745">
        <v>15000000</v>
      </c>
      <c r="AB745">
        <v>17640</v>
      </c>
      <c r="AC745">
        <v>0</v>
      </c>
      <c r="AD745" t="s">
        <v>94</v>
      </c>
      <c r="AE745" t="s">
        <v>94</v>
      </c>
      <c r="AF745" t="s">
        <v>226</v>
      </c>
      <c r="AG745" t="s">
        <v>226</v>
      </c>
      <c r="AH745">
        <v>6</v>
      </c>
      <c r="AI745" t="s">
        <v>3537</v>
      </c>
      <c r="AJ745" t="s">
        <v>1976</v>
      </c>
      <c r="AK745" t="s">
        <v>2416</v>
      </c>
      <c r="AL745" t="s">
        <v>272</v>
      </c>
    </row>
    <row r="746" spans="1:38">
      <c r="A746" t="s">
        <v>3722</v>
      </c>
      <c r="B746" t="s">
        <v>3723</v>
      </c>
      <c r="C746" t="s">
        <v>3724</v>
      </c>
      <c r="D746" t="s">
        <v>3724</v>
      </c>
      <c r="E746" t="s">
        <v>3725</v>
      </c>
      <c r="F746" t="s">
        <v>2425</v>
      </c>
      <c r="G746">
        <v>1</v>
      </c>
      <c r="H746">
        <v>1</v>
      </c>
      <c r="I746">
        <v>0.01</v>
      </c>
      <c r="J746">
        <v>1000</v>
      </c>
      <c r="K746">
        <v>0.28999999999999998</v>
      </c>
      <c r="L746">
        <v>70</v>
      </c>
      <c r="M746">
        <v>69.8</v>
      </c>
      <c r="N746">
        <v>69.89</v>
      </c>
      <c r="O746">
        <v>69.849999999999994</v>
      </c>
      <c r="P746">
        <v>0</v>
      </c>
      <c r="Q746">
        <v>0</v>
      </c>
      <c r="R746">
        <v>0</v>
      </c>
      <c r="S746">
        <v>69.84</v>
      </c>
      <c r="T746">
        <v>70</v>
      </c>
      <c r="U746">
        <v>69.5</v>
      </c>
      <c r="V746">
        <v>70</v>
      </c>
      <c r="W746">
        <v>4298667</v>
      </c>
      <c r="X746">
        <v>70</v>
      </c>
      <c r="Y746">
        <v>70.05</v>
      </c>
      <c r="Z746">
        <v>348</v>
      </c>
      <c r="AA746">
        <v>2000000</v>
      </c>
      <c r="AB746">
        <v>12600</v>
      </c>
      <c r="AC746">
        <v>0</v>
      </c>
      <c r="AD746" t="s">
        <v>94</v>
      </c>
      <c r="AE746" t="s">
        <v>94</v>
      </c>
      <c r="AF746" t="s">
        <v>226</v>
      </c>
      <c r="AG746" t="s">
        <v>226</v>
      </c>
      <c r="AH746">
        <v>6</v>
      </c>
      <c r="AI746" t="s">
        <v>3537</v>
      </c>
      <c r="AJ746" t="s">
        <v>1976</v>
      </c>
      <c r="AK746" t="s">
        <v>2426</v>
      </c>
      <c r="AL746" t="s">
        <v>272</v>
      </c>
    </row>
    <row r="747" spans="1:38">
      <c r="A747" t="s">
        <v>3726</v>
      </c>
      <c r="B747" t="s">
        <v>3727</v>
      </c>
      <c r="C747" t="s">
        <v>3728</v>
      </c>
      <c r="D747" t="s">
        <v>3728</v>
      </c>
      <c r="E747" t="s">
        <v>3729</v>
      </c>
      <c r="F747" t="s">
        <v>2425</v>
      </c>
      <c r="G747">
        <v>2</v>
      </c>
      <c r="H747">
        <v>1</v>
      </c>
      <c r="I747">
        <v>0.01</v>
      </c>
      <c r="J747">
        <v>1000</v>
      </c>
      <c r="K747">
        <v>-0.47</v>
      </c>
      <c r="L747">
        <v>70.42</v>
      </c>
      <c r="M747">
        <v>70.75</v>
      </c>
      <c r="N747">
        <v>70.44</v>
      </c>
      <c r="O747">
        <v>70.42</v>
      </c>
      <c r="P747">
        <v>0</v>
      </c>
      <c r="Q747">
        <v>0</v>
      </c>
      <c r="R747">
        <v>0</v>
      </c>
      <c r="S747">
        <v>70.34</v>
      </c>
      <c r="T747">
        <v>71.94</v>
      </c>
      <c r="U747">
        <v>70</v>
      </c>
      <c r="V747">
        <v>71.94</v>
      </c>
      <c r="W747">
        <v>849755</v>
      </c>
      <c r="X747">
        <v>70.34</v>
      </c>
      <c r="Y747">
        <v>70.42</v>
      </c>
      <c r="Z747">
        <v>167</v>
      </c>
      <c r="AA747">
        <v>800000</v>
      </c>
      <c r="AB747">
        <v>1408.4</v>
      </c>
      <c r="AC747">
        <v>0</v>
      </c>
      <c r="AD747" t="s">
        <v>94</v>
      </c>
      <c r="AE747" t="s">
        <v>94</v>
      </c>
      <c r="AF747" t="s">
        <v>226</v>
      </c>
      <c r="AG747" t="s">
        <v>226</v>
      </c>
      <c r="AH747">
        <v>6</v>
      </c>
      <c r="AI747" t="s">
        <v>3537</v>
      </c>
      <c r="AJ747" t="s">
        <v>1976</v>
      </c>
      <c r="AK747" t="s">
        <v>2426</v>
      </c>
      <c r="AL747" t="s">
        <v>272</v>
      </c>
    </row>
    <row r="748" spans="1:38">
      <c r="A748" t="s">
        <v>3730</v>
      </c>
      <c r="B748" t="s">
        <v>3731</v>
      </c>
      <c r="C748" t="s">
        <v>3732</v>
      </c>
      <c r="D748" t="s">
        <v>3732</v>
      </c>
      <c r="E748" t="s">
        <v>3733</v>
      </c>
      <c r="F748" t="s">
        <v>2413</v>
      </c>
      <c r="G748">
        <v>1</v>
      </c>
      <c r="H748">
        <v>1</v>
      </c>
      <c r="I748">
        <v>0.01</v>
      </c>
      <c r="J748">
        <v>715.3</v>
      </c>
      <c r="K748">
        <v>0</v>
      </c>
      <c r="L748">
        <v>0</v>
      </c>
      <c r="M748">
        <v>99.22</v>
      </c>
      <c r="N748">
        <v>99.1</v>
      </c>
      <c r="O748">
        <v>99.22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99.25</v>
      </c>
      <c r="Y748">
        <v>99.27</v>
      </c>
      <c r="Z748">
        <v>0</v>
      </c>
      <c r="AA748">
        <v>6704238</v>
      </c>
      <c r="AB748">
        <v>0</v>
      </c>
      <c r="AC748">
        <v>0</v>
      </c>
      <c r="AD748" t="s">
        <v>94</v>
      </c>
      <c r="AE748" t="s">
        <v>94</v>
      </c>
      <c r="AF748" t="s">
        <v>304</v>
      </c>
      <c r="AG748" t="s">
        <v>226</v>
      </c>
      <c r="AH748">
        <v>800</v>
      </c>
      <c r="AI748" t="s">
        <v>3537</v>
      </c>
      <c r="AJ748" t="s">
        <v>1976</v>
      </c>
      <c r="AK748" t="s">
        <v>2416</v>
      </c>
      <c r="AL748" t="s">
        <v>272</v>
      </c>
    </row>
    <row r="749" spans="1:38">
      <c r="A749" t="s">
        <v>3734</v>
      </c>
      <c r="B749" t="s">
        <v>3735</v>
      </c>
      <c r="C749" t="s">
        <v>3736</v>
      </c>
      <c r="D749" t="s">
        <v>3736</v>
      </c>
      <c r="E749" t="s">
        <v>3737</v>
      </c>
      <c r="F749" t="s">
        <v>2413</v>
      </c>
      <c r="G749">
        <v>1</v>
      </c>
      <c r="H749">
        <v>1</v>
      </c>
      <c r="I749">
        <v>0.01</v>
      </c>
      <c r="J749">
        <v>805.07</v>
      </c>
      <c r="K749">
        <v>0</v>
      </c>
      <c r="L749">
        <v>0</v>
      </c>
      <c r="M749">
        <v>98.65</v>
      </c>
      <c r="N749">
        <v>98.74</v>
      </c>
      <c r="O749">
        <v>98.65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98.8</v>
      </c>
      <c r="Y749">
        <v>98.82</v>
      </c>
      <c r="Z749">
        <v>0</v>
      </c>
      <c r="AA749">
        <v>5477816</v>
      </c>
      <c r="AB749">
        <v>0</v>
      </c>
      <c r="AC749">
        <v>0</v>
      </c>
      <c r="AD749" t="s">
        <v>94</v>
      </c>
      <c r="AE749" t="s">
        <v>94</v>
      </c>
      <c r="AF749" t="s">
        <v>304</v>
      </c>
      <c r="AG749" t="s">
        <v>226</v>
      </c>
      <c r="AH749">
        <v>800</v>
      </c>
      <c r="AI749" t="s">
        <v>3537</v>
      </c>
      <c r="AJ749" t="s">
        <v>1976</v>
      </c>
      <c r="AK749" t="s">
        <v>2416</v>
      </c>
      <c r="AL749" t="s">
        <v>272</v>
      </c>
    </row>
    <row r="750" spans="1:38">
      <c r="A750" t="s">
        <v>3738</v>
      </c>
      <c r="B750" t="s">
        <v>3739</v>
      </c>
      <c r="C750" t="s">
        <v>3740</v>
      </c>
      <c r="D750" t="s">
        <v>3740</v>
      </c>
      <c r="E750" t="s">
        <v>3741</v>
      </c>
      <c r="F750" t="s">
        <v>2413</v>
      </c>
      <c r="G750">
        <v>1</v>
      </c>
      <c r="H750">
        <v>1</v>
      </c>
      <c r="I750">
        <v>0.01</v>
      </c>
      <c r="J750">
        <v>876.71</v>
      </c>
      <c r="K750">
        <v>-17.41</v>
      </c>
      <c r="L750">
        <v>99.11</v>
      </c>
      <c r="M750">
        <v>120</v>
      </c>
      <c r="N750">
        <v>93.8</v>
      </c>
      <c r="O750">
        <v>99.12</v>
      </c>
      <c r="P750">
        <v>0</v>
      </c>
      <c r="Q750">
        <v>0</v>
      </c>
      <c r="R750">
        <v>0</v>
      </c>
      <c r="S750">
        <v>99.12</v>
      </c>
      <c r="T750">
        <v>99.12</v>
      </c>
      <c r="U750">
        <v>99.11</v>
      </c>
      <c r="V750">
        <v>99.12</v>
      </c>
      <c r="W750">
        <v>1738</v>
      </c>
      <c r="X750">
        <v>98.01</v>
      </c>
      <c r="Y750">
        <v>121.67</v>
      </c>
      <c r="Z750">
        <v>2</v>
      </c>
      <c r="AA750">
        <v>29839165</v>
      </c>
      <c r="AB750">
        <v>868.91</v>
      </c>
      <c r="AC750">
        <v>0</v>
      </c>
      <c r="AD750" t="s">
        <v>94</v>
      </c>
      <c r="AE750" t="s">
        <v>94</v>
      </c>
      <c r="AF750" t="s">
        <v>226</v>
      </c>
      <c r="AG750" t="s">
        <v>226</v>
      </c>
      <c r="AH750">
        <v>-100</v>
      </c>
      <c r="AI750" t="s">
        <v>3537</v>
      </c>
      <c r="AJ750" t="s">
        <v>1976</v>
      </c>
      <c r="AK750" t="s">
        <v>2416</v>
      </c>
      <c r="AL750" t="s">
        <v>272</v>
      </c>
    </row>
    <row r="751" spans="1:38">
      <c r="A751" t="s">
        <v>3742</v>
      </c>
      <c r="B751" t="s">
        <v>3743</v>
      </c>
      <c r="C751" t="s">
        <v>3744</v>
      </c>
      <c r="D751" t="s">
        <v>3744</v>
      </c>
      <c r="E751" t="s">
        <v>3745</v>
      </c>
      <c r="F751" t="s">
        <v>2413</v>
      </c>
      <c r="G751">
        <v>2</v>
      </c>
      <c r="H751">
        <v>1</v>
      </c>
      <c r="I751">
        <v>0.01</v>
      </c>
      <c r="J751">
        <v>1000</v>
      </c>
      <c r="K751">
        <v>0.21</v>
      </c>
      <c r="L751">
        <v>79.69</v>
      </c>
      <c r="M751">
        <v>79.53</v>
      </c>
      <c r="N751">
        <v>80.16</v>
      </c>
      <c r="O751">
        <v>79.69</v>
      </c>
      <c r="P751">
        <v>0</v>
      </c>
      <c r="Q751">
        <v>0</v>
      </c>
      <c r="R751">
        <v>0</v>
      </c>
      <c r="S751">
        <v>81.7</v>
      </c>
      <c r="T751">
        <v>79</v>
      </c>
      <c r="U751">
        <v>79</v>
      </c>
      <c r="V751">
        <v>83</v>
      </c>
      <c r="W751">
        <v>232029</v>
      </c>
      <c r="X751">
        <v>79.67</v>
      </c>
      <c r="Y751">
        <v>79.7</v>
      </c>
      <c r="Z751">
        <v>33</v>
      </c>
      <c r="AA751">
        <v>5000000</v>
      </c>
      <c r="AB751">
        <v>3984.5</v>
      </c>
      <c r="AC751">
        <v>0</v>
      </c>
      <c r="AD751" t="s">
        <v>94</v>
      </c>
      <c r="AE751" t="s">
        <v>94</v>
      </c>
      <c r="AF751" t="s">
        <v>226</v>
      </c>
      <c r="AG751" t="s">
        <v>226</v>
      </c>
      <c r="AH751">
        <v>6</v>
      </c>
      <c r="AI751" t="s">
        <v>3537</v>
      </c>
      <c r="AJ751" t="s">
        <v>1976</v>
      </c>
      <c r="AK751" t="s">
        <v>2416</v>
      </c>
      <c r="AL751" t="s">
        <v>272</v>
      </c>
    </row>
    <row r="752" spans="1:38">
      <c r="A752" t="s">
        <v>3746</v>
      </c>
      <c r="B752" t="s">
        <v>3747</v>
      </c>
      <c r="C752" t="s">
        <v>3748</v>
      </c>
      <c r="D752" t="s">
        <v>3748</v>
      </c>
      <c r="E752" t="s">
        <v>3749</v>
      </c>
      <c r="F752" t="s">
        <v>2413</v>
      </c>
      <c r="G752">
        <v>3</v>
      </c>
      <c r="H752">
        <v>1</v>
      </c>
      <c r="I752">
        <v>0.01</v>
      </c>
      <c r="J752">
        <v>1000</v>
      </c>
      <c r="K752">
        <v>-0.01</v>
      </c>
      <c r="L752">
        <v>89.97</v>
      </c>
      <c r="M752">
        <v>89.98</v>
      </c>
      <c r="N752">
        <v>89.75</v>
      </c>
      <c r="O752">
        <v>89.97</v>
      </c>
      <c r="P752">
        <v>0</v>
      </c>
      <c r="Q752">
        <v>0</v>
      </c>
      <c r="R752">
        <v>0</v>
      </c>
      <c r="S752">
        <v>89.97</v>
      </c>
      <c r="T752">
        <v>89.97</v>
      </c>
      <c r="U752">
        <v>89.96</v>
      </c>
      <c r="V752">
        <v>89.97</v>
      </c>
      <c r="W752">
        <v>6298</v>
      </c>
      <c r="X752">
        <v>87.39</v>
      </c>
      <c r="Y752">
        <v>89.96</v>
      </c>
      <c r="Z752">
        <v>3</v>
      </c>
      <c r="AA752">
        <v>3000000</v>
      </c>
      <c r="AB752">
        <v>2699.1</v>
      </c>
      <c r="AC752">
        <v>0</v>
      </c>
      <c r="AD752" t="s">
        <v>94</v>
      </c>
      <c r="AE752" t="s">
        <v>94</v>
      </c>
      <c r="AF752" t="s">
        <v>304</v>
      </c>
      <c r="AG752" t="s">
        <v>226</v>
      </c>
      <c r="AH752">
        <v>800</v>
      </c>
      <c r="AI752" t="s">
        <v>3537</v>
      </c>
      <c r="AJ752" t="s">
        <v>1976</v>
      </c>
      <c r="AK752" t="s">
        <v>2416</v>
      </c>
      <c r="AL752" t="s">
        <v>272</v>
      </c>
    </row>
    <row r="753" spans="1:38">
      <c r="A753" t="s">
        <v>3750</v>
      </c>
      <c r="B753" t="s">
        <v>3751</v>
      </c>
      <c r="C753" t="s">
        <v>3752</v>
      </c>
      <c r="D753" t="s">
        <v>3752</v>
      </c>
      <c r="E753" t="s">
        <v>3753</v>
      </c>
      <c r="F753" t="s">
        <v>3754</v>
      </c>
      <c r="G753">
        <v>1</v>
      </c>
      <c r="H753">
        <v>1</v>
      </c>
      <c r="I753">
        <v>0.01</v>
      </c>
      <c r="J753">
        <v>1000</v>
      </c>
      <c r="K753">
        <v>0.25</v>
      </c>
      <c r="L753">
        <v>69.17</v>
      </c>
      <c r="M753">
        <v>69</v>
      </c>
      <c r="N753">
        <v>68.97</v>
      </c>
      <c r="O753">
        <v>69.12</v>
      </c>
      <c r="P753">
        <v>0</v>
      </c>
      <c r="Q753">
        <v>0</v>
      </c>
      <c r="R753">
        <v>0</v>
      </c>
      <c r="S753">
        <v>68.87</v>
      </c>
      <c r="T753">
        <v>68.94</v>
      </c>
      <c r="U753">
        <v>68.540000000000006</v>
      </c>
      <c r="V753">
        <v>69.319999999999993</v>
      </c>
      <c r="W753">
        <v>1032294</v>
      </c>
      <c r="X753">
        <v>69.03</v>
      </c>
      <c r="Y753">
        <v>69.13</v>
      </c>
      <c r="Z753">
        <v>101</v>
      </c>
      <c r="AA753">
        <v>70000000</v>
      </c>
      <c r="AB753">
        <v>2766.8</v>
      </c>
      <c r="AC753">
        <v>0</v>
      </c>
      <c r="AD753" t="s">
        <v>94</v>
      </c>
      <c r="AE753" t="s">
        <v>94</v>
      </c>
      <c r="AF753" t="s">
        <v>226</v>
      </c>
      <c r="AG753" t="s">
        <v>226</v>
      </c>
      <c r="AH753">
        <v>-100</v>
      </c>
      <c r="AI753" t="s">
        <v>3537</v>
      </c>
      <c r="AJ753" t="s">
        <v>1976</v>
      </c>
      <c r="AK753" t="s">
        <v>3755</v>
      </c>
      <c r="AL753" t="s">
        <v>272</v>
      </c>
    </row>
    <row r="754" spans="1:38">
      <c r="A754" t="s">
        <v>3756</v>
      </c>
      <c r="B754" t="s">
        <v>3757</v>
      </c>
      <c r="C754" t="s">
        <v>3758</v>
      </c>
      <c r="D754" t="s">
        <v>3758</v>
      </c>
      <c r="E754" t="s">
        <v>3759</v>
      </c>
      <c r="F754" t="s">
        <v>2413</v>
      </c>
      <c r="G754">
        <v>3</v>
      </c>
      <c r="H754">
        <v>1</v>
      </c>
      <c r="I754">
        <v>0.01</v>
      </c>
      <c r="J754">
        <v>1000</v>
      </c>
      <c r="K754">
        <v>3.11</v>
      </c>
      <c r="L754">
        <v>91.25</v>
      </c>
      <c r="M754">
        <v>88.74</v>
      </c>
      <c r="N754">
        <v>91.19</v>
      </c>
      <c r="O754">
        <v>91.25</v>
      </c>
      <c r="P754">
        <v>0</v>
      </c>
      <c r="Q754">
        <v>0</v>
      </c>
      <c r="R754">
        <v>0</v>
      </c>
      <c r="S754">
        <v>89.44</v>
      </c>
      <c r="T754">
        <v>89</v>
      </c>
      <c r="U754">
        <v>87.16</v>
      </c>
      <c r="V754">
        <v>91.25</v>
      </c>
      <c r="W754">
        <v>776352</v>
      </c>
      <c r="X754">
        <v>91.14</v>
      </c>
      <c r="Y754">
        <v>91.28</v>
      </c>
      <c r="Z754">
        <v>41</v>
      </c>
      <c r="AA754">
        <v>3000000</v>
      </c>
      <c r="AB754">
        <v>45625</v>
      </c>
      <c r="AC754">
        <v>0</v>
      </c>
      <c r="AD754" t="s">
        <v>94</v>
      </c>
      <c r="AE754" t="s">
        <v>94</v>
      </c>
      <c r="AF754" t="s">
        <v>226</v>
      </c>
      <c r="AG754" t="s">
        <v>226</v>
      </c>
      <c r="AH754">
        <v>-100</v>
      </c>
      <c r="AI754" t="s">
        <v>3537</v>
      </c>
      <c r="AJ754" t="s">
        <v>1976</v>
      </c>
      <c r="AK754" t="s">
        <v>2416</v>
      </c>
      <c r="AL754" t="s">
        <v>272</v>
      </c>
    </row>
    <row r="755" spans="1:38">
      <c r="A755" t="s">
        <v>3760</v>
      </c>
      <c r="B755" t="s">
        <v>3761</v>
      </c>
      <c r="C755" t="s">
        <v>3762</v>
      </c>
      <c r="D755" t="s">
        <v>3762</v>
      </c>
      <c r="E755" t="s">
        <v>3763</v>
      </c>
      <c r="F755" t="s">
        <v>2413</v>
      </c>
      <c r="G755">
        <v>3</v>
      </c>
      <c r="H755">
        <v>1</v>
      </c>
      <c r="I755">
        <v>0.01</v>
      </c>
      <c r="J755">
        <v>1000</v>
      </c>
      <c r="K755">
        <v>-0.71</v>
      </c>
      <c r="L755">
        <v>91.82</v>
      </c>
      <c r="M755">
        <v>92.38</v>
      </c>
      <c r="N755">
        <v>91.25</v>
      </c>
      <c r="O755">
        <v>91.83</v>
      </c>
      <c r="P755">
        <v>0</v>
      </c>
      <c r="Q755">
        <v>0</v>
      </c>
      <c r="R755">
        <v>0</v>
      </c>
      <c r="S755">
        <v>92.32</v>
      </c>
      <c r="T755">
        <v>92.48</v>
      </c>
      <c r="U755">
        <v>90.52</v>
      </c>
      <c r="V755">
        <v>92.88</v>
      </c>
      <c r="W755">
        <v>36928</v>
      </c>
      <c r="X755">
        <v>91.51</v>
      </c>
      <c r="Y755">
        <v>91.82</v>
      </c>
      <c r="Z755">
        <v>19</v>
      </c>
      <c r="AA755">
        <v>10000000</v>
      </c>
      <c r="AB755">
        <v>918.2</v>
      </c>
      <c r="AC755">
        <v>0</v>
      </c>
      <c r="AD755" t="s">
        <v>94</v>
      </c>
      <c r="AE755" t="s">
        <v>94</v>
      </c>
      <c r="AF755" t="s">
        <v>226</v>
      </c>
      <c r="AG755" t="s">
        <v>226</v>
      </c>
      <c r="AH755">
        <v>6</v>
      </c>
      <c r="AI755" t="s">
        <v>3537</v>
      </c>
      <c r="AJ755" t="s">
        <v>1976</v>
      </c>
      <c r="AK755" t="s">
        <v>2416</v>
      </c>
      <c r="AL755" t="s">
        <v>272</v>
      </c>
    </row>
    <row r="756" spans="1:38">
      <c r="A756" t="s">
        <v>3764</v>
      </c>
      <c r="B756" t="s">
        <v>3765</v>
      </c>
      <c r="C756" t="s">
        <v>3766</v>
      </c>
      <c r="D756" t="s">
        <v>3766</v>
      </c>
      <c r="E756" t="s">
        <v>3767</v>
      </c>
      <c r="F756" t="s">
        <v>2425</v>
      </c>
      <c r="G756">
        <v>3</v>
      </c>
      <c r="H756">
        <v>1</v>
      </c>
      <c r="I756">
        <v>0.01</v>
      </c>
      <c r="J756">
        <v>613.03</v>
      </c>
      <c r="K756">
        <v>0</v>
      </c>
      <c r="L756">
        <v>0</v>
      </c>
      <c r="M756">
        <v>91</v>
      </c>
      <c r="N756">
        <v>0</v>
      </c>
      <c r="O756">
        <v>91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90.71</v>
      </c>
      <c r="Y756">
        <v>92.29</v>
      </c>
      <c r="Z756">
        <v>0</v>
      </c>
      <c r="AA756">
        <v>4700000</v>
      </c>
      <c r="AB756">
        <v>0</v>
      </c>
      <c r="AC756">
        <v>0</v>
      </c>
      <c r="AD756" t="s">
        <v>94</v>
      </c>
      <c r="AE756" t="s">
        <v>94</v>
      </c>
      <c r="AF756" t="s">
        <v>304</v>
      </c>
      <c r="AG756" t="s">
        <v>226</v>
      </c>
      <c r="AH756">
        <v>0</v>
      </c>
      <c r="AI756" t="s">
        <v>3537</v>
      </c>
      <c r="AJ756" t="s">
        <v>1976</v>
      </c>
      <c r="AK756" t="s">
        <v>2426</v>
      </c>
      <c r="AL756" t="s">
        <v>272</v>
      </c>
    </row>
    <row r="757" spans="1:38">
      <c r="A757" t="s">
        <v>3768</v>
      </c>
      <c r="B757" t="s">
        <v>3769</v>
      </c>
      <c r="C757" t="s">
        <v>3770</v>
      </c>
      <c r="D757" t="s">
        <v>3770</v>
      </c>
      <c r="E757" t="s">
        <v>3771</v>
      </c>
      <c r="F757" t="s">
        <v>2425</v>
      </c>
      <c r="G757">
        <v>3</v>
      </c>
      <c r="H757">
        <v>1</v>
      </c>
      <c r="I757">
        <v>0.01</v>
      </c>
      <c r="J757">
        <v>665.8</v>
      </c>
      <c r="K757">
        <v>-0.08</v>
      </c>
      <c r="L757">
        <v>84.95</v>
      </c>
      <c r="M757">
        <v>85.02</v>
      </c>
      <c r="N757">
        <v>86.29</v>
      </c>
      <c r="O757">
        <v>84.98</v>
      </c>
      <c r="P757">
        <v>0</v>
      </c>
      <c r="Q757">
        <v>0</v>
      </c>
      <c r="R757">
        <v>0</v>
      </c>
      <c r="S757">
        <v>84.98</v>
      </c>
      <c r="T757">
        <v>84.68</v>
      </c>
      <c r="U757">
        <v>84.67</v>
      </c>
      <c r="V757">
        <v>86.48</v>
      </c>
      <c r="W757">
        <v>29422</v>
      </c>
      <c r="X757">
        <v>84.68</v>
      </c>
      <c r="Y757">
        <v>85.11</v>
      </c>
      <c r="Z757">
        <v>15</v>
      </c>
      <c r="AA757">
        <v>900000</v>
      </c>
      <c r="AB757">
        <v>565.6</v>
      </c>
      <c r="AC757">
        <v>0</v>
      </c>
      <c r="AD757" t="s">
        <v>94</v>
      </c>
      <c r="AE757" t="s">
        <v>94</v>
      </c>
      <c r="AF757" t="s">
        <v>304</v>
      </c>
      <c r="AG757" t="s">
        <v>226</v>
      </c>
      <c r="AH757">
        <v>0</v>
      </c>
      <c r="AI757" t="s">
        <v>3537</v>
      </c>
      <c r="AJ757" t="s">
        <v>1976</v>
      </c>
      <c r="AK757" t="s">
        <v>2426</v>
      </c>
      <c r="AL757" t="s">
        <v>272</v>
      </c>
    </row>
    <row r="758" spans="1:38">
      <c r="A758" t="s">
        <v>3772</v>
      </c>
      <c r="B758" t="s">
        <v>3773</v>
      </c>
      <c r="C758" t="s">
        <v>3774</v>
      </c>
      <c r="D758" t="s">
        <v>3774</v>
      </c>
      <c r="E758" t="s">
        <v>3775</v>
      </c>
      <c r="F758" t="s">
        <v>2425</v>
      </c>
      <c r="G758">
        <v>3</v>
      </c>
      <c r="H758">
        <v>1</v>
      </c>
      <c r="I758">
        <v>0.01</v>
      </c>
      <c r="J758">
        <v>777.27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100000</v>
      </c>
      <c r="AB758">
        <v>0</v>
      </c>
      <c r="AC758">
        <v>0</v>
      </c>
      <c r="AD758" t="s">
        <v>94</v>
      </c>
      <c r="AE758" t="s">
        <v>94</v>
      </c>
      <c r="AF758" t="s">
        <v>304</v>
      </c>
      <c r="AG758" t="s">
        <v>226</v>
      </c>
      <c r="AH758">
        <v>0</v>
      </c>
      <c r="AI758" t="s">
        <v>3537</v>
      </c>
      <c r="AJ758" t="s">
        <v>1976</v>
      </c>
      <c r="AK758" t="s">
        <v>2426</v>
      </c>
      <c r="AL758" t="s">
        <v>272</v>
      </c>
    </row>
    <row r="759" spans="1:38">
      <c r="A759" t="s">
        <v>3776</v>
      </c>
      <c r="B759" t="s">
        <v>3777</v>
      </c>
      <c r="C759" t="s">
        <v>3778</v>
      </c>
      <c r="D759" t="s">
        <v>3778</v>
      </c>
      <c r="E759" t="s">
        <v>3779</v>
      </c>
      <c r="F759" t="s">
        <v>2425</v>
      </c>
      <c r="G759">
        <v>1</v>
      </c>
      <c r="H759">
        <v>1</v>
      </c>
      <c r="I759">
        <v>0.01</v>
      </c>
      <c r="J759">
        <v>1000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10000000</v>
      </c>
      <c r="AB759">
        <v>0</v>
      </c>
      <c r="AC759">
        <v>0</v>
      </c>
      <c r="AD759" t="s">
        <v>94</v>
      </c>
      <c r="AE759" t="s">
        <v>94</v>
      </c>
      <c r="AF759" t="s">
        <v>226</v>
      </c>
      <c r="AG759" t="s">
        <v>226</v>
      </c>
      <c r="AH759">
        <v>8</v>
      </c>
      <c r="AI759" t="s">
        <v>3537</v>
      </c>
      <c r="AJ759" t="s">
        <v>1976</v>
      </c>
      <c r="AK759" t="s">
        <v>2426</v>
      </c>
      <c r="AL759" t="s">
        <v>272</v>
      </c>
    </row>
    <row r="760" spans="1:38">
      <c r="A760" t="s">
        <v>3780</v>
      </c>
      <c r="B760" t="s">
        <v>3781</v>
      </c>
      <c r="C760" t="s">
        <v>3782</v>
      </c>
      <c r="D760" t="s">
        <v>3782</v>
      </c>
      <c r="E760" t="s">
        <v>3783</v>
      </c>
      <c r="F760" t="s">
        <v>2425</v>
      </c>
      <c r="G760">
        <v>1</v>
      </c>
      <c r="H760">
        <v>1</v>
      </c>
      <c r="I760">
        <v>0.01</v>
      </c>
      <c r="J760">
        <v>1000</v>
      </c>
      <c r="K760">
        <v>1.85</v>
      </c>
      <c r="L760">
        <v>91.15</v>
      </c>
      <c r="M760">
        <v>89.49</v>
      </c>
      <c r="N760">
        <v>89.87</v>
      </c>
      <c r="O760">
        <v>90.6</v>
      </c>
      <c r="P760">
        <v>0</v>
      </c>
      <c r="Q760">
        <v>0</v>
      </c>
      <c r="R760">
        <v>0</v>
      </c>
      <c r="S760">
        <v>90.01</v>
      </c>
      <c r="T760">
        <v>90.71</v>
      </c>
      <c r="U760">
        <v>89.49</v>
      </c>
      <c r="V760">
        <v>91.15</v>
      </c>
      <c r="W760">
        <v>44103</v>
      </c>
      <c r="X760">
        <v>90.48</v>
      </c>
      <c r="Y760">
        <v>90.72</v>
      </c>
      <c r="Z760">
        <v>19</v>
      </c>
      <c r="AA760">
        <v>15000000</v>
      </c>
      <c r="AB760">
        <v>1823</v>
      </c>
      <c r="AC760">
        <v>0</v>
      </c>
      <c r="AD760" t="s">
        <v>94</v>
      </c>
      <c r="AE760" t="s">
        <v>94</v>
      </c>
      <c r="AF760" t="s">
        <v>226</v>
      </c>
      <c r="AG760" t="s">
        <v>226</v>
      </c>
      <c r="AH760">
        <v>-100</v>
      </c>
      <c r="AI760" t="s">
        <v>3537</v>
      </c>
      <c r="AJ760" t="s">
        <v>1976</v>
      </c>
      <c r="AK760" t="s">
        <v>2426</v>
      </c>
      <c r="AL760" t="s">
        <v>272</v>
      </c>
    </row>
    <row r="761" spans="1:38">
      <c r="A761" t="s">
        <v>3784</v>
      </c>
      <c r="B761" t="s">
        <v>3785</v>
      </c>
      <c r="C761" t="s">
        <v>3786</v>
      </c>
      <c r="D761" t="s">
        <v>3786</v>
      </c>
      <c r="E761" t="s">
        <v>3787</v>
      </c>
      <c r="F761" t="s">
        <v>2425</v>
      </c>
      <c r="G761">
        <v>1</v>
      </c>
      <c r="H761">
        <v>1</v>
      </c>
      <c r="I761">
        <v>0.01</v>
      </c>
      <c r="J761">
        <v>1000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10000000</v>
      </c>
      <c r="AB761">
        <v>0</v>
      </c>
      <c r="AC761">
        <v>0</v>
      </c>
      <c r="AD761" t="s">
        <v>94</v>
      </c>
      <c r="AE761" t="s">
        <v>94</v>
      </c>
      <c r="AF761" t="s">
        <v>226</v>
      </c>
      <c r="AG761" t="s">
        <v>226</v>
      </c>
      <c r="AH761">
        <v>-100</v>
      </c>
      <c r="AI761" t="s">
        <v>3537</v>
      </c>
      <c r="AJ761" t="s">
        <v>1976</v>
      </c>
      <c r="AK761" t="s">
        <v>2426</v>
      </c>
      <c r="AL761" t="s">
        <v>272</v>
      </c>
    </row>
    <row r="762" spans="1:38">
      <c r="A762" t="s">
        <v>3788</v>
      </c>
      <c r="B762" t="s">
        <v>3789</v>
      </c>
      <c r="C762" t="s">
        <v>3790</v>
      </c>
      <c r="D762" t="s">
        <v>3790</v>
      </c>
      <c r="E762" t="s">
        <v>3791</v>
      </c>
      <c r="F762" t="s">
        <v>2425</v>
      </c>
      <c r="G762">
        <v>1</v>
      </c>
      <c r="H762">
        <v>1</v>
      </c>
      <c r="I762">
        <v>0.01</v>
      </c>
      <c r="J762">
        <v>1000</v>
      </c>
      <c r="K762">
        <v>-2.81</v>
      </c>
      <c r="L762">
        <v>85.81</v>
      </c>
      <c r="M762">
        <v>88.29</v>
      </c>
      <c r="N762">
        <v>85.53</v>
      </c>
      <c r="O762">
        <v>85.85</v>
      </c>
      <c r="P762">
        <v>0</v>
      </c>
      <c r="Q762">
        <v>0</v>
      </c>
      <c r="R762">
        <v>0</v>
      </c>
      <c r="S762">
        <v>85</v>
      </c>
      <c r="T762">
        <v>88.99</v>
      </c>
      <c r="U762">
        <v>83.18</v>
      </c>
      <c r="V762">
        <v>89</v>
      </c>
      <c r="W762">
        <v>106249</v>
      </c>
      <c r="X762">
        <v>85.54</v>
      </c>
      <c r="Y762">
        <v>85.62</v>
      </c>
      <c r="Z762">
        <v>49</v>
      </c>
      <c r="AA762">
        <v>15000000</v>
      </c>
      <c r="AB762">
        <v>858.1</v>
      </c>
      <c r="AC762">
        <v>0</v>
      </c>
      <c r="AD762" t="s">
        <v>94</v>
      </c>
      <c r="AE762" t="s">
        <v>94</v>
      </c>
      <c r="AF762" t="s">
        <v>226</v>
      </c>
      <c r="AG762" t="s">
        <v>226</v>
      </c>
      <c r="AH762">
        <v>-100</v>
      </c>
      <c r="AI762" t="s">
        <v>3537</v>
      </c>
      <c r="AJ762" t="s">
        <v>1976</v>
      </c>
      <c r="AK762" t="s">
        <v>2426</v>
      </c>
      <c r="AL762" t="s">
        <v>272</v>
      </c>
    </row>
    <row r="763" spans="1:38">
      <c r="A763" t="s">
        <v>3792</v>
      </c>
      <c r="B763" t="s">
        <v>3793</v>
      </c>
      <c r="C763" t="s">
        <v>3794</v>
      </c>
      <c r="D763" t="s">
        <v>3794</v>
      </c>
      <c r="E763" t="s">
        <v>3795</v>
      </c>
      <c r="F763" t="s">
        <v>2425</v>
      </c>
      <c r="G763">
        <v>1</v>
      </c>
      <c r="H763">
        <v>1</v>
      </c>
      <c r="I763">
        <v>0.01</v>
      </c>
      <c r="J763">
        <v>1000</v>
      </c>
      <c r="K763">
        <v>-0.38</v>
      </c>
      <c r="L763">
        <v>95.95</v>
      </c>
      <c r="M763">
        <v>96.68</v>
      </c>
      <c r="N763">
        <v>97.07</v>
      </c>
      <c r="O763">
        <v>95.95</v>
      </c>
      <c r="P763">
        <v>0</v>
      </c>
      <c r="Q763">
        <v>0</v>
      </c>
      <c r="R763">
        <v>0</v>
      </c>
      <c r="S763">
        <v>95.97</v>
      </c>
      <c r="T763">
        <v>96.34</v>
      </c>
      <c r="U763">
        <v>95.46</v>
      </c>
      <c r="V763">
        <v>96.52</v>
      </c>
      <c r="W763">
        <v>87332</v>
      </c>
      <c r="X763">
        <v>95.54</v>
      </c>
      <c r="Y763">
        <v>95.94</v>
      </c>
      <c r="Z763">
        <v>13</v>
      </c>
      <c r="AA763">
        <v>30000000</v>
      </c>
      <c r="AB763">
        <v>959.5</v>
      </c>
      <c r="AC763">
        <v>0</v>
      </c>
      <c r="AD763" t="s">
        <v>94</v>
      </c>
      <c r="AE763" t="s">
        <v>94</v>
      </c>
      <c r="AF763" t="s">
        <v>226</v>
      </c>
      <c r="AG763" t="s">
        <v>226</v>
      </c>
      <c r="AH763">
        <v>8</v>
      </c>
      <c r="AI763" t="s">
        <v>3537</v>
      </c>
      <c r="AJ763" t="s">
        <v>1976</v>
      </c>
      <c r="AK763" t="s">
        <v>2426</v>
      </c>
      <c r="AL763" t="s">
        <v>272</v>
      </c>
    </row>
    <row r="764" spans="1:38">
      <c r="A764" t="s">
        <v>3796</v>
      </c>
      <c r="B764" t="s">
        <v>3797</v>
      </c>
      <c r="C764" t="s">
        <v>3798</v>
      </c>
      <c r="D764" t="s">
        <v>3798</v>
      </c>
      <c r="E764" t="s">
        <v>3799</v>
      </c>
      <c r="F764" t="s">
        <v>2425</v>
      </c>
      <c r="G764">
        <v>1</v>
      </c>
      <c r="H764">
        <v>1</v>
      </c>
      <c r="I764">
        <v>0.01</v>
      </c>
      <c r="J764">
        <v>1000</v>
      </c>
      <c r="K764">
        <v>-2.0099999999999998</v>
      </c>
      <c r="L764">
        <v>89.83</v>
      </c>
      <c r="M764">
        <v>91.67</v>
      </c>
      <c r="N764">
        <v>90.93</v>
      </c>
      <c r="O764">
        <v>89.83</v>
      </c>
      <c r="P764">
        <v>0</v>
      </c>
      <c r="Q764">
        <v>0</v>
      </c>
      <c r="R764">
        <v>0</v>
      </c>
      <c r="S764">
        <v>89.76</v>
      </c>
      <c r="T764">
        <v>92.02</v>
      </c>
      <c r="U764">
        <v>89.21</v>
      </c>
      <c r="V764">
        <v>92.02</v>
      </c>
      <c r="W764">
        <v>193884</v>
      </c>
      <c r="X764">
        <v>89.83</v>
      </c>
      <c r="Y764">
        <v>90.29</v>
      </c>
      <c r="Z764">
        <v>47</v>
      </c>
      <c r="AA764">
        <v>15000000</v>
      </c>
      <c r="AB764">
        <v>4491.5</v>
      </c>
      <c r="AC764">
        <v>0</v>
      </c>
      <c r="AD764" t="s">
        <v>94</v>
      </c>
      <c r="AE764" t="s">
        <v>94</v>
      </c>
      <c r="AF764" t="s">
        <v>226</v>
      </c>
      <c r="AG764" t="s">
        <v>226</v>
      </c>
      <c r="AH764">
        <v>8</v>
      </c>
      <c r="AI764" t="s">
        <v>3537</v>
      </c>
      <c r="AJ764" t="s">
        <v>1976</v>
      </c>
      <c r="AK764" t="s">
        <v>2426</v>
      </c>
      <c r="AL764" t="s">
        <v>272</v>
      </c>
    </row>
    <row r="765" spans="1:38">
      <c r="A765" t="s">
        <v>3800</v>
      </c>
      <c r="B765" t="s">
        <v>3801</v>
      </c>
      <c r="C765" t="s">
        <v>3802</v>
      </c>
      <c r="D765" t="s">
        <v>3802</v>
      </c>
      <c r="E765" t="s">
        <v>3803</v>
      </c>
      <c r="F765" t="s">
        <v>2425</v>
      </c>
      <c r="G765">
        <v>1</v>
      </c>
      <c r="H765">
        <v>1</v>
      </c>
      <c r="I765">
        <v>0.01</v>
      </c>
      <c r="J765">
        <v>1000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5000000</v>
      </c>
      <c r="AB765">
        <v>0</v>
      </c>
      <c r="AC765">
        <v>0</v>
      </c>
      <c r="AD765" t="s">
        <v>94</v>
      </c>
      <c r="AE765" t="s">
        <v>94</v>
      </c>
      <c r="AF765" t="s">
        <v>226</v>
      </c>
      <c r="AG765" t="s">
        <v>226</v>
      </c>
      <c r="AH765">
        <v>800</v>
      </c>
      <c r="AI765" t="s">
        <v>3537</v>
      </c>
      <c r="AJ765" t="s">
        <v>1976</v>
      </c>
      <c r="AK765" t="s">
        <v>2426</v>
      </c>
      <c r="AL765" t="s">
        <v>272</v>
      </c>
    </row>
    <row r="766" spans="1:38">
      <c r="A766" t="s">
        <v>3804</v>
      </c>
      <c r="B766" t="s">
        <v>3805</v>
      </c>
      <c r="C766" t="s">
        <v>3806</v>
      </c>
      <c r="D766" t="s">
        <v>3806</v>
      </c>
      <c r="E766" t="s">
        <v>3807</v>
      </c>
      <c r="F766" t="s">
        <v>2413</v>
      </c>
      <c r="G766">
        <v>2</v>
      </c>
      <c r="H766">
        <v>1</v>
      </c>
      <c r="I766">
        <v>0.01</v>
      </c>
      <c r="J766">
        <v>1000</v>
      </c>
      <c r="K766">
        <v>-0.16</v>
      </c>
      <c r="L766">
        <v>74.87</v>
      </c>
      <c r="M766">
        <v>74.989999999999995</v>
      </c>
      <c r="N766">
        <v>74.989999999999995</v>
      </c>
      <c r="O766">
        <v>74.849999999999994</v>
      </c>
      <c r="P766">
        <v>0</v>
      </c>
      <c r="Q766">
        <v>0</v>
      </c>
      <c r="R766">
        <v>0</v>
      </c>
      <c r="S766">
        <v>74.88</v>
      </c>
      <c r="T766">
        <v>74.89</v>
      </c>
      <c r="U766">
        <v>74.84</v>
      </c>
      <c r="V766">
        <v>75</v>
      </c>
      <c r="W766">
        <v>1257210</v>
      </c>
      <c r="X766">
        <v>74.83</v>
      </c>
      <c r="Y766">
        <v>74.86</v>
      </c>
      <c r="Z766">
        <v>89</v>
      </c>
      <c r="AA766">
        <v>10000000</v>
      </c>
      <c r="AB766">
        <v>16471.400000000001</v>
      </c>
      <c r="AC766">
        <v>0</v>
      </c>
      <c r="AD766" t="s">
        <v>94</v>
      </c>
      <c r="AE766" t="s">
        <v>94</v>
      </c>
      <c r="AF766" t="s">
        <v>226</v>
      </c>
      <c r="AG766" t="s">
        <v>226</v>
      </c>
      <c r="AH766">
        <v>6</v>
      </c>
      <c r="AI766" t="s">
        <v>3537</v>
      </c>
      <c r="AJ766" t="s">
        <v>1976</v>
      </c>
      <c r="AK766" t="s">
        <v>2416</v>
      </c>
      <c r="AL766" t="s">
        <v>272</v>
      </c>
    </row>
    <row r="767" spans="1:38">
      <c r="A767" t="s">
        <v>3808</v>
      </c>
      <c r="B767" t="s">
        <v>3809</v>
      </c>
      <c r="C767" t="s">
        <v>3810</v>
      </c>
      <c r="D767" t="s">
        <v>3810</v>
      </c>
      <c r="E767" t="s">
        <v>3811</v>
      </c>
      <c r="F767" t="s">
        <v>2425</v>
      </c>
      <c r="G767">
        <v>2</v>
      </c>
      <c r="H767">
        <v>1</v>
      </c>
      <c r="I767">
        <v>0.01</v>
      </c>
      <c r="J767">
        <v>436.5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3216086</v>
      </c>
      <c r="AB767">
        <v>0</v>
      </c>
      <c r="AC767">
        <v>0</v>
      </c>
      <c r="AD767" t="s">
        <v>94</v>
      </c>
      <c r="AE767" t="s">
        <v>94</v>
      </c>
      <c r="AF767" t="s">
        <v>226</v>
      </c>
      <c r="AG767" t="s">
        <v>226</v>
      </c>
      <c r="AH767">
        <v>6</v>
      </c>
      <c r="AI767" t="s">
        <v>3537</v>
      </c>
      <c r="AJ767" t="s">
        <v>1976</v>
      </c>
      <c r="AK767" t="s">
        <v>2426</v>
      </c>
      <c r="AL767" t="s">
        <v>272</v>
      </c>
    </row>
    <row r="768" spans="1:38">
      <c r="A768" t="s">
        <v>3812</v>
      </c>
      <c r="B768" t="s">
        <v>3813</v>
      </c>
      <c r="C768" t="s">
        <v>3814</v>
      </c>
      <c r="D768" t="s">
        <v>3814</v>
      </c>
      <c r="E768" t="s">
        <v>3815</v>
      </c>
      <c r="F768" t="s">
        <v>2425</v>
      </c>
      <c r="G768">
        <v>2</v>
      </c>
      <c r="H768">
        <v>1</v>
      </c>
      <c r="I768">
        <v>0.01</v>
      </c>
      <c r="J768">
        <v>436.5</v>
      </c>
      <c r="K768">
        <v>0</v>
      </c>
      <c r="L768">
        <v>0</v>
      </c>
      <c r="M768">
        <v>90.91</v>
      </c>
      <c r="N768">
        <v>93.52</v>
      </c>
      <c r="O768">
        <v>90.91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90.9</v>
      </c>
      <c r="Y768">
        <v>91.78</v>
      </c>
      <c r="Z768">
        <v>0</v>
      </c>
      <c r="AA768">
        <v>1798530</v>
      </c>
      <c r="AB768">
        <v>0</v>
      </c>
      <c r="AC768">
        <v>0</v>
      </c>
      <c r="AD768" t="s">
        <v>94</v>
      </c>
      <c r="AE768" t="s">
        <v>94</v>
      </c>
      <c r="AF768" t="s">
        <v>226</v>
      </c>
      <c r="AG768" t="s">
        <v>226</v>
      </c>
      <c r="AH768">
        <v>6</v>
      </c>
      <c r="AI768" t="s">
        <v>3537</v>
      </c>
      <c r="AJ768" t="s">
        <v>1976</v>
      </c>
      <c r="AK768" t="s">
        <v>2426</v>
      </c>
      <c r="AL768" t="s">
        <v>272</v>
      </c>
    </row>
    <row r="769" spans="1:38">
      <c r="A769" t="s">
        <v>3816</v>
      </c>
      <c r="B769" t="s">
        <v>3817</v>
      </c>
      <c r="C769" t="s">
        <v>3818</v>
      </c>
      <c r="D769" t="s">
        <v>3818</v>
      </c>
      <c r="E769" t="s">
        <v>3819</v>
      </c>
      <c r="F769" t="s">
        <v>2425</v>
      </c>
      <c r="G769">
        <v>2</v>
      </c>
      <c r="H769">
        <v>1</v>
      </c>
      <c r="I769">
        <v>0.01</v>
      </c>
      <c r="J769">
        <v>1000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1241000</v>
      </c>
      <c r="AB769">
        <v>0</v>
      </c>
      <c r="AC769">
        <v>0</v>
      </c>
      <c r="AD769" t="s">
        <v>94</v>
      </c>
      <c r="AE769" t="s">
        <v>94</v>
      </c>
      <c r="AF769" t="s">
        <v>226</v>
      </c>
      <c r="AG769" t="s">
        <v>226</v>
      </c>
      <c r="AH769">
        <v>8</v>
      </c>
      <c r="AI769" t="s">
        <v>3537</v>
      </c>
      <c r="AJ769" t="s">
        <v>1976</v>
      </c>
      <c r="AK769" t="s">
        <v>2426</v>
      </c>
      <c r="AL769" t="s">
        <v>272</v>
      </c>
    </row>
    <row r="770" spans="1:38">
      <c r="A770" t="s">
        <v>3820</v>
      </c>
      <c r="B770" t="s">
        <v>3821</v>
      </c>
      <c r="C770" t="s">
        <v>3822</v>
      </c>
      <c r="D770" t="s">
        <v>3822</v>
      </c>
      <c r="E770" t="s">
        <v>3823</v>
      </c>
      <c r="F770" t="s">
        <v>2425</v>
      </c>
      <c r="G770">
        <v>2</v>
      </c>
      <c r="H770">
        <v>1</v>
      </c>
      <c r="I770">
        <v>0.01</v>
      </c>
      <c r="J770">
        <v>1000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3533000</v>
      </c>
      <c r="AB770">
        <v>0</v>
      </c>
      <c r="AC770">
        <v>0</v>
      </c>
      <c r="AD770" t="s">
        <v>94</v>
      </c>
      <c r="AE770" t="s">
        <v>94</v>
      </c>
      <c r="AF770" t="s">
        <v>226</v>
      </c>
      <c r="AG770" t="s">
        <v>226</v>
      </c>
      <c r="AH770">
        <v>800</v>
      </c>
      <c r="AI770" t="s">
        <v>3537</v>
      </c>
      <c r="AJ770" t="s">
        <v>1976</v>
      </c>
      <c r="AK770" t="s">
        <v>2426</v>
      </c>
      <c r="AL770" t="s">
        <v>272</v>
      </c>
    </row>
    <row r="771" spans="1:38">
      <c r="A771" t="s">
        <v>3824</v>
      </c>
      <c r="B771" t="s">
        <v>3825</v>
      </c>
      <c r="C771" t="s">
        <v>3826</v>
      </c>
      <c r="D771" t="s">
        <v>3826</v>
      </c>
      <c r="E771" t="s">
        <v>3827</v>
      </c>
      <c r="F771" t="s">
        <v>2425</v>
      </c>
      <c r="G771">
        <v>2</v>
      </c>
      <c r="H771">
        <v>1</v>
      </c>
      <c r="I771">
        <v>0.01</v>
      </c>
      <c r="J771">
        <v>1000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1374000</v>
      </c>
      <c r="AB771">
        <v>0</v>
      </c>
      <c r="AC771">
        <v>0</v>
      </c>
      <c r="AD771" t="s">
        <v>94</v>
      </c>
      <c r="AE771" t="s">
        <v>94</v>
      </c>
      <c r="AF771" t="s">
        <v>226</v>
      </c>
      <c r="AG771" t="s">
        <v>226</v>
      </c>
      <c r="AH771">
        <v>800</v>
      </c>
      <c r="AI771" t="s">
        <v>3537</v>
      </c>
      <c r="AJ771" t="s">
        <v>1976</v>
      </c>
      <c r="AK771" t="s">
        <v>2426</v>
      </c>
      <c r="AL771" t="s">
        <v>272</v>
      </c>
    </row>
    <row r="772" spans="1:38">
      <c r="A772" t="s">
        <v>3828</v>
      </c>
      <c r="B772" t="s">
        <v>3829</v>
      </c>
      <c r="C772" t="s">
        <v>3830</v>
      </c>
      <c r="D772" t="s">
        <v>3830</v>
      </c>
      <c r="E772" t="s">
        <v>3831</v>
      </c>
      <c r="F772" t="s">
        <v>2425</v>
      </c>
      <c r="G772">
        <v>2</v>
      </c>
      <c r="H772">
        <v>1</v>
      </c>
      <c r="I772">
        <v>0.01</v>
      </c>
      <c r="J772">
        <v>440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3752000</v>
      </c>
      <c r="AB772">
        <v>0</v>
      </c>
      <c r="AC772">
        <v>0</v>
      </c>
      <c r="AD772" t="s">
        <v>94</v>
      </c>
      <c r="AE772" t="s">
        <v>94</v>
      </c>
      <c r="AF772" t="s">
        <v>226</v>
      </c>
      <c r="AG772" t="s">
        <v>226</v>
      </c>
      <c r="AH772">
        <v>800</v>
      </c>
      <c r="AI772" t="s">
        <v>3537</v>
      </c>
      <c r="AJ772" t="s">
        <v>1976</v>
      </c>
      <c r="AK772" t="s">
        <v>2426</v>
      </c>
      <c r="AL772" t="s">
        <v>272</v>
      </c>
    </row>
    <row r="773" spans="1:38">
      <c r="A773" t="s">
        <v>3832</v>
      </c>
      <c r="B773" t="s">
        <v>3833</v>
      </c>
      <c r="C773" t="s">
        <v>3834</v>
      </c>
      <c r="D773" t="s">
        <v>3834</v>
      </c>
      <c r="E773" t="s">
        <v>3835</v>
      </c>
      <c r="F773" t="s">
        <v>2425</v>
      </c>
      <c r="G773">
        <v>2</v>
      </c>
      <c r="H773">
        <v>1</v>
      </c>
      <c r="I773">
        <v>0.01</v>
      </c>
      <c r="J773">
        <v>1000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2013083</v>
      </c>
      <c r="AB773">
        <v>0</v>
      </c>
      <c r="AC773">
        <v>0</v>
      </c>
      <c r="AD773" t="s">
        <v>94</v>
      </c>
      <c r="AE773" t="s">
        <v>94</v>
      </c>
      <c r="AF773" t="s">
        <v>226</v>
      </c>
      <c r="AG773" t="s">
        <v>226</v>
      </c>
      <c r="AH773">
        <v>800</v>
      </c>
      <c r="AI773" t="s">
        <v>3537</v>
      </c>
      <c r="AJ773" t="s">
        <v>1976</v>
      </c>
      <c r="AK773" t="s">
        <v>2426</v>
      </c>
      <c r="AL773" t="s">
        <v>272</v>
      </c>
    </row>
    <row r="774" spans="1:38">
      <c r="A774" t="s">
        <v>3836</v>
      </c>
      <c r="B774" t="s">
        <v>3837</v>
      </c>
      <c r="C774" t="s">
        <v>3838</v>
      </c>
      <c r="D774" t="s">
        <v>3838</v>
      </c>
      <c r="E774" t="s">
        <v>3839</v>
      </c>
      <c r="F774" t="s">
        <v>2413</v>
      </c>
      <c r="G774">
        <v>2</v>
      </c>
      <c r="H774">
        <v>1</v>
      </c>
      <c r="I774">
        <v>0.01</v>
      </c>
      <c r="J774">
        <v>1000</v>
      </c>
      <c r="K774">
        <v>3.97</v>
      </c>
      <c r="L774">
        <v>91.9</v>
      </c>
      <c r="M774">
        <v>88.39</v>
      </c>
      <c r="N774">
        <v>88.62</v>
      </c>
      <c r="O774">
        <v>91.9</v>
      </c>
      <c r="P774">
        <v>0</v>
      </c>
      <c r="Q774">
        <v>0</v>
      </c>
      <c r="R774">
        <v>0</v>
      </c>
      <c r="S774">
        <v>89.08</v>
      </c>
      <c r="T774">
        <v>89.96</v>
      </c>
      <c r="U774">
        <v>88.31</v>
      </c>
      <c r="V774">
        <v>91.94</v>
      </c>
      <c r="W774">
        <v>314458</v>
      </c>
      <c r="X774">
        <v>90.78</v>
      </c>
      <c r="Y774">
        <v>91.94</v>
      </c>
      <c r="Z774">
        <v>73</v>
      </c>
      <c r="AA774">
        <v>500000</v>
      </c>
      <c r="AB774">
        <v>919</v>
      </c>
      <c r="AC774">
        <v>0</v>
      </c>
      <c r="AD774" t="s">
        <v>94</v>
      </c>
      <c r="AE774" t="s">
        <v>94</v>
      </c>
      <c r="AF774" t="s">
        <v>226</v>
      </c>
      <c r="AG774" t="s">
        <v>226</v>
      </c>
      <c r="AH774">
        <v>6</v>
      </c>
      <c r="AI774" t="s">
        <v>3537</v>
      </c>
      <c r="AJ774" t="s">
        <v>1976</v>
      </c>
      <c r="AK774" t="s">
        <v>2416</v>
      </c>
      <c r="AL774" t="s">
        <v>272</v>
      </c>
    </row>
    <row r="775" spans="1:38">
      <c r="A775" t="s">
        <v>3840</v>
      </c>
      <c r="B775" t="s">
        <v>3841</v>
      </c>
      <c r="C775" t="s">
        <v>3842</v>
      </c>
      <c r="D775" t="s">
        <v>3842</v>
      </c>
      <c r="E775" t="s">
        <v>3843</v>
      </c>
      <c r="F775" t="s">
        <v>2413</v>
      </c>
      <c r="G775">
        <v>2</v>
      </c>
      <c r="H775">
        <v>1</v>
      </c>
      <c r="I775">
        <v>0.01</v>
      </c>
      <c r="J775">
        <v>835</v>
      </c>
      <c r="K775">
        <v>0.47</v>
      </c>
      <c r="L775">
        <v>91.81</v>
      </c>
      <c r="M775">
        <v>91.38</v>
      </c>
      <c r="N775">
        <v>90.31</v>
      </c>
      <c r="O775">
        <v>91.81</v>
      </c>
      <c r="P775">
        <v>0</v>
      </c>
      <c r="Q775">
        <v>0</v>
      </c>
      <c r="R775">
        <v>0</v>
      </c>
      <c r="S775">
        <v>91.86</v>
      </c>
      <c r="T775">
        <v>91.4</v>
      </c>
      <c r="U775">
        <v>91.4</v>
      </c>
      <c r="V775">
        <v>92</v>
      </c>
      <c r="W775">
        <v>602130</v>
      </c>
      <c r="X775">
        <v>91.78</v>
      </c>
      <c r="Y775">
        <v>91.81</v>
      </c>
      <c r="Z775">
        <v>60</v>
      </c>
      <c r="AA775">
        <v>1500000</v>
      </c>
      <c r="AB775">
        <v>24531.63</v>
      </c>
      <c r="AC775">
        <v>0</v>
      </c>
      <c r="AD775" t="s">
        <v>94</v>
      </c>
      <c r="AE775" t="s">
        <v>94</v>
      </c>
      <c r="AF775" t="s">
        <v>226</v>
      </c>
      <c r="AG775" t="s">
        <v>226</v>
      </c>
      <c r="AH775">
        <v>6</v>
      </c>
      <c r="AI775" t="s">
        <v>3537</v>
      </c>
      <c r="AJ775" t="s">
        <v>1976</v>
      </c>
      <c r="AK775" t="s">
        <v>2416</v>
      </c>
      <c r="AL775" t="s">
        <v>272</v>
      </c>
    </row>
    <row r="776" spans="1:38">
      <c r="A776" t="s">
        <v>3844</v>
      </c>
      <c r="B776" t="s">
        <v>3845</v>
      </c>
      <c r="C776" t="s">
        <v>3846</v>
      </c>
      <c r="D776" t="s">
        <v>3846</v>
      </c>
      <c r="E776" t="s">
        <v>3847</v>
      </c>
      <c r="F776" t="s">
        <v>2413</v>
      </c>
      <c r="G776">
        <v>2</v>
      </c>
      <c r="H776">
        <v>1</v>
      </c>
      <c r="I776">
        <v>0.01</v>
      </c>
      <c r="J776">
        <v>1000</v>
      </c>
      <c r="K776">
        <v>0.02</v>
      </c>
      <c r="L776">
        <v>87.67</v>
      </c>
      <c r="M776">
        <v>87.66</v>
      </c>
      <c r="N776">
        <v>87.04</v>
      </c>
      <c r="O776">
        <v>87.74</v>
      </c>
      <c r="P776">
        <v>0</v>
      </c>
      <c r="Q776">
        <v>0</v>
      </c>
      <c r="R776">
        <v>0</v>
      </c>
      <c r="S776">
        <v>87.59</v>
      </c>
      <c r="T776">
        <v>87.65</v>
      </c>
      <c r="U776">
        <v>87.25</v>
      </c>
      <c r="V776">
        <v>87.83</v>
      </c>
      <c r="W776">
        <v>1497744</v>
      </c>
      <c r="X776">
        <v>87.7</v>
      </c>
      <c r="Y776">
        <v>87.73</v>
      </c>
      <c r="Z776">
        <v>92</v>
      </c>
      <c r="AA776">
        <v>1500000</v>
      </c>
      <c r="AB776">
        <v>876.7</v>
      </c>
      <c r="AC776">
        <v>0</v>
      </c>
      <c r="AD776" t="s">
        <v>94</v>
      </c>
      <c r="AE776" t="s">
        <v>94</v>
      </c>
      <c r="AF776" t="s">
        <v>226</v>
      </c>
      <c r="AG776" t="s">
        <v>226</v>
      </c>
      <c r="AH776">
        <v>6</v>
      </c>
      <c r="AI776" t="s">
        <v>3537</v>
      </c>
      <c r="AJ776" t="s">
        <v>1976</v>
      </c>
      <c r="AK776" t="s">
        <v>2416</v>
      </c>
      <c r="AL776" t="s">
        <v>272</v>
      </c>
    </row>
    <row r="777" spans="1:38">
      <c r="A777" t="s">
        <v>3848</v>
      </c>
      <c r="B777" t="s">
        <v>3849</v>
      </c>
      <c r="C777" t="s">
        <v>3850</v>
      </c>
      <c r="D777" t="s">
        <v>3850</v>
      </c>
      <c r="E777" t="s">
        <v>3851</v>
      </c>
      <c r="F777" t="s">
        <v>2413</v>
      </c>
      <c r="G777">
        <v>2</v>
      </c>
      <c r="H777">
        <v>1</v>
      </c>
      <c r="I777">
        <v>0.01</v>
      </c>
      <c r="J777">
        <v>1000</v>
      </c>
      <c r="K777">
        <v>-0.24</v>
      </c>
      <c r="L777">
        <v>80.66</v>
      </c>
      <c r="M777">
        <v>80.849999999999994</v>
      </c>
      <c r="N777">
        <v>80.48</v>
      </c>
      <c r="O777">
        <v>80.61</v>
      </c>
      <c r="P777">
        <v>0</v>
      </c>
      <c r="Q777">
        <v>0</v>
      </c>
      <c r="R777">
        <v>0</v>
      </c>
      <c r="S777">
        <v>80.42</v>
      </c>
      <c r="T777">
        <v>81.09</v>
      </c>
      <c r="U777">
        <v>79</v>
      </c>
      <c r="V777">
        <v>81.47</v>
      </c>
      <c r="W777">
        <v>5105806</v>
      </c>
      <c r="X777">
        <v>80.62</v>
      </c>
      <c r="Y777">
        <v>80.66</v>
      </c>
      <c r="Z777">
        <v>318</v>
      </c>
      <c r="AA777">
        <v>2000000</v>
      </c>
      <c r="AB777">
        <v>6452.8</v>
      </c>
      <c r="AC777">
        <v>0</v>
      </c>
      <c r="AD777" t="s">
        <v>94</v>
      </c>
      <c r="AE777" t="s">
        <v>94</v>
      </c>
      <c r="AF777" t="s">
        <v>226</v>
      </c>
      <c r="AG777" t="s">
        <v>226</v>
      </c>
      <c r="AH777">
        <v>6</v>
      </c>
      <c r="AI777" t="s">
        <v>3537</v>
      </c>
      <c r="AJ777" t="s">
        <v>1976</v>
      </c>
      <c r="AK777" t="s">
        <v>2416</v>
      </c>
      <c r="AL777" t="s">
        <v>272</v>
      </c>
    </row>
    <row r="778" spans="1:38">
      <c r="A778" t="s">
        <v>3852</v>
      </c>
      <c r="B778" t="s">
        <v>3853</v>
      </c>
      <c r="C778" t="s">
        <v>3854</v>
      </c>
      <c r="D778" t="s">
        <v>3854</v>
      </c>
      <c r="E778" t="s">
        <v>3855</v>
      </c>
      <c r="F778" t="s">
        <v>2413</v>
      </c>
      <c r="G778">
        <v>3</v>
      </c>
      <c r="H778">
        <v>1</v>
      </c>
      <c r="I778">
        <v>0.01</v>
      </c>
      <c r="J778">
        <v>1000</v>
      </c>
      <c r="K778">
        <v>0.34</v>
      </c>
      <c r="L778">
        <v>91.69</v>
      </c>
      <c r="M778">
        <v>91.38</v>
      </c>
      <c r="N778">
        <v>91.11</v>
      </c>
      <c r="O778">
        <v>91.69</v>
      </c>
      <c r="P778">
        <v>0</v>
      </c>
      <c r="Q778">
        <v>0</v>
      </c>
      <c r="R778">
        <v>0</v>
      </c>
      <c r="S778">
        <v>91.25</v>
      </c>
      <c r="T778">
        <v>91.19</v>
      </c>
      <c r="U778">
        <v>90.4</v>
      </c>
      <c r="V778">
        <v>91.99</v>
      </c>
      <c r="W778">
        <v>2489167</v>
      </c>
      <c r="X778">
        <v>91.02</v>
      </c>
      <c r="Y778">
        <v>91.67</v>
      </c>
      <c r="Z778">
        <v>167</v>
      </c>
      <c r="AA778">
        <v>1000000</v>
      </c>
      <c r="AB778">
        <v>916.9</v>
      </c>
      <c r="AC778">
        <v>0</v>
      </c>
      <c r="AD778" t="s">
        <v>94</v>
      </c>
      <c r="AE778" t="s">
        <v>94</v>
      </c>
      <c r="AF778" t="s">
        <v>226</v>
      </c>
      <c r="AG778" t="s">
        <v>226</v>
      </c>
      <c r="AH778">
        <v>800</v>
      </c>
      <c r="AI778" t="s">
        <v>3537</v>
      </c>
      <c r="AJ778" t="s">
        <v>1976</v>
      </c>
      <c r="AK778" t="s">
        <v>2416</v>
      </c>
      <c r="AL778" t="s">
        <v>272</v>
      </c>
    </row>
    <row r="779" spans="1:38">
      <c r="A779" t="s">
        <v>3856</v>
      </c>
      <c r="B779" t="s">
        <v>3857</v>
      </c>
      <c r="C779" t="s">
        <v>3858</v>
      </c>
      <c r="D779" t="s">
        <v>3858</v>
      </c>
      <c r="E779" t="s">
        <v>3859</v>
      </c>
      <c r="F779" t="s">
        <v>2413</v>
      </c>
      <c r="G779">
        <v>3</v>
      </c>
      <c r="H779">
        <v>1</v>
      </c>
      <c r="I779">
        <v>0.01</v>
      </c>
      <c r="J779">
        <v>1000</v>
      </c>
      <c r="K779">
        <v>11</v>
      </c>
      <c r="L779">
        <v>111</v>
      </c>
      <c r="M779">
        <v>100</v>
      </c>
      <c r="N779">
        <v>0</v>
      </c>
      <c r="O779">
        <v>111</v>
      </c>
      <c r="P779">
        <v>0</v>
      </c>
      <c r="Q779">
        <v>0</v>
      </c>
      <c r="R779">
        <v>0</v>
      </c>
      <c r="S779">
        <v>111</v>
      </c>
      <c r="T779">
        <v>111</v>
      </c>
      <c r="U779">
        <v>111</v>
      </c>
      <c r="V779">
        <v>111</v>
      </c>
      <c r="W779">
        <v>1110</v>
      </c>
      <c r="X779">
        <v>89.01</v>
      </c>
      <c r="Y779">
        <v>0</v>
      </c>
      <c r="Z779">
        <v>1</v>
      </c>
      <c r="AA779">
        <v>3000000</v>
      </c>
      <c r="AB779">
        <v>1110</v>
      </c>
      <c r="AC779">
        <v>0</v>
      </c>
      <c r="AD779" t="s">
        <v>94</v>
      </c>
      <c r="AE779" t="s">
        <v>94</v>
      </c>
      <c r="AF779" t="s">
        <v>226</v>
      </c>
      <c r="AG779" t="s">
        <v>226</v>
      </c>
      <c r="AH779">
        <v>6</v>
      </c>
      <c r="AI779" t="s">
        <v>3537</v>
      </c>
      <c r="AJ779" t="s">
        <v>1976</v>
      </c>
      <c r="AK779" t="s">
        <v>2416</v>
      </c>
      <c r="AL779" t="s">
        <v>272</v>
      </c>
    </row>
    <row r="780" spans="1:38">
      <c r="A780" t="s">
        <v>3860</v>
      </c>
      <c r="B780" t="s">
        <v>3861</v>
      </c>
      <c r="C780" t="s">
        <v>3862</v>
      </c>
      <c r="D780" t="s">
        <v>3862</v>
      </c>
      <c r="E780" t="s">
        <v>3863</v>
      </c>
      <c r="F780" t="s">
        <v>2413</v>
      </c>
      <c r="G780">
        <v>3</v>
      </c>
      <c r="H780">
        <v>1</v>
      </c>
      <c r="I780">
        <v>0.01</v>
      </c>
      <c r="J780">
        <v>1000</v>
      </c>
      <c r="K780">
        <v>-1.52</v>
      </c>
      <c r="L780">
        <v>82.2</v>
      </c>
      <c r="M780">
        <v>83.47</v>
      </c>
      <c r="N780">
        <v>83.04</v>
      </c>
      <c r="O780">
        <v>82.2</v>
      </c>
      <c r="P780">
        <v>0</v>
      </c>
      <c r="Q780">
        <v>0</v>
      </c>
      <c r="R780">
        <v>0</v>
      </c>
      <c r="S780">
        <v>81.93</v>
      </c>
      <c r="T780">
        <v>83.38</v>
      </c>
      <c r="U780">
        <v>81.27</v>
      </c>
      <c r="V780">
        <v>83.38</v>
      </c>
      <c r="W780">
        <v>18025</v>
      </c>
      <c r="X780">
        <v>81.42</v>
      </c>
      <c r="Y780">
        <v>82.68</v>
      </c>
      <c r="Z780">
        <v>12</v>
      </c>
      <c r="AA780">
        <v>3000000</v>
      </c>
      <c r="AB780">
        <v>822</v>
      </c>
      <c r="AC780">
        <v>0</v>
      </c>
      <c r="AD780" t="s">
        <v>94</v>
      </c>
      <c r="AE780" t="s">
        <v>94</v>
      </c>
      <c r="AF780" t="s">
        <v>226</v>
      </c>
      <c r="AG780" t="s">
        <v>226</v>
      </c>
      <c r="AH780">
        <v>6</v>
      </c>
      <c r="AI780" t="s">
        <v>3537</v>
      </c>
      <c r="AJ780" t="s">
        <v>1976</v>
      </c>
      <c r="AK780" t="s">
        <v>2416</v>
      </c>
      <c r="AL780" t="s">
        <v>272</v>
      </c>
    </row>
    <row r="781" spans="1:38">
      <c r="A781" t="s">
        <v>3864</v>
      </c>
      <c r="B781" t="s">
        <v>3865</v>
      </c>
      <c r="C781" t="s">
        <v>3866</v>
      </c>
      <c r="D781" t="s">
        <v>3866</v>
      </c>
      <c r="E781" t="s">
        <v>3867</v>
      </c>
      <c r="F781" t="s">
        <v>2413</v>
      </c>
      <c r="G781">
        <v>2</v>
      </c>
      <c r="H781">
        <v>1</v>
      </c>
      <c r="I781">
        <v>0.01</v>
      </c>
      <c r="J781">
        <v>1000</v>
      </c>
      <c r="K781">
        <v>0.55000000000000004</v>
      </c>
      <c r="L781">
        <v>93.65</v>
      </c>
      <c r="M781">
        <v>93.14</v>
      </c>
      <c r="N781">
        <v>92.44</v>
      </c>
      <c r="O781">
        <v>93.65</v>
      </c>
      <c r="P781">
        <v>0</v>
      </c>
      <c r="Q781">
        <v>0</v>
      </c>
      <c r="R781">
        <v>0</v>
      </c>
      <c r="S781">
        <v>92.25</v>
      </c>
      <c r="T781">
        <v>92.15</v>
      </c>
      <c r="U781">
        <v>92.15</v>
      </c>
      <c r="V781">
        <v>93.65</v>
      </c>
      <c r="W781">
        <v>15682</v>
      </c>
      <c r="X781">
        <v>92.75</v>
      </c>
      <c r="Y781">
        <v>93.65</v>
      </c>
      <c r="Z781">
        <v>16</v>
      </c>
      <c r="AA781">
        <v>5000000</v>
      </c>
      <c r="AB781">
        <v>936.5</v>
      </c>
      <c r="AC781">
        <v>0</v>
      </c>
      <c r="AD781" t="s">
        <v>94</v>
      </c>
      <c r="AE781" t="s">
        <v>94</v>
      </c>
      <c r="AF781" t="s">
        <v>226</v>
      </c>
      <c r="AG781" t="s">
        <v>226</v>
      </c>
      <c r="AH781">
        <v>6</v>
      </c>
      <c r="AI781" t="s">
        <v>3537</v>
      </c>
      <c r="AJ781" t="s">
        <v>1976</v>
      </c>
      <c r="AK781" t="s">
        <v>2416</v>
      </c>
      <c r="AL781" t="s">
        <v>272</v>
      </c>
    </row>
    <row r="782" spans="1:38">
      <c r="A782" t="s">
        <v>3868</v>
      </c>
      <c r="B782" t="s">
        <v>3869</v>
      </c>
      <c r="C782" t="s">
        <v>3870</v>
      </c>
      <c r="D782" t="s">
        <v>3870</v>
      </c>
      <c r="E782" t="s">
        <v>3871</v>
      </c>
      <c r="F782" t="s">
        <v>2413</v>
      </c>
      <c r="G782">
        <v>2</v>
      </c>
      <c r="H782">
        <v>1</v>
      </c>
      <c r="I782">
        <v>0.01</v>
      </c>
      <c r="J782">
        <v>1000</v>
      </c>
      <c r="K782">
        <v>-0.32</v>
      </c>
      <c r="L782">
        <v>92.15</v>
      </c>
      <c r="M782">
        <v>92.45</v>
      </c>
      <c r="N782">
        <v>100.86</v>
      </c>
      <c r="O782">
        <v>92.15</v>
      </c>
      <c r="P782">
        <v>0</v>
      </c>
      <c r="Q782">
        <v>0</v>
      </c>
      <c r="R782">
        <v>0</v>
      </c>
      <c r="S782">
        <v>92.15</v>
      </c>
      <c r="T782">
        <v>92.15</v>
      </c>
      <c r="U782">
        <v>92.15</v>
      </c>
      <c r="V782">
        <v>92.15</v>
      </c>
      <c r="W782">
        <v>20273</v>
      </c>
      <c r="X782">
        <v>91.18</v>
      </c>
      <c r="Y782">
        <v>92.15</v>
      </c>
      <c r="Z782">
        <v>2</v>
      </c>
      <c r="AA782">
        <v>5000000</v>
      </c>
      <c r="AB782">
        <v>6450.5</v>
      </c>
      <c r="AC782">
        <v>0</v>
      </c>
      <c r="AD782" t="s">
        <v>94</v>
      </c>
      <c r="AE782" t="s">
        <v>94</v>
      </c>
      <c r="AF782" t="s">
        <v>226</v>
      </c>
      <c r="AG782" t="s">
        <v>226</v>
      </c>
      <c r="AH782">
        <v>6</v>
      </c>
      <c r="AI782" t="s">
        <v>3537</v>
      </c>
      <c r="AJ782" t="s">
        <v>1976</v>
      </c>
      <c r="AK782" t="s">
        <v>2416</v>
      </c>
      <c r="AL782" t="s">
        <v>272</v>
      </c>
    </row>
    <row r="783" spans="1:38">
      <c r="A783" t="s">
        <v>3872</v>
      </c>
      <c r="B783" t="s">
        <v>3873</v>
      </c>
      <c r="C783" t="s">
        <v>3874</v>
      </c>
      <c r="D783" t="s">
        <v>3874</v>
      </c>
      <c r="E783" t="s">
        <v>3875</v>
      </c>
      <c r="F783" t="s">
        <v>2413</v>
      </c>
      <c r="G783">
        <v>2</v>
      </c>
      <c r="H783">
        <v>1</v>
      </c>
      <c r="I783">
        <v>0.01</v>
      </c>
      <c r="J783">
        <v>1000</v>
      </c>
      <c r="K783">
        <v>8.41</v>
      </c>
      <c r="L783">
        <v>92.15</v>
      </c>
      <c r="M783">
        <v>85</v>
      </c>
      <c r="N783">
        <v>0</v>
      </c>
      <c r="O783">
        <v>92.15</v>
      </c>
      <c r="P783">
        <v>0</v>
      </c>
      <c r="Q783">
        <v>0</v>
      </c>
      <c r="R783">
        <v>0</v>
      </c>
      <c r="S783">
        <v>91.77</v>
      </c>
      <c r="T783">
        <v>92.15</v>
      </c>
      <c r="U783">
        <v>91.15</v>
      </c>
      <c r="V783">
        <v>92.15</v>
      </c>
      <c r="W783">
        <v>11930</v>
      </c>
      <c r="X783">
        <v>91.16</v>
      </c>
      <c r="Y783">
        <v>92.15</v>
      </c>
      <c r="Z783">
        <v>9</v>
      </c>
      <c r="AA783">
        <v>5000000</v>
      </c>
      <c r="AB783">
        <v>921.5</v>
      </c>
      <c r="AC783">
        <v>0</v>
      </c>
      <c r="AD783" t="s">
        <v>94</v>
      </c>
      <c r="AE783" t="s">
        <v>94</v>
      </c>
      <c r="AF783" t="s">
        <v>226</v>
      </c>
      <c r="AG783" t="s">
        <v>226</v>
      </c>
      <c r="AH783">
        <v>6</v>
      </c>
      <c r="AI783" t="s">
        <v>3537</v>
      </c>
      <c r="AJ783" t="s">
        <v>1976</v>
      </c>
      <c r="AK783" t="s">
        <v>2416</v>
      </c>
      <c r="AL783" t="s">
        <v>272</v>
      </c>
    </row>
    <row r="784" spans="1:38">
      <c r="A784" t="s">
        <v>3876</v>
      </c>
      <c r="B784" t="s">
        <v>3877</v>
      </c>
      <c r="C784" t="s">
        <v>3878</v>
      </c>
      <c r="D784" t="s">
        <v>3878</v>
      </c>
      <c r="E784" t="s">
        <v>3879</v>
      </c>
      <c r="F784" t="s">
        <v>2413</v>
      </c>
      <c r="G784">
        <v>2</v>
      </c>
      <c r="H784">
        <v>1</v>
      </c>
      <c r="I784">
        <v>0.01</v>
      </c>
      <c r="J784">
        <v>1000</v>
      </c>
      <c r="K784">
        <v>0.06</v>
      </c>
      <c r="L784">
        <v>99.43</v>
      </c>
      <c r="M784">
        <v>99.37</v>
      </c>
      <c r="N784">
        <v>99.37</v>
      </c>
      <c r="O784">
        <v>99.42</v>
      </c>
      <c r="P784">
        <v>0</v>
      </c>
      <c r="Q784">
        <v>0</v>
      </c>
      <c r="R784">
        <v>0</v>
      </c>
      <c r="S784">
        <v>99.45</v>
      </c>
      <c r="T784">
        <v>99.44</v>
      </c>
      <c r="U784">
        <v>99.36</v>
      </c>
      <c r="V784">
        <v>99.59</v>
      </c>
      <c r="W784">
        <v>1343544</v>
      </c>
      <c r="X784">
        <v>99.43</v>
      </c>
      <c r="Y784">
        <v>99.46</v>
      </c>
      <c r="Z784">
        <v>87</v>
      </c>
      <c r="AA784">
        <v>5000000</v>
      </c>
      <c r="AB784">
        <v>1988.6</v>
      </c>
      <c r="AC784">
        <v>0</v>
      </c>
      <c r="AD784" t="s">
        <v>94</v>
      </c>
      <c r="AE784" t="s">
        <v>94</v>
      </c>
      <c r="AF784" t="s">
        <v>226</v>
      </c>
      <c r="AG784" t="s">
        <v>226</v>
      </c>
      <c r="AH784">
        <v>6</v>
      </c>
      <c r="AI784" t="s">
        <v>3537</v>
      </c>
      <c r="AJ784" t="s">
        <v>1976</v>
      </c>
      <c r="AK784" t="s">
        <v>2416</v>
      </c>
      <c r="AL784" t="s">
        <v>272</v>
      </c>
    </row>
    <row r="785" spans="1:38">
      <c r="A785" t="s">
        <v>3880</v>
      </c>
      <c r="B785" t="s">
        <v>3881</v>
      </c>
      <c r="C785" t="s">
        <v>3882</v>
      </c>
      <c r="D785" t="s">
        <v>3882</v>
      </c>
      <c r="E785" t="s">
        <v>3883</v>
      </c>
      <c r="F785" t="s">
        <v>2413</v>
      </c>
      <c r="G785">
        <v>2</v>
      </c>
      <c r="H785">
        <v>1</v>
      </c>
      <c r="I785">
        <v>0.01</v>
      </c>
      <c r="J785">
        <v>1000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5000000</v>
      </c>
      <c r="AB785">
        <v>0</v>
      </c>
      <c r="AC785">
        <v>0</v>
      </c>
      <c r="AD785" t="s">
        <v>94</v>
      </c>
      <c r="AE785" t="s">
        <v>94</v>
      </c>
      <c r="AF785" t="s">
        <v>226</v>
      </c>
      <c r="AG785" t="s">
        <v>226</v>
      </c>
      <c r="AH785">
        <v>6</v>
      </c>
      <c r="AI785" t="s">
        <v>3537</v>
      </c>
      <c r="AJ785" t="s">
        <v>1976</v>
      </c>
      <c r="AK785" t="s">
        <v>2416</v>
      </c>
      <c r="AL785" t="s">
        <v>272</v>
      </c>
    </row>
    <row r="786" spans="1:38">
      <c r="A786" t="s">
        <v>3884</v>
      </c>
      <c r="B786" t="s">
        <v>3885</v>
      </c>
      <c r="C786" t="s">
        <v>3886</v>
      </c>
      <c r="D786" t="s">
        <v>3886</v>
      </c>
      <c r="E786" t="s">
        <v>3887</v>
      </c>
      <c r="F786" t="s">
        <v>2413</v>
      </c>
      <c r="G786">
        <v>3</v>
      </c>
      <c r="H786">
        <v>1</v>
      </c>
      <c r="I786">
        <v>0.01</v>
      </c>
      <c r="J786">
        <v>1000</v>
      </c>
      <c r="K786">
        <v>-0.3</v>
      </c>
      <c r="L786">
        <v>81.97</v>
      </c>
      <c r="M786">
        <v>82.22</v>
      </c>
      <c r="N786">
        <v>81.17</v>
      </c>
      <c r="O786">
        <v>81.97</v>
      </c>
      <c r="P786">
        <v>0</v>
      </c>
      <c r="Q786">
        <v>0</v>
      </c>
      <c r="R786">
        <v>0</v>
      </c>
      <c r="S786">
        <v>81.72</v>
      </c>
      <c r="T786">
        <v>82.22</v>
      </c>
      <c r="U786">
        <v>81.22</v>
      </c>
      <c r="V786">
        <v>82.22</v>
      </c>
      <c r="W786">
        <v>112775</v>
      </c>
      <c r="X786">
        <v>81.34</v>
      </c>
      <c r="Y786">
        <v>81.99</v>
      </c>
      <c r="Z786">
        <v>19</v>
      </c>
      <c r="AA786">
        <v>135000</v>
      </c>
      <c r="AB786">
        <v>819.7</v>
      </c>
      <c r="AC786">
        <v>0</v>
      </c>
      <c r="AD786" t="s">
        <v>94</v>
      </c>
      <c r="AE786" t="s">
        <v>94</v>
      </c>
      <c r="AF786" t="s">
        <v>226</v>
      </c>
      <c r="AG786" t="s">
        <v>226</v>
      </c>
      <c r="AH786">
        <v>6</v>
      </c>
      <c r="AI786" t="s">
        <v>3537</v>
      </c>
      <c r="AJ786" t="s">
        <v>1976</v>
      </c>
      <c r="AK786" t="s">
        <v>2416</v>
      </c>
      <c r="AL786" t="s">
        <v>272</v>
      </c>
    </row>
    <row r="787" spans="1:38">
      <c r="A787" t="s">
        <v>3888</v>
      </c>
      <c r="B787" t="s">
        <v>3889</v>
      </c>
      <c r="C787" t="s">
        <v>3890</v>
      </c>
      <c r="D787" t="s">
        <v>3890</v>
      </c>
      <c r="E787" t="s">
        <v>3891</v>
      </c>
      <c r="F787" t="s">
        <v>2413</v>
      </c>
      <c r="G787">
        <v>3</v>
      </c>
      <c r="H787">
        <v>1</v>
      </c>
      <c r="I787">
        <v>0.01</v>
      </c>
      <c r="J787">
        <v>1000</v>
      </c>
      <c r="K787">
        <v>4.96</v>
      </c>
      <c r="L787">
        <v>69.989999999999995</v>
      </c>
      <c r="M787">
        <v>67.09</v>
      </c>
      <c r="N787">
        <v>65.25</v>
      </c>
      <c r="O787">
        <v>69.88</v>
      </c>
      <c r="P787">
        <v>0</v>
      </c>
      <c r="Q787">
        <v>0</v>
      </c>
      <c r="R787">
        <v>0</v>
      </c>
      <c r="S787">
        <v>69.2</v>
      </c>
      <c r="T787">
        <v>67.48</v>
      </c>
      <c r="U787">
        <v>67.42</v>
      </c>
      <c r="V787">
        <v>69.989999999999995</v>
      </c>
      <c r="W787">
        <v>113493</v>
      </c>
      <c r="X787">
        <v>69.430000000000007</v>
      </c>
      <c r="Y787">
        <v>69.94</v>
      </c>
      <c r="Z787">
        <v>34</v>
      </c>
      <c r="AA787">
        <v>115000</v>
      </c>
      <c r="AB787">
        <v>9798.6</v>
      </c>
      <c r="AC787">
        <v>0</v>
      </c>
      <c r="AD787" t="s">
        <v>94</v>
      </c>
      <c r="AE787" t="s">
        <v>94</v>
      </c>
      <c r="AF787" t="s">
        <v>226</v>
      </c>
      <c r="AG787" t="s">
        <v>226</v>
      </c>
      <c r="AH787">
        <v>6</v>
      </c>
      <c r="AI787" t="s">
        <v>3537</v>
      </c>
      <c r="AJ787" t="s">
        <v>1976</v>
      </c>
      <c r="AK787" t="s">
        <v>2416</v>
      </c>
      <c r="AL787" t="s">
        <v>272</v>
      </c>
    </row>
    <row r="788" spans="1:38">
      <c r="A788" t="s">
        <v>3892</v>
      </c>
      <c r="B788" t="s">
        <v>3893</v>
      </c>
      <c r="C788" t="s">
        <v>3894</v>
      </c>
      <c r="D788" t="s">
        <v>3894</v>
      </c>
      <c r="E788" t="s">
        <v>3895</v>
      </c>
      <c r="F788" t="s">
        <v>2413</v>
      </c>
      <c r="G788">
        <v>3</v>
      </c>
      <c r="H788">
        <v>1</v>
      </c>
      <c r="I788">
        <v>0.01</v>
      </c>
      <c r="J788">
        <v>1000</v>
      </c>
      <c r="K788">
        <v>0.79</v>
      </c>
      <c r="L788">
        <v>72.67</v>
      </c>
      <c r="M788">
        <v>72.099999999999994</v>
      </c>
      <c r="N788">
        <v>70.790000000000006</v>
      </c>
      <c r="O788">
        <v>72.67</v>
      </c>
      <c r="P788">
        <v>0</v>
      </c>
      <c r="Q788">
        <v>0</v>
      </c>
      <c r="R788">
        <v>0</v>
      </c>
      <c r="S788">
        <v>73.069999999999993</v>
      </c>
      <c r="T788">
        <v>71.97</v>
      </c>
      <c r="U788">
        <v>71.97</v>
      </c>
      <c r="V788">
        <v>74.86</v>
      </c>
      <c r="W788">
        <v>137374</v>
      </c>
      <c r="X788">
        <v>72.62</v>
      </c>
      <c r="Y788">
        <v>73.319999999999993</v>
      </c>
      <c r="Z788">
        <v>44</v>
      </c>
      <c r="AA788">
        <v>150000</v>
      </c>
      <c r="AB788">
        <v>726.7</v>
      </c>
      <c r="AC788">
        <v>0</v>
      </c>
      <c r="AD788" t="s">
        <v>94</v>
      </c>
      <c r="AE788" t="s">
        <v>94</v>
      </c>
      <c r="AF788" t="s">
        <v>226</v>
      </c>
      <c r="AG788" t="s">
        <v>226</v>
      </c>
      <c r="AH788">
        <v>6</v>
      </c>
      <c r="AI788" t="s">
        <v>3537</v>
      </c>
      <c r="AJ788" t="s">
        <v>1976</v>
      </c>
      <c r="AK788" t="s">
        <v>2416</v>
      </c>
      <c r="AL788" t="s">
        <v>272</v>
      </c>
    </row>
    <row r="789" spans="1:38">
      <c r="A789" t="s">
        <v>3896</v>
      </c>
      <c r="B789" t="s">
        <v>3897</v>
      </c>
      <c r="C789" t="s">
        <v>3898</v>
      </c>
      <c r="D789" t="s">
        <v>3898</v>
      </c>
      <c r="E789" t="s">
        <v>3899</v>
      </c>
      <c r="F789" t="s">
        <v>2413</v>
      </c>
      <c r="G789">
        <v>3</v>
      </c>
      <c r="H789">
        <v>1</v>
      </c>
      <c r="I789">
        <v>0.01</v>
      </c>
      <c r="J789">
        <v>1000</v>
      </c>
      <c r="K789">
        <v>-1.5</v>
      </c>
      <c r="L789">
        <v>73.13</v>
      </c>
      <c r="M789">
        <v>74.260000000000005</v>
      </c>
      <c r="N789">
        <v>73.63</v>
      </c>
      <c r="O789">
        <v>73.13</v>
      </c>
      <c r="P789">
        <v>0</v>
      </c>
      <c r="Q789">
        <v>0</v>
      </c>
      <c r="R789">
        <v>0</v>
      </c>
      <c r="S789">
        <v>71.89</v>
      </c>
      <c r="T789">
        <v>74.239999999999995</v>
      </c>
      <c r="U789">
        <v>71.5</v>
      </c>
      <c r="V789">
        <v>74.239999999999995</v>
      </c>
      <c r="W789">
        <v>83393</v>
      </c>
      <c r="X789">
        <v>72.790000000000006</v>
      </c>
      <c r="Y789">
        <v>73.239999999999995</v>
      </c>
      <c r="Z789">
        <v>27</v>
      </c>
      <c r="AA789">
        <v>75000</v>
      </c>
      <c r="AB789">
        <v>2193.9</v>
      </c>
      <c r="AC789">
        <v>0</v>
      </c>
      <c r="AD789" t="s">
        <v>94</v>
      </c>
      <c r="AE789" t="s">
        <v>94</v>
      </c>
      <c r="AF789" t="s">
        <v>226</v>
      </c>
      <c r="AG789" t="s">
        <v>226</v>
      </c>
      <c r="AH789">
        <v>6</v>
      </c>
      <c r="AI789" t="s">
        <v>3537</v>
      </c>
      <c r="AJ789" t="s">
        <v>1976</v>
      </c>
      <c r="AK789" t="s">
        <v>2416</v>
      </c>
      <c r="AL789" t="s">
        <v>272</v>
      </c>
    </row>
    <row r="790" spans="1:38">
      <c r="A790" t="s">
        <v>3900</v>
      </c>
      <c r="B790" t="s">
        <v>3901</v>
      </c>
      <c r="C790" t="s">
        <v>3902</v>
      </c>
      <c r="D790" t="s">
        <v>3902</v>
      </c>
      <c r="E790" t="s">
        <v>3903</v>
      </c>
      <c r="F790" t="s">
        <v>2413</v>
      </c>
      <c r="G790">
        <v>3</v>
      </c>
      <c r="H790">
        <v>1</v>
      </c>
      <c r="I790">
        <v>0.01</v>
      </c>
      <c r="J790">
        <v>1000</v>
      </c>
      <c r="K790">
        <v>0</v>
      </c>
      <c r="L790">
        <v>77.06</v>
      </c>
      <c r="M790">
        <v>77.03</v>
      </c>
      <c r="N790">
        <v>79.42</v>
      </c>
      <c r="O790">
        <v>77.09</v>
      </c>
      <c r="P790">
        <v>0</v>
      </c>
      <c r="Q790">
        <v>0</v>
      </c>
      <c r="R790">
        <v>0</v>
      </c>
      <c r="S790">
        <v>78.349999999999994</v>
      </c>
      <c r="T790">
        <v>78.94</v>
      </c>
      <c r="U790">
        <v>77.06</v>
      </c>
      <c r="V790">
        <v>80.28</v>
      </c>
      <c r="W790">
        <v>3134</v>
      </c>
      <c r="X790">
        <v>75.47</v>
      </c>
      <c r="Y790">
        <v>75.5</v>
      </c>
      <c r="Z790">
        <v>4</v>
      </c>
      <c r="AA790">
        <v>75000</v>
      </c>
      <c r="AB790">
        <v>770.6</v>
      </c>
      <c r="AC790">
        <v>0</v>
      </c>
      <c r="AD790" t="s">
        <v>94</v>
      </c>
      <c r="AE790" t="s">
        <v>94</v>
      </c>
      <c r="AF790" t="s">
        <v>226</v>
      </c>
      <c r="AG790" t="s">
        <v>226</v>
      </c>
      <c r="AH790">
        <v>6</v>
      </c>
      <c r="AI790" t="s">
        <v>3537</v>
      </c>
      <c r="AJ790" t="s">
        <v>1976</v>
      </c>
      <c r="AK790" t="s">
        <v>2416</v>
      </c>
      <c r="AL790" t="s">
        <v>272</v>
      </c>
    </row>
    <row r="791" spans="1:38">
      <c r="A791" t="s">
        <v>3904</v>
      </c>
      <c r="B791" t="s">
        <v>3905</v>
      </c>
      <c r="C791" t="s">
        <v>3906</v>
      </c>
      <c r="D791" t="s">
        <v>3906</v>
      </c>
      <c r="E791" t="s">
        <v>3907</v>
      </c>
      <c r="F791" t="s">
        <v>2413</v>
      </c>
      <c r="G791">
        <v>2</v>
      </c>
      <c r="H791">
        <v>1</v>
      </c>
      <c r="I791">
        <v>0.01</v>
      </c>
      <c r="J791">
        <v>1000</v>
      </c>
      <c r="K791">
        <v>-0.06</v>
      </c>
      <c r="L791">
        <v>94.75</v>
      </c>
      <c r="M791">
        <v>94.82</v>
      </c>
      <c r="N791">
        <v>94.97</v>
      </c>
      <c r="O791">
        <v>94.75</v>
      </c>
      <c r="P791">
        <v>0</v>
      </c>
      <c r="Q791">
        <v>0</v>
      </c>
      <c r="R791">
        <v>0</v>
      </c>
      <c r="S791">
        <v>94.35</v>
      </c>
      <c r="T791">
        <v>94.83</v>
      </c>
      <c r="U791">
        <v>93.26</v>
      </c>
      <c r="V791">
        <v>95.17</v>
      </c>
      <c r="W791">
        <v>745337</v>
      </c>
      <c r="X791">
        <v>94.61</v>
      </c>
      <c r="Y791">
        <v>94.81</v>
      </c>
      <c r="Z791">
        <v>110</v>
      </c>
      <c r="AA791">
        <v>3500000</v>
      </c>
      <c r="AB791">
        <v>947.5</v>
      </c>
      <c r="AC791">
        <v>0</v>
      </c>
      <c r="AD791" t="s">
        <v>94</v>
      </c>
      <c r="AE791" t="s">
        <v>94</v>
      </c>
      <c r="AF791" t="s">
        <v>226</v>
      </c>
      <c r="AG791" t="s">
        <v>226</v>
      </c>
      <c r="AH791">
        <v>6</v>
      </c>
      <c r="AI791" t="s">
        <v>3537</v>
      </c>
      <c r="AJ791" t="s">
        <v>1976</v>
      </c>
      <c r="AK791" t="s">
        <v>2416</v>
      </c>
      <c r="AL791" t="s">
        <v>272</v>
      </c>
    </row>
    <row r="792" spans="1:38">
      <c r="A792" t="s">
        <v>3908</v>
      </c>
      <c r="B792" t="s">
        <v>3909</v>
      </c>
      <c r="C792" t="s">
        <v>3910</v>
      </c>
      <c r="D792" t="s">
        <v>3910</v>
      </c>
      <c r="E792" t="s">
        <v>3911</v>
      </c>
      <c r="F792" t="s">
        <v>2413</v>
      </c>
      <c r="G792">
        <v>2</v>
      </c>
      <c r="H792">
        <v>1</v>
      </c>
      <c r="I792">
        <v>0.01</v>
      </c>
      <c r="J792">
        <v>1000</v>
      </c>
      <c r="K792">
        <v>-0.15</v>
      </c>
      <c r="L792">
        <v>95.86</v>
      </c>
      <c r="M792">
        <v>96</v>
      </c>
      <c r="N792">
        <v>95.66</v>
      </c>
      <c r="O792">
        <v>95.85</v>
      </c>
      <c r="P792">
        <v>0</v>
      </c>
      <c r="Q792">
        <v>0</v>
      </c>
      <c r="R792">
        <v>0</v>
      </c>
      <c r="S792">
        <v>96</v>
      </c>
      <c r="T792">
        <v>95.85</v>
      </c>
      <c r="U792">
        <v>95.85</v>
      </c>
      <c r="V792">
        <v>96.04</v>
      </c>
      <c r="W792">
        <v>1435181</v>
      </c>
      <c r="X792">
        <v>95.9</v>
      </c>
      <c r="Y792">
        <v>96.04</v>
      </c>
      <c r="Z792">
        <v>33</v>
      </c>
      <c r="AA792">
        <v>1000000</v>
      </c>
      <c r="AB792">
        <v>3834.4</v>
      </c>
      <c r="AC792">
        <v>0</v>
      </c>
      <c r="AD792" t="s">
        <v>94</v>
      </c>
      <c r="AE792" t="s">
        <v>94</v>
      </c>
      <c r="AF792" t="s">
        <v>226</v>
      </c>
      <c r="AG792" t="s">
        <v>226</v>
      </c>
      <c r="AH792">
        <v>6</v>
      </c>
      <c r="AI792" t="s">
        <v>3537</v>
      </c>
      <c r="AJ792" t="s">
        <v>1976</v>
      </c>
      <c r="AK792" t="s">
        <v>2416</v>
      </c>
      <c r="AL792" t="s">
        <v>272</v>
      </c>
    </row>
    <row r="793" spans="1:38">
      <c r="A793" t="s">
        <v>3912</v>
      </c>
      <c r="B793" t="s">
        <v>3913</v>
      </c>
      <c r="C793" t="s">
        <v>3914</v>
      </c>
      <c r="D793" t="s">
        <v>3914</v>
      </c>
      <c r="E793" t="s">
        <v>3915</v>
      </c>
      <c r="F793" t="s">
        <v>2413</v>
      </c>
      <c r="G793">
        <v>3</v>
      </c>
      <c r="H793">
        <v>1</v>
      </c>
      <c r="I793">
        <v>0.01</v>
      </c>
      <c r="J793">
        <v>1000</v>
      </c>
      <c r="K793">
        <v>-0.06</v>
      </c>
      <c r="L793">
        <v>97.67</v>
      </c>
      <c r="M793">
        <v>97.73</v>
      </c>
      <c r="N793">
        <v>98.99</v>
      </c>
      <c r="O793">
        <v>98.06</v>
      </c>
      <c r="P793">
        <v>0</v>
      </c>
      <c r="Q793">
        <v>0</v>
      </c>
      <c r="R793">
        <v>0</v>
      </c>
      <c r="S793">
        <v>98.02</v>
      </c>
      <c r="T793">
        <v>97.73</v>
      </c>
      <c r="U793">
        <v>97.67</v>
      </c>
      <c r="V793">
        <v>98.94</v>
      </c>
      <c r="W793">
        <v>210743</v>
      </c>
      <c r="X793">
        <v>97.71</v>
      </c>
      <c r="Y793">
        <v>98.77</v>
      </c>
      <c r="Z793">
        <v>25</v>
      </c>
      <c r="AA793">
        <v>1050000</v>
      </c>
      <c r="AB793">
        <v>8790.2999999999993</v>
      </c>
      <c r="AC793">
        <v>0</v>
      </c>
      <c r="AD793" t="s">
        <v>94</v>
      </c>
      <c r="AE793" t="s">
        <v>94</v>
      </c>
      <c r="AF793" t="s">
        <v>226</v>
      </c>
      <c r="AG793" t="s">
        <v>226</v>
      </c>
      <c r="AH793">
        <v>800</v>
      </c>
      <c r="AI793" t="s">
        <v>3537</v>
      </c>
      <c r="AJ793" t="s">
        <v>1976</v>
      </c>
      <c r="AK793" t="s">
        <v>2416</v>
      </c>
      <c r="AL793" t="s">
        <v>272</v>
      </c>
    </row>
    <row r="794" spans="1:38">
      <c r="A794" t="s">
        <v>3916</v>
      </c>
      <c r="B794" t="s">
        <v>3917</v>
      </c>
      <c r="C794" t="s">
        <v>3918</v>
      </c>
      <c r="D794" t="s">
        <v>3918</v>
      </c>
      <c r="E794" t="s">
        <v>3919</v>
      </c>
      <c r="F794" t="s">
        <v>2425</v>
      </c>
      <c r="G794">
        <v>3</v>
      </c>
      <c r="H794">
        <v>1</v>
      </c>
      <c r="I794">
        <v>0.01</v>
      </c>
      <c r="J794">
        <v>159.44</v>
      </c>
      <c r="K794">
        <v>0</v>
      </c>
      <c r="L794">
        <v>0</v>
      </c>
      <c r="M794">
        <v>125.23</v>
      </c>
      <c r="N794">
        <v>0</v>
      </c>
      <c r="O794">
        <v>125.23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6459000</v>
      </c>
      <c r="AB794">
        <v>0</v>
      </c>
      <c r="AC794">
        <v>0</v>
      </c>
      <c r="AD794" t="s">
        <v>94</v>
      </c>
      <c r="AE794" t="s">
        <v>94</v>
      </c>
      <c r="AF794" t="s">
        <v>226</v>
      </c>
      <c r="AG794" t="s">
        <v>226</v>
      </c>
      <c r="AH794">
        <v>-100</v>
      </c>
      <c r="AI794" t="s">
        <v>3537</v>
      </c>
      <c r="AJ794" t="s">
        <v>1976</v>
      </c>
      <c r="AK794" t="s">
        <v>2426</v>
      </c>
      <c r="AL794" t="s">
        <v>272</v>
      </c>
    </row>
    <row r="795" spans="1:38">
      <c r="A795" t="s">
        <v>3920</v>
      </c>
      <c r="B795" t="s">
        <v>3921</v>
      </c>
      <c r="C795" t="s">
        <v>3922</v>
      </c>
      <c r="D795" t="s">
        <v>3922</v>
      </c>
      <c r="E795" t="s">
        <v>3923</v>
      </c>
      <c r="F795" t="s">
        <v>2413</v>
      </c>
      <c r="G795">
        <v>3</v>
      </c>
      <c r="H795">
        <v>1</v>
      </c>
      <c r="I795">
        <v>0.01</v>
      </c>
      <c r="J795">
        <v>1000</v>
      </c>
      <c r="K795">
        <v>-0.65</v>
      </c>
      <c r="L795">
        <v>95.11</v>
      </c>
      <c r="M795">
        <v>95.73</v>
      </c>
      <c r="N795">
        <v>95.46</v>
      </c>
      <c r="O795">
        <v>95.11</v>
      </c>
      <c r="P795">
        <v>0</v>
      </c>
      <c r="Q795">
        <v>0</v>
      </c>
      <c r="R795">
        <v>0</v>
      </c>
      <c r="S795">
        <v>94.36</v>
      </c>
      <c r="T795">
        <v>94.14</v>
      </c>
      <c r="U795">
        <v>94</v>
      </c>
      <c r="V795">
        <v>95.11</v>
      </c>
      <c r="W795">
        <v>84925</v>
      </c>
      <c r="X795">
        <v>94.51</v>
      </c>
      <c r="Y795">
        <v>95.11</v>
      </c>
      <c r="Z795">
        <v>21</v>
      </c>
      <c r="AA795">
        <v>200000</v>
      </c>
      <c r="AB795">
        <v>3804.4</v>
      </c>
      <c r="AC795">
        <v>0</v>
      </c>
      <c r="AD795" t="s">
        <v>94</v>
      </c>
      <c r="AE795" t="s">
        <v>94</v>
      </c>
      <c r="AF795" t="s">
        <v>304</v>
      </c>
      <c r="AG795" t="s">
        <v>226</v>
      </c>
      <c r="AH795">
        <v>0</v>
      </c>
      <c r="AI795" t="s">
        <v>3537</v>
      </c>
      <c r="AJ795" t="s">
        <v>1976</v>
      </c>
      <c r="AK795" t="s">
        <v>2416</v>
      </c>
      <c r="AL795" t="s">
        <v>272</v>
      </c>
    </row>
    <row r="796" spans="1:38">
      <c r="A796" t="s">
        <v>3924</v>
      </c>
      <c r="B796" t="s">
        <v>3925</v>
      </c>
      <c r="C796" t="s">
        <v>3926</v>
      </c>
      <c r="D796" t="s">
        <v>3926</v>
      </c>
      <c r="E796" t="s">
        <v>3927</v>
      </c>
      <c r="F796" t="s">
        <v>2425</v>
      </c>
      <c r="G796">
        <v>1</v>
      </c>
      <c r="H796">
        <v>1</v>
      </c>
      <c r="I796">
        <v>1E-4</v>
      </c>
      <c r="J796">
        <v>1000</v>
      </c>
      <c r="K796">
        <v>-0.36</v>
      </c>
      <c r="L796">
        <v>83.6999</v>
      </c>
      <c r="M796">
        <v>81.652699999999996</v>
      </c>
      <c r="N796">
        <v>81.647900000000007</v>
      </c>
      <c r="O796">
        <v>83.684200000000004</v>
      </c>
      <c r="P796">
        <v>0</v>
      </c>
      <c r="Q796">
        <v>0</v>
      </c>
      <c r="R796">
        <v>0</v>
      </c>
      <c r="S796">
        <v>82.523200000000003</v>
      </c>
      <c r="T796">
        <v>81.362300000000005</v>
      </c>
      <c r="U796">
        <v>81.362200000000001</v>
      </c>
      <c r="V796">
        <v>83.6999</v>
      </c>
      <c r="W796">
        <v>525778</v>
      </c>
      <c r="X796">
        <v>81.52</v>
      </c>
      <c r="Y796">
        <v>82</v>
      </c>
      <c r="Z796">
        <v>6</v>
      </c>
      <c r="AA796">
        <v>198416</v>
      </c>
      <c r="AB796">
        <v>88879.08</v>
      </c>
      <c r="AC796">
        <v>0</v>
      </c>
      <c r="AD796" t="s">
        <v>2</v>
      </c>
      <c r="AE796" t="s">
        <v>94</v>
      </c>
      <c r="AF796" t="s">
        <v>226</v>
      </c>
      <c r="AG796" t="s">
        <v>226</v>
      </c>
      <c r="AH796">
        <v>-100</v>
      </c>
      <c r="AI796" t="s">
        <v>3537</v>
      </c>
      <c r="AJ796" t="s">
        <v>1976</v>
      </c>
      <c r="AK796" t="s">
        <v>2426</v>
      </c>
      <c r="AL796" t="s">
        <v>272</v>
      </c>
    </row>
    <row r="797" spans="1:38">
      <c r="A797" t="s">
        <v>3928</v>
      </c>
      <c r="B797" t="s">
        <v>3929</v>
      </c>
      <c r="C797" t="s">
        <v>3930</v>
      </c>
      <c r="D797" t="s">
        <v>3930</v>
      </c>
      <c r="E797" t="s">
        <v>3931</v>
      </c>
      <c r="F797" t="s">
        <v>2413</v>
      </c>
      <c r="G797">
        <v>1</v>
      </c>
      <c r="H797">
        <v>1</v>
      </c>
      <c r="I797">
        <v>0.01</v>
      </c>
      <c r="J797">
        <v>1000</v>
      </c>
      <c r="K797">
        <v>0.54</v>
      </c>
      <c r="L797">
        <v>94.2</v>
      </c>
      <c r="M797">
        <v>93.44</v>
      </c>
      <c r="N797">
        <v>93.42</v>
      </c>
      <c r="O797">
        <v>94.04</v>
      </c>
      <c r="P797">
        <v>0</v>
      </c>
      <c r="Q797">
        <v>0</v>
      </c>
      <c r="R797">
        <v>0</v>
      </c>
      <c r="S797">
        <v>93.6</v>
      </c>
      <c r="T797">
        <v>93.53</v>
      </c>
      <c r="U797">
        <v>93.28</v>
      </c>
      <c r="V797">
        <v>94.2</v>
      </c>
      <c r="W797">
        <v>58969</v>
      </c>
      <c r="X797">
        <v>94.12</v>
      </c>
      <c r="Y797">
        <v>94.17</v>
      </c>
      <c r="Z797">
        <v>23</v>
      </c>
      <c r="AA797">
        <v>5000000</v>
      </c>
      <c r="AB797">
        <v>942</v>
      </c>
      <c r="AC797">
        <v>0</v>
      </c>
      <c r="AD797" t="s">
        <v>94</v>
      </c>
      <c r="AE797" t="s">
        <v>94</v>
      </c>
      <c r="AF797" t="s">
        <v>226</v>
      </c>
      <c r="AG797" t="s">
        <v>226</v>
      </c>
      <c r="AH797">
        <v>-100</v>
      </c>
      <c r="AI797" t="s">
        <v>3537</v>
      </c>
      <c r="AJ797" t="s">
        <v>1976</v>
      </c>
      <c r="AK797" t="s">
        <v>2416</v>
      </c>
      <c r="AL797" t="s">
        <v>272</v>
      </c>
    </row>
    <row r="798" spans="1:38">
      <c r="A798" t="s">
        <v>3932</v>
      </c>
      <c r="B798" t="s">
        <v>3933</v>
      </c>
      <c r="C798" t="s">
        <v>3934</v>
      </c>
      <c r="D798" t="s">
        <v>3934</v>
      </c>
      <c r="E798" t="s">
        <v>3935</v>
      </c>
      <c r="F798" t="s">
        <v>2413</v>
      </c>
      <c r="G798">
        <v>1</v>
      </c>
      <c r="H798">
        <v>1</v>
      </c>
      <c r="I798">
        <v>0.01</v>
      </c>
      <c r="J798">
        <v>1000</v>
      </c>
      <c r="K798">
        <v>0.95</v>
      </c>
      <c r="L798">
        <v>97.52</v>
      </c>
      <c r="M798">
        <v>96.11</v>
      </c>
      <c r="N798">
        <v>94.74</v>
      </c>
      <c r="O798">
        <v>96.03</v>
      </c>
      <c r="P798">
        <v>0</v>
      </c>
      <c r="Q798">
        <v>0</v>
      </c>
      <c r="R798">
        <v>0</v>
      </c>
      <c r="S798">
        <v>96.05</v>
      </c>
      <c r="T798">
        <v>96.01</v>
      </c>
      <c r="U798">
        <v>95.86</v>
      </c>
      <c r="V798">
        <v>97.52</v>
      </c>
      <c r="W798">
        <v>19210</v>
      </c>
      <c r="X798">
        <v>97</v>
      </c>
      <c r="Y798">
        <v>97.52</v>
      </c>
      <c r="Z798">
        <v>10</v>
      </c>
      <c r="AA798">
        <v>5000000</v>
      </c>
      <c r="AB798">
        <v>975.2</v>
      </c>
      <c r="AC798">
        <v>0</v>
      </c>
      <c r="AD798" t="s">
        <v>94</v>
      </c>
      <c r="AE798" t="s">
        <v>94</v>
      </c>
      <c r="AF798" t="s">
        <v>226</v>
      </c>
      <c r="AG798" t="s">
        <v>226</v>
      </c>
      <c r="AH798">
        <v>-100</v>
      </c>
      <c r="AI798" t="s">
        <v>3537</v>
      </c>
      <c r="AJ798" t="s">
        <v>1976</v>
      </c>
      <c r="AK798" t="s">
        <v>2416</v>
      </c>
      <c r="AL798" t="s">
        <v>272</v>
      </c>
    </row>
    <row r="799" spans="1:38">
      <c r="A799" t="s">
        <v>3936</v>
      </c>
      <c r="B799" t="s">
        <v>3937</v>
      </c>
      <c r="C799" t="s">
        <v>3938</v>
      </c>
      <c r="D799" t="s">
        <v>3938</v>
      </c>
      <c r="E799" t="s">
        <v>3939</v>
      </c>
      <c r="F799" t="s">
        <v>2413</v>
      </c>
      <c r="G799">
        <v>1</v>
      </c>
      <c r="H799">
        <v>1</v>
      </c>
      <c r="I799">
        <v>0.01</v>
      </c>
      <c r="J799">
        <v>1000</v>
      </c>
      <c r="K799">
        <v>0.83</v>
      </c>
      <c r="L799">
        <v>95.75</v>
      </c>
      <c r="M799">
        <v>94.96</v>
      </c>
      <c r="N799">
        <v>93.62</v>
      </c>
      <c r="O799">
        <v>95.75</v>
      </c>
      <c r="P799">
        <v>0</v>
      </c>
      <c r="Q799">
        <v>0</v>
      </c>
      <c r="R799">
        <v>0</v>
      </c>
      <c r="S799">
        <v>95.38</v>
      </c>
      <c r="T799">
        <v>95</v>
      </c>
      <c r="U799">
        <v>95</v>
      </c>
      <c r="V799">
        <v>95.75</v>
      </c>
      <c r="W799">
        <v>1908</v>
      </c>
      <c r="X799">
        <v>95.56</v>
      </c>
      <c r="Y799">
        <v>95.61</v>
      </c>
      <c r="Z799">
        <v>2</v>
      </c>
      <c r="AA799">
        <v>5000000</v>
      </c>
      <c r="AB799">
        <v>957.5</v>
      </c>
      <c r="AC799">
        <v>0</v>
      </c>
      <c r="AD799" t="s">
        <v>94</v>
      </c>
      <c r="AE799" t="s">
        <v>94</v>
      </c>
      <c r="AF799" t="s">
        <v>226</v>
      </c>
      <c r="AG799" t="s">
        <v>226</v>
      </c>
      <c r="AH799">
        <v>-100</v>
      </c>
      <c r="AI799" t="s">
        <v>3537</v>
      </c>
      <c r="AJ799" t="s">
        <v>1976</v>
      </c>
      <c r="AK799" t="s">
        <v>2416</v>
      </c>
      <c r="AL799" t="s">
        <v>272</v>
      </c>
    </row>
    <row r="800" spans="1:38">
      <c r="A800" t="s">
        <v>3940</v>
      </c>
      <c r="B800" t="s">
        <v>3941</v>
      </c>
      <c r="C800" t="s">
        <v>3942</v>
      </c>
      <c r="D800" t="s">
        <v>3942</v>
      </c>
      <c r="E800" t="s">
        <v>3943</v>
      </c>
      <c r="F800" t="s">
        <v>2413</v>
      </c>
      <c r="G800">
        <v>1</v>
      </c>
      <c r="H800">
        <v>1</v>
      </c>
      <c r="I800">
        <v>0.01</v>
      </c>
      <c r="J800">
        <v>1000</v>
      </c>
      <c r="K800">
        <v>0.17</v>
      </c>
      <c r="L800">
        <v>94.18</v>
      </c>
      <c r="M800">
        <v>94.02</v>
      </c>
      <c r="N800">
        <v>93.93</v>
      </c>
      <c r="O800">
        <v>94.03</v>
      </c>
      <c r="P800">
        <v>0</v>
      </c>
      <c r="Q800">
        <v>0</v>
      </c>
      <c r="R800">
        <v>0</v>
      </c>
      <c r="S800">
        <v>94.04</v>
      </c>
      <c r="T800">
        <v>94.2</v>
      </c>
      <c r="U800">
        <v>94</v>
      </c>
      <c r="V800">
        <v>94.2</v>
      </c>
      <c r="W800">
        <v>20688</v>
      </c>
      <c r="X800">
        <v>93.99</v>
      </c>
      <c r="Y800">
        <v>94</v>
      </c>
      <c r="Z800">
        <v>11</v>
      </c>
      <c r="AA800">
        <v>5000000</v>
      </c>
      <c r="AB800">
        <v>941.8</v>
      </c>
      <c r="AC800">
        <v>0</v>
      </c>
      <c r="AD800" t="s">
        <v>94</v>
      </c>
      <c r="AE800" t="s">
        <v>94</v>
      </c>
      <c r="AF800" t="s">
        <v>226</v>
      </c>
      <c r="AG800" t="s">
        <v>226</v>
      </c>
      <c r="AH800">
        <v>-100</v>
      </c>
      <c r="AI800" t="s">
        <v>3537</v>
      </c>
      <c r="AJ800" t="s">
        <v>1976</v>
      </c>
      <c r="AK800" t="s">
        <v>2416</v>
      </c>
      <c r="AL800" t="s">
        <v>272</v>
      </c>
    </row>
    <row r="801" spans="1:38">
      <c r="A801" t="s">
        <v>3944</v>
      </c>
      <c r="B801" t="s">
        <v>3945</v>
      </c>
      <c r="C801" t="s">
        <v>3946</v>
      </c>
      <c r="D801" t="s">
        <v>3946</v>
      </c>
      <c r="E801" t="s">
        <v>3947</v>
      </c>
      <c r="F801" t="s">
        <v>2413</v>
      </c>
      <c r="G801">
        <v>1</v>
      </c>
      <c r="H801">
        <v>1</v>
      </c>
      <c r="I801">
        <v>0.01</v>
      </c>
      <c r="J801">
        <v>1000</v>
      </c>
      <c r="K801">
        <v>-0.02</v>
      </c>
      <c r="L801">
        <v>92.98</v>
      </c>
      <c r="M801">
        <v>92.96</v>
      </c>
      <c r="N801">
        <v>92.91</v>
      </c>
      <c r="O801">
        <v>92.98</v>
      </c>
      <c r="P801">
        <v>0</v>
      </c>
      <c r="Q801">
        <v>0</v>
      </c>
      <c r="R801">
        <v>0</v>
      </c>
      <c r="S801">
        <v>92.99</v>
      </c>
      <c r="T801">
        <v>93.24</v>
      </c>
      <c r="U801">
        <v>92.92</v>
      </c>
      <c r="V801">
        <v>93.24</v>
      </c>
      <c r="W801">
        <v>79040</v>
      </c>
      <c r="X801">
        <v>92.97</v>
      </c>
      <c r="Y801">
        <v>92.98</v>
      </c>
      <c r="Z801">
        <v>20</v>
      </c>
      <c r="AA801">
        <v>5000000</v>
      </c>
      <c r="AB801">
        <v>16736.400000000001</v>
      </c>
      <c r="AC801">
        <v>0</v>
      </c>
      <c r="AD801" t="s">
        <v>94</v>
      </c>
      <c r="AE801" t="s">
        <v>94</v>
      </c>
      <c r="AF801" t="s">
        <v>226</v>
      </c>
      <c r="AG801" t="s">
        <v>226</v>
      </c>
      <c r="AH801">
        <v>-100</v>
      </c>
      <c r="AI801" t="s">
        <v>3537</v>
      </c>
      <c r="AJ801" t="s">
        <v>1976</v>
      </c>
      <c r="AK801" t="s">
        <v>2416</v>
      </c>
      <c r="AL801" t="s">
        <v>272</v>
      </c>
    </row>
    <row r="802" spans="1:38">
      <c r="A802" t="s">
        <v>3948</v>
      </c>
      <c r="B802" t="s">
        <v>3949</v>
      </c>
      <c r="C802" t="s">
        <v>3950</v>
      </c>
      <c r="D802" t="s">
        <v>3950</v>
      </c>
      <c r="E802" t="s">
        <v>3951</v>
      </c>
      <c r="F802" t="s">
        <v>2413</v>
      </c>
      <c r="G802">
        <v>1</v>
      </c>
      <c r="H802">
        <v>1</v>
      </c>
      <c r="I802">
        <v>0.01</v>
      </c>
      <c r="J802">
        <v>1000</v>
      </c>
      <c r="K802">
        <v>0.06</v>
      </c>
      <c r="L802">
        <v>98.15</v>
      </c>
      <c r="M802">
        <v>98.09</v>
      </c>
      <c r="N802">
        <v>97.87</v>
      </c>
      <c r="O802">
        <v>98.15</v>
      </c>
      <c r="P802">
        <v>0</v>
      </c>
      <c r="Q802">
        <v>0</v>
      </c>
      <c r="R802">
        <v>0</v>
      </c>
      <c r="S802">
        <v>97.85</v>
      </c>
      <c r="T802">
        <v>98.23</v>
      </c>
      <c r="U802">
        <v>97.4</v>
      </c>
      <c r="V802">
        <v>98.26</v>
      </c>
      <c r="W802">
        <v>4527561</v>
      </c>
      <c r="X802">
        <v>98.03</v>
      </c>
      <c r="Y802">
        <v>98.15</v>
      </c>
      <c r="Z802">
        <v>262</v>
      </c>
      <c r="AA802">
        <v>45000000</v>
      </c>
      <c r="AB802">
        <v>981.5</v>
      </c>
      <c r="AC802">
        <v>0</v>
      </c>
      <c r="AD802" t="s">
        <v>94</v>
      </c>
      <c r="AE802" t="s">
        <v>94</v>
      </c>
      <c r="AF802" t="s">
        <v>226</v>
      </c>
      <c r="AG802" t="s">
        <v>226</v>
      </c>
      <c r="AH802">
        <v>8</v>
      </c>
      <c r="AI802" t="s">
        <v>3537</v>
      </c>
      <c r="AJ802" t="s">
        <v>1976</v>
      </c>
      <c r="AK802" t="s">
        <v>2416</v>
      </c>
      <c r="AL802" t="s">
        <v>272</v>
      </c>
    </row>
    <row r="803" spans="1:38">
      <c r="A803" t="s">
        <v>3952</v>
      </c>
      <c r="B803" t="s">
        <v>3953</v>
      </c>
      <c r="C803" t="s">
        <v>3954</v>
      </c>
      <c r="D803" t="s">
        <v>3954</v>
      </c>
      <c r="E803" t="s">
        <v>3955</v>
      </c>
      <c r="F803" t="s">
        <v>2413</v>
      </c>
      <c r="G803">
        <v>1</v>
      </c>
      <c r="H803">
        <v>1</v>
      </c>
      <c r="I803">
        <v>0.01</v>
      </c>
      <c r="J803">
        <v>1000</v>
      </c>
      <c r="K803">
        <v>0.1</v>
      </c>
      <c r="L803">
        <v>99.48</v>
      </c>
      <c r="M803">
        <v>99.38</v>
      </c>
      <c r="N803">
        <v>99.4</v>
      </c>
      <c r="O803">
        <v>99.47</v>
      </c>
      <c r="P803">
        <v>0</v>
      </c>
      <c r="Q803">
        <v>0</v>
      </c>
      <c r="R803">
        <v>0</v>
      </c>
      <c r="S803">
        <v>99.41</v>
      </c>
      <c r="T803">
        <v>99.79</v>
      </c>
      <c r="U803">
        <v>99</v>
      </c>
      <c r="V803">
        <v>99.8</v>
      </c>
      <c r="W803">
        <v>6450718</v>
      </c>
      <c r="X803">
        <v>99.4</v>
      </c>
      <c r="Y803">
        <v>99.48</v>
      </c>
      <c r="Z803">
        <v>183</v>
      </c>
      <c r="AA803">
        <v>25000000</v>
      </c>
      <c r="AB803">
        <v>3979.2</v>
      </c>
      <c r="AC803">
        <v>0</v>
      </c>
      <c r="AD803" t="s">
        <v>94</v>
      </c>
      <c r="AE803" t="s">
        <v>94</v>
      </c>
      <c r="AF803" t="s">
        <v>226</v>
      </c>
      <c r="AG803" t="s">
        <v>226</v>
      </c>
      <c r="AH803">
        <v>8</v>
      </c>
      <c r="AI803" t="s">
        <v>3537</v>
      </c>
      <c r="AJ803" t="s">
        <v>1976</v>
      </c>
      <c r="AK803" t="s">
        <v>2416</v>
      </c>
      <c r="AL803" t="s">
        <v>272</v>
      </c>
    </row>
    <row r="804" spans="1:38">
      <c r="A804" t="s">
        <v>3956</v>
      </c>
      <c r="B804" t="s">
        <v>3957</v>
      </c>
      <c r="C804" t="s">
        <v>3958</v>
      </c>
      <c r="D804" t="s">
        <v>3958</v>
      </c>
      <c r="E804" t="s">
        <v>3959</v>
      </c>
      <c r="F804" t="s">
        <v>2413</v>
      </c>
      <c r="G804">
        <v>3</v>
      </c>
      <c r="H804">
        <v>1</v>
      </c>
      <c r="I804">
        <v>0.01</v>
      </c>
      <c r="J804">
        <v>1000</v>
      </c>
      <c r="K804">
        <v>-1.95</v>
      </c>
      <c r="L804">
        <v>100</v>
      </c>
      <c r="M804">
        <v>101.99</v>
      </c>
      <c r="N804">
        <v>100.46</v>
      </c>
      <c r="O804">
        <v>100</v>
      </c>
      <c r="P804">
        <v>0</v>
      </c>
      <c r="Q804">
        <v>0</v>
      </c>
      <c r="R804">
        <v>0</v>
      </c>
      <c r="S804">
        <v>100.33</v>
      </c>
      <c r="T804">
        <v>101.98</v>
      </c>
      <c r="U804">
        <v>99.01</v>
      </c>
      <c r="V804">
        <v>101.98</v>
      </c>
      <c r="W804">
        <v>3010</v>
      </c>
      <c r="X804">
        <v>100.01</v>
      </c>
      <c r="Y804">
        <v>101.94</v>
      </c>
      <c r="Z804">
        <v>3</v>
      </c>
      <c r="AA804">
        <v>10000000</v>
      </c>
      <c r="AB804">
        <v>1000</v>
      </c>
      <c r="AC804">
        <v>0</v>
      </c>
      <c r="AD804" t="s">
        <v>94</v>
      </c>
      <c r="AE804" t="s">
        <v>94</v>
      </c>
      <c r="AF804" t="s">
        <v>226</v>
      </c>
      <c r="AG804" t="s">
        <v>226</v>
      </c>
      <c r="AH804">
        <v>6</v>
      </c>
      <c r="AI804" t="s">
        <v>3537</v>
      </c>
      <c r="AJ804" t="s">
        <v>1976</v>
      </c>
      <c r="AK804" t="s">
        <v>2416</v>
      </c>
      <c r="AL804" t="s">
        <v>272</v>
      </c>
    </row>
    <row r="805" spans="1:38">
      <c r="A805" t="s">
        <v>3960</v>
      </c>
      <c r="B805" t="s">
        <v>3961</v>
      </c>
      <c r="C805" t="s">
        <v>3962</v>
      </c>
      <c r="D805" t="s">
        <v>3962</v>
      </c>
      <c r="E805" t="s">
        <v>3963</v>
      </c>
      <c r="F805" t="s">
        <v>2413</v>
      </c>
      <c r="G805">
        <v>3</v>
      </c>
      <c r="H805">
        <v>1</v>
      </c>
      <c r="I805">
        <v>0.01</v>
      </c>
      <c r="J805">
        <v>1000</v>
      </c>
      <c r="K805">
        <v>0.05</v>
      </c>
      <c r="L805">
        <v>83.8</v>
      </c>
      <c r="M805">
        <v>83.76</v>
      </c>
      <c r="N805">
        <v>82.67</v>
      </c>
      <c r="O805">
        <v>83.8</v>
      </c>
      <c r="P805">
        <v>0</v>
      </c>
      <c r="Q805">
        <v>0</v>
      </c>
      <c r="R805">
        <v>0</v>
      </c>
      <c r="S805">
        <v>83.58</v>
      </c>
      <c r="T805">
        <v>83.17</v>
      </c>
      <c r="U805">
        <v>83.16</v>
      </c>
      <c r="V805">
        <v>83.84</v>
      </c>
      <c r="W805">
        <v>10029</v>
      </c>
      <c r="X805">
        <v>83.38</v>
      </c>
      <c r="Y805">
        <v>83.82</v>
      </c>
      <c r="Z805">
        <v>7</v>
      </c>
      <c r="AA805">
        <v>10000000</v>
      </c>
      <c r="AB805">
        <v>838</v>
      </c>
      <c r="AC805">
        <v>0</v>
      </c>
      <c r="AD805" t="s">
        <v>94</v>
      </c>
      <c r="AE805" t="s">
        <v>94</v>
      </c>
      <c r="AF805" t="s">
        <v>226</v>
      </c>
      <c r="AG805" t="s">
        <v>226</v>
      </c>
      <c r="AH805">
        <v>6</v>
      </c>
      <c r="AI805" t="s">
        <v>3537</v>
      </c>
      <c r="AJ805" t="s">
        <v>1976</v>
      </c>
      <c r="AK805" t="s">
        <v>2416</v>
      </c>
      <c r="AL805" t="s">
        <v>272</v>
      </c>
    </row>
    <row r="806" spans="1:38">
      <c r="A806" t="s">
        <v>3964</v>
      </c>
      <c r="B806" t="s">
        <v>3965</v>
      </c>
      <c r="C806" t="s">
        <v>3966</v>
      </c>
      <c r="D806" t="s">
        <v>3966</v>
      </c>
      <c r="E806" t="s">
        <v>3967</v>
      </c>
      <c r="F806" t="s">
        <v>2425</v>
      </c>
      <c r="G806">
        <v>3</v>
      </c>
      <c r="H806">
        <v>1</v>
      </c>
      <c r="I806">
        <v>0.01</v>
      </c>
      <c r="J806">
        <v>10000000</v>
      </c>
      <c r="K806">
        <v>0</v>
      </c>
      <c r="L806">
        <v>0</v>
      </c>
      <c r="M806">
        <v>75</v>
      </c>
      <c r="N806">
        <v>0</v>
      </c>
      <c r="O806">
        <v>75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51</v>
      </c>
      <c r="Y806">
        <v>82.5</v>
      </c>
      <c r="Z806">
        <v>0</v>
      </c>
      <c r="AA806">
        <v>500</v>
      </c>
      <c r="AB806">
        <v>0</v>
      </c>
      <c r="AC806">
        <v>0</v>
      </c>
      <c r="AD806" t="s">
        <v>94</v>
      </c>
      <c r="AE806" t="s">
        <v>94</v>
      </c>
      <c r="AF806" t="s">
        <v>304</v>
      </c>
      <c r="AG806" t="s">
        <v>226</v>
      </c>
      <c r="AH806">
        <v>0</v>
      </c>
      <c r="AI806" t="s">
        <v>3537</v>
      </c>
      <c r="AJ806" t="s">
        <v>1976</v>
      </c>
      <c r="AK806" t="s">
        <v>2426</v>
      </c>
      <c r="AL806" t="s">
        <v>272</v>
      </c>
    </row>
    <row r="807" spans="1:38">
      <c r="A807" t="s">
        <v>3968</v>
      </c>
      <c r="B807" t="s">
        <v>3969</v>
      </c>
      <c r="C807" t="s">
        <v>3970</v>
      </c>
      <c r="D807" t="s">
        <v>3970</v>
      </c>
      <c r="E807" t="s">
        <v>3971</v>
      </c>
      <c r="F807" t="s">
        <v>2425</v>
      </c>
      <c r="G807">
        <v>3</v>
      </c>
      <c r="H807">
        <v>1</v>
      </c>
      <c r="I807">
        <v>0.01</v>
      </c>
      <c r="J807">
        <v>100000</v>
      </c>
      <c r="K807">
        <v>0</v>
      </c>
      <c r="L807">
        <v>0</v>
      </c>
      <c r="M807">
        <v>93.08</v>
      </c>
      <c r="N807">
        <v>0</v>
      </c>
      <c r="O807">
        <v>93.08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101.23</v>
      </c>
      <c r="Z807">
        <v>0</v>
      </c>
      <c r="AA807">
        <v>123136</v>
      </c>
      <c r="AB807">
        <v>0</v>
      </c>
      <c r="AC807">
        <v>0</v>
      </c>
      <c r="AD807" t="s">
        <v>94</v>
      </c>
      <c r="AE807" t="s">
        <v>94</v>
      </c>
      <c r="AF807" t="s">
        <v>226</v>
      </c>
      <c r="AG807" t="s">
        <v>226</v>
      </c>
      <c r="AH807">
        <v>6</v>
      </c>
      <c r="AI807" t="s">
        <v>3537</v>
      </c>
      <c r="AJ807" t="s">
        <v>1976</v>
      </c>
      <c r="AK807" t="s">
        <v>2426</v>
      </c>
      <c r="AL807" t="s">
        <v>272</v>
      </c>
    </row>
    <row r="808" spans="1:38">
      <c r="A808" t="s">
        <v>3972</v>
      </c>
      <c r="B808" t="s">
        <v>3973</v>
      </c>
      <c r="C808" t="s">
        <v>3974</v>
      </c>
      <c r="D808" t="s">
        <v>3974</v>
      </c>
      <c r="E808" t="s">
        <v>3975</v>
      </c>
      <c r="F808" t="s">
        <v>2425</v>
      </c>
      <c r="G808">
        <v>3</v>
      </c>
      <c r="H808">
        <v>1</v>
      </c>
      <c r="I808">
        <v>0.01</v>
      </c>
      <c r="J808">
        <v>100000</v>
      </c>
      <c r="K808">
        <v>-0.5</v>
      </c>
      <c r="L808">
        <v>90.88</v>
      </c>
      <c r="M808">
        <v>91.34</v>
      </c>
      <c r="N808">
        <v>91.16</v>
      </c>
      <c r="O808">
        <v>90.88</v>
      </c>
      <c r="P808">
        <v>0</v>
      </c>
      <c r="Q808">
        <v>0</v>
      </c>
      <c r="R808">
        <v>0</v>
      </c>
      <c r="S808">
        <v>90.94</v>
      </c>
      <c r="T808">
        <v>91.35</v>
      </c>
      <c r="U808">
        <v>90.84</v>
      </c>
      <c r="V808">
        <v>91.35</v>
      </c>
      <c r="W808">
        <v>727500</v>
      </c>
      <c r="X808">
        <v>90.8</v>
      </c>
      <c r="Y808">
        <v>90.88</v>
      </c>
      <c r="Z808">
        <v>7</v>
      </c>
      <c r="AA808">
        <v>84379</v>
      </c>
      <c r="AB808">
        <v>90880</v>
      </c>
      <c r="AC808">
        <v>0</v>
      </c>
      <c r="AD808" t="s">
        <v>94</v>
      </c>
      <c r="AE808" t="s">
        <v>94</v>
      </c>
      <c r="AF808" t="s">
        <v>226</v>
      </c>
      <c r="AG808" t="s">
        <v>226</v>
      </c>
      <c r="AH808">
        <v>6</v>
      </c>
      <c r="AI808" t="s">
        <v>3537</v>
      </c>
      <c r="AJ808" t="s">
        <v>1976</v>
      </c>
      <c r="AK808" t="s">
        <v>2426</v>
      </c>
      <c r="AL808" t="s">
        <v>272</v>
      </c>
    </row>
    <row r="809" spans="1:38">
      <c r="A809" t="s">
        <v>3976</v>
      </c>
      <c r="B809" t="s">
        <v>3977</v>
      </c>
      <c r="C809" t="s">
        <v>3978</v>
      </c>
      <c r="D809" t="s">
        <v>3978</v>
      </c>
      <c r="E809" t="s">
        <v>3979</v>
      </c>
      <c r="F809" t="s">
        <v>2413</v>
      </c>
      <c r="G809">
        <v>3</v>
      </c>
      <c r="H809">
        <v>1</v>
      </c>
      <c r="I809">
        <v>0.01</v>
      </c>
      <c r="J809">
        <v>1000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131834</v>
      </c>
      <c r="AB809">
        <v>0</v>
      </c>
      <c r="AC809">
        <v>0</v>
      </c>
      <c r="AD809" t="s">
        <v>94</v>
      </c>
      <c r="AE809" t="s">
        <v>94</v>
      </c>
      <c r="AF809" t="s">
        <v>226</v>
      </c>
      <c r="AG809" t="s">
        <v>226</v>
      </c>
      <c r="AH809">
        <v>8</v>
      </c>
      <c r="AI809" t="s">
        <v>3537</v>
      </c>
      <c r="AJ809" t="s">
        <v>1976</v>
      </c>
      <c r="AK809" t="s">
        <v>2416</v>
      </c>
      <c r="AL809" t="s">
        <v>272</v>
      </c>
    </row>
    <row r="810" spans="1:38">
      <c r="A810" t="s">
        <v>3980</v>
      </c>
      <c r="B810" t="s">
        <v>3981</v>
      </c>
      <c r="C810" t="s">
        <v>3982</v>
      </c>
      <c r="D810" t="s">
        <v>3982</v>
      </c>
      <c r="E810" t="s">
        <v>3983</v>
      </c>
      <c r="F810" t="s">
        <v>2413</v>
      </c>
      <c r="G810">
        <v>3</v>
      </c>
      <c r="H810">
        <v>1</v>
      </c>
      <c r="I810">
        <v>0.01</v>
      </c>
      <c r="J810">
        <v>1000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500000</v>
      </c>
      <c r="AB810">
        <v>0</v>
      </c>
      <c r="AC810">
        <v>0</v>
      </c>
      <c r="AD810" t="s">
        <v>94</v>
      </c>
      <c r="AE810" t="s">
        <v>94</v>
      </c>
      <c r="AF810" t="s">
        <v>226</v>
      </c>
      <c r="AG810" t="s">
        <v>226</v>
      </c>
      <c r="AH810">
        <v>8</v>
      </c>
      <c r="AI810" t="s">
        <v>3537</v>
      </c>
      <c r="AJ810" t="s">
        <v>1976</v>
      </c>
      <c r="AK810" t="s">
        <v>2416</v>
      </c>
      <c r="AL810" t="s">
        <v>272</v>
      </c>
    </row>
    <row r="811" spans="1:38">
      <c r="A811" t="s">
        <v>3984</v>
      </c>
      <c r="B811" t="s">
        <v>3985</v>
      </c>
      <c r="C811" t="s">
        <v>3986</v>
      </c>
      <c r="D811" t="s">
        <v>3986</v>
      </c>
      <c r="E811" t="s">
        <v>3987</v>
      </c>
      <c r="F811" t="s">
        <v>2413</v>
      </c>
      <c r="G811">
        <v>3</v>
      </c>
      <c r="H811">
        <v>1</v>
      </c>
      <c r="I811">
        <v>0.01</v>
      </c>
      <c r="J811">
        <v>1000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136340</v>
      </c>
      <c r="AB811">
        <v>0</v>
      </c>
      <c r="AC811">
        <v>0</v>
      </c>
      <c r="AD811" t="s">
        <v>94</v>
      </c>
      <c r="AE811" t="s">
        <v>94</v>
      </c>
      <c r="AF811" t="s">
        <v>226</v>
      </c>
      <c r="AG811" t="s">
        <v>226</v>
      </c>
      <c r="AH811">
        <v>8</v>
      </c>
      <c r="AI811" t="s">
        <v>3537</v>
      </c>
      <c r="AJ811" t="s">
        <v>1976</v>
      </c>
      <c r="AK811" t="s">
        <v>2416</v>
      </c>
      <c r="AL811" t="s">
        <v>272</v>
      </c>
    </row>
    <row r="812" spans="1:38">
      <c r="A812" t="s">
        <v>3988</v>
      </c>
      <c r="B812" t="s">
        <v>3989</v>
      </c>
      <c r="C812" t="s">
        <v>3990</v>
      </c>
      <c r="D812" t="s">
        <v>3990</v>
      </c>
      <c r="E812" t="s">
        <v>3991</v>
      </c>
      <c r="F812" t="s">
        <v>2413</v>
      </c>
      <c r="G812">
        <v>3</v>
      </c>
      <c r="H812">
        <v>1</v>
      </c>
      <c r="I812">
        <v>0.01</v>
      </c>
      <c r="J812">
        <v>1000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452675</v>
      </c>
      <c r="AB812">
        <v>0</v>
      </c>
      <c r="AC812">
        <v>0</v>
      </c>
      <c r="AD812" t="s">
        <v>94</v>
      </c>
      <c r="AE812" t="s">
        <v>94</v>
      </c>
      <c r="AF812" t="s">
        <v>226</v>
      </c>
      <c r="AG812" t="s">
        <v>226</v>
      </c>
      <c r="AH812">
        <v>6</v>
      </c>
      <c r="AI812" t="s">
        <v>3537</v>
      </c>
      <c r="AJ812" t="s">
        <v>1976</v>
      </c>
      <c r="AK812" t="s">
        <v>2416</v>
      </c>
      <c r="AL812" t="s">
        <v>272</v>
      </c>
    </row>
    <row r="813" spans="1:38">
      <c r="A813" t="s">
        <v>3992</v>
      </c>
      <c r="B813" t="s">
        <v>3993</v>
      </c>
      <c r="C813" t="s">
        <v>3994</v>
      </c>
      <c r="D813" t="s">
        <v>3994</v>
      </c>
      <c r="E813" t="s">
        <v>3995</v>
      </c>
      <c r="F813" t="s">
        <v>2413</v>
      </c>
      <c r="G813">
        <v>3</v>
      </c>
      <c r="H813">
        <v>1</v>
      </c>
      <c r="I813">
        <v>0.01</v>
      </c>
      <c r="J813">
        <v>1000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248162</v>
      </c>
      <c r="AB813">
        <v>0</v>
      </c>
      <c r="AC813">
        <v>0</v>
      </c>
      <c r="AD813" t="s">
        <v>94</v>
      </c>
      <c r="AE813" t="s">
        <v>94</v>
      </c>
      <c r="AF813" t="s">
        <v>226</v>
      </c>
      <c r="AG813" t="s">
        <v>226</v>
      </c>
      <c r="AH813">
        <v>8</v>
      </c>
      <c r="AI813" t="s">
        <v>3537</v>
      </c>
      <c r="AJ813" t="s">
        <v>1976</v>
      </c>
      <c r="AK813" t="s">
        <v>2416</v>
      </c>
      <c r="AL813" t="s">
        <v>272</v>
      </c>
    </row>
    <row r="814" spans="1:38">
      <c r="A814" t="s">
        <v>3996</v>
      </c>
      <c r="B814" t="s">
        <v>3997</v>
      </c>
      <c r="C814" t="s">
        <v>3998</v>
      </c>
      <c r="D814" t="s">
        <v>3998</v>
      </c>
      <c r="E814" t="s">
        <v>3999</v>
      </c>
      <c r="F814" t="s">
        <v>2413</v>
      </c>
      <c r="G814">
        <v>3</v>
      </c>
      <c r="H814">
        <v>1</v>
      </c>
      <c r="I814">
        <v>0.01</v>
      </c>
      <c r="J814">
        <v>1000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193500</v>
      </c>
      <c r="AB814">
        <v>0</v>
      </c>
      <c r="AC814">
        <v>0</v>
      </c>
      <c r="AD814" t="s">
        <v>94</v>
      </c>
      <c r="AE814" t="s">
        <v>94</v>
      </c>
      <c r="AF814" t="s">
        <v>226</v>
      </c>
      <c r="AG814" t="s">
        <v>226</v>
      </c>
      <c r="AH814">
        <v>6</v>
      </c>
      <c r="AI814" t="s">
        <v>3537</v>
      </c>
      <c r="AJ814" t="s">
        <v>1976</v>
      </c>
      <c r="AK814" t="s">
        <v>2416</v>
      </c>
      <c r="AL814" t="s">
        <v>272</v>
      </c>
    </row>
    <row r="815" spans="1:38">
      <c r="A815" t="s">
        <v>4000</v>
      </c>
      <c r="B815" t="s">
        <v>4001</v>
      </c>
      <c r="C815" t="s">
        <v>4002</v>
      </c>
      <c r="D815" t="s">
        <v>4002</v>
      </c>
      <c r="E815" t="s">
        <v>4003</v>
      </c>
      <c r="F815" t="s">
        <v>2413</v>
      </c>
      <c r="G815">
        <v>3</v>
      </c>
      <c r="H815">
        <v>1</v>
      </c>
      <c r="I815">
        <v>0.01</v>
      </c>
      <c r="J815">
        <v>1000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30391</v>
      </c>
      <c r="AB815">
        <v>0</v>
      </c>
      <c r="AC815">
        <v>0</v>
      </c>
      <c r="AD815" t="s">
        <v>94</v>
      </c>
      <c r="AE815" t="s">
        <v>94</v>
      </c>
      <c r="AF815" t="s">
        <v>226</v>
      </c>
      <c r="AG815" t="s">
        <v>226</v>
      </c>
      <c r="AH815">
        <v>6</v>
      </c>
      <c r="AI815" t="s">
        <v>3537</v>
      </c>
      <c r="AJ815" t="s">
        <v>1976</v>
      </c>
      <c r="AK815" t="s">
        <v>2416</v>
      </c>
      <c r="AL815" t="s">
        <v>272</v>
      </c>
    </row>
    <row r="816" spans="1:38">
      <c r="A816" t="s">
        <v>4004</v>
      </c>
      <c r="B816" t="s">
        <v>4005</v>
      </c>
      <c r="C816" t="s">
        <v>4006</v>
      </c>
      <c r="D816" t="s">
        <v>4006</v>
      </c>
      <c r="E816" t="s">
        <v>4007</v>
      </c>
      <c r="F816" t="s">
        <v>2413</v>
      </c>
      <c r="G816">
        <v>3</v>
      </c>
      <c r="H816">
        <v>1</v>
      </c>
      <c r="I816">
        <v>0.01</v>
      </c>
      <c r="J816">
        <v>1000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750000</v>
      </c>
      <c r="AB816">
        <v>0</v>
      </c>
      <c r="AC816">
        <v>0</v>
      </c>
      <c r="AD816" t="s">
        <v>94</v>
      </c>
      <c r="AE816" t="s">
        <v>94</v>
      </c>
      <c r="AF816" t="s">
        <v>226</v>
      </c>
      <c r="AG816" t="s">
        <v>226</v>
      </c>
      <c r="AH816">
        <v>8</v>
      </c>
      <c r="AI816" t="s">
        <v>3537</v>
      </c>
      <c r="AJ816" t="s">
        <v>1976</v>
      </c>
      <c r="AK816" t="s">
        <v>2416</v>
      </c>
      <c r="AL816" t="s">
        <v>272</v>
      </c>
    </row>
    <row r="817" spans="1:38">
      <c r="A817" t="s">
        <v>4008</v>
      </c>
      <c r="B817" t="s">
        <v>4009</v>
      </c>
      <c r="C817" t="s">
        <v>4010</v>
      </c>
      <c r="D817" t="s">
        <v>4010</v>
      </c>
      <c r="E817" t="s">
        <v>4011</v>
      </c>
      <c r="F817" t="s">
        <v>2413</v>
      </c>
      <c r="G817">
        <v>3</v>
      </c>
      <c r="H817">
        <v>1</v>
      </c>
      <c r="I817">
        <v>0.01</v>
      </c>
      <c r="J817">
        <v>1000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750000</v>
      </c>
      <c r="AB817">
        <v>0</v>
      </c>
      <c r="AC817">
        <v>0</v>
      </c>
      <c r="AD817" t="s">
        <v>94</v>
      </c>
      <c r="AE817" t="s">
        <v>94</v>
      </c>
      <c r="AF817" t="s">
        <v>226</v>
      </c>
      <c r="AG817" t="s">
        <v>226</v>
      </c>
      <c r="AH817">
        <v>8</v>
      </c>
      <c r="AI817" t="s">
        <v>3537</v>
      </c>
      <c r="AJ817" t="s">
        <v>1976</v>
      </c>
      <c r="AK817" t="s">
        <v>2416</v>
      </c>
      <c r="AL817" t="s">
        <v>272</v>
      </c>
    </row>
    <row r="818" spans="1:38">
      <c r="A818" t="s">
        <v>4012</v>
      </c>
      <c r="B818" t="s">
        <v>4013</v>
      </c>
      <c r="C818" t="s">
        <v>4014</v>
      </c>
      <c r="D818" t="s">
        <v>4014</v>
      </c>
      <c r="E818" t="s">
        <v>4015</v>
      </c>
      <c r="F818" t="s">
        <v>2413</v>
      </c>
      <c r="G818">
        <v>3</v>
      </c>
      <c r="H818">
        <v>1</v>
      </c>
      <c r="I818">
        <v>0.01</v>
      </c>
      <c r="J818">
        <v>1000</v>
      </c>
      <c r="K818">
        <v>0</v>
      </c>
      <c r="L818">
        <v>0</v>
      </c>
      <c r="M818">
        <v>90.01</v>
      </c>
      <c r="N818">
        <v>0</v>
      </c>
      <c r="O818">
        <v>90.01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83.16</v>
      </c>
      <c r="Y818">
        <v>102</v>
      </c>
      <c r="Z818">
        <v>0</v>
      </c>
      <c r="AA818">
        <v>5654</v>
      </c>
      <c r="AB818">
        <v>0</v>
      </c>
      <c r="AC818">
        <v>0</v>
      </c>
      <c r="AD818" t="s">
        <v>94</v>
      </c>
      <c r="AE818" t="s">
        <v>94</v>
      </c>
      <c r="AF818" t="s">
        <v>226</v>
      </c>
      <c r="AG818" t="s">
        <v>226</v>
      </c>
      <c r="AH818">
        <v>8</v>
      </c>
      <c r="AI818" t="s">
        <v>3537</v>
      </c>
      <c r="AJ818" t="s">
        <v>1976</v>
      </c>
      <c r="AK818" t="s">
        <v>2416</v>
      </c>
      <c r="AL818" t="s">
        <v>272</v>
      </c>
    </row>
    <row r="819" spans="1:38">
      <c r="A819" t="s">
        <v>4016</v>
      </c>
      <c r="B819" t="s">
        <v>4017</v>
      </c>
      <c r="C819" t="s">
        <v>4018</v>
      </c>
      <c r="D819" t="s">
        <v>4018</v>
      </c>
      <c r="E819" t="s">
        <v>4019</v>
      </c>
      <c r="F819" t="s">
        <v>2413</v>
      </c>
      <c r="G819">
        <v>3</v>
      </c>
      <c r="H819">
        <v>1</v>
      </c>
      <c r="I819">
        <v>0.01</v>
      </c>
      <c r="J819">
        <v>1000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118102</v>
      </c>
      <c r="AB819">
        <v>0</v>
      </c>
      <c r="AC819">
        <v>0</v>
      </c>
      <c r="AD819" t="s">
        <v>94</v>
      </c>
      <c r="AE819" t="s">
        <v>94</v>
      </c>
      <c r="AF819" t="s">
        <v>226</v>
      </c>
      <c r="AG819" t="s">
        <v>226</v>
      </c>
      <c r="AH819">
        <v>8</v>
      </c>
      <c r="AI819" t="s">
        <v>3537</v>
      </c>
      <c r="AJ819" t="s">
        <v>1976</v>
      </c>
      <c r="AK819" t="s">
        <v>2416</v>
      </c>
      <c r="AL819" t="s">
        <v>272</v>
      </c>
    </row>
    <row r="820" spans="1:38">
      <c r="A820" t="s">
        <v>4020</v>
      </c>
      <c r="B820" t="s">
        <v>4021</v>
      </c>
      <c r="C820" t="s">
        <v>4022</v>
      </c>
      <c r="D820" t="s">
        <v>4022</v>
      </c>
      <c r="E820" t="s">
        <v>4023</v>
      </c>
      <c r="F820" t="s">
        <v>2413</v>
      </c>
      <c r="G820">
        <v>3</v>
      </c>
      <c r="H820">
        <v>1</v>
      </c>
      <c r="I820">
        <v>0.01</v>
      </c>
      <c r="J820">
        <v>1000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69903</v>
      </c>
      <c r="AB820">
        <v>0</v>
      </c>
      <c r="AC820">
        <v>0</v>
      </c>
      <c r="AD820" t="s">
        <v>94</v>
      </c>
      <c r="AE820" t="s">
        <v>94</v>
      </c>
      <c r="AF820" t="s">
        <v>226</v>
      </c>
      <c r="AG820" t="s">
        <v>226</v>
      </c>
      <c r="AH820">
        <v>8</v>
      </c>
      <c r="AI820" t="s">
        <v>3537</v>
      </c>
      <c r="AJ820" t="s">
        <v>1976</v>
      </c>
      <c r="AK820" t="s">
        <v>2416</v>
      </c>
      <c r="AL820" t="s">
        <v>272</v>
      </c>
    </row>
    <row r="821" spans="1:38">
      <c r="A821" t="s">
        <v>4024</v>
      </c>
      <c r="B821" t="s">
        <v>4025</v>
      </c>
      <c r="C821" t="s">
        <v>4026</v>
      </c>
      <c r="D821" t="s">
        <v>4026</v>
      </c>
      <c r="E821" t="s">
        <v>4027</v>
      </c>
      <c r="F821" t="s">
        <v>2413</v>
      </c>
      <c r="G821">
        <v>1</v>
      </c>
      <c r="H821">
        <v>1</v>
      </c>
      <c r="I821">
        <v>0.01</v>
      </c>
      <c r="J821">
        <v>1000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100</v>
      </c>
      <c r="Y821">
        <v>0</v>
      </c>
      <c r="Z821">
        <v>0</v>
      </c>
      <c r="AA821">
        <v>20000000</v>
      </c>
      <c r="AB821">
        <v>0</v>
      </c>
      <c r="AC821">
        <v>0</v>
      </c>
      <c r="AD821" t="s">
        <v>94</v>
      </c>
      <c r="AE821" t="s">
        <v>94</v>
      </c>
      <c r="AF821" t="s">
        <v>226</v>
      </c>
      <c r="AG821" t="s">
        <v>226</v>
      </c>
      <c r="AH821">
        <v>6</v>
      </c>
      <c r="AI821" t="s">
        <v>3537</v>
      </c>
      <c r="AJ821" t="s">
        <v>1976</v>
      </c>
      <c r="AK821" t="s">
        <v>2416</v>
      </c>
      <c r="AL821" t="s">
        <v>272</v>
      </c>
    </row>
    <row r="822" spans="1:38">
      <c r="A822" t="s">
        <v>4028</v>
      </c>
      <c r="B822" t="s">
        <v>4029</v>
      </c>
      <c r="C822" t="s">
        <v>4030</v>
      </c>
      <c r="D822" t="s">
        <v>4030</v>
      </c>
      <c r="E822" t="s">
        <v>4031</v>
      </c>
      <c r="F822" t="s">
        <v>2413</v>
      </c>
      <c r="G822">
        <v>1</v>
      </c>
      <c r="H822">
        <v>1</v>
      </c>
      <c r="I822">
        <v>0.01</v>
      </c>
      <c r="J822">
        <v>1000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90</v>
      </c>
      <c r="Y822">
        <v>0</v>
      </c>
      <c r="Z822">
        <v>0</v>
      </c>
      <c r="AA822">
        <v>4000000</v>
      </c>
      <c r="AB822">
        <v>0</v>
      </c>
      <c r="AC822">
        <v>0</v>
      </c>
      <c r="AD822" t="s">
        <v>94</v>
      </c>
      <c r="AE822" t="s">
        <v>94</v>
      </c>
      <c r="AF822" t="s">
        <v>226</v>
      </c>
      <c r="AG822" t="s">
        <v>226</v>
      </c>
      <c r="AH822">
        <v>6</v>
      </c>
      <c r="AI822" t="s">
        <v>3537</v>
      </c>
      <c r="AJ822" t="s">
        <v>1976</v>
      </c>
      <c r="AK822" t="s">
        <v>2416</v>
      </c>
      <c r="AL822" t="s">
        <v>272</v>
      </c>
    </row>
    <row r="823" spans="1:38">
      <c r="A823" t="s">
        <v>4032</v>
      </c>
      <c r="B823" t="s">
        <v>4033</v>
      </c>
      <c r="C823" t="s">
        <v>4034</v>
      </c>
      <c r="D823" t="s">
        <v>4034</v>
      </c>
      <c r="E823" t="s">
        <v>4035</v>
      </c>
      <c r="F823" t="s">
        <v>2413</v>
      </c>
      <c r="G823">
        <v>3</v>
      </c>
      <c r="H823">
        <v>1</v>
      </c>
      <c r="I823">
        <v>0.01</v>
      </c>
      <c r="J823">
        <v>1000</v>
      </c>
      <c r="K823">
        <v>0.09</v>
      </c>
      <c r="L823">
        <v>97.99</v>
      </c>
      <c r="M823">
        <v>97.9</v>
      </c>
      <c r="N823">
        <v>97.87</v>
      </c>
      <c r="O823">
        <v>97.99</v>
      </c>
      <c r="P823">
        <v>0</v>
      </c>
      <c r="Q823">
        <v>0</v>
      </c>
      <c r="R823">
        <v>0</v>
      </c>
      <c r="S823">
        <v>97.93</v>
      </c>
      <c r="T823">
        <v>97.91</v>
      </c>
      <c r="U823">
        <v>97.72</v>
      </c>
      <c r="V823">
        <v>97.99</v>
      </c>
      <c r="W823">
        <v>2071296</v>
      </c>
      <c r="X823">
        <v>97.98</v>
      </c>
      <c r="Y823">
        <v>97.99</v>
      </c>
      <c r="Z823">
        <v>74</v>
      </c>
      <c r="AA823">
        <v>10000000</v>
      </c>
      <c r="AB823">
        <v>4899.5</v>
      </c>
      <c r="AC823">
        <v>0</v>
      </c>
      <c r="AD823" t="s">
        <v>94</v>
      </c>
      <c r="AE823" t="s">
        <v>94</v>
      </c>
      <c r="AF823" t="s">
        <v>226</v>
      </c>
      <c r="AG823" t="s">
        <v>226</v>
      </c>
      <c r="AH823">
        <v>6</v>
      </c>
      <c r="AI823" t="s">
        <v>3537</v>
      </c>
      <c r="AJ823" t="s">
        <v>1976</v>
      </c>
      <c r="AK823" t="s">
        <v>2416</v>
      </c>
      <c r="AL823" t="s">
        <v>272</v>
      </c>
    </row>
    <row r="824" spans="1:38">
      <c r="A824" t="s">
        <v>4036</v>
      </c>
      <c r="B824" t="s">
        <v>4037</v>
      </c>
      <c r="C824" t="s">
        <v>4038</v>
      </c>
      <c r="D824" t="s">
        <v>4038</v>
      </c>
      <c r="E824" t="s">
        <v>4039</v>
      </c>
      <c r="F824" t="s">
        <v>2413</v>
      </c>
      <c r="G824">
        <v>3</v>
      </c>
      <c r="H824">
        <v>1</v>
      </c>
      <c r="I824">
        <v>0.01</v>
      </c>
      <c r="J824">
        <v>1000</v>
      </c>
      <c r="K824">
        <v>0.05</v>
      </c>
      <c r="L824">
        <v>96.2</v>
      </c>
      <c r="M824">
        <v>96.15</v>
      </c>
      <c r="N824">
        <v>96.19</v>
      </c>
      <c r="O824">
        <v>96.2</v>
      </c>
      <c r="P824">
        <v>0</v>
      </c>
      <c r="Q824">
        <v>0</v>
      </c>
      <c r="R824">
        <v>0</v>
      </c>
      <c r="S824">
        <v>96.2</v>
      </c>
      <c r="T824">
        <v>96.2</v>
      </c>
      <c r="U824">
        <v>96.19</v>
      </c>
      <c r="V824">
        <v>96.27</v>
      </c>
      <c r="W824">
        <v>5584362</v>
      </c>
      <c r="X824">
        <v>96.19</v>
      </c>
      <c r="Y824">
        <v>96.2</v>
      </c>
      <c r="Z824">
        <v>102</v>
      </c>
      <c r="AA824">
        <v>10000000</v>
      </c>
      <c r="AB824">
        <v>962</v>
      </c>
      <c r="AC824">
        <v>0</v>
      </c>
      <c r="AD824" t="s">
        <v>94</v>
      </c>
      <c r="AE824" t="s">
        <v>94</v>
      </c>
      <c r="AF824" t="s">
        <v>226</v>
      </c>
      <c r="AG824" t="s">
        <v>226</v>
      </c>
      <c r="AH824">
        <v>6</v>
      </c>
      <c r="AI824" t="s">
        <v>3537</v>
      </c>
      <c r="AJ824" t="s">
        <v>1976</v>
      </c>
      <c r="AK824" t="s">
        <v>2416</v>
      </c>
      <c r="AL824" t="s">
        <v>272</v>
      </c>
    </row>
    <row r="825" spans="1:38">
      <c r="A825" t="s">
        <v>4040</v>
      </c>
      <c r="B825" t="s">
        <v>4041</v>
      </c>
      <c r="C825" t="s">
        <v>4042</v>
      </c>
      <c r="D825" t="s">
        <v>4042</v>
      </c>
      <c r="E825" t="s">
        <v>4043</v>
      </c>
      <c r="F825" t="s">
        <v>2413</v>
      </c>
      <c r="G825">
        <v>3</v>
      </c>
      <c r="H825">
        <v>1</v>
      </c>
      <c r="I825">
        <v>0.01</v>
      </c>
      <c r="J825">
        <v>1000</v>
      </c>
      <c r="K825">
        <v>0.15</v>
      </c>
      <c r="L825">
        <v>89.5</v>
      </c>
      <c r="M825">
        <v>89.33</v>
      </c>
      <c r="N825">
        <v>89.25</v>
      </c>
      <c r="O825">
        <v>89.43</v>
      </c>
      <c r="P825">
        <v>0</v>
      </c>
      <c r="Q825">
        <v>0</v>
      </c>
      <c r="R825">
        <v>0</v>
      </c>
      <c r="S825">
        <v>89.38</v>
      </c>
      <c r="T825">
        <v>89.47</v>
      </c>
      <c r="U825">
        <v>89.05</v>
      </c>
      <c r="V825">
        <v>89.5</v>
      </c>
      <c r="W825">
        <v>900991</v>
      </c>
      <c r="X825">
        <v>89.43</v>
      </c>
      <c r="Y825">
        <v>89.5</v>
      </c>
      <c r="Z825">
        <v>79</v>
      </c>
      <c r="AA825">
        <v>13000000</v>
      </c>
      <c r="AB825">
        <v>2685</v>
      </c>
      <c r="AC825">
        <v>0</v>
      </c>
      <c r="AD825" t="s">
        <v>94</v>
      </c>
      <c r="AE825" t="s">
        <v>94</v>
      </c>
      <c r="AF825" t="s">
        <v>226</v>
      </c>
      <c r="AG825" t="s">
        <v>226</v>
      </c>
      <c r="AH825">
        <v>6</v>
      </c>
      <c r="AI825" t="s">
        <v>3537</v>
      </c>
      <c r="AJ825" t="s">
        <v>1976</v>
      </c>
      <c r="AK825" t="s">
        <v>2416</v>
      </c>
      <c r="AL825" t="s">
        <v>272</v>
      </c>
    </row>
    <row r="826" spans="1:38">
      <c r="A826" t="s">
        <v>4044</v>
      </c>
      <c r="B826" t="s">
        <v>4045</v>
      </c>
      <c r="C826" t="s">
        <v>4046</v>
      </c>
      <c r="D826" t="s">
        <v>4046</v>
      </c>
      <c r="E826" t="s">
        <v>4047</v>
      </c>
      <c r="F826" t="s">
        <v>2413</v>
      </c>
      <c r="G826">
        <v>3</v>
      </c>
      <c r="H826">
        <v>1</v>
      </c>
      <c r="I826">
        <v>0.01</v>
      </c>
      <c r="J826">
        <v>1000</v>
      </c>
      <c r="K826">
        <v>-0.7</v>
      </c>
      <c r="L826">
        <v>87.82</v>
      </c>
      <c r="M826">
        <v>88.44</v>
      </c>
      <c r="N826">
        <v>88.41</v>
      </c>
      <c r="O826">
        <v>87.82</v>
      </c>
      <c r="P826">
        <v>0</v>
      </c>
      <c r="Q826">
        <v>0</v>
      </c>
      <c r="R826">
        <v>0</v>
      </c>
      <c r="S826">
        <v>87.64</v>
      </c>
      <c r="T826">
        <v>88.44</v>
      </c>
      <c r="U826">
        <v>87.25</v>
      </c>
      <c r="V826">
        <v>88.44</v>
      </c>
      <c r="W826">
        <v>2538808</v>
      </c>
      <c r="X826">
        <v>87.55</v>
      </c>
      <c r="Y826">
        <v>87.77</v>
      </c>
      <c r="Z826">
        <v>139</v>
      </c>
      <c r="AA826">
        <v>10000000</v>
      </c>
      <c r="AB826">
        <v>878.2</v>
      </c>
      <c r="AC826">
        <v>0</v>
      </c>
      <c r="AD826" t="s">
        <v>94</v>
      </c>
      <c r="AE826" t="s">
        <v>94</v>
      </c>
      <c r="AF826" t="s">
        <v>226</v>
      </c>
      <c r="AG826" t="s">
        <v>226</v>
      </c>
      <c r="AH826">
        <v>6</v>
      </c>
      <c r="AI826" t="s">
        <v>3537</v>
      </c>
      <c r="AJ826" t="s">
        <v>1976</v>
      </c>
      <c r="AK826" t="s">
        <v>2416</v>
      </c>
      <c r="AL826" t="s">
        <v>272</v>
      </c>
    </row>
    <row r="827" spans="1:38">
      <c r="A827" t="s">
        <v>4048</v>
      </c>
      <c r="B827" t="s">
        <v>4049</v>
      </c>
      <c r="C827" t="s">
        <v>4050</v>
      </c>
      <c r="D827" t="s">
        <v>4050</v>
      </c>
      <c r="E827" t="s">
        <v>4051</v>
      </c>
      <c r="F827" t="s">
        <v>2413</v>
      </c>
      <c r="G827">
        <v>3</v>
      </c>
      <c r="H827">
        <v>1</v>
      </c>
      <c r="I827">
        <v>0.01</v>
      </c>
      <c r="J827">
        <v>1000</v>
      </c>
      <c r="K827">
        <v>-0.23</v>
      </c>
      <c r="L827">
        <v>87.8</v>
      </c>
      <c r="M827">
        <v>88</v>
      </c>
      <c r="N827">
        <v>87.37</v>
      </c>
      <c r="O827">
        <v>87.8</v>
      </c>
      <c r="P827">
        <v>0</v>
      </c>
      <c r="Q827">
        <v>0</v>
      </c>
      <c r="R827">
        <v>0</v>
      </c>
      <c r="S827">
        <v>87.43</v>
      </c>
      <c r="T827">
        <v>87.99</v>
      </c>
      <c r="U827">
        <v>86.66</v>
      </c>
      <c r="V827">
        <v>88.08</v>
      </c>
      <c r="W827">
        <v>424029</v>
      </c>
      <c r="X827">
        <v>87.79</v>
      </c>
      <c r="Y827">
        <v>87.8</v>
      </c>
      <c r="Z827">
        <v>69</v>
      </c>
      <c r="AA827">
        <v>11000000</v>
      </c>
      <c r="AB827">
        <v>878</v>
      </c>
      <c r="AC827">
        <v>0</v>
      </c>
      <c r="AD827" t="s">
        <v>94</v>
      </c>
      <c r="AE827" t="s">
        <v>94</v>
      </c>
      <c r="AF827" t="s">
        <v>226</v>
      </c>
      <c r="AG827" t="s">
        <v>226</v>
      </c>
      <c r="AH827">
        <v>6</v>
      </c>
      <c r="AI827" t="s">
        <v>3537</v>
      </c>
      <c r="AJ827" t="s">
        <v>1976</v>
      </c>
      <c r="AK827" t="s">
        <v>2416</v>
      </c>
      <c r="AL827" t="s">
        <v>272</v>
      </c>
    </row>
    <row r="828" spans="1:38">
      <c r="A828" t="s">
        <v>4052</v>
      </c>
      <c r="B828" t="s">
        <v>4053</v>
      </c>
      <c r="C828" t="s">
        <v>4054</v>
      </c>
      <c r="D828" t="s">
        <v>4054</v>
      </c>
      <c r="E828" t="s">
        <v>4055</v>
      </c>
      <c r="F828" t="s">
        <v>2413</v>
      </c>
      <c r="G828">
        <v>3</v>
      </c>
      <c r="H828">
        <v>1</v>
      </c>
      <c r="I828">
        <v>0.01</v>
      </c>
      <c r="J828">
        <v>1000</v>
      </c>
      <c r="K828">
        <v>-0.26</v>
      </c>
      <c r="L828">
        <v>87.99</v>
      </c>
      <c r="M828">
        <v>88.22</v>
      </c>
      <c r="N828">
        <v>88.26</v>
      </c>
      <c r="O828">
        <v>87.99</v>
      </c>
      <c r="P828">
        <v>0</v>
      </c>
      <c r="Q828">
        <v>0</v>
      </c>
      <c r="R828">
        <v>0</v>
      </c>
      <c r="S828">
        <v>88</v>
      </c>
      <c r="T828">
        <v>88.06</v>
      </c>
      <c r="U828">
        <v>87.96</v>
      </c>
      <c r="V828">
        <v>88.06</v>
      </c>
      <c r="W828">
        <v>770002</v>
      </c>
      <c r="X828">
        <v>87.95</v>
      </c>
      <c r="Y828">
        <v>87.99</v>
      </c>
      <c r="Z828">
        <v>34</v>
      </c>
      <c r="AA828">
        <v>11000000</v>
      </c>
      <c r="AB828">
        <v>879.9</v>
      </c>
      <c r="AC828">
        <v>0</v>
      </c>
      <c r="AD828" t="s">
        <v>94</v>
      </c>
      <c r="AE828" t="s">
        <v>94</v>
      </c>
      <c r="AF828" t="s">
        <v>226</v>
      </c>
      <c r="AG828" t="s">
        <v>226</v>
      </c>
      <c r="AH828">
        <v>6</v>
      </c>
      <c r="AI828" t="s">
        <v>3537</v>
      </c>
      <c r="AJ828" t="s">
        <v>1976</v>
      </c>
      <c r="AK828" t="s">
        <v>2416</v>
      </c>
      <c r="AL828" t="s">
        <v>272</v>
      </c>
    </row>
    <row r="829" spans="1:38">
      <c r="A829" t="s">
        <v>4056</v>
      </c>
      <c r="B829" t="s">
        <v>4057</v>
      </c>
      <c r="C829" t="s">
        <v>4058</v>
      </c>
      <c r="D829" t="s">
        <v>4058</v>
      </c>
      <c r="E829" t="s">
        <v>4059</v>
      </c>
      <c r="F829" t="s">
        <v>2413</v>
      </c>
      <c r="G829">
        <v>3</v>
      </c>
      <c r="H829">
        <v>1</v>
      </c>
      <c r="I829">
        <v>0.01</v>
      </c>
      <c r="J829">
        <v>1000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10000000</v>
      </c>
      <c r="AB829">
        <v>0</v>
      </c>
      <c r="AC829">
        <v>0</v>
      </c>
      <c r="AD829" t="s">
        <v>94</v>
      </c>
      <c r="AE829" t="s">
        <v>94</v>
      </c>
      <c r="AF829" t="s">
        <v>226</v>
      </c>
      <c r="AG829" t="s">
        <v>226</v>
      </c>
      <c r="AH829">
        <v>6</v>
      </c>
      <c r="AI829" t="s">
        <v>3537</v>
      </c>
      <c r="AJ829" t="s">
        <v>1976</v>
      </c>
      <c r="AK829" t="s">
        <v>2416</v>
      </c>
      <c r="AL829" t="s">
        <v>272</v>
      </c>
    </row>
    <row r="830" spans="1:38">
      <c r="A830" t="s">
        <v>4060</v>
      </c>
      <c r="B830" t="s">
        <v>4061</v>
      </c>
      <c r="C830" t="s">
        <v>4062</v>
      </c>
      <c r="D830" t="s">
        <v>4062</v>
      </c>
      <c r="E830" t="s">
        <v>4063</v>
      </c>
      <c r="F830" t="s">
        <v>2413</v>
      </c>
      <c r="G830">
        <v>3</v>
      </c>
      <c r="H830">
        <v>1</v>
      </c>
      <c r="I830">
        <v>0.01</v>
      </c>
      <c r="J830">
        <v>1000</v>
      </c>
      <c r="K830">
        <v>0.27</v>
      </c>
      <c r="L830">
        <v>75.650000000000006</v>
      </c>
      <c r="M830">
        <v>75.45</v>
      </c>
      <c r="N830">
        <v>75.260000000000005</v>
      </c>
      <c r="O830">
        <v>75.47</v>
      </c>
      <c r="P830">
        <v>0</v>
      </c>
      <c r="Q830">
        <v>0</v>
      </c>
      <c r="R830">
        <v>0</v>
      </c>
      <c r="S830">
        <v>75.53</v>
      </c>
      <c r="T830">
        <v>75.59</v>
      </c>
      <c r="U830">
        <v>75.38</v>
      </c>
      <c r="V830">
        <v>75.790000000000006</v>
      </c>
      <c r="W830">
        <v>637460</v>
      </c>
      <c r="X830">
        <v>75.41</v>
      </c>
      <c r="Y830">
        <v>75.650000000000006</v>
      </c>
      <c r="Z830">
        <v>80</v>
      </c>
      <c r="AA830">
        <v>300000</v>
      </c>
      <c r="AB830">
        <v>756.5</v>
      </c>
      <c r="AC830">
        <v>0</v>
      </c>
      <c r="AD830" t="s">
        <v>94</v>
      </c>
      <c r="AE830" t="s">
        <v>94</v>
      </c>
      <c r="AF830" t="s">
        <v>226</v>
      </c>
      <c r="AG830" t="s">
        <v>226</v>
      </c>
      <c r="AH830">
        <v>6</v>
      </c>
      <c r="AI830" t="s">
        <v>3537</v>
      </c>
      <c r="AJ830" t="s">
        <v>1976</v>
      </c>
      <c r="AK830" t="s">
        <v>2416</v>
      </c>
      <c r="AL830" t="s">
        <v>272</v>
      </c>
    </row>
    <row r="831" spans="1:38">
      <c r="A831" t="s">
        <v>4064</v>
      </c>
      <c r="B831" t="s">
        <v>4065</v>
      </c>
      <c r="C831" t="s">
        <v>4066</v>
      </c>
      <c r="D831" t="s">
        <v>4066</v>
      </c>
      <c r="E831" t="s">
        <v>4067</v>
      </c>
      <c r="F831" t="s">
        <v>2425</v>
      </c>
      <c r="G831">
        <v>3</v>
      </c>
      <c r="H831">
        <v>1</v>
      </c>
      <c r="I831">
        <v>1E-4</v>
      </c>
      <c r="J831">
        <v>1000</v>
      </c>
      <c r="K831">
        <v>0</v>
      </c>
      <c r="L831">
        <v>0</v>
      </c>
      <c r="M831">
        <v>64.300299999999993</v>
      </c>
      <c r="N831">
        <v>70.370099999999994</v>
      </c>
      <c r="O831">
        <v>64.200299999999999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63</v>
      </c>
      <c r="Y831">
        <v>65.962400000000002</v>
      </c>
      <c r="Z831">
        <v>0</v>
      </c>
      <c r="AA831">
        <v>168489</v>
      </c>
      <c r="AB831">
        <v>0</v>
      </c>
      <c r="AC831">
        <v>0</v>
      </c>
      <c r="AD831" t="s">
        <v>2</v>
      </c>
      <c r="AE831" t="s">
        <v>94</v>
      </c>
      <c r="AF831" t="s">
        <v>304</v>
      </c>
      <c r="AG831" t="s">
        <v>226</v>
      </c>
      <c r="AH831">
        <v>0</v>
      </c>
      <c r="AI831" t="s">
        <v>3537</v>
      </c>
      <c r="AJ831" t="s">
        <v>1976</v>
      </c>
      <c r="AK831" t="s">
        <v>2426</v>
      </c>
      <c r="AL831" t="s">
        <v>272</v>
      </c>
    </row>
    <row r="832" spans="1:38">
      <c r="A832" t="s">
        <v>4068</v>
      </c>
      <c r="B832" t="s">
        <v>4069</v>
      </c>
      <c r="C832" t="s">
        <v>4070</v>
      </c>
      <c r="D832" t="s">
        <v>4070</v>
      </c>
      <c r="E832" t="s">
        <v>4071</v>
      </c>
      <c r="F832" t="s">
        <v>2425</v>
      </c>
      <c r="G832">
        <v>3</v>
      </c>
      <c r="H832">
        <v>1</v>
      </c>
      <c r="I832">
        <v>1E-4</v>
      </c>
      <c r="J832">
        <v>1000</v>
      </c>
      <c r="K832">
        <v>6.85</v>
      </c>
      <c r="L832">
        <v>49.149700000000003</v>
      </c>
      <c r="M832">
        <v>46.970399999999998</v>
      </c>
      <c r="N832">
        <v>48.158299999999997</v>
      </c>
      <c r="O832">
        <v>49.149700000000003</v>
      </c>
      <c r="P832">
        <v>0</v>
      </c>
      <c r="Q832">
        <v>0</v>
      </c>
      <c r="R832">
        <v>0</v>
      </c>
      <c r="S832">
        <v>49.154400000000003</v>
      </c>
      <c r="T832">
        <v>49.156799999999997</v>
      </c>
      <c r="U832">
        <v>49.149700000000003</v>
      </c>
      <c r="V832">
        <v>49.156799999999997</v>
      </c>
      <c r="W832">
        <v>156588</v>
      </c>
      <c r="X832">
        <v>47.772100000000002</v>
      </c>
      <c r="Y832">
        <v>48.772100000000002</v>
      </c>
      <c r="Z832">
        <v>3</v>
      </c>
      <c r="AA832">
        <v>262414</v>
      </c>
      <c r="AB832">
        <v>52190.99</v>
      </c>
      <c r="AC832">
        <v>0</v>
      </c>
      <c r="AD832" t="s">
        <v>2</v>
      </c>
      <c r="AE832" t="s">
        <v>94</v>
      </c>
      <c r="AF832" t="s">
        <v>304</v>
      </c>
      <c r="AG832" t="s">
        <v>226</v>
      </c>
      <c r="AH832">
        <v>0</v>
      </c>
      <c r="AI832" t="s">
        <v>3537</v>
      </c>
      <c r="AJ832" t="s">
        <v>1976</v>
      </c>
      <c r="AK832" t="s">
        <v>2426</v>
      </c>
      <c r="AL832" t="s">
        <v>272</v>
      </c>
    </row>
    <row r="833" spans="1:38">
      <c r="A833" t="s">
        <v>4072</v>
      </c>
      <c r="B833" t="s">
        <v>4073</v>
      </c>
      <c r="C833" t="s">
        <v>4074</v>
      </c>
      <c r="D833" t="s">
        <v>4074</v>
      </c>
      <c r="E833" t="s">
        <v>4075</v>
      </c>
      <c r="F833" t="s">
        <v>2425</v>
      </c>
      <c r="G833">
        <v>3</v>
      </c>
      <c r="H833">
        <v>1</v>
      </c>
      <c r="I833">
        <v>1E-4</v>
      </c>
      <c r="J833">
        <v>1000</v>
      </c>
      <c r="K833">
        <v>-4.2300000000000004</v>
      </c>
      <c r="L833">
        <v>56.692900000000002</v>
      </c>
      <c r="M833">
        <v>58.462299999999999</v>
      </c>
      <c r="N833">
        <v>58.759099999999997</v>
      </c>
      <c r="O833">
        <v>56.692900000000002</v>
      </c>
      <c r="P833">
        <v>0</v>
      </c>
      <c r="Q833">
        <v>0</v>
      </c>
      <c r="R833">
        <v>0</v>
      </c>
      <c r="S833">
        <v>56.819899999999997</v>
      </c>
      <c r="T833">
        <v>57.262799999999999</v>
      </c>
      <c r="U833">
        <v>56.600299999999997</v>
      </c>
      <c r="V833">
        <v>57.271799999999999</v>
      </c>
      <c r="W833">
        <v>1146380</v>
      </c>
      <c r="X833">
        <v>56.692900000000002</v>
      </c>
      <c r="Y833">
        <v>58.3309</v>
      </c>
      <c r="Z833">
        <v>17</v>
      </c>
      <c r="AA833">
        <v>218531</v>
      </c>
      <c r="AB833">
        <v>60200.94</v>
      </c>
      <c r="AC833">
        <v>0</v>
      </c>
      <c r="AD833" t="s">
        <v>2</v>
      </c>
      <c r="AE833" t="s">
        <v>94</v>
      </c>
      <c r="AF833" t="s">
        <v>304</v>
      </c>
      <c r="AG833" t="s">
        <v>226</v>
      </c>
      <c r="AH833">
        <v>0</v>
      </c>
      <c r="AI833" t="s">
        <v>3537</v>
      </c>
      <c r="AJ833" t="s">
        <v>1976</v>
      </c>
      <c r="AK833" t="s">
        <v>2426</v>
      </c>
      <c r="AL833" t="s">
        <v>272</v>
      </c>
    </row>
    <row r="834" spans="1:38">
      <c r="A834" t="s">
        <v>4076</v>
      </c>
      <c r="B834" t="s">
        <v>4077</v>
      </c>
      <c r="C834" t="s">
        <v>4078</v>
      </c>
      <c r="D834" t="s">
        <v>4078</v>
      </c>
      <c r="E834" t="s">
        <v>4079</v>
      </c>
      <c r="F834" t="s">
        <v>2425</v>
      </c>
      <c r="G834">
        <v>3</v>
      </c>
      <c r="H834">
        <v>1</v>
      </c>
      <c r="I834">
        <v>1E-4</v>
      </c>
      <c r="J834">
        <v>1000</v>
      </c>
      <c r="K834">
        <v>-0.66</v>
      </c>
      <c r="L834">
        <v>70.63</v>
      </c>
      <c r="M834">
        <v>71.100099999999998</v>
      </c>
      <c r="N834">
        <v>71.654399999999995</v>
      </c>
      <c r="O834">
        <v>70.63</v>
      </c>
      <c r="P834">
        <v>0</v>
      </c>
      <c r="Q834">
        <v>0</v>
      </c>
      <c r="R834">
        <v>0</v>
      </c>
      <c r="S834">
        <v>70.712100000000007</v>
      </c>
      <c r="T834">
        <v>70.600300000000004</v>
      </c>
      <c r="U834">
        <v>70.600200000000001</v>
      </c>
      <c r="V834">
        <v>71.470500000000001</v>
      </c>
      <c r="W834">
        <v>750876</v>
      </c>
      <c r="X834">
        <v>70.7</v>
      </c>
      <c r="Y834">
        <v>71.471900000000005</v>
      </c>
      <c r="Z834">
        <v>7</v>
      </c>
      <c r="AA834">
        <v>345603</v>
      </c>
      <c r="AB834">
        <v>75000.44</v>
      </c>
      <c r="AC834">
        <v>0</v>
      </c>
      <c r="AD834" t="s">
        <v>2</v>
      </c>
      <c r="AE834" t="s">
        <v>94</v>
      </c>
      <c r="AF834" t="s">
        <v>304</v>
      </c>
      <c r="AG834" t="s">
        <v>226</v>
      </c>
      <c r="AH834">
        <v>0</v>
      </c>
      <c r="AI834" t="s">
        <v>3537</v>
      </c>
      <c r="AJ834" t="s">
        <v>1976</v>
      </c>
      <c r="AK834" t="s">
        <v>2426</v>
      </c>
      <c r="AL834" t="s">
        <v>272</v>
      </c>
    </row>
    <row r="835" spans="1:38">
      <c r="A835" t="s">
        <v>4080</v>
      </c>
      <c r="B835" t="s">
        <v>4081</v>
      </c>
      <c r="C835" t="s">
        <v>4082</v>
      </c>
      <c r="D835" t="s">
        <v>4082</v>
      </c>
      <c r="E835" t="s">
        <v>4083</v>
      </c>
      <c r="F835" t="s">
        <v>2413</v>
      </c>
      <c r="G835">
        <v>3</v>
      </c>
      <c r="H835">
        <v>1</v>
      </c>
      <c r="I835">
        <v>0.01</v>
      </c>
      <c r="J835">
        <v>1000</v>
      </c>
      <c r="K835">
        <v>0.08</v>
      </c>
      <c r="L835">
        <v>78.38</v>
      </c>
      <c r="M835">
        <v>78.319999999999993</v>
      </c>
      <c r="N835">
        <v>78.7</v>
      </c>
      <c r="O835">
        <v>78.239999999999995</v>
      </c>
      <c r="P835">
        <v>0</v>
      </c>
      <c r="Q835">
        <v>0</v>
      </c>
      <c r="R835">
        <v>0</v>
      </c>
      <c r="S835">
        <v>78.27</v>
      </c>
      <c r="T835">
        <v>78.12</v>
      </c>
      <c r="U835">
        <v>77.28</v>
      </c>
      <c r="V835">
        <v>78.58</v>
      </c>
      <c r="W835">
        <v>306830</v>
      </c>
      <c r="X835">
        <v>78.06</v>
      </c>
      <c r="Y835">
        <v>78.38</v>
      </c>
      <c r="Z835">
        <v>50</v>
      </c>
      <c r="AA835">
        <v>500000</v>
      </c>
      <c r="AB835">
        <v>3135.2</v>
      </c>
      <c r="AC835">
        <v>0</v>
      </c>
      <c r="AD835" t="s">
        <v>94</v>
      </c>
      <c r="AE835" t="s">
        <v>94</v>
      </c>
      <c r="AF835" t="s">
        <v>226</v>
      </c>
      <c r="AG835" t="s">
        <v>226</v>
      </c>
      <c r="AH835">
        <v>6</v>
      </c>
      <c r="AI835" t="s">
        <v>3537</v>
      </c>
      <c r="AJ835" t="s">
        <v>1976</v>
      </c>
      <c r="AK835" t="s">
        <v>2416</v>
      </c>
      <c r="AL835" t="s">
        <v>272</v>
      </c>
    </row>
    <row r="836" spans="1:38">
      <c r="A836" t="s">
        <v>4084</v>
      </c>
      <c r="B836" t="s">
        <v>4085</v>
      </c>
      <c r="C836" t="s">
        <v>4086</v>
      </c>
      <c r="D836" t="s">
        <v>4086</v>
      </c>
      <c r="E836" t="s">
        <v>4087</v>
      </c>
      <c r="F836" t="s">
        <v>2413</v>
      </c>
      <c r="G836">
        <v>3</v>
      </c>
      <c r="H836">
        <v>1</v>
      </c>
      <c r="I836">
        <v>0.01</v>
      </c>
      <c r="J836">
        <v>1000</v>
      </c>
      <c r="K836">
        <v>-0.7</v>
      </c>
      <c r="L836">
        <v>71.930000000000007</v>
      </c>
      <c r="M836">
        <v>72.290000000000006</v>
      </c>
      <c r="N836">
        <v>73.260000000000005</v>
      </c>
      <c r="O836">
        <v>71.930000000000007</v>
      </c>
      <c r="P836">
        <v>0</v>
      </c>
      <c r="Q836">
        <v>0</v>
      </c>
      <c r="R836">
        <v>0</v>
      </c>
      <c r="S836">
        <v>71.87</v>
      </c>
      <c r="T836">
        <v>71.78</v>
      </c>
      <c r="U836">
        <v>71.78</v>
      </c>
      <c r="V836">
        <v>71.930000000000007</v>
      </c>
      <c r="W836">
        <v>43839</v>
      </c>
      <c r="X836">
        <v>71.78</v>
      </c>
      <c r="Y836">
        <v>71.930000000000007</v>
      </c>
      <c r="Z836">
        <v>23</v>
      </c>
      <c r="AA836">
        <v>41124</v>
      </c>
      <c r="AB836">
        <v>5035.1000000000004</v>
      </c>
      <c r="AC836">
        <v>0</v>
      </c>
      <c r="AD836" t="s">
        <v>94</v>
      </c>
      <c r="AE836" t="s">
        <v>94</v>
      </c>
      <c r="AF836" t="s">
        <v>226</v>
      </c>
      <c r="AG836" t="s">
        <v>226</v>
      </c>
      <c r="AH836">
        <v>6</v>
      </c>
      <c r="AI836" t="s">
        <v>3537</v>
      </c>
      <c r="AJ836" t="s">
        <v>1976</v>
      </c>
      <c r="AK836" t="s">
        <v>2416</v>
      </c>
      <c r="AL836" t="s">
        <v>272</v>
      </c>
    </row>
    <row r="837" spans="1:38">
      <c r="A837" t="s">
        <v>4088</v>
      </c>
      <c r="B837" t="s">
        <v>4089</v>
      </c>
      <c r="C837" t="s">
        <v>4090</v>
      </c>
      <c r="D837" t="s">
        <v>4090</v>
      </c>
      <c r="E837" t="s">
        <v>4091</v>
      </c>
      <c r="F837" t="s">
        <v>2413</v>
      </c>
      <c r="G837">
        <v>3</v>
      </c>
      <c r="H837">
        <v>1</v>
      </c>
      <c r="I837">
        <v>0.01</v>
      </c>
      <c r="J837">
        <v>1000</v>
      </c>
      <c r="K837">
        <v>1.1200000000000001</v>
      </c>
      <c r="L837">
        <v>87.6</v>
      </c>
      <c r="M837">
        <v>86.59</v>
      </c>
      <c r="N837">
        <v>87.38</v>
      </c>
      <c r="O837">
        <v>87.6</v>
      </c>
      <c r="P837">
        <v>0</v>
      </c>
      <c r="Q837">
        <v>0</v>
      </c>
      <c r="R837">
        <v>0</v>
      </c>
      <c r="S837">
        <v>86.91</v>
      </c>
      <c r="T837">
        <v>88.54</v>
      </c>
      <c r="U837">
        <v>86.22</v>
      </c>
      <c r="V837">
        <v>88.54</v>
      </c>
      <c r="W837">
        <v>1066408</v>
      </c>
      <c r="X837">
        <v>87.31</v>
      </c>
      <c r="Y837">
        <v>87.6</v>
      </c>
      <c r="Z837">
        <v>95</v>
      </c>
      <c r="AA837">
        <v>389157</v>
      </c>
      <c r="AB837">
        <v>26280</v>
      </c>
      <c r="AC837">
        <v>0</v>
      </c>
      <c r="AD837" t="s">
        <v>94</v>
      </c>
      <c r="AE837" t="s">
        <v>94</v>
      </c>
      <c r="AF837" t="s">
        <v>226</v>
      </c>
      <c r="AG837" t="s">
        <v>226</v>
      </c>
      <c r="AH837">
        <v>800</v>
      </c>
      <c r="AI837" t="s">
        <v>3537</v>
      </c>
      <c r="AJ837" t="s">
        <v>1976</v>
      </c>
      <c r="AK837" t="s">
        <v>2416</v>
      </c>
      <c r="AL837" t="s">
        <v>272</v>
      </c>
    </row>
    <row r="838" spans="1:38">
      <c r="A838" t="s">
        <v>4092</v>
      </c>
      <c r="B838" t="s">
        <v>4093</v>
      </c>
      <c r="C838" t="s">
        <v>4094</v>
      </c>
      <c r="D838" t="s">
        <v>4094</v>
      </c>
      <c r="E838" t="s">
        <v>4095</v>
      </c>
      <c r="F838" t="s">
        <v>2413</v>
      </c>
      <c r="G838">
        <v>3</v>
      </c>
      <c r="H838">
        <v>1</v>
      </c>
      <c r="I838">
        <v>0.01</v>
      </c>
      <c r="J838">
        <v>1000</v>
      </c>
      <c r="K838">
        <v>-0.86</v>
      </c>
      <c r="L838">
        <v>71.38</v>
      </c>
      <c r="M838">
        <v>72</v>
      </c>
      <c r="N838">
        <v>71.83</v>
      </c>
      <c r="O838">
        <v>71.38</v>
      </c>
      <c r="P838">
        <v>0</v>
      </c>
      <c r="Q838">
        <v>0</v>
      </c>
      <c r="R838">
        <v>0</v>
      </c>
      <c r="S838">
        <v>71.5</v>
      </c>
      <c r="T838">
        <v>72.010000000000005</v>
      </c>
      <c r="U838">
        <v>70.900000000000006</v>
      </c>
      <c r="V838">
        <v>72.5</v>
      </c>
      <c r="W838">
        <v>1091070</v>
      </c>
      <c r="X838">
        <v>71.3</v>
      </c>
      <c r="Y838">
        <v>71.38</v>
      </c>
      <c r="Z838">
        <v>236</v>
      </c>
      <c r="AA838">
        <v>500000</v>
      </c>
      <c r="AB838">
        <v>63528.2</v>
      </c>
      <c r="AC838">
        <v>0</v>
      </c>
      <c r="AD838" t="s">
        <v>94</v>
      </c>
      <c r="AE838" t="s">
        <v>94</v>
      </c>
      <c r="AF838" t="s">
        <v>226</v>
      </c>
      <c r="AG838" t="s">
        <v>226</v>
      </c>
      <c r="AH838">
        <v>6</v>
      </c>
      <c r="AI838" t="s">
        <v>3537</v>
      </c>
      <c r="AJ838" t="s">
        <v>1976</v>
      </c>
      <c r="AK838" t="s">
        <v>2416</v>
      </c>
      <c r="AL838" t="s">
        <v>272</v>
      </c>
    </row>
    <row r="839" spans="1:38">
      <c r="A839" t="s">
        <v>4096</v>
      </c>
      <c r="B839" t="s">
        <v>4097</v>
      </c>
      <c r="C839" t="s">
        <v>4098</v>
      </c>
      <c r="D839" t="s">
        <v>4098</v>
      </c>
      <c r="E839" t="s">
        <v>4099</v>
      </c>
      <c r="F839" t="s">
        <v>2413</v>
      </c>
      <c r="G839">
        <v>3</v>
      </c>
      <c r="H839">
        <v>1</v>
      </c>
      <c r="I839">
        <v>0.01</v>
      </c>
      <c r="J839">
        <v>1000</v>
      </c>
      <c r="K839">
        <v>-0.49</v>
      </c>
      <c r="L839">
        <v>71.19</v>
      </c>
      <c r="M839">
        <v>71.540000000000006</v>
      </c>
      <c r="N839">
        <v>74</v>
      </c>
      <c r="O839">
        <v>71.19</v>
      </c>
      <c r="P839">
        <v>0</v>
      </c>
      <c r="Q839">
        <v>0</v>
      </c>
      <c r="R839">
        <v>0</v>
      </c>
      <c r="S839">
        <v>70.930000000000007</v>
      </c>
      <c r="T839">
        <v>71.569999999999993</v>
      </c>
      <c r="U839">
        <v>70.69</v>
      </c>
      <c r="V839">
        <v>71.569999999999993</v>
      </c>
      <c r="W839">
        <v>35466</v>
      </c>
      <c r="X839">
        <v>70.84</v>
      </c>
      <c r="Y839">
        <v>71.19</v>
      </c>
      <c r="Z839">
        <v>18</v>
      </c>
      <c r="AA839">
        <v>38163</v>
      </c>
      <c r="AB839">
        <v>711.9</v>
      </c>
      <c r="AC839">
        <v>0</v>
      </c>
      <c r="AD839" t="s">
        <v>94</v>
      </c>
      <c r="AE839" t="s">
        <v>94</v>
      </c>
      <c r="AF839" t="s">
        <v>226</v>
      </c>
      <c r="AG839" t="s">
        <v>226</v>
      </c>
      <c r="AH839">
        <v>6</v>
      </c>
      <c r="AI839" t="s">
        <v>3537</v>
      </c>
      <c r="AJ839" t="s">
        <v>1976</v>
      </c>
      <c r="AK839" t="s">
        <v>2416</v>
      </c>
      <c r="AL839" t="s">
        <v>272</v>
      </c>
    </row>
    <row r="840" spans="1:38">
      <c r="A840" t="s">
        <v>4100</v>
      </c>
      <c r="B840" t="s">
        <v>4101</v>
      </c>
      <c r="C840" t="s">
        <v>4102</v>
      </c>
      <c r="D840" t="s">
        <v>4102</v>
      </c>
      <c r="E840" t="s">
        <v>4103</v>
      </c>
      <c r="F840" t="s">
        <v>2413</v>
      </c>
      <c r="G840">
        <v>3</v>
      </c>
      <c r="H840">
        <v>1</v>
      </c>
      <c r="I840">
        <v>0.01</v>
      </c>
      <c r="J840">
        <v>1000</v>
      </c>
      <c r="K840">
        <v>0.41</v>
      </c>
      <c r="L840">
        <v>88.17</v>
      </c>
      <c r="M840">
        <v>87.82</v>
      </c>
      <c r="N840">
        <v>88.02</v>
      </c>
      <c r="O840">
        <v>87.84</v>
      </c>
      <c r="P840">
        <v>0</v>
      </c>
      <c r="Q840">
        <v>0</v>
      </c>
      <c r="R840">
        <v>0</v>
      </c>
      <c r="S840">
        <v>87.41</v>
      </c>
      <c r="T840">
        <v>87.82</v>
      </c>
      <c r="U840">
        <v>86</v>
      </c>
      <c r="V840">
        <v>88.42</v>
      </c>
      <c r="W840">
        <v>2686200</v>
      </c>
      <c r="X840">
        <v>87.5</v>
      </c>
      <c r="Y840">
        <v>88.15</v>
      </c>
      <c r="Z840">
        <v>168</v>
      </c>
      <c r="AA840">
        <v>211995</v>
      </c>
      <c r="AB840">
        <v>881.7</v>
      </c>
      <c r="AC840">
        <v>0</v>
      </c>
      <c r="AD840" t="s">
        <v>94</v>
      </c>
      <c r="AE840" t="s">
        <v>94</v>
      </c>
      <c r="AF840" t="s">
        <v>226</v>
      </c>
      <c r="AG840" t="s">
        <v>226</v>
      </c>
      <c r="AH840">
        <v>800</v>
      </c>
      <c r="AI840" t="s">
        <v>3537</v>
      </c>
      <c r="AJ840" t="s">
        <v>1976</v>
      </c>
      <c r="AK840" t="s">
        <v>2416</v>
      </c>
      <c r="AL840" t="s">
        <v>272</v>
      </c>
    </row>
    <row r="841" spans="1:38">
      <c r="A841" t="s">
        <v>4104</v>
      </c>
      <c r="B841" t="s">
        <v>4105</v>
      </c>
      <c r="C841" t="s">
        <v>4106</v>
      </c>
      <c r="D841" t="s">
        <v>4106</v>
      </c>
      <c r="E841" t="s">
        <v>4107</v>
      </c>
      <c r="F841" t="s">
        <v>2413</v>
      </c>
      <c r="G841">
        <v>3</v>
      </c>
      <c r="H841">
        <v>1</v>
      </c>
      <c r="I841">
        <v>0.01</v>
      </c>
      <c r="J841">
        <v>1000</v>
      </c>
      <c r="K841">
        <v>-0.55000000000000004</v>
      </c>
      <c r="L841">
        <v>92.01</v>
      </c>
      <c r="M841">
        <v>92.55</v>
      </c>
      <c r="N841">
        <v>93.04</v>
      </c>
      <c r="O841">
        <v>91.87</v>
      </c>
      <c r="P841">
        <v>0</v>
      </c>
      <c r="Q841">
        <v>0</v>
      </c>
      <c r="R841">
        <v>0</v>
      </c>
      <c r="S841">
        <v>92.05</v>
      </c>
      <c r="T841">
        <v>93.49</v>
      </c>
      <c r="U841">
        <v>91.47</v>
      </c>
      <c r="V841">
        <v>93.49</v>
      </c>
      <c r="W841">
        <v>315734</v>
      </c>
      <c r="X841">
        <v>91.92</v>
      </c>
      <c r="Y841">
        <v>92.01</v>
      </c>
      <c r="Z841">
        <v>82</v>
      </c>
      <c r="AA841">
        <v>63548</v>
      </c>
      <c r="AB841">
        <v>2760.3</v>
      </c>
      <c r="AC841">
        <v>0</v>
      </c>
      <c r="AD841" t="s">
        <v>94</v>
      </c>
      <c r="AE841" t="s">
        <v>94</v>
      </c>
      <c r="AF841" t="s">
        <v>226</v>
      </c>
      <c r="AG841" t="s">
        <v>226</v>
      </c>
      <c r="AH841">
        <v>6</v>
      </c>
      <c r="AI841" t="s">
        <v>3537</v>
      </c>
      <c r="AJ841" t="s">
        <v>1976</v>
      </c>
      <c r="AK841" t="s">
        <v>2416</v>
      </c>
      <c r="AL841" t="s">
        <v>272</v>
      </c>
    </row>
    <row r="842" spans="1:38">
      <c r="A842" t="s">
        <v>4108</v>
      </c>
      <c r="B842" t="s">
        <v>4109</v>
      </c>
      <c r="C842" t="s">
        <v>4110</v>
      </c>
      <c r="D842" t="s">
        <v>4110</v>
      </c>
      <c r="E842" t="s">
        <v>4111</v>
      </c>
      <c r="F842" t="s">
        <v>2413</v>
      </c>
      <c r="G842">
        <v>3</v>
      </c>
      <c r="H842">
        <v>1</v>
      </c>
      <c r="I842">
        <v>0.01</v>
      </c>
      <c r="J842">
        <v>1000</v>
      </c>
      <c r="K842">
        <v>-0.03</v>
      </c>
      <c r="L842">
        <v>100.06</v>
      </c>
      <c r="M842">
        <v>100.09</v>
      </c>
      <c r="N842">
        <v>100.08</v>
      </c>
      <c r="O842">
        <v>100.06</v>
      </c>
      <c r="P842">
        <v>0</v>
      </c>
      <c r="Q842">
        <v>0</v>
      </c>
      <c r="R842">
        <v>0</v>
      </c>
      <c r="S842">
        <v>100.02</v>
      </c>
      <c r="T842">
        <v>100.1</v>
      </c>
      <c r="U842">
        <v>100</v>
      </c>
      <c r="V842">
        <v>100.1</v>
      </c>
      <c r="W842">
        <v>929203</v>
      </c>
      <c r="X842">
        <v>100.06</v>
      </c>
      <c r="Y842">
        <v>100.07</v>
      </c>
      <c r="Z842">
        <v>131</v>
      </c>
      <c r="AA842">
        <v>350000</v>
      </c>
      <c r="AB842">
        <v>3001.8</v>
      </c>
      <c r="AC842">
        <v>0</v>
      </c>
      <c r="AD842" t="s">
        <v>94</v>
      </c>
      <c r="AE842" t="s">
        <v>94</v>
      </c>
      <c r="AF842" t="s">
        <v>226</v>
      </c>
      <c r="AG842" t="s">
        <v>226</v>
      </c>
      <c r="AH842">
        <v>6</v>
      </c>
      <c r="AI842" t="s">
        <v>3537</v>
      </c>
      <c r="AJ842" t="s">
        <v>1976</v>
      </c>
      <c r="AK842" t="s">
        <v>2416</v>
      </c>
      <c r="AL842" t="s">
        <v>272</v>
      </c>
    </row>
    <row r="843" spans="1:38">
      <c r="A843" t="s">
        <v>4112</v>
      </c>
      <c r="B843" t="s">
        <v>4113</v>
      </c>
      <c r="C843" t="s">
        <v>4114</v>
      </c>
      <c r="D843" t="s">
        <v>4114</v>
      </c>
      <c r="E843" t="s">
        <v>4115</v>
      </c>
      <c r="F843" t="s">
        <v>2425</v>
      </c>
      <c r="G843">
        <v>3</v>
      </c>
      <c r="H843">
        <v>1</v>
      </c>
      <c r="I843">
        <v>0.01</v>
      </c>
      <c r="J843">
        <v>750</v>
      </c>
      <c r="K843">
        <v>0.61</v>
      </c>
      <c r="L843">
        <v>90.35</v>
      </c>
      <c r="M843">
        <v>89.8</v>
      </c>
      <c r="N843">
        <v>89.58</v>
      </c>
      <c r="O843">
        <v>90.35</v>
      </c>
      <c r="P843">
        <v>0</v>
      </c>
      <c r="Q843">
        <v>0</v>
      </c>
      <c r="R843">
        <v>0</v>
      </c>
      <c r="S843">
        <v>90.08</v>
      </c>
      <c r="T843">
        <v>89.8</v>
      </c>
      <c r="U843">
        <v>89.64</v>
      </c>
      <c r="V843">
        <v>90.9</v>
      </c>
      <c r="W843">
        <v>1925395</v>
      </c>
      <c r="X843">
        <v>90.26</v>
      </c>
      <c r="Y843">
        <v>90.35</v>
      </c>
      <c r="Z843">
        <v>131</v>
      </c>
      <c r="AA843">
        <v>500000</v>
      </c>
      <c r="AB843">
        <v>2032.88</v>
      </c>
      <c r="AC843">
        <v>0</v>
      </c>
      <c r="AD843" t="s">
        <v>94</v>
      </c>
      <c r="AE843" t="s">
        <v>94</v>
      </c>
      <c r="AF843" t="s">
        <v>304</v>
      </c>
      <c r="AG843" t="s">
        <v>226</v>
      </c>
      <c r="AH843">
        <v>0</v>
      </c>
      <c r="AI843" t="s">
        <v>3537</v>
      </c>
      <c r="AJ843" t="s">
        <v>1976</v>
      </c>
      <c r="AK843" t="s">
        <v>2426</v>
      </c>
      <c r="AL843" t="s">
        <v>272</v>
      </c>
    </row>
    <row r="844" spans="1:38">
      <c r="A844" t="s">
        <v>4116</v>
      </c>
      <c r="B844" t="s">
        <v>4117</v>
      </c>
      <c r="C844" t="s">
        <v>4118</v>
      </c>
      <c r="D844" t="s">
        <v>4118</v>
      </c>
      <c r="E844" t="s">
        <v>4119</v>
      </c>
      <c r="F844" t="s">
        <v>2413</v>
      </c>
      <c r="G844">
        <v>3</v>
      </c>
      <c r="H844">
        <v>1</v>
      </c>
      <c r="I844">
        <v>0.01</v>
      </c>
      <c r="J844">
        <v>1000</v>
      </c>
      <c r="K844">
        <v>-0.12</v>
      </c>
      <c r="L844">
        <v>98</v>
      </c>
      <c r="M844">
        <v>98.12</v>
      </c>
      <c r="N844">
        <v>98.13</v>
      </c>
      <c r="O844">
        <v>98.01</v>
      </c>
      <c r="P844">
        <v>0</v>
      </c>
      <c r="Q844">
        <v>0</v>
      </c>
      <c r="R844">
        <v>0</v>
      </c>
      <c r="S844">
        <v>97.96</v>
      </c>
      <c r="T844">
        <v>97.81</v>
      </c>
      <c r="U844">
        <v>97.28</v>
      </c>
      <c r="V844">
        <v>98.13</v>
      </c>
      <c r="W844">
        <v>773232</v>
      </c>
      <c r="X844">
        <v>98.01</v>
      </c>
      <c r="Y844">
        <v>98.13</v>
      </c>
      <c r="Z844">
        <v>99</v>
      </c>
      <c r="AA844">
        <v>500000</v>
      </c>
      <c r="AB844">
        <v>980</v>
      </c>
      <c r="AC844">
        <v>0</v>
      </c>
      <c r="AD844" t="s">
        <v>94</v>
      </c>
      <c r="AE844" t="s">
        <v>94</v>
      </c>
      <c r="AF844" t="s">
        <v>226</v>
      </c>
      <c r="AG844" t="s">
        <v>226</v>
      </c>
      <c r="AH844">
        <v>6</v>
      </c>
      <c r="AI844" t="s">
        <v>3537</v>
      </c>
      <c r="AJ844" t="s">
        <v>1976</v>
      </c>
      <c r="AK844" t="s">
        <v>2416</v>
      </c>
      <c r="AL844" t="s">
        <v>272</v>
      </c>
    </row>
    <row r="845" spans="1:38">
      <c r="A845" t="s">
        <v>4120</v>
      </c>
      <c r="B845" t="s">
        <v>4121</v>
      </c>
      <c r="C845" t="s">
        <v>4122</v>
      </c>
      <c r="D845" t="s">
        <v>4122</v>
      </c>
      <c r="E845" t="s">
        <v>4123</v>
      </c>
      <c r="F845" t="s">
        <v>2413</v>
      </c>
      <c r="G845">
        <v>3</v>
      </c>
      <c r="H845">
        <v>1</v>
      </c>
      <c r="I845">
        <v>0.01</v>
      </c>
      <c r="J845">
        <v>1000</v>
      </c>
      <c r="K845">
        <v>0.52</v>
      </c>
      <c r="L845">
        <v>87.61</v>
      </c>
      <c r="M845">
        <v>87.16</v>
      </c>
      <c r="N845">
        <v>86.66</v>
      </c>
      <c r="O845">
        <v>87.64</v>
      </c>
      <c r="P845">
        <v>0</v>
      </c>
      <c r="Q845">
        <v>0</v>
      </c>
      <c r="R845">
        <v>0</v>
      </c>
      <c r="S845">
        <v>87.57</v>
      </c>
      <c r="T845">
        <v>86.27</v>
      </c>
      <c r="U845">
        <v>86.27</v>
      </c>
      <c r="V845">
        <v>88.06</v>
      </c>
      <c r="W845">
        <v>908936</v>
      </c>
      <c r="X845">
        <v>87.53</v>
      </c>
      <c r="Y845">
        <v>87.7</v>
      </c>
      <c r="Z845">
        <v>123</v>
      </c>
      <c r="AA845">
        <v>1000000</v>
      </c>
      <c r="AB845">
        <v>4380.5</v>
      </c>
      <c r="AC845">
        <v>0</v>
      </c>
      <c r="AD845" t="s">
        <v>94</v>
      </c>
      <c r="AE845" t="s">
        <v>94</v>
      </c>
      <c r="AF845" t="s">
        <v>226</v>
      </c>
      <c r="AG845" t="s">
        <v>226</v>
      </c>
      <c r="AH845">
        <v>6</v>
      </c>
      <c r="AI845" t="s">
        <v>3537</v>
      </c>
      <c r="AJ845" t="s">
        <v>1976</v>
      </c>
      <c r="AK845" t="s">
        <v>2416</v>
      </c>
      <c r="AL845" t="s">
        <v>272</v>
      </c>
    </row>
    <row r="846" spans="1:38">
      <c r="A846" t="s">
        <v>4124</v>
      </c>
      <c r="B846" t="s">
        <v>4125</v>
      </c>
      <c r="C846" t="s">
        <v>4126</v>
      </c>
      <c r="D846" t="s">
        <v>4126</v>
      </c>
      <c r="E846" t="s">
        <v>4127</v>
      </c>
      <c r="F846" t="s">
        <v>2413</v>
      </c>
      <c r="G846">
        <v>3</v>
      </c>
      <c r="H846">
        <v>1</v>
      </c>
      <c r="I846">
        <v>0.01</v>
      </c>
      <c r="J846">
        <v>1000</v>
      </c>
      <c r="K846">
        <v>-0.05</v>
      </c>
      <c r="L846">
        <v>84.86</v>
      </c>
      <c r="M846">
        <v>84.9</v>
      </c>
      <c r="N846">
        <v>86.46</v>
      </c>
      <c r="O846">
        <v>84.86</v>
      </c>
      <c r="P846">
        <v>0</v>
      </c>
      <c r="Q846">
        <v>0</v>
      </c>
      <c r="R846">
        <v>0</v>
      </c>
      <c r="S846">
        <v>84.9</v>
      </c>
      <c r="T846">
        <v>85.21</v>
      </c>
      <c r="U846">
        <v>84.6</v>
      </c>
      <c r="V846">
        <v>85.21</v>
      </c>
      <c r="W846">
        <v>1506104</v>
      </c>
      <c r="X846">
        <v>84.75</v>
      </c>
      <c r="Y846">
        <v>84.86</v>
      </c>
      <c r="Z846">
        <v>159</v>
      </c>
      <c r="AA846">
        <v>750000</v>
      </c>
      <c r="AB846">
        <v>8486</v>
      </c>
      <c r="AC846">
        <v>0</v>
      </c>
      <c r="AD846" t="s">
        <v>94</v>
      </c>
      <c r="AE846" t="s">
        <v>94</v>
      </c>
      <c r="AF846" t="s">
        <v>226</v>
      </c>
      <c r="AG846" t="s">
        <v>226</v>
      </c>
      <c r="AH846">
        <v>6</v>
      </c>
      <c r="AI846" t="s">
        <v>3537</v>
      </c>
      <c r="AJ846" t="s">
        <v>1976</v>
      </c>
      <c r="AK846" t="s">
        <v>2416</v>
      </c>
      <c r="AL846" t="s">
        <v>272</v>
      </c>
    </row>
    <row r="847" spans="1:38">
      <c r="A847" t="s">
        <v>4128</v>
      </c>
      <c r="B847" t="s">
        <v>4129</v>
      </c>
      <c r="C847" t="s">
        <v>4130</v>
      </c>
      <c r="D847" t="s">
        <v>4130</v>
      </c>
      <c r="E847" t="s">
        <v>4131</v>
      </c>
      <c r="F847" t="s">
        <v>2413</v>
      </c>
      <c r="G847">
        <v>3</v>
      </c>
      <c r="H847">
        <v>1</v>
      </c>
      <c r="I847">
        <v>0.01</v>
      </c>
      <c r="J847">
        <v>1000</v>
      </c>
      <c r="K847">
        <v>-0.24</v>
      </c>
      <c r="L847">
        <v>97.76</v>
      </c>
      <c r="M847">
        <v>98</v>
      </c>
      <c r="N847">
        <v>97.45</v>
      </c>
      <c r="O847">
        <v>97.76</v>
      </c>
      <c r="P847">
        <v>0</v>
      </c>
      <c r="Q847">
        <v>0</v>
      </c>
      <c r="R847">
        <v>0</v>
      </c>
      <c r="S847">
        <v>97.76</v>
      </c>
      <c r="T847">
        <v>97.12</v>
      </c>
      <c r="U847">
        <v>97.09</v>
      </c>
      <c r="V847">
        <v>98.05</v>
      </c>
      <c r="W847">
        <v>1137006</v>
      </c>
      <c r="X847">
        <v>97.77</v>
      </c>
      <c r="Y847">
        <v>97.87</v>
      </c>
      <c r="Z847">
        <v>105</v>
      </c>
      <c r="AA847">
        <v>250000</v>
      </c>
      <c r="AB847">
        <v>97760</v>
      </c>
      <c r="AC847">
        <v>0</v>
      </c>
      <c r="AD847" t="s">
        <v>94</v>
      </c>
      <c r="AE847" t="s">
        <v>94</v>
      </c>
      <c r="AF847" t="s">
        <v>226</v>
      </c>
      <c r="AG847" t="s">
        <v>226</v>
      </c>
      <c r="AH847">
        <v>6</v>
      </c>
      <c r="AI847" t="s">
        <v>3537</v>
      </c>
      <c r="AJ847" t="s">
        <v>1976</v>
      </c>
      <c r="AK847" t="s">
        <v>2416</v>
      </c>
      <c r="AL847" t="s">
        <v>272</v>
      </c>
    </row>
    <row r="848" spans="1:38">
      <c r="A848" t="s">
        <v>4132</v>
      </c>
      <c r="B848" t="s">
        <v>4133</v>
      </c>
      <c r="C848" t="s">
        <v>4134</v>
      </c>
      <c r="D848" t="s">
        <v>4134</v>
      </c>
      <c r="E848" t="s">
        <v>4135</v>
      </c>
      <c r="F848" t="s">
        <v>2413</v>
      </c>
      <c r="G848">
        <v>3</v>
      </c>
      <c r="H848">
        <v>1</v>
      </c>
      <c r="I848">
        <v>0.01</v>
      </c>
      <c r="J848">
        <v>1000</v>
      </c>
      <c r="K848">
        <v>0.15</v>
      </c>
      <c r="L848">
        <v>100.1</v>
      </c>
      <c r="M848">
        <v>99.95</v>
      </c>
      <c r="N848">
        <v>100.06</v>
      </c>
      <c r="O848">
        <v>100.09</v>
      </c>
      <c r="P848">
        <v>0</v>
      </c>
      <c r="Q848">
        <v>0</v>
      </c>
      <c r="R848">
        <v>0</v>
      </c>
      <c r="S848">
        <v>100.08</v>
      </c>
      <c r="T848">
        <v>100</v>
      </c>
      <c r="U848">
        <v>99.95</v>
      </c>
      <c r="V848">
        <v>100.15</v>
      </c>
      <c r="W848">
        <v>1025814</v>
      </c>
      <c r="X848">
        <v>100.09</v>
      </c>
      <c r="Y848">
        <v>100.1</v>
      </c>
      <c r="Z848">
        <v>72</v>
      </c>
      <c r="AA848">
        <v>250000</v>
      </c>
      <c r="AB848">
        <v>20020</v>
      </c>
      <c r="AC848">
        <v>0</v>
      </c>
      <c r="AD848" t="s">
        <v>94</v>
      </c>
      <c r="AE848" t="s">
        <v>94</v>
      </c>
      <c r="AF848" t="s">
        <v>226</v>
      </c>
      <c r="AG848" t="s">
        <v>226</v>
      </c>
      <c r="AH848">
        <v>6</v>
      </c>
      <c r="AI848" t="s">
        <v>3537</v>
      </c>
      <c r="AJ848" t="s">
        <v>1976</v>
      </c>
      <c r="AK848" t="s">
        <v>2416</v>
      </c>
      <c r="AL848" t="s">
        <v>272</v>
      </c>
    </row>
    <row r="849" spans="1:38">
      <c r="A849" t="s">
        <v>4136</v>
      </c>
      <c r="B849" t="s">
        <v>4137</v>
      </c>
      <c r="C849" t="s">
        <v>4138</v>
      </c>
      <c r="D849" t="s">
        <v>4138</v>
      </c>
      <c r="E849" t="s">
        <v>4139</v>
      </c>
      <c r="F849" t="s">
        <v>2413</v>
      </c>
      <c r="G849">
        <v>3</v>
      </c>
      <c r="H849">
        <v>1</v>
      </c>
      <c r="I849">
        <v>0.01</v>
      </c>
      <c r="J849">
        <v>1000</v>
      </c>
      <c r="K849">
        <v>-0.12</v>
      </c>
      <c r="L849">
        <v>100.03</v>
      </c>
      <c r="M849">
        <v>100.12</v>
      </c>
      <c r="N849">
        <v>100.12</v>
      </c>
      <c r="O849">
        <v>100.03</v>
      </c>
      <c r="P849">
        <v>0</v>
      </c>
      <c r="Q849">
        <v>0</v>
      </c>
      <c r="R849">
        <v>0</v>
      </c>
      <c r="S849">
        <v>100.15</v>
      </c>
      <c r="T849">
        <v>100.15</v>
      </c>
      <c r="U849">
        <v>100.03</v>
      </c>
      <c r="V849">
        <v>100.19</v>
      </c>
      <c r="W849">
        <v>46069</v>
      </c>
      <c r="X849">
        <v>100.03</v>
      </c>
      <c r="Y849">
        <v>100.15</v>
      </c>
      <c r="Z849">
        <v>12</v>
      </c>
      <c r="AA849">
        <v>200000</v>
      </c>
      <c r="AB849">
        <v>1000.3</v>
      </c>
      <c r="AC849">
        <v>0</v>
      </c>
      <c r="AD849" t="s">
        <v>94</v>
      </c>
      <c r="AE849" t="s">
        <v>94</v>
      </c>
      <c r="AF849" t="s">
        <v>226</v>
      </c>
      <c r="AG849" t="s">
        <v>226</v>
      </c>
      <c r="AH849">
        <v>800</v>
      </c>
      <c r="AI849" t="s">
        <v>3537</v>
      </c>
      <c r="AJ849" t="s">
        <v>1976</v>
      </c>
      <c r="AK849" t="s">
        <v>2416</v>
      </c>
      <c r="AL849" t="s">
        <v>272</v>
      </c>
    </row>
    <row r="850" spans="1:38">
      <c r="A850" t="s">
        <v>4140</v>
      </c>
      <c r="B850" t="s">
        <v>4141</v>
      </c>
      <c r="C850" t="s">
        <v>4142</v>
      </c>
      <c r="D850" t="s">
        <v>4142</v>
      </c>
      <c r="E850" t="s">
        <v>4143</v>
      </c>
      <c r="F850" t="s">
        <v>2413</v>
      </c>
      <c r="G850">
        <v>3</v>
      </c>
      <c r="H850">
        <v>1</v>
      </c>
      <c r="I850">
        <v>0.01</v>
      </c>
      <c r="J850">
        <v>1000</v>
      </c>
      <c r="K850">
        <v>0.34</v>
      </c>
      <c r="L850">
        <v>93.32</v>
      </c>
      <c r="M850">
        <v>93</v>
      </c>
      <c r="N850">
        <v>92.92</v>
      </c>
      <c r="O850">
        <v>93.32</v>
      </c>
      <c r="P850">
        <v>0</v>
      </c>
      <c r="Q850">
        <v>0</v>
      </c>
      <c r="R850">
        <v>0</v>
      </c>
      <c r="S850">
        <v>93.16</v>
      </c>
      <c r="T850">
        <v>93.1</v>
      </c>
      <c r="U850">
        <v>92.2</v>
      </c>
      <c r="V850">
        <v>93.46</v>
      </c>
      <c r="W850">
        <v>1553876</v>
      </c>
      <c r="X850">
        <v>93.21</v>
      </c>
      <c r="Y850">
        <v>93.32</v>
      </c>
      <c r="Z850">
        <v>122</v>
      </c>
      <c r="AA850">
        <v>500000</v>
      </c>
      <c r="AB850">
        <v>30795.599999999999</v>
      </c>
      <c r="AC850">
        <v>0</v>
      </c>
      <c r="AD850" t="s">
        <v>94</v>
      </c>
      <c r="AE850" t="s">
        <v>94</v>
      </c>
      <c r="AF850" t="s">
        <v>226</v>
      </c>
      <c r="AG850" t="s">
        <v>226</v>
      </c>
      <c r="AH850">
        <v>6</v>
      </c>
      <c r="AI850" t="s">
        <v>3537</v>
      </c>
      <c r="AJ850" t="s">
        <v>1976</v>
      </c>
      <c r="AK850" t="s">
        <v>2416</v>
      </c>
      <c r="AL850" t="s">
        <v>272</v>
      </c>
    </row>
    <row r="851" spans="1:38">
      <c r="A851" t="s">
        <v>4144</v>
      </c>
      <c r="B851" t="s">
        <v>4145</v>
      </c>
      <c r="C851" t="s">
        <v>4146</v>
      </c>
      <c r="D851" t="s">
        <v>4146</v>
      </c>
      <c r="E851" t="s">
        <v>4147</v>
      </c>
      <c r="F851" t="s">
        <v>2413</v>
      </c>
      <c r="G851">
        <v>3</v>
      </c>
      <c r="H851">
        <v>1</v>
      </c>
      <c r="I851">
        <v>0.01</v>
      </c>
      <c r="J851">
        <v>1000</v>
      </c>
      <c r="K851">
        <v>0</v>
      </c>
      <c r="L851">
        <v>0</v>
      </c>
      <c r="M851">
        <v>102.01</v>
      </c>
      <c r="N851">
        <v>0</v>
      </c>
      <c r="O851">
        <v>102.01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92.01</v>
      </c>
      <c r="Y851">
        <v>0</v>
      </c>
      <c r="Z851">
        <v>0</v>
      </c>
      <c r="AA851">
        <v>500000</v>
      </c>
      <c r="AB851">
        <v>0</v>
      </c>
      <c r="AC851">
        <v>0</v>
      </c>
      <c r="AD851" t="s">
        <v>94</v>
      </c>
      <c r="AE851" t="s">
        <v>94</v>
      </c>
      <c r="AF851" t="s">
        <v>226</v>
      </c>
      <c r="AG851" t="s">
        <v>226</v>
      </c>
      <c r="AH851">
        <v>800</v>
      </c>
      <c r="AI851" t="s">
        <v>3537</v>
      </c>
      <c r="AJ851" t="s">
        <v>1976</v>
      </c>
      <c r="AK851" t="s">
        <v>2416</v>
      </c>
      <c r="AL851" t="s">
        <v>272</v>
      </c>
    </row>
    <row r="852" spans="1:38">
      <c r="A852" t="s">
        <v>4148</v>
      </c>
      <c r="B852" t="s">
        <v>4149</v>
      </c>
      <c r="C852" t="s">
        <v>4150</v>
      </c>
      <c r="D852" t="s">
        <v>4150</v>
      </c>
      <c r="E852" t="s">
        <v>4151</v>
      </c>
      <c r="F852" t="s">
        <v>2413</v>
      </c>
      <c r="G852">
        <v>3</v>
      </c>
      <c r="H852">
        <v>1</v>
      </c>
      <c r="I852">
        <v>0.01</v>
      </c>
      <c r="J852">
        <v>1000</v>
      </c>
      <c r="K852">
        <v>0</v>
      </c>
      <c r="L852">
        <v>0</v>
      </c>
      <c r="M852">
        <v>103</v>
      </c>
      <c r="N852">
        <v>0</v>
      </c>
      <c r="O852">
        <v>103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80.010000000000005</v>
      </c>
      <c r="Y852">
        <v>0</v>
      </c>
      <c r="Z852">
        <v>0</v>
      </c>
      <c r="AA852">
        <v>300000</v>
      </c>
      <c r="AB852">
        <v>0</v>
      </c>
      <c r="AC852">
        <v>0</v>
      </c>
      <c r="AD852" t="s">
        <v>94</v>
      </c>
      <c r="AE852" t="s">
        <v>94</v>
      </c>
      <c r="AF852" t="s">
        <v>226</v>
      </c>
      <c r="AG852" t="s">
        <v>226</v>
      </c>
      <c r="AH852">
        <v>800</v>
      </c>
      <c r="AI852" t="s">
        <v>3537</v>
      </c>
      <c r="AJ852" t="s">
        <v>1976</v>
      </c>
      <c r="AK852" t="s">
        <v>2416</v>
      </c>
      <c r="AL852" t="s">
        <v>272</v>
      </c>
    </row>
    <row r="853" spans="1:38">
      <c r="A853" t="s">
        <v>4152</v>
      </c>
      <c r="B853" t="s">
        <v>4153</v>
      </c>
      <c r="C853" t="s">
        <v>4154</v>
      </c>
      <c r="D853" t="s">
        <v>4154</v>
      </c>
      <c r="E853" t="s">
        <v>4155</v>
      </c>
      <c r="F853" t="s">
        <v>2413</v>
      </c>
      <c r="G853">
        <v>3</v>
      </c>
      <c r="H853">
        <v>1</v>
      </c>
      <c r="I853">
        <v>0.01</v>
      </c>
      <c r="J853">
        <v>700</v>
      </c>
      <c r="K853">
        <v>0.28000000000000003</v>
      </c>
      <c r="L853">
        <v>88.43</v>
      </c>
      <c r="M853">
        <v>88.24</v>
      </c>
      <c r="N853">
        <v>87.23</v>
      </c>
      <c r="O853">
        <v>88.42</v>
      </c>
      <c r="P853">
        <v>0</v>
      </c>
      <c r="Q853">
        <v>0</v>
      </c>
      <c r="R853">
        <v>0</v>
      </c>
      <c r="S853">
        <v>88.57</v>
      </c>
      <c r="T853">
        <v>88.99</v>
      </c>
      <c r="U853">
        <v>87.83</v>
      </c>
      <c r="V853">
        <v>89.73</v>
      </c>
      <c r="W853">
        <v>59517</v>
      </c>
      <c r="X853">
        <v>88.68</v>
      </c>
      <c r="Y853">
        <v>89.21</v>
      </c>
      <c r="Z853">
        <v>31</v>
      </c>
      <c r="AA853">
        <v>300000</v>
      </c>
      <c r="AB853">
        <v>619.01</v>
      </c>
      <c r="AC853">
        <v>0</v>
      </c>
      <c r="AD853" t="s">
        <v>94</v>
      </c>
      <c r="AE853" t="s">
        <v>94</v>
      </c>
      <c r="AF853" t="s">
        <v>226</v>
      </c>
      <c r="AG853" t="s">
        <v>226</v>
      </c>
      <c r="AH853">
        <v>6</v>
      </c>
      <c r="AI853" t="s">
        <v>3537</v>
      </c>
      <c r="AJ853" t="s">
        <v>1976</v>
      </c>
      <c r="AK853" t="s">
        <v>2416</v>
      </c>
      <c r="AL853" t="s">
        <v>272</v>
      </c>
    </row>
    <row r="854" spans="1:38">
      <c r="A854" t="s">
        <v>4156</v>
      </c>
      <c r="B854" t="s">
        <v>4157</v>
      </c>
      <c r="C854" t="s">
        <v>4158</v>
      </c>
      <c r="D854" t="s">
        <v>4158</v>
      </c>
      <c r="E854" t="s">
        <v>4159</v>
      </c>
      <c r="F854" t="s">
        <v>2413</v>
      </c>
      <c r="G854">
        <v>3</v>
      </c>
      <c r="H854">
        <v>1</v>
      </c>
      <c r="I854">
        <v>0.01</v>
      </c>
      <c r="J854">
        <v>900</v>
      </c>
      <c r="K854">
        <v>0.05</v>
      </c>
      <c r="L854">
        <v>84.52</v>
      </c>
      <c r="M854">
        <v>84.46</v>
      </c>
      <c r="N854">
        <v>84.3</v>
      </c>
      <c r="O854">
        <v>84.51</v>
      </c>
      <c r="P854">
        <v>0</v>
      </c>
      <c r="Q854">
        <v>0</v>
      </c>
      <c r="R854">
        <v>0</v>
      </c>
      <c r="S854">
        <v>84.4</v>
      </c>
      <c r="T854">
        <v>83.93</v>
      </c>
      <c r="U854">
        <v>83.1</v>
      </c>
      <c r="V854">
        <v>84.52</v>
      </c>
      <c r="W854">
        <v>545398</v>
      </c>
      <c r="X854">
        <v>84.54</v>
      </c>
      <c r="Y854">
        <v>84.84</v>
      </c>
      <c r="Z854">
        <v>34</v>
      </c>
      <c r="AA854">
        <v>400000</v>
      </c>
      <c r="AB854">
        <v>39555.360000000001</v>
      </c>
      <c r="AC854">
        <v>0</v>
      </c>
      <c r="AD854" t="s">
        <v>94</v>
      </c>
      <c r="AE854" t="s">
        <v>94</v>
      </c>
      <c r="AF854" t="s">
        <v>226</v>
      </c>
      <c r="AG854" t="s">
        <v>226</v>
      </c>
      <c r="AH854">
        <v>6</v>
      </c>
      <c r="AI854" t="s">
        <v>3537</v>
      </c>
      <c r="AJ854" t="s">
        <v>1976</v>
      </c>
      <c r="AK854" t="s">
        <v>2416</v>
      </c>
      <c r="AL854" t="s">
        <v>272</v>
      </c>
    </row>
    <row r="855" spans="1:38">
      <c r="A855" t="s">
        <v>4160</v>
      </c>
      <c r="B855" t="s">
        <v>4161</v>
      </c>
      <c r="C855" t="s">
        <v>4162</v>
      </c>
      <c r="D855" t="s">
        <v>4162</v>
      </c>
      <c r="E855" t="s">
        <v>4163</v>
      </c>
      <c r="F855" t="s">
        <v>2413</v>
      </c>
      <c r="G855">
        <v>3</v>
      </c>
      <c r="H855">
        <v>1</v>
      </c>
      <c r="I855">
        <v>0.01</v>
      </c>
      <c r="J855">
        <v>1000</v>
      </c>
      <c r="K855">
        <v>0.76</v>
      </c>
      <c r="L855">
        <v>79.599999999999994</v>
      </c>
      <c r="M855">
        <v>79</v>
      </c>
      <c r="N855">
        <v>78.56</v>
      </c>
      <c r="O855">
        <v>78.989999999999995</v>
      </c>
      <c r="P855">
        <v>0</v>
      </c>
      <c r="Q855">
        <v>0</v>
      </c>
      <c r="R855">
        <v>0</v>
      </c>
      <c r="S855">
        <v>78.84</v>
      </c>
      <c r="T855">
        <v>79.099999999999994</v>
      </c>
      <c r="U855">
        <v>78.61</v>
      </c>
      <c r="V855">
        <v>79.599999999999994</v>
      </c>
      <c r="W855">
        <v>778895</v>
      </c>
      <c r="X855">
        <v>79.17</v>
      </c>
      <c r="Y855">
        <v>79.61</v>
      </c>
      <c r="Z855">
        <v>46</v>
      </c>
      <c r="AA855">
        <v>300000</v>
      </c>
      <c r="AB855">
        <v>796</v>
      </c>
      <c r="AC855">
        <v>0</v>
      </c>
      <c r="AD855" t="s">
        <v>94</v>
      </c>
      <c r="AE855" t="s">
        <v>94</v>
      </c>
      <c r="AF855" t="s">
        <v>226</v>
      </c>
      <c r="AG855" t="s">
        <v>226</v>
      </c>
      <c r="AH855">
        <v>6</v>
      </c>
      <c r="AI855" t="s">
        <v>3537</v>
      </c>
      <c r="AJ855" t="s">
        <v>1976</v>
      </c>
      <c r="AK855" t="s">
        <v>2416</v>
      </c>
      <c r="AL855" t="s">
        <v>272</v>
      </c>
    </row>
    <row r="856" spans="1:38">
      <c r="A856" t="s">
        <v>4164</v>
      </c>
      <c r="B856" t="s">
        <v>4165</v>
      </c>
      <c r="C856" t="s">
        <v>4166</v>
      </c>
      <c r="D856" t="s">
        <v>4166</v>
      </c>
      <c r="E856" t="s">
        <v>4167</v>
      </c>
      <c r="F856" t="s">
        <v>2413</v>
      </c>
      <c r="G856">
        <v>3</v>
      </c>
      <c r="H856">
        <v>1</v>
      </c>
      <c r="I856">
        <v>0.01</v>
      </c>
      <c r="J856">
        <v>1000</v>
      </c>
      <c r="K856">
        <v>1.25</v>
      </c>
      <c r="L856">
        <v>76.3</v>
      </c>
      <c r="M856">
        <v>75.2</v>
      </c>
      <c r="N856">
        <v>74.459999999999994</v>
      </c>
      <c r="O856">
        <v>76.3</v>
      </c>
      <c r="P856">
        <v>0</v>
      </c>
      <c r="Q856">
        <v>0</v>
      </c>
      <c r="R856">
        <v>0</v>
      </c>
      <c r="S856">
        <v>76.150000000000006</v>
      </c>
      <c r="T856">
        <v>76.67</v>
      </c>
      <c r="U856">
        <v>75.59</v>
      </c>
      <c r="V856">
        <v>76.680000000000007</v>
      </c>
      <c r="W856">
        <v>430999</v>
      </c>
      <c r="X856">
        <v>76.03</v>
      </c>
      <c r="Y856">
        <v>76.290000000000006</v>
      </c>
      <c r="Z856">
        <v>50</v>
      </c>
      <c r="AA856">
        <v>400000</v>
      </c>
      <c r="AB856">
        <v>763</v>
      </c>
      <c r="AC856">
        <v>0</v>
      </c>
      <c r="AD856" t="s">
        <v>94</v>
      </c>
      <c r="AE856" t="s">
        <v>94</v>
      </c>
      <c r="AF856" t="s">
        <v>226</v>
      </c>
      <c r="AG856" t="s">
        <v>226</v>
      </c>
      <c r="AH856">
        <v>6</v>
      </c>
      <c r="AI856" t="s">
        <v>3537</v>
      </c>
      <c r="AJ856" t="s">
        <v>1976</v>
      </c>
      <c r="AK856" t="s">
        <v>2416</v>
      </c>
      <c r="AL856" t="s">
        <v>272</v>
      </c>
    </row>
    <row r="857" spans="1:38">
      <c r="A857" t="s">
        <v>4168</v>
      </c>
      <c r="B857" t="s">
        <v>4169</v>
      </c>
      <c r="C857" t="s">
        <v>4170</v>
      </c>
      <c r="D857" t="s">
        <v>4170</v>
      </c>
      <c r="E857" t="s">
        <v>4171</v>
      </c>
      <c r="F857" t="s">
        <v>2413</v>
      </c>
      <c r="G857">
        <v>3</v>
      </c>
      <c r="H857">
        <v>1</v>
      </c>
      <c r="I857">
        <v>0.01</v>
      </c>
      <c r="J857">
        <v>1000</v>
      </c>
      <c r="K857">
        <v>-3.09</v>
      </c>
      <c r="L857">
        <v>95.03</v>
      </c>
      <c r="M857">
        <v>98.06</v>
      </c>
      <c r="N857">
        <v>95.96</v>
      </c>
      <c r="O857">
        <v>95.05</v>
      </c>
      <c r="P857">
        <v>0</v>
      </c>
      <c r="Q857">
        <v>0</v>
      </c>
      <c r="R857">
        <v>0</v>
      </c>
      <c r="S857">
        <v>95.56</v>
      </c>
      <c r="T857">
        <v>99.93</v>
      </c>
      <c r="U857">
        <v>95</v>
      </c>
      <c r="V857">
        <v>99.93</v>
      </c>
      <c r="W857">
        <v>348806</v>
      </c>
      <c r="X857">
        <v>95.05</v>
      </c>
      <c r="Y857">
        <v>96.48</v>
      </c>
      <c r="Z857">
        <v>30</v>
      </c>
      <c r="AA857">
        <v>300000</v>
      </c>
      <c r="AB857">
        <v>3801.2</v>
      </c>
      <c r="AC857">
        <v>0</v>
      </c>
      <c r="AD857" t="s">
        <v>94</v>
      </c>
      <c r="AE857" t="s">
        <v>94</v>
      </c>
      <c r="AF857" t="s">
        <v>226</v>
      </c>
      <c r="AG857" t="s">
        <v>226</v>
      </c>
      <c r="AH857">
        <v>800</v>
      </c>
      <c r="AI857" t="s">
        <v>3537</v>
      </c>
      <c r="AJ857" t="s">
        <v>1976</v>
      </c>
      <c r="AK857" t="s">
        <v>2416</v>
      </c>
      <c r="AL857" t="s">
        <v>272</v>
      </c>
    </row>
    <row r="858" spans="1:38">
      <c r="A858" t="s">
        <v>4172</v>
      </c>
      <c r="B858" t="s">
        <v>4173</v>
      </c>
      <c r="C858" t="s">
        <v>4174</v>
      </c>
      <c r="D858" t="s">
        <v>4174</v>
      </c>
      <c r="E858" t="s">
        <v>4175</v>
      </c>
      <c r="F858" t="s">
        <v>2413</v>
      </c>
      <c r="G858">
        <v>3</v>
      </c>
      <c r="H858">
        <v>1</v>
      </c>
      <c r="I858">
        <v>0.01</v>
      </c>
      <c r="J858">
        <v>1000</v>
      </c>
      <c r="K858">
        <v>-0.44</v>
      </c>
      <c r="L858">
        <v>99.8</v>
      </c>
      <c r="M858">
        <v>100.24</v>
      </c>
      <c r="N858">
        <v>100.13</v>
      </c>
      <c r="O858">
        <v>99.8</v>
      </c>
      <c r="P858">
        <v>0</v>
      </c>
      <c r="Q858">
        <v>0</v>
      </c>
      <c r="R858">
        <v>0</v>
      </c>
      <c r="S858">
        <v>100.3</v>
      </c>
      <c r="T858">
        <v>100.29</v>
      </c>
      <c r="U858">
        <v>99.8</v>
      </c>
      <c r="V858">
        <v>100.3</v>
      </c>
      <c r="W858">
        <v>187556</v>
      </c>
      <c r="X858">
        <v>99.8</v>
      </c>
      <c r="Y858">
        <v>100.28</v>
      </c>
      <c r="Z858">
        <v>9</v>
      </c>
      <c r="AA858">
        <v>300000</v>
      </c>
      <c r="AB858">
        <v>998</v>
      </c>
      <c r="AC858">
        <v>0</v>
      </c>
      <c r="AD858" t="s">
        <v>94</v>
      </c>
      <c r="AE858" t="s">
        <v>94</v>
      </c>
      <c r="AF858" t="s">
        <v>226</v>
      </c>
      <c r="AG858" t="s">
        <v>226</v>
      </c>
      <c r="AH858">
        <v>800</v>
      </c>
      <c r="AI858" t="s">
        <v>3537</v>
      </c>
      <c r="AJ858" t="s">
        <v>1976</v>
      </c>
      <c r="AK858" t="s">
        <v>2416</v>
      </c>
      <c r="AL858" t="s">
        <v>272</v>
      </c>
    </row>
    <row r="859" spans="1:38">
      <c r="A859" t="s">
        <v>4176</v>
      </c>
      <c r="B859" t="s">
        <v>4177</v>
      </c>
      <c r="C859" t="s">
        <v>4178</v>
      </c>
      <c r="D859" t="s">
        <v>4178</v>
      </c>
      <c r="E859" t="s">
        <v>4179</v>
      </c>
      <c r="F859" t="s">
        <v>2413</v>
      </c>
      <c r="G859">
        <v>3</v>
      </c>
      <c r="H859">
        <v>1</v>
      </c>
      <c r="I859">
        <v>0.01</v>
      </c>
      <c r="J859">
        <v>100</v>
      </c>
      <c r="K859">
        <v>-0.01</v>
      </c>
      <c r="L859">
        <v>100.07</v>
      </c>
      <c r="M859">
        <v>100.07</v>
      </c>
      <c r="N859">
        <v>99.6</v>
      </c>
      <c r="O859">
        <v>100.07</v>
      </c>
      <c r="P859">
        <v>0</v>
      </c>
      <c r="Q859">
        <v>0</v>
      </c>
      <c r="R859">
        <v>0</v>
      </c>
      <c r="S859">
        <v>99.96</v>
      </c>
      <c r="T859">
        <v>99.76</v>
      </c>
      <c r="U859">
        <v>99.73</v>
      </c>
      <c r="V859">
        <v>100.08</v>
      </c>
      <c r="W859">
        <v>25691</v>
      </c>
      <c r="X859">
        <v>99.96</v>
      </c>
      <c r="Y859">
        <v>100.07</v>
      </c>
      <c r="Z859">
        <v>15</v>
      </c>
      <c r="AA859">
        <v>300000</v>
      </c>
      <c r="AB859">
        <v>100.07</v>
      </c>
      <c r="AC859">
        <v>0</v>
      </c>
      <c r="AD859" t="s">
        <v>94</v>
      </c>
      <c r="AE859" t="s">
        <v>94</v>
      </c>
      <c r="AF859" t="s">
        <v>226</v>
      </c>
      <c r="AG859" t="s">
        <v>226</v>
      </c>
      <c r="AH859">
        <v>6</v>
      </c>
      <c r="AI859" t="s">
        <v>3537</v>
      </c>
      <c r="AJ859" t="s">
        <v>1976</v>
      </c>
      <c r="AK859" t="s">
        <v>2416</v>
      </c>
      <c r="AL859" t="s">
        <v>272</v>
      </c>
    </row>
    <row r="860" spans="1:38">
      <c r="A860" t="s">
        <v>4180</v>
      </c>
      <c r="B860" t="s">
        <v>4181</v>
      </c>
      <c r="C860" t="s">
        <v>4182</v>
      </c>
      <c r="D860" t="s">
        <v>4182</v>
      </c>
      <c r="E860" t="s">
        <v>4183</v>
      </c>
      <c r="F860" t="s">
        <v>2413</v>
      </c>
      <c r="G860">
        <v>3</v>
      </c>
      <c r="H860">
        <v>1</v>
      </c>
      <c r="I860">
        <v>0.01</v>
      </c>
      <c r="J860">
        <v>1000</v>
      </c>
      <c r="K860">
        <v>0.97</v>
      </c>
      <c r="L860">
        <v>77.36</v>
      </c>
      <c r="M860">
        <v>76.62</v>
      </c>
      <c r="N860">
        <v>76.290000000000006</v>
      </c>
      <c r="O860">
        <v>77.25</v>
      </c>
      <c r="P860">
        <v>0</v>
      </c>
      <c r="Q860">
        <v>0</v>
      </c>
      <c r="R860">
        <v>0</v>
      </c>
      <c r="S860">
        <v>77.39</v>
      </c>
      <c r="T860">
        <v>79.72</v>
      </c>
      <c r="U860">
        <v>76.42</v>
      </c>
      <c r="V860">
        <v>79.72</v>
      </c>
      <c r="W860">
        <v>349036</v>
      </c>
      <c r="X860">
        <v>76.459999999999994</v>
      </c>
      <c r="Y860">
        <v>77.2</v>
      </c>
      <c r="Z860">
        <v>30</v>
      </c>
      <c r="AA860">
        <v>200000</v>
      </c>
      <c r="AB860">
        <v>5415.2</v>
      </c>
      <c r="AC860">
        <v>0</v>
      </c>
      <c r="AD860" t="s">
        <v>94</v>
      </c>
      <c r="AE860" t="s">
        <v>94</v>
      </c>
      <c r="AF860" t="s">
        <v>304</v>
      </c>
      <c r="AG860" t="s">
        <v>226</v>
      </c>
      <c r="AH860">
        <v>0</v>
      </c>
      <c r="AI860" t="s">
        <v>3537</v>
      </c>
      <c r="AJ860" t="s">
        <v>1976</v>
      </c>
      <c r="AK860" t="s">
        <v>2416</v>
      </c>
      <c r="AL860" t="s">
        <v>272</v>
      </c>
    </row>
    <row r="861" spans="1:38">
      <c r="A861" t="s">
        <v>4184</v>
      </c>
      <c r="B861" t="s">
        <v>4185</v>
      </c>
      <c r="C861" t="s">
        <v>4186</v>
      </c>
      <c r="D861" t="s">
        <v>4186</v>
      </c>
      <c r="E861" t="s">
        <v>4187</v>
      </c>
      <c r="F861" t="s">
        <v>2413</v>
      </c>
      <c r="G861">
        <v>3</v>
      </c>
      <c r="H861">
        <v>1</v>
      </c>
      <c r="I861">
        <v>0.01</v>
      </c>
      <c r="J861">
        <v>1000</v>
      </c>
      <c r="K861">
        <v>-0.43</v>
      </c>
      <c r="L861">
        <v>77.23</v>
      </c>
      <c r="M861">
        <v>77.430000000000007</v>
      </c>
      <c r="N861">
        <v>77.33</v>
      </c>
      <c r="O861">
        <v>77.209999999999994</v>
      </c>
      <c r="P861">
        <v>0</v>
      </c>
      <c r="Q861">
        <v>0</v>
      </c>
      <c r="R861">
        <v>0</v>
      </c>
      <c r="S861">
        <v>76.94</v>
      </c>
      <c r="T861">
        <v>77.25</v>
      </c>
      <c r="U861">
        <v>76.67</v>
      </c>
      <c r="V861">
        <v>77.349999999999994</v>
      </c>
      <c r="W861">
        <v>1807369</v>
      </c>
      <c r="X861">
        <v>76.930000000000007</v>
      </c>
      <c r="Y861">
        <v>77.150000000000006</v>
      </c>
      <c r="Z861">
        <v>53</v>
      </c>
      <c r="AA861">
        <v>350000</v>
      </c>
      <c r="AB861">
        <v>5406.1</v>
      </c>
      <c r="AC861">
        <v>0</v>
      </c>
      <c r="AD861" t="s">
        <v>94</v>
      </c>
      <c r="AE861" t="s">
        <v>94</v>
      </c>
      <c r="AF861" t="s">
        <v>304</v>
      </c>
      <c r="AG861" t="s">
        <v>226</v>
      </c>
      <c r="AH861">
        <v>0</v>
      </c>
      <c r="AI861" t="s">
        <v>3537</v>
      </c>
      <c r="AJ861" t="s">
        <v>1976</v>
      </c>
      <c r="AK861" t="s">
        <v>2416</v>
      </c>
      <c r="AL861" t="s">
        <v>272</v>
      </c>
    </row>
    <row r="862" spans="1:38">
      <c r="A862" t="s">
        <v>4188</v>
      </c>
      <c r="B862" t="s">
        <v>4189</v>
      </c>
      <c r="C862" t="s">
        <v>4190</v>
      </c>
      <c r="D862" t="s">
        <v>4190</v>
      </c>
      <c r="E862" t="s">
        <v>4191</v>
      </c>
      <c r="F862" t="s">
        <v>2413</v>
      </c>
      <c r="G862">
        <v>3</v>
      </c>
      <c r="H862">
        <v>1</v>
      </c>
      <c r="I862">
        <v>0.01</v>
      </c>
      <c r="J862">
        <v>1000</v>
      </c>
      <c r="K862">
        <v>-3.32</v>
      </c>
      <c r="L862">
        <v>95.7</v>
      </c>
      <c r="M862">
        <v>98.99</v>
      </c>
      <c r="N862">
        <v>98.6</v>
      </c>
      <c r="O862">
        <v>96.27</v>
      </c>
      <c r="P862">
        <v>0</v>
      </c>
      <c r="Q862">
        <v>0</v>
      </c>
      <c r="R862">
        <v>0</v>
      </c>
      <c r="S862">
        <v>98.55</v>
      </c>
      <c r="T862">
        <v>99.02</v>
      </c>
      <c r="U862">
        <v>95.7</v>
      </c>
      <c r="V862">
        <v>99.02</v>
      </c>
      <c r="W862">
        <v>215829</v>
      </c>
      <c r="X862">
        <v>95.26</v>
      </c>
      <c r="Y862">
        <v>98.98</v>
      </c>
      <c r="Z862">
        <v>13</v>
      </c>
      <c r="AA862">
        <v>150000</v>
      </c>
      <c r="AB862">
        <v>957</v>
      </c>
      <c r="AC862">
        <v>0</v>
      </c>
      <c r="AD862" t="s">
        <v>94</v>
      </c>
      <c r="AE862" t="s">
        <v>94</v>
      </c>
      <c r="AF862" t="s">
        <v>304</v>
      </c>
      <c r="AG862" t="s">
        <v>226</v>
      </c>
      <c r="AH862">
        <v>0</v>
      </c>
      <c r="AI862" t="s">
        <v>3537</v>
      </c>
      <c r="AJ862" t="s">
        <v>1976</v>
      </c>
      <c r="AK862" t="s">
        <v>2416</v>
      </c>
      <c r="AL862" t="s">
        <v>272</v>
      </c>
    </row>
    <row r="863" spans="1:38">
      <c r="A863" t="s">
        <v>4192</v>
      </c>
      <c r="B863" t="s">
        <v>4193</v>
      </c>
      <c r="C863" t="s">
        <v>4194</v>
      </c>
      <c r="D863" t="s">
        <v>4194</v>
      </c>
      <c r="E863" t="s">
        <v>4195</v>
      </c>
      <c r="F863" t="s">
        <v>2425</v>
      </c>
      <c r="G863">
        <v>3</v>
      </c>
      <c r="H863">
        <v>1</v>
      </c>
      <c r="I863">
        <v>0.01</v>
      </c>
      <c r="J863">
        <v>250</v>
      </c>
      <c r="K863">
        <v>0.04</v>
      </c>
      <c r="L863">
        <v>99.61</v>
      </c>
      <c r="M863">
        <v>99.57</v>
      </c>
      <c r="N863">
        <v>99.21</v>
      </c>
      <c r="O863">
        <v>99.61</v>
      </c>
      <c r="P863">
        <v>0</v>
      </c>
      <c r="Q863">
        <v>0</v>
      </c>
      <c r="R863">
        <v>0</v>
      </c>
      <c r="S863">
        <v>99.06</v>
      </c>
      <c r="T863">
        <v>99.07</v>
      </c>
      <c r="U863">
        <v>98.82</v>
      </c>
      <c r="V863">
        <v>99.64</v>
      </c>
      <c r="W863">
        <v>319483</v>
      </c>
      <c r="X863">
        <v>99.04</v>
      </c>
      <c r="Y863">
        <v>99.6</v>
      </c>
      <c r="Z863">
        <v>18</v>
      </c>
      <c r="AA863">
        <v>294573</v>
      </c>
      <c r="AB863">
        <v>747.08</v>
      </c>
      <c r="AC863">
        <v>0</v>
      </c>
      <c r="AD863" t="s">
        <v>94</v>
      </c>
      <c r="AE863" t="s">
        <v>94</v>
      </c>
      <c r="AF863" t="s">
        <v>304</v>
      </c>
      <c r="AG863" t="s">
        <v>226</v>
      </c>
      <c r="AH863">
        <v>0</v>
      </c>
      <c r="AI863" t="s">
        <v>3537</v>
      </c>
      <c r="AJ863" t="s">
        <v>1976</v>
      </c>
      <c r="AK863" t="s">
        <v>2426</v>
      </c>
      <c r="AL863" t="s">
        <v>272</v>
      </c>
    </row>
    <row r="864" spans="1:38">
      <c r="A864" t="s">
        <v>4196</v>
      </c>
      <c r="B864" t="s">
        <v>4197</v>
      </c>
      <c r="C864" t="s">
        <v>4198</v>
      </c>
      <c r="D864" t="s">
        <v>4198</v>
      </c>
      <c r="E864" t="s">
        <v>4199</v>
      </c>
      <c r="F864" t="s">
        <v>2413</v>
      </c>
      <c r="G864">
        <v>3</v>
      </c>
      <c r="H864">
        <v>1</v>
      </c>
      <c r="I864">
        <v>0.01</v>
      </c>
      <c r="J864">
        <v>1000</v>
      </c>
      <c r="K864">
        <v>0.33</v>
      </c>
      <c r="L864">
        <v>97</v>
      </c>
      <c r="M864">
        <v>96.68</v>
      </c>
      <c r="N864">
        <v>96.15</v>
      </c>
      <c r="O864">
        <v>97</v>
      </c>
      <c r="P864">
        <v>0</v>
      </c>
      <c r="Q864">
        <v>0</v>
      </c>
      <c r="R864">
        <v>0</v>
      </c>
      <c r="S864">
        <v>96.44</v>
      </c>
      <c r="T864">
        <v>97</v>
      </c>
      <c r="U864">
        <v>95.79</v>
      </c>
      <c r="V864">
        <v>97</v>
      </c>
      <c r="W864">
        <v>468719</v>
      </c>
      <c r="X864">
        <v>96.32</v>
      </c>
      <c r="Y864">
        <v>97.01</v>
      </c>
      <c r="Z864">
        <v>41</v>
      </c>
      <c r="AA864">
        <v>54089</v>
      </c>
      <c r="AB864">
        <v>970</v>
      </c>
      <c r="AC864">
        <v>0</v>
      </c>
      <c r="AD864" t="s">
        <v>94</v>
      </c>
      <c r="AE864" t="s">
        <v>94</v>
      </c>
      <c r="AF864" t="s">
        <v>226</v>
      </c>
      <c r="AG864" t="s">
        <v>226</v>
      </c>
      <c r="AH864">
        <v>6</v>
      </c>
      <c r="AI864" t="s">
        <v>3537</v>
      </c>
      <c r="AJ864" t="s">
        <v>1976</v>
      </c>
      <c r="AK864" t="s">
        <v>2416</v>
      </c>
      <c r="AL864" t="s">
        <v>272</v>
      </c>
    </row>
    <row r="865" spans="1:38">
      <c r="A865" t="s">
        <v>4200</v>
      </c>
      <c r="B865" t="s">
        <v>4201</v>
      </c>
      <c r="C865" t="s">
        <v>4202</v>
      </c>
      <c r="D865" t="s">
        <v>4202</v>
      </c>
      <c r="E865" t="s">
        <v>4203</v>
      </c>
      <c r="F865" t="s">
        <v>2413</v>
      </c>
      <c r="G865">
        <v>3</v>
      </c>
      <c r="H865">
        <v>1</v>
      </c>
      <c r="I865">
        <v>0.01</v>
      </c>
      <c r="J865">
        <v>1000</v>
      </c>
      <c r="K865">
        <v>0.13</v>
      </c>
      <c r="L865">
        <v>75.239999999999995</v>
      </c>
      <c r="M865">
        <v>75.14</v>
      </c>
      <c r="N865">
        <v>75.3</v>
      </c>
      <c r="O865">
        <v>75.239999999999995</v>
      </c>
      <c r="P865">
        <v>0</v>
      </c>
      <c r="Q865">
        <v>0</v>
      </c>
      <c r="R865">
        <v>0</v>
      </c>
      <c r="S865">
        <v>75.61</v>
      </c>
      <c r="T865">
        <v>75.959999999999994</v>
      </c>
      <c r="U865">
        <v>74.739999999999995</v>
      </c>
      <c r="V865">
        <v>76.23</v>
      </c>
      <c r="W865">
        <v>833267</v>
      </c>
      <c r="X865">
        <v>75.23</v>
      </c>
      <c r="Y865">
        <v>75.239999999999995</v>
      </c>
      <c r="Z865">
        <v>142</v>
      </c>
      <c r="AA865">
        <v>200000</v>
      </c>
      <c r="AB865">
        <v>752.4</v>
      </c>
      <c r="AC865">
        <v>0</v>
      </c>
      <c r="AD865" t="s">
        <v>94</v>
      </c>
      <c r="AE865" t="s">
        <v>94</v>
      </c>
      <c r="AF865" t="s">
        <v>226</v>
      </c>
      <c r="AG865" t="s">
        <v>226</v>
      </c>
      <c r="AH865">
        <v>6</v>
      </c>
      <c r="AI865" t="s">
        <v>3537</v>
      </c>
      <c r="AJ865" t="s">
        <v>1976</v>
      </c>
      <c r="AK865" t="s">
        <v>2416</v>
      </c>
      <c r="AL865" t="s">
        <v>272</v>
      </c>
    </row>
    <row r="866" spans="1:38">
      <c r="A866" t="s">
        <v>4204</v>
      </c>
      <c r="B866" t="s">
        <v>4205</v>
      </c>
      <c r="C866" t="s">
        <v>4206</v>
      </c>
      <c r="D866" t="s">
        <v>4206</v>
      </c>
      <c r="E866" t="s">
        <v>4207</v>
      </c>
      <c r="F866" t="s">
        <v>2413</v>
      </c>
      <c r="G866">
        <v>3</v>
      </c>
      <c r="H866">
        <v>1</v>
      </c>
      <c r="I866">
        <v>0.01</v>
      </c>
      <c r="J866">
        <v>1000</v>
      </c>
      <c r="K866">
        <v>0.23</v>
      </c>
      <c r="L866">
        <v>78.72</v>
      </c>
      <c r="M866">
        <v>78.540000000000006</v>
      </c>
      <c r="N866">
        <v>79.959999999999994</v>
      </c>
      <c r="O866">
        <v>78.72</v>
      </c>
      <c r="P866">
        <v>0</v>
      </c>
      <c r="Q866">
        <v>0</v>
      </c>
      <c r="R866">
        <v>0</v>
      </c>
      <c r="S866">
        <v>78.680000000000007</v>
      </c>
      <c r="T866">
        <v>79.33</v>
      </c>
      <c r="U866">
        <v>77.06</v>
      </c>
      <c r="V866">
        <v>80.06</v>
      </c>
      <c r="W866">
        <v>58222</v>
      </c>
      <c r="X866">
        <v>78.67</v>
      </c>
      <c r="Y866">
        <v>78.72</v>
      </c>
      <c r="Z866">
        <v>38</v>
      </c>
      <c r="AA866">
        <v>1150000</v>
      </c>
      <c r="AB866">
        <v>2361.6</v>
      </c>
      <c r="AC866">
        <v>0</v>
      </c>
      <c r="AD866" t="s">
        <v>94</v>
      </c>
      <c r="AE866" t="s">
        <v>94</v>
      </c>
      <c r="AF866" t="s">
        <v>226</v>
      </c>
      <c r="AG866" t="s">
        <v>226</v>
      </c>
      <c r="AH866">
        <v>6</v>
      </c>
      <c r="AI866" t="s">
        <v>3537</v>
      </c>
      <c r="AJ866" t="s">
        <v>1976</v>
      </c>
      <c r="AK866" t="s">
        <v>2416</v>
      </c>
      <c r="AL866" t="s">
        <v>272</v>
      </c>
    </row>
    <row r="867" spans="1:38">
      <c r="A867" t="s">
        <v>4208</v>
      </c>
      <c r="B867" t="s">
        <v>4209</v>
      </c>
      <c r="C867" t="s">
        <v>4210</v>
      </c>
      <c r="D867" t="s">
        <v>4210</v>
      </c>
      <c r="E867" t="s">
        <v>4211</v>
      </c>
      <c r="F867" t="s">
        <v>2413</v>
      </c>
      <c r="G867">
        <v>3</v>
      </c>
      <c r="H867">
        <v>1</v>
      </c>
      <c r="I867">
        <v>0.01</v>
      </c>
      <c r="J867">
        <v>1000</v>
      </c>
      <c r="K867">
        <v>1.93</v>
      </c>
      <c r="L867">
        <v>91.32</v>
      </c>
      <c r="M867">
        <v>89.59</v>
      </c>
      <c r="N867">
        <v>88.53</v>
      </c>
      <c r="O867">
        <v>91.31</v>
      </c>
      <c r="P867">
        <v>0</v>
      </c>
      <c r="Q867">
        <v>0</v>
      </c>
      <c r="R867">
        <v>0</v>
      </c>
      <c r="S867">
        <v>90.95</v>
      </c>
      <c r="T867">
        <v>89.94</v>
      </c>
      <c r="U867">
        <v>89.01</v>
      </c>
      <c r="V867">
        <v>91.32</v>
      </c>
      <c r="W867">
        <v>45476</v>
      </c>
      <c r="X867">
        <v>90.25</v>
      </c>
      <c r="Y867">
        <v>91.3</v>
      </c>
      <c r="Z867">
        <v>19</v>
      </c>
      <c r="AA867">
        <v>100000</v>
      </c>
      <c r="AB867">
        <v>4566</v>
      </c>
      <c r="AC867">
        <v>0</v>
      </c>
      <c r="AD867" t="s">
        <v>94</v>
      </c>
      <c r="AE867" t="s">
        <v>94</v>
      </c>
      <c r="AF867" t="s">
        <v>226</v>
      </c>
      <c r="AG867" t="s">
        <v>226</v>
      </c>
      <c r="AH867">
        <v>6</v>
      </c>
      <c r="AI867" t="s">
        <v>3537</v>
      </c>
      <c r="AJ867" t="s">
        <v>1976</v>
      </c>
      <c r="AK867" t="s">
        <v>2416</v>
      </c>
      <c r="AL867" t="s">
        <v>272</v>
      </c>
    </row>
    <row r="868" spans="1:38">
      <c r="A868" t="s">
        <v>4212</v>
      </c>
      <c r="B868" t="s">
        <v>4213</v>
      </c>
      <c r="C868" t="s">
        <v>4214</v>
      </c>
      <c r="D868" t="s">
        <v>4214</v>
      </c>
      <c r="E868" t="s">
        <v>4215</v>
      </c>
      <c r="F868" t="s">
        <v>2413</v>
      </c>
      <c r="G868">
        <v>3</v>
      </c>
      <c r="H868">
        <v>1</v>
      </c>
      <c r="I868">
        <v>0.01</v>
      </c>
      <c r="J868">
        <v>1000</v>
      </c>
      <c r="K868">
        <v>0.3</v>
      </c>
      <c r="L868">
        <v>87.75</v>
      </c>
      <c r="M868">
        <v>87.5</v>
      </c>
      <c r="N868">
        <v>86.93</v>
      </c>
      <c r="O868">
        <v>87.76</v>
      </c>
      <c r="P868">
        <v>0</v>
      </c>
      <c r="Q868">
        <v>0</v>
      </c>
      <c r="R868">
        <v>0</v>
      </c>
      <c r="S868">
        <v>87.68</v>
      </c>
      <c r="T868">
        <v>87.79</v>
      </c>
      <c r="U868">
        <v>87.35</v>
      </c>
      <c r="V868">
        <v>87.79</v>
      </c>
      <c r="W868">
        <v>41209</v>
      </c>
      <c r="X868">
        <v>87.75</v>
      </c>
      <c r="Y868">
        <v>87.8</v>
      </c>
      <c r="Z868">
        <v>17</v>
      </c>
      <c r="AA868">
        <v>7000000</v>
      </c>
      <c r="AB868">
        <v>7020</v>
      </c>
      <c r="AC868">
        <v>0</v>
      </c>
      <c r="AD868" t="s">
        <v>94</v>
      </c>
      <c r="AE868" t="s">
        <v>94</v>
      </c>
      <c r="AF868" t="s">
        <v>226</v>
      </c>
      <c r="AG868" t="s">
        <v>226</v>
      </c>
      <c r="AH868">
        <v>6</v>
      </c>
      <c r="AI868" t="s">
        <v>3537</v>
      </c>
      <c r="AJ868" t="s">
        <v>1976</v>
      </c>
      <c r="AK868" t="s">
        <v>2416</v>
      </c>
      <c r="AL868" t="s">
        <v>272</v>
      </c>
    </row>
    <row r="869" spans="1:38">
      <c r="A869" t="s">
        <v>4216</v>
      </c>
      <c r="B869" t="s">
        <v>4217</v>
      </c>
      <c r="C869" t="s">
        <v>4218</v>
      </c>
      <c r="D869" t="s">
        <v>4218</v>
      </c>
      <c r="E869" t="s">
        <v>4219</v>
      </c>
      <c r="F869" t="s">
        <v>2413</v>
      </c>
      <c r="G869">
        <v>3</v>
      </c>
      <c r="H869">
        <v>1</v>
      </c>
      <c r="I869">
        <v>0.01</v>
      </c>
      <c r="J869">
        <v>1000</v>
      </c>
      <c r="K869">
        <v>-0.12</v>
      </c>
      <c r="L869">
        <v>92.99</v>
      </c>
      <c r="M869">
        <v>93.1</v>
      </c>
      <c r="N869">
        <v>92.87</v>
      </c>
      <c r="O869">
        <v>92.94</v>
      </c>
      <c r="P869">
        <v>0</v>
      </c>
      <c r="Q869">
        <v>0</v>
      </c>
      <c r="R869">
        <v>0</v>
      </c>
      <c r="S869">
        <v>93.04</v>
      </c>
      <c r="T869">
        <v>93</v>
      </c>
      <c r="U869">
        <v>92.75</v>
      </c>
      <c r="V869">
        <v>93.12</v>
      </c>
      <c r="W869">
        <v>3483194</v>
      </c>
      <c r="X869">
        <v>92.93</v>
      </c>
      <c r="Y869">
        <v>92.99</v>
      </c>
      <c r="Z869">
        <v>126</v>
      </c>
      <c r="AA869">
        <v>7000000</v>
      </c>
      <c r="AB869">
        <v>23247.5</v>
      </c>
      <c r="AC869">
        <v>0</v>
      </c>
      <c r="AD869" t="s">
        <v>94</v>
      </c>
      <c r="AE869" t="s">
        <v>94</v>
      </c>
      <c r="AF869" t="s">
        <v>226</v>
      </c>
      <c r="AG869" t="s">
        <v>226</v>
      </c>
      <c r="AH869">
        <v>800</v>
      </c>
      <c r="AI869" t="s">
        <v>3537</v>
      </c>
      <c r="AJ869" t="s">
        <v>1976</v>
      </c>
      <c r="AK869" t="s">
        <v>2416</v>
      </c>
      <c r="AL869" t="s">
        <v>272</v>
      </c>
    </row>
    <row r="870" spans="1:38">
      <c r="A870" t="s">
        <v>4220</v>
      </c>
      <c r="B870" t="s">
        <v>4221</v>
      </c>
      <c r="C870" t="s">
        <v>4222</v>
      </c>
      <c r="D870" t="s">
        <v>4222</v>
      </c>
      <c r="E870" t="s">
        <v>4223</v>
      </c>
      <c r="F870" t="s">
        <v>2413</v>
      </c>
      <c r="G870">
        <v>3</v>
      </c>
      <c r="H870">
        <v>1</v>
      </c>
      <c r="I870">
        <v>0.01</v>
      </c>
      <c r="J870">
        <v>1000</v>
      </c>
      <c r="K870">
        <v>-0.2</v>
      </c>
      <c r="L870">
        <v>91.29</v>
      </c>
      <c r="M870">
        <v>91.47</v>
      </c>
      <c r="N870">
        <v>91.36</v>
      </c>
      <c r="O870">
        <v>91.29</v>
      </c>
      <c r="P870">
        <v>0</v>
      </c>
      <c r="Q870">
        <v>0</v>
      </c>
      <c r="R870">
        <v>0</v>
      </c>
      <c r="S870">
        <v>91.26</v>
      </c>
      <c r="T870">
        <v>91.47</v>
      </c>
      <c r="U870">
        <v>91</v>
      </c>
      <c r="V870">
        <v>92.13</v>
      </c>
      <c r="W870">
        <v>1271202</v>
      </c>
      <c r="X870">
        <v>91.11</v>
      </c>
      <c r="Y870">
        <v>91.28</v>
      </c>
      <c r="Z870">
        <v>50</v>
      </c>
      <c r="AA870">
        <v>10000000</v>
      </c>
      <c r="AB870">
        <v>5477.4</v>
      </c>
      <c r="AC870">
        <v>0</v>
      </c>
      <c r="AD870" t="s">
        <v>94</v>
      </c>
      <c r="AE870" t="s">
        <v>94</v>
      </c>
      <c r="AF870" t="s">
        <v>226</v>
      </c>
      <c r="AG870" t="s">
        <v>226</v>
      </c>
      <c r="AH870">
        <v>800</v>
      </c>
      <c r="AI870" t="s">
        <v>3537</v>
      </c>
      <c r="AJ870" t="s">
        <v>1976</v>
      </c>
      <c r="AK870" t="s">
        <v>2416</v>
      </c>
      <c r="AL870" t="s">
        <v>272</v>
      </c>
    </row>
    <row r="871" spans="1:38">
      <c r="A871" t="s">
        <v>4224</v>
      </c>
      <c r="B871" t="s">
        <v>4225</v>
      </c>
      <c r="C871" t="s">
        <v>4226</v>
      </c>
      <c r="D871" t="s">
        <v>4226</v>
      </c>
      <c r="E871" t="s">
        <v>4227</v>
      </c>
      <c r="F871" t="s">
        <v>2413</v>
      </c>
      <c r="G871">
        <v>3</v>
      </c>
      <c r="H871">
        <v>1</v>
      </c>
      <c r="I871">
        <v>0.01</v>
      </c>
      <c r="J871">
        <v>1000</v>
      </c>
      <c r="K871">
        <v>-0.28999999999999998</v>
      </c>
      <c r="L871">
        <v>92.49</v>
      </c>
      <c r="M871">
        <v>92.76</v>
      </c>
      <c r="N871">
        <v>92.71</v>
      </c>
      <c r="O871">
        <v>92.49</v>
      </c>
      <c r="P871">
        <v>0</v>
      </c>
      <c r="Q871">
        <v>0</v>
      </c>
      <c r="R871">
        <v>0</v>
      </c>
      <c r="S871">
        <v>92.5</v>
      </c>
      <c r="T871">
        <v>92.76</v>
      </c>
      <c r="U871">
        <v>92.41</v>
      </c>
      <c r="V871">
        <v>92.76</v>
      </c>
      <c r="W871">
        <v>606782</v>
      </c>
      <c r="X871">
        <v>92.43</v>
      </c>
      <c r="Y871">
        <v>92.49</v>
      </c>
      <c r="Z871">
        <v>36</v>
      </c>
      <c r="AA871">
        <v>10000000</v>
      </c>
      <c r="AB871">
        <v>3699.6</v>
      </c>
      <c r="AC871">
        <v>0</v>
      </c>
      <c r="AD871" t="s">
        <v>94</v>
      </c>
      <c r="AE871" t="s">
        <v>94</v>
      </c>
      <c r="AF871" t="s">
        <v>226</v>
      </c>
      <c r="AG871" t="s">
        <v>226</v>
      </c>
      <c r="AH871">
        <v>800</v>
      </c>
      <c r="AI871" t="s">
        <v>3537</v>
      </c>
      <c r="AJ871" t="s">
        <v>1976</v>
      </c>
      <c r="AK871" t="s">
        <v>2416</v>
      </c>
      <c r="AL871" t="s">
        <v>272</v>
      </c>
    </row>
    <row r="872" spans="1:38">
      <c r="A872" t="s">
        <v>4228</v>
      </c>
      <c r="B872" t="s">
        <v>4229</v>
      </c>
      <c r="C872" t="s">
        <v>4230</v>
      </c>
      <c r="D872" t="s">
        <v>4230</v>
      </c>
      <c r="E872" t="s">
        <v>4231</v>
      </c>
      <c r="F872" t="s">
        <v>2413</v>
      </c>
      <c r="G872">
        <v>3</v>
      </c>
      <c r="H872">
        <v>1</v>
      </c>
      <c r="I872">
        <v>0.01</v>
      </c>
      <c r="J872">
        <v>1000</v>
      </c>
      <c r="K872">
        <v>0.51</v>
      </c>
      <c r="L872">
        <v>100.9</v>
      </c>
      <c r="M872">
        <v>100.39</v>
      </c>
      <c r="N872">
        <v>97.71</v>
      </c>
      <c r="O872">
        <v>100.9</v>
      </c>
      <c r="P872">
        <v>0</v>
      </c>
      <c r="Q872">
        <v>0</v>
      </c>
      <c r="R872">
        <v>0</v>
      </c>
      <c r="S872">
        <v>100.9</v>
      </c>
      <c r="T872">
        <v>100.9</v>
      </c>
      <c r="U872">
        <v>100.9</v>
      </c>
      <c r="V872">
        <v>100.9</v>
      </c>
      <c r="W872">
        <v>1009</v>
      </c>
      <c r="X872">
        <v>100.9</v>
      </c>
      <c r="Y872">
        <v>120</v>
      </c>
      <c r="Z872">
        <v>1</v>
      </c>
      <c r="AA872">
        <v>3000000</v>
      </c>
      <c r="AB872">
        <v>1009</v>
      </c>
      <c r="AC872">
        <v>0</v>
      </c>
      <c r="AD872" t="s">
        <v>94</v>
      </c>
      <c r="AE872" t="s">
        <v>94</v>
      </c>
      <c r="AF872" t="s">
        <v>226</v>
      </c>
      <c r="AG872" t="s">
        <v>226</v>
      </c>
      <c r="AH872">
        <v>6</v>
      </c>
      <c r="AI872" t="s">
        <v>3537</v>
      </c>
      <c r="AJ872" t="s">
        <v>1976</v>
      </c>
      <c r="AK872" t="s">
        <v>2416</v>
      </c>
      <c r="AL872" t="s">
        <v>272</v>
      </c>
    </row>
    <row r="873" spans="1:38">
      <c r="A873" t="s">
        <v>4232</v>
      </c>
      <c r="B873" t="s">
        <v>4233</v>
      </c>
      <c r="C873" t="s">
        <v>4234</v>
      </c>
      <c r="D873" t="s">
        <v>4234</v>
      </c>
      <c r="E873" t="s">
        <v>4235</v>
      </c>
      <c r="F873" t="s">
        <v>2425</v>
      </c>
      <c r="G873">
        <v>2</v>
      </c>
      <c r="H873">
        <v>1</v>
      </c>
      <c r="I873">
        <v>0.01</v>
      </c>
      <c r="J873">
        <v>1000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21727365</v>
      </c>
      <c r="AB873">
        <v>0</v>
      </c>
      <c r="AC873">
        <v>0</v>
      </c>
      <c r="AD873" t="s">
        <v>94</v>
      </c>
      <c r="AE873" t="s">
        <v>94</v>
      </c>
      <c r="AF873" t="s">
        <v>226</v>
      </c>
      <c r="AG873" t="s">
        <v>226</v>
      </c>
      <c r="AH873">
        <v>8</v>
      </c>
      <c r="AI873" t="s">
        <v>3537</v>
      </c>
      <c r="AJ873" t="s">
        <v>1976</v>
      </c>
      <c r="AK873" t="s">
        <v>2426</v>
      </c>
      <c r="AL873" t="s">
        <v>272</v>
      </c>
    </row>
    <row r="874" spans="1:38">
      <c r="A874" t="s">
        <v>4236</v>
      </c>
      <c r="B874" t="s">
        <v>4237</v>
      </c>
      <c r="C874" t="s">
        <v>4238</v>
      </c>
      <c r="D874" t="s">
        <v>4238</v>
      </c>
      <c r="E874" t="s">
        <v>4239</v>
      </c>
      <c r="F874" t="s">
        <v>2425</v>
      </c>
      <c r="G874">
        <v>2</v>
      </c>
      <c r="H874">
        <v>1</v>
      </c>
      <c r="I874">
        <v>0.01</v>
      </c>
      <c r="J874">
        <v>1000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16706535</v>
      </c>
      <c r="AB874">
        <v>0</v>
      </c>
      <c r="AC874">
        <v>0</v>
      </c>
      <c r="AD874" t="s">
        <v>94</v>
      </c>
      <c r="AE874" t="s">
        <v>94</v>
      </c>
      <c r="AF874" t="s">
        <v>226</v>
      </c>
      <c r="AG874" t="s">
        <v>226</v>
      </c>
      <c r="AH874">
        <v>8</v>
      </c>
      <c r="AI874" t="s">
        <v>3537</v>
      </c>
      <c r="AJ874" t="s">
        <v>1976</v>
      </c>
      <c r="AK874" t="s">
        <v>2426</v>
      </c>
      <c r="AL874" t="s">
        <v>272</v>
      </c>
    </row>
    <row r="875" spans="1:38">
      <c r="A875" t="s">
        <v>4240</v>
      </c>
      <c r="B875" t="s">
        <v>4241</v>
      </c>
      <c r="C875" t="s">
        <v>4242</v>
      </c>
      <c r="D875" t="s">
        <v>4242</v>
      </c>
      <c r="E875" t="s">
        <v>4243</v>
      </c>
      <c r="F875" t="s">
        <v>2413</v>
      </c>
      <c r="G875">
        <v>2</v>
      </c>
      <c r="H875">
        <v>1</v>
      </c>
      <c r="I875">
        <v>0.01</v>
      </c>
      <c r="J875">
        <v>780</v>
      </c>
      <c r="K875">
        <v>0</v>
      </c>
      <c r="L875">
        <v>0</v>
      </c>
      <c r="M875">
        <v>136</v>
      </c>
      <c r="N875">
        <v>120.64</v>
      </c>
      <c r="O875">
        <v>136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111.94</v>
      </c>
      <c r="Y875">
        <v>140</v>
      </c>
      <c r="Z875">
        <v>0</v>
      </c>
      <c r="AA875">
        <v>2719800</v>
      </c>
      <c r="AB875">
        <v>0</v>
      </c>
      <c r="AC875">
        <v>0</v>
      </c>
      <c r="AD875" t="s">
        <v>94</v>
      </c>
      <c r="AE875" t="s">
        <v>94</v>
      </c>
      <c r="AF875" t="s">
        <v>226</v>
      </c>
      <c r="AG875" t="s">
        <v>226</v>
      </c>
      <c r="AH875">
        <v>8</v>
      </c>
      <c r="AI875" t="s">
        <v>3537</v>
      </c>
      <c r="AJ875" t="s">
        <v>1976</v>
      </c>
      <c r="AK875" t="s">
        <v>2416</v>
      </c>
      <c r="AL875" t="s">
        <v>272</v>
      </c>
    </row>
    <row r="876" spans="1:38">
      <c r="A876" t="s">
        <v>4244</v>
      </c>
      <c r="B876" t="s">
        <v>4245</v>
      </c>
      <c r="C876" t="s">
        <v>4246</v>
      </c>
      <c r="D876" t="s">
        <v>4246</v>
      </c>
      <c r="E876" t="s">
        <v>4247</v>
      </c>
      <c r="F876" t="s">
        <v>2413</v>
      </c>
      <c r="G876">
        <v>2</v>
      </c>
      <c r="H876">
        <v>1</v>
      </c>
      <c r="I876">
        <v>0.01</v>
      </c>
      <c r="J876">
        <v>800</v>
      </c>
      <c r="K876">
        <v>-0.01</v>
      </c>
      <c r="L876">
        <v>93.32</v>
      </c>
      <c r="M876">
        <v>93.33</v>
      </c>
      <c r="N876">
        <v>93.31</v>
      </c>
      <c r="O876">
        <v>93.32</v>
      </c>
      <c r="P876">
        <v>0</v>
      </c>
      <c r="Q876">
        <v>0</v>
      </c>
      <c r="R876">
        <v>0</v>
      </c>
      <c r="S876">
        <v>93.45</v>
      </c>
      <c r="T876">
        <v>93.57</v>
      </c>
      <c r="U876">
        <v>93.25</v>
      </c>
      <c r="V876">
        <v>93.57</v>
      </c>
      <c r="W876">
        <v>40370</v>
      </c>
      <c r="X876">
        <v>93.3</v>
      </c>
      <c r="Y876">
        <v>93.5</v>
      </c>
      <c r="Z876">
        <v>9</v>
      </c>
      <c r="AA876">
        <v>18645167</v>
      </c>
      <c r="AB876">
        <v>746.56</v>
      </c>
      <c r="AC876">
        <v>0</v>
      </c>
      <c r="AD876" t="s">
        <v>94</v>
      </c>
      <c r="AE876" t="s">
        <v>94</v>
      </c>
      <c r="AF876" t="s">
        <v>226</v>
      </c>
      <c r="AG876" t="s">
        <v>226</v>
      </c>
      <c r="AH876">
        <v>6</v>
      </c>
      <c r="AI876" t="s">
        <v>3537</v>
      </c>
      <c r="AJ876" t="s">
        <v>1976</v>
      </c>
      <c r="AK876" t="s">
        <v>2416</v>
      </c>
      <c r="AL876" t="s">
        <v>272</v>
      </c>
    </row>
    <row r="877" spans="1:38">
      <c r="A877" t="s">
        <v>4248</v>
      </c>
      <c r="B877" t="s">
        <v>4249</v>
      </c>
      <c r="C877" t="s">
        <v>4250</v>
      </c>
      <c r="D877" t="s">
        <v>4250</v>
      </c>
      <c r="E877" t="s">
        <v>4251</v>
      </c>
      <c r="F877" t="s">
        <v>2413</v>
      </c>
      <c r="G877">
        <v>2</v>
      </c>
      <c r="H877">
        <v>1</v>
      </c>
      <c r="I877">
        <v>0.01</v>
      </c>
      <c r="J877">
        <v>895</v>
      </c>
      <c r="K877">
        <v>0.02</v>
      </c>
      <c r="L877">
        <v>85.52</v>
      </c>
      <c r="M877">
        <v>85.5</v>
      </c>
      <c r="N877">
        <v>85.52</v>
      </c>
      <c r="O877">
        <v>85.41</v>
      </c>
      <c r="P877">
        <v>0</v>
      </c>
      <c r="Q877">
        <v>0</v>
      </c>
      <c r="R877">
        <v>0</v>
      </c>
      <c r="S877">
        <v>85.57</v>
      </c>
      <c r="T877">
        <v>86.55</v>
      </c>
      <c r="U877">
        <v>85.28</v>
      </c>
      <c r="V877">
        <v>86.57</v>
      </c>
      <c r="W877">
        <v>1204703</v>
      </c>
      <c r="X877">
        <v>85.52</v>
      </c>
      <c r="Y877">
        <v>85.55</v>
      </c>
      <c r="Z877">
        <v>61</v>
      </c>
      <c r="AA877">
        <v>14000000</v>
      </c>
      <c r="AB877">
        <v>6888.64</v>
      </c>
      <c r="AC877">
        <v>0</v>
      </c>
      <c r="AD877" t="s">
        <v>94</v>
      </c>
      <c r="AE877" t="s">
        <v>94</v>
      </c>
      <c r="AF877" t="s">
        <v>226</v>
      </c>
      <c r="AG877" t="s">
        <v>226</v>
      </c>
      <c r="AH877">
        <v>6</v>
      </c>
      <c r="AI877" t="s">
        <v>3537</v>
      </c>
      <c r="AJ877" t="s">
        <v>1976</v>
      </c>
      <c r="AK877" t="s">
        <v>2416</v>
      </c>
      <c r="AL877" t="s">
        <v>272</v>
      </c>
    </row>
    <row r="878" spans="1:38">
      <c r="A878" t="s">
        <v>4252</v>
      </c>
      <c r="B878" t="s">
        <v>4253</v>
      </c>
      <c r="C878" t="s">
        <v>4254</v>
      </c>
      <c r="D878" t="s">
        <v>4254</v>
      </c>
      <c r="E878" t="s">
        <v>4255</v>
      </c>
      <c r="F878" t="s">
        <v>2413</v>
      </c>
      <c r="G878">
        <v>2</v>
      </c>
      <c r="H878">
        <v>1</v>
      </c>
      <c r="I878">
        <v>0.01</v>
      </c>
      <c r="J878">
        <v>1000</v>
      </c>
      <c r="K878">
        <v>2.67</v>
      </c>
      <c r="L878">
        <v>77.34</v>
      </c>
      <c r="M878">
        <v>75.33</v>
      </c>
      <c r="N878">
        <v>75.12</v>
      </c>
      <c r="O878">
        <v>77.34</v>
      </c>
      <c r="P878">
        <v>0</v>
      </c>
      <c r="Q878">
        <v>0</v>
      </c>
      <c r="R878">
        <v>0</v>
      </c>
      <c r="S878">
        <v>76.69</v>
      </c>
      <c r="T878">
        <v>75.319999999999993</v>
      </c>
      <c r="U878">
        <v>75.319999999999993</v>
      </c>
      <c r="V878">
        <v>77.36</v>
      </c>
      <c r="W878">
        <v>564406</v>
      </c>
      <c r="X878">
        <v>77.150000000000006</v>
      </c>
      <c r="Y878">
        <v>77.34</v>
      </c>
      <c r="Z878">
        <v>75</v>
      </c>
      <c r="AA878">
        <v>30513100</v>
      </c>
      <c r="AB878">
        <v>6187.2</v>
      </c>
      <c r="AC878">
        <v>0</v>
      </c>
      <c r="AD878" t="s">
        <v>94</v>
      </c>
      <c r="AE878" t="s">
        <v>94</v>
      </c>
      <c r="AF878" t="s">
        <v>226</v>
      </c>
      <c r="AG878" t="s">
        <v>226</v>
      </c>
      <c r="AH878">
        <v>6</v>
      </c>
      <c r="AI878" t="s">
        <v>3537</v>
      </c>
      <c r="AJ878" t="s">
        <v>1976</v>
      </c>
      <c r="AK878" t="s">
        <v>2416</v>
      </c>
      <c r="AL878" t="s">
        <v>272</v>
      </c>
    </row>
    <row r="879" spans="1:38">
      <c r="A879" t="s">
        <v>4256</v>
      </c>
      <c r="B879" t="s">
        <v>4257</v>
      </c>
      <c r="C879" t="s">
        <v>4258</v>
      </c>
      <c r="D879" t="s">
        <v>4258</v>
      </c>
      <c r="E879" t="s">
        <v>4259</v>
      </c>
      <c r="F879" t="s">
        <v>2413</v>
      </c>
      <c r="G879">
        <v>2</v>
      </c>
      <c r="H879">
        <v>1</v>
      </c>
      <c r="I879">
        <v>0.01</v>
      </c>
      <c r="J879">
        <v>1000</v>
      </c>
      <c r="K879">
        <v>0.65</v>
      </c>
      <c r="L879">
        <v>87.7</v>
      </c>
      <c r="M879">
        <v>87.13</v>
      </c>
      <c r="N879">
        <v>86.34</v>
      </c>
      <c r="O879">
        <v>87.7</v>
      </c>
      <c r="P879">
        <v>0</v>
      </c>
      <c r="Q879">
        <v>0</v>
      </c>
      <c r="R879">
        <v>0</v>
      </c>
      <c r="S879">
        <v>87.33</v>
      </c>
      <c r="T879">
        <v>86.89</v>
      </c>
      <c r="U879">
        <v>86.87</v>
      </c>
      <c r="V879">
        <v>88.27</v>
      </c>
      <c r="W879">
        <v>846207</v>
      </c>
      <c r="X879">
        <v>87.83</v>
      </c>
      <c r="Y879">
        <v>88.18</v>
      </c>
      <c r="Z879">
        <v>72</v>
      </c>
      <c r="AA879">
        <v>4000000</v>
      </c>
      <c r="AB879">
        <v>2631</v>
      </c>
      <c r="AC879">
        <v>0</v>
      </c>
      <c r="AD879" t="s">
        <v>94</v>
      </c>
      <c r="AE879" t="s">
        <v>94</v>
      </c>
      <c r="AF879" t="s">
        <v>226</v>
      </c>
      <c r="AG879" t="s">
        <v>226</v>
      </c>
      <c r="AH879">
        <v>6</v>
      </c>
      <c r="AI879" t="s">
        <v>3537</v>
      </c>
      <c r="AJ879" t="s">
        <v>1976</v>
      </c>
      <c r="AK879" t="s">
        <v>2416</v>
      </c>
      <c r="AL879" t="s">
        <v>272</v>
      </c>
    </row>
    <row r="880" spans="1:38">
      <c r="A880" t="s">
        <v>4260</v>
      </c>
      <c r="B880" t="s">
        <v>4261</v>
      </c>
      <c r="C880" t="s">
        <v>4262</v>
      </c>
      <c r="D880" t="s">
        <v>4262</v>
      </c>
      <c r="E880" t="s">
        <v>4263</v>
      </c>
      <c r="F880" t="s">
        <v>2413</v>
      </c>
      <c r="G880">
        <v>2</v>
      </c>
      <c r="H880">
        <v>1</v>
      </c>
      <c r="I880">
        <v>0.01</v>
      </c>
      <c r="J880">
        <v>1000</v>
      </c>
      <c r="K880">
        <v>0.28999999999999998</v>
      </c>
      <c r="L880">
        <v>78.959999999999994</v>
      </c>
      <c r="M880">
        <v>78.83</v>
      </c>
      <c r="N880">
        <v>77.819999999999993</v>
      </c>
      <c r="O880">
        <v>78.959999999999994</v>
      </c>
      <c r="P880">
        <v>0</v>
      </c>
      <c r="Q880">
        <v>0</v>
      </c>
      <c r="R880">
        <v>0</v>
      </c>
      <c r="S880">
        <v>78.94</v>
      </c>
      <c r="T880">
        <v>78.41</v>
      </c>
      <c r="U880">
        <v>78.400000000000006</v>
      </c>
      <c r="V880">
        <v>79.180000000000007</v>
      </c>
      <c r="W880">
        <v>207619</v>
      </c>
      <c r="X880">
        <v>78.959999999999994</v>
      </c>
      <c r="Y880">
        <v>79</v>
      </c>
      <c r="Z880">
        <v>35</v>
      </c>
      <c r="AA880">
        <v>5000000</v>
      </c>
      <c r="AB880">
        <v>2368.8000000000002</v>
      </c>
      <c r="AC880">
        <v>0</v>
      </c>
      <c r="AD880" t="s">
        <v>94</v>
      </c>
      <c r="AE880" t="s">
        <v>94</v>
      </c>
      <c r="AF880" t="s">
        <v>226</v>
      </c>
      <c r="AG880" t="s">
        <v>226</v>
      </c>
      <c r="AH880">
        <v>6</v>
      </c>
      <c r="AI880" t="s">
        <v>3537</v>
      </c>
      <c r="AJ880" t="s">
        <v>1976</v>
      </c>
      <c r="AK880" t="s">
        <v>2416</v>
      </c>
      <c r="AL880" t="s">
        <v>272</v>
      </c>
    </row>
    <row r="881" spans="1:38">
      <c r="A881" t="s">
        <v>4264</v>
      </c>
      <c r="B881" t="s">
        <v>4265</v>
      </c>
      <c r="C881" t="s">
        <v>4266</v>
      </c>
      <c r="D881" t="s">
        <v>4266</v>
      </c>
      <c r="E881" t="s">
        <v>4267</v>
      </c>
      <c r="F881" t="s">
        <v>2413</v>
      </c>
      <c r="G881">
        <v>2</v>
      </c>
      <c r="H881">
        <v>1</v>
      </c>
      <c r="I881">
        <v>0.01</v>
      </c>
      <c r="J881">
        <v>1000</v>
      </c>
      <c r="K881">
        <v>-1.76</v>
      </c>
      <c r="L881">
        <v>82.1</v>
      </c>
      <c r="M881">
        <v>83.57</v>
      </c>
      <c r="N881">
        <v>82.27</v>
      </c>
      <c r="O881">
        <v>82.1</v>
      </c>
      <c r="P881">
        <v>0</v>
      </c>
      <c r="Q881">
        <v>0</v>
      </c>
      <c r="R881">
        <v>0</v>
      </c>
      <c r="S881">
        <v>82.1</v>
      </c>
      <c r="T881">
        <v>81.77</v>
      </c>
      <c r="U881">
        <v>81.760000000000005</v>
      </c>
      <c r="V881">
        <v>82.7</v>
      </c>
      <c r="W881">
        <v>384234</v>
      </c>
      <c r="X881">
        <v>81.97</v>
      </c>
      <c r="Y881">
        <v>82.09</v>
      </c>
      <c r="Z881">
        <v>48</v>
      </c>
      <c r="AA881">
        <v>4000000</v>
      </c>
      <c r="AB881">
        <v>96057</v>
      </c>
      <c r="AC881">
        <v>0</v>
      </c>
      <c r="AD881" t="s">
        <v>94</v>
      </c>
      <c r="AE881" t="s">
        <v>94</v>
      </c>
      <c r="AF881" t="s">
        <v>226</v>
      </c>
      <c r="AG881" t="s">
        <v>226</v>
      </c>
      <c r="AH881">
        <v>6</v>
      </c>
      <c r="AI881" t="s">
        <v>3537</v>
      </c>
      <c r="AJ881" t="s">
        <v>1976</v>
      </c>
      <c r="AK881" t="s">
        <v>2416</v>
      </c>
      <c r="AL881" t="s">
        <v>272</v>
      </c>
    </row>
    <row r="882" spans="1:38">
      <c r="A882" t="s">
        <v>4268</v>
      </c>
      <c r="B882" t="s">
        <v>4269</v>
      </c>
      <c r="C882" t="s">
        <v>4270</v>
      </c>
      <c r="D882" t="s">
        <v>4270</v>
      </c>
      <c r="E882" t="s">
        <v>4271</v>
      </c>
      <c r="F882" t="s">
        <v>2413</v>
      </c>
      <c r="G882">
        <v>2</v>
      </c>
      <c r="H882">
        <v>1</v>
      </c>
      <c r="I882">
        <v>0.01</v>
      </c>
      <c r="J882">
        <v>800</v>
      </c>
      <c r="K882">
        <v>-0.9</v>
      </c>
      <c r="L882">
        <v>81.180000000000007</v>
      </c>
      <c r="M882">
        <v>81.92</v>
      </c>
      <c r="N882">
        <v>80.959999999999994</v>
      </c>
      <c r="O882">
        <v>81.180000000000007</v>
      </c>
      <c r="P882">
        <v>0</v>
      </c>
      <c r="Q882">
        <v>0</v>
      </c>
      <c r="R882">
        <v>0</v>
      </c>
      <c r="S882">
        <v>81.17</v>
      </c>
      <c r="T882">
        <v>81.290000000000006</v>
      </c>
      <c r="U882">
        <v>80.900000000000006</v>
      </c>
      <c r="V882">
        <v>81.88</v>
      </c>
      <c r="W882">
        <v>6484317</v>
      </c>
      <c r="X882">
        <v>81.05</v>
      </c>
      <c r="Y882">
        <v>81.180000000000007</v>
      </c>
      <c r="Z882">
        <v>138</v>
      </c>
      <c r="AA882">
        <v>20000000</v>
      </c>
      <c r="AB882">
        <v>40265.279999999999</v>
      </c>
      <c r="AC882">
        <v>0</v>
      </c>
      <c r="AD882" t="s">
        <v>94</v>
      </c>
      <c r="AE882" t="s">
        <v>94</v>
      </c>
      <c r="AF882" t="s">
        <v>226</v>
      </c>
      <c r="AG882" t="s">
        <v>226</v>
      </c>
      <c r="AH882">
        <v>6</v>
      </c>
      <c r="AI882" t="s">
        <v>3537</v>
      </c>
      <c r="AJ882" t="s">
        <v>1976</v>
      </c>
      <c r="AK882" t="s">
        <v>2416</v>
      </c>
      <c r="AL882" t="s">
        <v>272</v>
      </c>
    </row>
    <row r="883" spans="1:38">
      <c r="A883" t="s">
        <v>4272</v>
      </c>
      <c r="B883" t="s">
        <v>4273</v>
      </c>
      <c r="C883" t="s">
        <v>4274</v>
      </c>
      <c r="D883" t="s">
        <v>4274</v>
      </c>
      <c r="E883" t="s">
        <v>4275</v>
      </c>
      <c r="F883" t="s">
        <v>2413</v>
      </c>
      <c r="G883">
        <v>2</v>
      </c>
      <c r="H883">
        <v>1</v>
      </c>
      <c r="I883">
        <v>0.01</v>
      </c>
      <c r="J883">
        <v>1000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20000000</v>
      </c>
      <c r="AB883">
        <v>0</v>
      </c>
      <c r="AC883">
        <v>0</v>
      </c>
      <c r="AD883" t="s">
        <v>94</v>
      </c>
      <c r="AE883" t="s">
        <v>94</v>
      </c>
      <c r="AF883" t="s">
        <v>226</v>
      </c>
      <c r="AG883" t="s">
        <v>226</v>
      </c>
      <c r="AH883">
        <v>6</v>
      </c>
      <c r="AI883" t="s">
        <v>3537</v>
      </c>
      <c r="AJ883" t="s">
        <v>1976</v>
      </c>
      <c r="AK883" t="s">
        <v>2416</v>
      </c>
      <c r="AL883" t="s">
        <v>272</v>
      </c>
    </row>
    <row r="884" spans="1:38">
      <c r="A884" t="s">
        <v>4276</v>
      </c>
      <c r="B884" t="s">
        <v>4277</v>
      </c>
      <c r="C884" t="s">
        <v>4278</v>
      </c>
      <c r="D884" t="s">
        <v>4278</v>
      </c>
      <c r="E884" t="s">
        <v>4279</v>
      </c>
      <c r="F884" t="s">
        <v>2413</v>
      </c>
      <c r="G884">
        <v>2</v>
      </c>
      <c r="H884">
        <v>1</v>
      </c>
      <c r="I884">
        <v>0.01</v>
      </c>
      <c r="J884">
        <v>1000</v>
      </c>
      <c r="K884">
        <v>1.07</v>
      </c>
      <c r="L884">
        <v>85.06</v>
      </c>
      <c r="M884">
        <v>84.16</v>
      </c>
      <c r="N884">
        <v>83.48</v>
      </c>
      <c r="O884">
        <v>85.07</v>
      </c>
      <c r="P884">
        <v>0</v>
      </c>
      <c r="Q884">
        <v>0</v>
      </c>
      <c r="R884">
        <v>0</v>
      </c>
      <c r="S884">
        <v>84.21</v>
      </c>
      <c r="T884">
        <v>84.18</v>
      </c>
      <c r="U884">
        <v>83.86</v>
      </c>
      <c r="V884">
        <v>85.38</v>
      </c>
      <c r="W884">
        <v>820227</v>
      </c>
      <c r="X884">
        <v>84.98</v>
      </c>
      <c r="Y884">
        <v>85.23</v>
      </c>
      <c r="Z884">
        <v>83</v>
      </c>
      <c r="AA884">
        <v>25237500</v>
      </c>
      <c r="AB884">
        <v>850.6</v>
      </c>
      <c r="AC884">
        <v>0</v>
      </c>
      <c r="AD884" t="s">
        <v>94</v>
      </c>
      <c r="AE884" t="s">
        <v>94</v>
      </c>
      <c r="AF884" t="s">
        <v>226</v>
      </c>
      <c r="AG884" t="s">
        <v>226</v>
      </c>
      <c r="AH884">
        <v>6</v>
      </c>
      <c r="AI884" t="s">
        <v>3537</v>
      </c>
      <c r="AJ884" t="s">
        <v>1976</v>
      </c>
      <c r="AK884" t="s">
        <v>2416</v>
      </c>
      <c r="AL884" t="s">
        <v>272</v>
      </c>
    </row>
    <row r="885" spans="1:38">
      <c r="A885" t="s">
        <v>4280</v>
      </c>
      <c r="B885" t="s">
        <v>4281</v>
      </c>
      <c r="C885" t="s">
        <v>4282</v>
      </c>
      <c r="D885" t="s">
        <v>4282</v>
      </c>
      <c r="E885" t="s">
        <v>4283</v>
      </c>
      <c r="F885" t="s">
        <v>2413</v>
      </c>
      <c r="G885">
        <v>2</v>
      </c>
      <c r="H885">
        <v>1</v>
      </c>
      <c r="I885">
        <v>0.01</v>
      </c>
      <c r="J885">
        <v>1000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2000000</v>
      </c>
      <c r="AB885">
        <v>0</v>
      </c>
      <c r="AC885">
        <v>0</v>
      </c>
      <c r="AD885" t="s">
        <v>94</v>
      </c>
      <c r="AE885" t="s">
        <v>94</v>
      </c>
      <c r="AF885" t="s">
        <v>226</v>
      </c>
      <c r="AG885" t="s">
        <v>226</v>
      </c>
      <c r="AH885">
        <v>6</v>
      </c>
      <c r="AI885" t="s">
        <v>3537</v>
      </c>
      <c r="AJ885" t="s">
        <v>1976</v>
      </c>
      <c r="AK885" t="s">
        <v>2416</v>
      </c>
      <c r="AL885" t="s">
        <v>272</v>
      </c>
    </row>
    <row r="886" spans="1:38">
      <c r="A886" t="s">
        <v>4284</v>
      </c>
      <c r="B886" t="s">
        <v>4285</v>
      </c>
      <c r="C886" t="s">
        <v>4286</v>
      </c>
      <c r="D886" t="s">
        <v>4286</v>
      </c>
      <c r="E886" t="s">
        <v>4287</v>
      </c>
      <c r="F886" t="s">
        <v>2413</v>
      </c>
      <c r="G886">
        <v>3</v>
      </c>
      <c r="H886">
        <v>1</v>
      </c>
      <c r="I886">
        <v>1E-4</v>
      </c>
      <c r="J886">
        <v>100</v>
      </c>
      <c r="K886">
        <v>0</v>
      </c>
      <c r="L886">
        <v>105</v>
      </c>
      <c r="M886">
        <v>0</v>
      </c>
      <c r="N886">
        <v>0</v>
      </c>
      <c r="O886">
        <v>105</v>
      </c>
      <c r="P886">
        <v>0</v>
      </c>
      <c r="Q886">
        <v>0</v>
      </c>
      <c r="R886">
        <v>0</v>
      </c>
      <c r="S886">
        <v>105</v>
      </c>
      <c r="T886">
        <v>105</v>
      </c>
      <c r="U886">
        <v>105</v>
      </c>
      <c r="V886">
        <v>105</v>
      </c>
      <c r="W886">
        <v>3056</v>
      </c>
      <c r="X886">
        <v>100</v>
      </c>
      <c r="Y886">
        <v>105</v>
      </c>
      <c r="Z886">
        <v>2</v>
      </c>
      <c r="AA886">
        <v>170000</v>
      </c>
      <c r="AB886">
        <v>1528.22</v>
      </c>
      <c r="AC886">
        <v>0</v>
      </c>
      <c r="AD886" t="s">
        <v>1663</v>
      </c>
      <c r="AE886" t="s">
        <v>94</v>
      </c>
      <c r="AF886" t="s">
        <v>226</v>
      </c>
      <c r="AG886" t="s">
        <v>226</v>
      </c>
      <c r="AH886">
        <v>6</v>
      </c>
      <c r="AI886" t="s">
        <v>3537</v>
      </c>
      <c r="AJ886" t="s">
        <v>1976</v>
      </c>
      <c r="AK886" t="s">
        <v>2416</v>
      </c>
      <c r="AL886" t="s">
        <v>272</v>
      </c>
    </row>
    <row r="887" spans="1:38">
      <c r="A887" t="s">
        <v>4288</v>
      </c>
      <c r="B887" t="s">
        <v>4289</v>
      </c>
      <c r="C887" t="s">
        <v>4290</v>
      </c>
      <c r="D887" t="s">
        <v>4290</v>
      </c>
      <c r="E887" t="s">
        <v>4291</v>
      </c>
      <c r="F887" t="s">
        <v>2413</v>
      </c>
      <c r="G887">
        <v>3</v>
      </c>
      <c r="H887">
        <v>1</v>
      </c>
      <c r="I887">
        <v>0.01</v>
      </c>
      <c r="J887">
        <v>1000</v>
      </c>
      <c r="K887">
        <v>-1.89</v>
      </c>
      <c r="L887">
        <v>91.57</v>
      </c>
      <c r="M887">
        <v>93.33</v>
      </c>
      <c r="N887">
        <v>93.19</v>
      </c>
      <c r="O887">
        <v>91.57</v>
      </c>
      <c r="P887">
        <v>0</v>
      </c>
      <c r="Q887">
        <v>0</v>
      </c>
      <c r="R887">
        <v>0</v>
      </c>
      <c r="S887">
        <v>92.05</v>
      </c>
      <c r="T887">
        <v>93.33</v>
      </c>
      <c r="U887">
        <v>90.03</v>
      </c>
      <c r="V887">
        <v>94.46</v>
      </c>
      <c r="W887">
        <v>275243</v>
      </c>
      <c r="X887">
        <v>90.82</v>
      </c>
      <c r="Y887">
        <v>91.56</v>
      </c>
      <c r="Z887">
        <v>73</v>
      </c>
      <c r="AA887">
        <v>200000</v>
      </c>
      <c r="AB887">
        <v>915.7</v>
      </c>
      <c r="AC887">
        <v>0</v>
      </c>
      <c r="AD887" t="s">
        <v>94</v>
      </c>
      <c r="AE887" t="s">
        <v>94</v>
      </c>
      <c r="AF887" t="s">
        <v>304</v>
      </c>
      <c r="AG887" t="s">
        <v>226</v>
      </c>
      <c r="AH887">
        <v>0</v>
      </c>
      <c r="AI887" t="s">
        <v>3537</v>
      </c>
      <c r="AJ887" t="s">
        <v>1976</v>
      </c>
      <c r="AK887" t="s">
        <v>2416</v>
      </c>
      <c r="AL887" t="s">
        <v>272</v>
      </c>
    </row>
    <row r="888" spans="1:38">
      <c r="A888" t="s">
        <v>4292</v>
      </c>
      <c r="B888" t="s">
        <v>4293</v>
      </c>
      <c r="C888" t="s">
        <v>4294</v>
      </c>
      <c r="D888" t="s">
        <v>4294</v>
      </c>
      <c r="E888" t="s">
        <v>4295</v>
      </c>
      <c r="F888" t="s">
        <v>2413</v>
      </c>
      <c r="G888">
        <v>3</v>
      </c>
      <c r="H888">
        <v>1</v>
      </c>
      <c r="I888">
        <v>0.01</v>
      </c>
      <c r="J888">
        <v>1000</v>
      </c>
      <c r="K888">
        <v>-0.38</v>
      </c>
      <c r="L888">
        <v>99.6</v>
      </c>
      <c r="M888">
        <v>99.97</v>
      </c>
      <c r="N888">
        <v>99.87</v>
      </c>
      <c r="O888">
        <v>99.63</v>
      </c>
      <c r="P888">
        <v>0</v>
      </c>
      <c r="Q888">
        <v>0</v>
      </c>
      <c r="R888">
        <v>0</v>
      </c>
      <c r="S888">
        <v>99.81</v>
      </c>
      <c r="T888">
        <v>99.98</v>
      </c>
      <c r="U888">
        <v>99.5</v>
      </c>
      <c r="V888">
        <v>99.99</v>
      </c>
      <c r="W888">
        <v>369300</v>
      </c>
      <c r="X888">
        <v>99.6</v>
      </c>
      <c r="Y888">
        <v>99.7</v>
      </c>
      <c r="Z888">
        <v>32</v>
      </c>
      <c r="AA888">
        <v>300000</v>
      </c>
      <c r="AB888">
        <v>8964</v>
      </c>
      <c r="AC888">
        <v>0</v>
      </c>
      <c r="AD888" t="s">
        <v>94</v>
      </c>
      <c r="AE888" t="s">
        <v>94</v>
      </c>
      <c r="AF888" t="s">
        <v>226</v>
      </c>
      <c r="AG888" t="s">
        <v>226</v>
      </c>
      <c r="AH888">
        <v>800</v>
      </c>
      <c r="AI888" t="s">
        <v>3537</v>
      </c>
      <c r="AJ888" t="s">
        <v>1976</v>
      </c>
      <c r="AK888" t="s">
        <v>2416</v>
      </c>
      <c r="AL888" t="s">
        <v>272</v>
      </c>
    </row>
    <row r="889" spans="1:38">
      <c r="A889" t="s">
        <v>4296</v>
      </c>
      <c r="B889" t="s">
        <v>4297</v>
      </c>
      <c r="C889" t="s">
        <v>4298</v>
      </c>
      <c r="D889" t="s">
        <v>4298</v>
      </c>
      <c r="E889" t="s">
        <v>4299</v>
      </c>
      <c r="F889" t="s">
        <v>2425</v>
      </c>
      <c r="G889">
        <v>3</v>
      </c>
      <c r="H889">
        <v>1</v>
      </c>
      <c r="I889">
        <v>0.01</v>
      </c>
      <c r="J889">
        <v>1000</v>
      </c>
      <c r="K889">
        <v>-0.54</v>
      </c>
      <c r="L889">
        <v>97.81</v>
      </c>
      <c r="M889">
        <v>98.34</v>
      </c>
      <c r="N889">
        <v>97.51</v>
      </c>
      <c r="O889">
        <v>97.81</v>
      </c>
      <c r="P889">
        <v>0</v>
      </c>
      <c r="Q889">
        <v>0</v>
      </c>
      <c r="R889">
        <v>0</v>
      </c>
      <c r="S889">
        <v>97.94</v>
      </c>
      <c r="T889">
        <v>98.48</v>
      </c>
      <c r="U889">
        <v>97</v>
      </c>
      <c r="V889">
        <v>98.48</v>
      </c>
      <c r="W889">
        <v>614076</v>
      </c>
      <c r="X889">
        <v>97.91</v>
      </c>
      <c r="Y889">
        <v>98.19</v>
      </c>
      <c r="Z889">
        <v>59</v>
      </c>
      <c r="AA889">
        <v>547144</v>
      </c>
      <c r="AB889">
        <v>28364.9</v>
      </c>
      <c r="AC889">
        <v>0</v>
      </c>
      <c r="AD889" t="s">
        <v>94</v>
      </c>
      <c r="AE889" t="s">
        <v>94</v>
      </c>
      <c r="AF889" t="s">
        <v>304</v>
      </c>
      <c r="AG889" t="s">
        <v>226</v>
      </c>
      <c r="AH889">
        <v>0</v>
      </c>
      <c r="AI889" t="s">
        <v>3537</v>
      </c>
      <c r="AJ889" t="s">
        <v>1976</v>
      </c>
      <c r="AK889" t="s">
        <v>2426</v>
      </c>
      <c r="AL889" t="s">
        <v>272</v>
      </c>
    </row>
    <row r="890" spans="1:38">
      <c r="A890" t="s">
        <v>4300</v>
      </c>
      <c r="B890" t="s">
        <v>4301</v>
      </c>
      <c r="C890" t="s">
        <v>4302</v>
      </c>
      <c r="D890" t="s">
        <v>4302</v>
      </c>
      <c r="E890" t="s">
        <v>4303</v>
      </c>
      <c r="F890" t="s">
        <v>2413</v>
      </c>
      <c r="G890">
        <v>3</v>
      </c>
      <c r="H890">
        <v>1</v>
      </c>
      <c r="I890">
        <v>0.01</v>
      </c>
      <c r="J890">
        <v>1000</v>
      </c>
      <c r="K890">
        <v>1.23</v>
      </c>
      <c r="L890">
        <v>82.98</v>
      </c>
      <c r="M890">
        <v>81.97</v>
      </c>
      <c r="N890">
        <v>81.64</v>
      </c>
      <c r="O890">
        <v>82.98</v>
      </c>
      <c r="P890">
        <v>0</v>
      </c>
      <c r="Q890">
        <v>0</v>
      </c>
      <c r="R890">
        <v>0</v>
      </c>
      <c r="S890">
        <v>82.23</v>
      </c>
      <c r="T890">
        <v>81.45</v>
      </c>
      <c r="U890">
        <v>81.44</v>
      </c>
      <c r="V890">
        <v>82.99</v>
      </c>
      <c r="W890">
        <v>18091</v>
      </c>
      <c r="X890">
        <v>82.21</v>
      </c>
      <c r="Y890">
        <v>82.99</v>
      </c>
      <c r="Z890">
        <v>8</v>
      </c>
      <c r="AA890">
        <v>800000</v>
      </c>
      <c r="AB890">
        <v>829.8</v>
      </c>
      <c r="AC890">
        <v>0</v>
      </c>
      <c r="AD890" t="s">
        <v>94</v>
      </c>
      <c r="AE890" t="s">
        <v>94</v>
      </c>
      <c r="AF890" t="s">
        <v>304</v>
      </c>
      <c r="AG890" t="s">
        <v>226</v>
      </c>
      <c r="AH890">
        <v>0</v>
      </c>
      <c r="AI890" t="s">
        <v>3537</v>
      </c>
      <c r="AJ890" t="s">
        <v>1976</v>
      </c>
      <c r="AK890" t="s">
        <v>2416</v>
      </c>
      <c r="AL890" t="s">
        <v>272</v>
      </c>
    </row>
    <row r="891" spans="1:38">
      <c r="A891" t="s">
        <v>4304</v>
      </c>
      <c r="B891" t="s">
        <v>4305</v>
      </c>
      <c r="C891" t="s">
        <v>4306</v>
      </c>
      <c r="D891" t="s">
        <v>4306</v>
      </c>
      <c r="E891" t="s">
        <v>4307</v>
      </c>
      <c r="F891" t="s">
        <v>2413</v>
      </c>
      <c r="G891">
        <v>3</v>
      </c>
      <c r="H891">
        <v>1</v>
      </c>
      <c r="I891">
        <v>0.01</v>
      </c>
      <c r="J891">
        <v>1000</v>
      </c>
      <c r="K891">
        <v>-0.02</v>
      </c>
      <c r="L891">
        <v>84</v>
      </c>
      <c r="M891">
        <v>84.05</v>
      </c>
      <c r="N891">
        <v>84.99</v>
      </c>
      <c r="O891">
        <v>84.03</v>
      </c>
      <c r="P891">
        <v>0</v>
      </c>
      <c r="Q891">
        <v>0</v>
      </c>
      <c r="R891">
        <v>0</v>
      </c>
      <c r="S891">
        <v>84.02</v>
      </c>
      <c r="T891">
        <v>84.02</v>
      </c>
      <c r="U891">
        <v>84</v>
      </c>
      <c r="V891">
        <v>84.1</v>
      </c>
      <c r="W891">
        <v>31927</v>
      </c>
      <c r="X891">
        <v>84</v>
      </c>
      <c r="Y891">
        <v>85.11</v>
      </c>
      <c r="Z891">
        <v>5</v>
      </c>
      <c r="AA891">
        <v>600000</v>
      </c>
      <c r="AB891">
        <v>1680</v>
      </c>
      <c r="AC891">
        <v>0</v>
      </c>
      <c r="AD891" t="s">
        <v>94</v>
      </c>
      <c r="AE891" t="s">
        <v>94</v>
      </c>
      <c r="AF891" t="s">
        <v>304</v>
      </c>
      <c r="AG891" t="s">
        <v>226</v>
      </c>
      <c r="AH891">
        <v>0</v>
      </c>
      <c r="AI891" t="s">
        <v>3537</v>
      </c>
      <c r="AJ891" t="s">
        <v>1976</v>
      </c>
      <c r="AK891" t="s">
        <v>2416</v>
      </c>
      <c r="AL891" t="s">
        <v>272</v>
      </c>
    </row>
    <row r="892" spans="1:38">
      <c r="A892" t="s">
        <v>4308</v>
      </c>
      <c r="B892" t="s">
        <v>4309</v>
      </c>
      <c r="C892" t="s">
        <v>4310</v>
      </c>
      <c r="D892" t="s">
        <v>4310</v>
      </c>
      <c r="E892" t="s">
        <v>4311</v>
      </c>
      <c r="F892" t="s">
        <v>2413</v>
      </c>
      <c r="G892">
        <v>3</v>
      </c>
      <c r="H892">
        <v>1</v>
      </c>
      <c r="I892">
        <v>0.01</v>
      </c>
      <c r="J892">
        <v>1000</v>
      </c>
      <c r="K892">
        <v>1.87</v>
      </c>
      <c r="L892">
        <v>99</v>
      </c>
      <c r="M892">
        <v>97.18</v>
      </c>
      <c r="N892">
        <v>98.28</v>
      </c>
      <c r="O892">
        <v>99</v>
      </c>
      <c r="P892">
        <v>0</v>
      </c>
      <c r="Q892">
        <v>0</v>
      </c>
      <c r="R892">
        <v>0</v>
      </c>
      <c r="S892">
        <v>99</v>
      </c>
      <c r="T892">
        <v>99</v>
      </c>
      <c r="U892">
        <v>99</v>
      </c>
      <c r="V892">
        <v>99</v>
      </c>
      <c r="W892">
        <v>28710</v>
      </c>
      <c r="X892">
        <v>97.17</v>
      </c>
      <c r="Y892">
        <v>99.79</v>
      </c>
      <c r="Z892">
        <v>1</v>
      </c>
      <c r="AA892">
        <v>900000</v>
      </c>
      <c r="AB892">
        <v>28710</v>
      </c>
      <c r="AC892">
        <v>0</v>
      </c>
      <c r="AD892" t="s">
        <v>94</v>
      </c>
      <c r="AE892" t="s">
        <v>94</v>
      </c>
      <c r="AF892" t="s">
        <v>304</v>
      </c>
      <c r="AG892" t="s">
        <v>226</v>
      </c>
      <c r="AH892">
        <v>0</v>
      </c>
      <c r="AI892" t="s">
        <v>3537</v>
      </c>
      <c r="AJ892" t="s">
        <v>1976</v>
      </c>
      <c r="AK892" t="s">
        <v>2416</v>
      </c>
      <c r="AL892" t="s">
        <v>272</v>
      </c>
    </row>
    <row r="893" spans="1:38">
      <c r="A893" t="s">
        <v>4312</v>
      </c>
      <c r="B893" t="s">
        <v>4313</v>
      </c>
      <c r="C893" t="s">
        <v>4314</v>
      </c>
      <c r="D893" t="s">
        <v>4314</v>
      </c>
      <c r="E893" t="s">
        <v>4315</v>
      </c>
      <c r="F893" t="s">
        <v>2413</v>
      </c>
      <c r="G893">
        <v>3</v>
      </c>
      <c r="H893">
        <v>1</v>
      </c>
      <c r="I893">
        <v>0.01</v>
      </c>
      <c r="J893">
        <v>1000</v>
      </c>
      <c r="K893">
        <v>-0.02</v>
      </c>
      <c r="L893">
        <v>82.97</v>
      </c>
      <c r="M893">
        <v>82.97</v>
      </c>
      <c r="N893">
        <v>83.09</v>
      </c>
      <c r="O893">
        <v>83.01</v>
      </c>
      <c r="P893">
        <v>0</v>
      </c>
      <c r="Q893">
        <v>0</v>
      </c>
      <c r="R893">
        <v>0</v>
      </c>
      <c r="S893">
        <v>83.05</v>
      </c>
      <c r="T893">
        <v>81.709999999999994</v>
      </c>
      <c r="U893">
        <v>81.709999999999994</v>
      </c>
      <c r="V893">
        <v>84</v>
      </c>
      <c r="W893">
        <v>1064640</v>
      </c>
      <c r="X893">
        <v>82.78</v>
      </c>
      <c r="Y893">
        <v>82.96</v>
      </c>
      <c r="Z893">
        <v>147</v>
      </c>
      <c r="AA893">
        <v>2500000</v>
      </c>
      <c r="AB893">
        <v>829.7</v>
      </c>
      <c r="AC893">
        <v>0</v>
      </c>
      <c r="AD893" t="s">
        <v>94</v>
      </c>
      <c r="AE893" t="s">
        <v>94</v>
      </c>
      <c r="AF893" t="s">
        <v>226</v>
      </c>
      <c r="AG893" t="s">
        <v>226</v>
      </c>
      <c r="AH893">
        <v>6</v>
      </c>
      <c r="AI893" t="s">
        <v>3537</v>
      </c>
      <c r="AJ893" t="s">
        <v>1976</v>
      </c>
      <c r="AK893" t="s">
        <v>2416</v>
      </c>
      <c r="AL893" t="s">
        <v>272</v>
      </c>
    </row>
    <row r="894" spans="1:38">
      <c r="A894" t="s">
        <v>4316</v>
      </c>
      <c r="B894" t="s">
        <v>4317</v>
      </c>
      <c r="C894" t="s">
        <v>4318</v>
      </c>
      <c r="D894" t="s">
        <v>4318</v>
      </c>
      <c r="E894" t="s">
        <v>4319</v>
      </c>
      <c r="F894" t="s">
        <v>2413</v>
      </c>
      <c r="G894">
        <v>3</v>
      </c>
      <c r="H894">
        <v>1</v>
      </c>
      <c r="I894">
        <v>0.01</v>
      </c>
      <c r="J894">
        <v>1000</v>
      </c>
      <c r="K894">
        <v>0.98</v>
      </c>
      <c r="L894">
        <v>84.83</v>
      </c>
      <c r="M894">
        <v>84.01</v>
      </c>
      <c r="N894">
        <v>83.81</v>
      </c>
      <c r="O894">
        <v>84.83</v>
      </c>
      <c r="P894">
        <v>0</v>
      </c>
      <c r="Q894">
        <v>0</v>
      </c>
      <c r="R894">
        <v>0</v>
      </c>
      <c r="S894">
        <v>84.19</v>
      </c>
      <c r="T894">
        <v>84.01</v>
      </c>
      <c r="U894">
        <v>84</v>
      </c>
      <c r="V894">
        <v>84.84</v>
      </c>
      <c r="W894">
        <v>102711</v>
      </c>
      <c r="X894">
        <v>84.83</v>
      </c>
      <c r="Y894">
        <v>84.84</v>
      </c>
      <c r="Z894">
        <v>29</v>
      </c>
      <c r="AA894">
        <v>499510</v>
      </c>
      <c r="AB894">
        <v>848.3</v>
      </c>
      <c r="AC894">
        <v>0</v>
      </c>
      <c r="AD894" t="s">
        <v>94</v>
      </c>
      <c r="AE894" t="s">
        <v>94</v>
      </c>
      <c r="AF894" t="s">
        <v>226</v>
      </c>
      <c r="AG894" t="s">
        <v>226</v>
      </c>
      <c r="AH894">
        <v>6</v>
      </c>
      <c r="AI894" t="s">
        <v>3537</v>
      </c>
      <c r="AJ894" t="s">
        <v>1976</v>
      </c>
      <c r="AK894" t="s">
        <v>2416</v>
      </c>
      <c r="AL894" t="s">
        <v>272</v>
      </c>
    </row>
    <row r="895" spans="1:38">
      <c r="A895" t="s">
        <v>4320</v>
      </c>
      <c r="B895" t="s">
        <v>4321</v>
      </c>
      <c r="C895" t="s">
        <v>4322</v>
      </c>
      <c r="D895" t="s">
        <v>4322</v>
      </c>
      <c r="E895" t="s">
        <v>4323</v>
      </c>
      <c r="F895" t="s">
        <v>2413</v>
      </c>
      <c r="G895">
        <v>3</v>
      </c>
      <c r="H895">
        <v>1</v>
      </c>
      <c r="I895">
        <v>0.01</v>
      </c>
      <c r="J895">
        <v>1000</v>
      </c>
      <c r="K895">
        <v>2.94</v>
      </c>
      <c r="L895">
        <v>86.35</v>
      </c>
      <c r="M895">
        <v>83.88</v>
      </c>
      <c r="N895">
        <v>83.2</v>
      </c>
      <c r="O895">
        <v>86.12</v>
      </c>
      <c r="P895">
        <v>0</v>
      </c>
      <c r="Q895">
        <v>0</v>
      </c>
      <c r="R895">
        <v>0</v>
      </c>
      <c r="S895">
        <v>85.36</v>
      </c>
      <c r="T895">
        <v>83.88</v>
      </c>
      <c r="U895">
        <v>83.88</v>
      </c>
      <c r="V895">
        <v>86.35</v>
      </c>
      <c r="W895">
        <v>231313</v>
      </c>
      <c r="X895">
        <v>85.93</v>
      </c>
      <c r="Y895">
        <v>86.83</v>
      </c>
      <c r="Z895">
        <v>36</v>
      </c>
      <c r="AA895">
        <v>100000</v>
      </c>
      <c r="AB895">
        <v>863.5</v>
      </c>
      <c r="AC895">
        <v>0</v>
      </c>
      <c r="AD895" t="s">
        <v>94</v>
      </c>
      <c r="AE895" t="s">
        <v>94</v>
      </c>
      <c r="AF895" t="s">
        <v>226</v>
      </c>
      <c r="AG895" t="s">
        <v>226</v>
      </c>
      <c r="AH895">
        <v>6</v>
      </c>
      <c r="AI895" t="s">
        <v>3537</v>
      </c>
      <c r="AJ895" t="s">
        <v>1976</v>
      </c>
      <c r="AK895" t="s">
        <v>2416</v>
      </c>
      <c r="AL895" t="s">
        <v>272</v>
      </c>
    </row>
    <row r="896" spans="1:38">
      <c r="A896" t="s">
        <v>4324</v>
      </c>
      <c r="B896" t="s">
        <v>4325</v>
      </c>
      <c r="C896" t="s">
        <v>4326</v>
      </c>
      <c r="D896" t="s">
        <v>4326</v>
      </c>
      <c r="E896" t="s">
        <v>4327</v>
      </c>
      <c r="F896" t="s">
        <v>2413</v>
      </c>
      <c r="G896">
        <v>3</v>
      </c>
      <c r="H896">
        <v>1</v>
      </c>
      <c r="I896">
        <v>0.01</v>
      </c>
      <c r="J896">
        <v>760</v>
      </c>
      <c r="K896">
        <v>0.06</v>
      </c>
      <c r="L896">
        <v>88.08</v>
      </c>
      <c r="M896">
        <v>88.02</v>
      </c>
      <c r="N896">
        <v>89.02</v>
      </c>
      <c r="O896">
        <v>88.06</v>
      </c>
      <c r="P896">
        <v>0</v>
      </c>
      <c r="Q896">
        <v>0</v>
      </c>
      <c r="R896">
        <v>0</v>
      </c>
      <c r="S896">
        <v>88.06</v>
      </c>
      <c r="T896">
        <v>88.08</v>
      </c>
      <c r="U896">
        <v>88.06</v>
      </c>
      <c r="V896">
        <v>88.08</v>
      </c>
      <c r="W896">
        <v>9370</v>
      </c>
      <c r="X896">
        <v>87.8</v>
      </c>
      <c r="Y896">
        <v>88.08</v>
      </c>
      <c r="Z896">
        <v>5</v>
      </c>
      <c r="AA896">
        <v>100000</v>
      </c>
      <c r="AB896">
        <v>669.41</v>
      </c>
      <c r="AC896">
        <v>0</v>
      </c>
      <c r="AD896" t="s">
        <v>94</v>
      </c>
      <c r="AE896" t="s">
        <v>94</v>
      </c>
      <c r="AF896" t="s">
        <v>226</v>
      </c>
      <c r="AG896" t="s">
        <v>226</v>
      </c>
      <c r="AH896">
        <v>6</v>
      </c>
      <c r="AI896" t="s">
        <v>3537</v>
      </c>
      <c r="AJ896" t="s">
        <v>1976</v>
      </c>
      <c r="AK896" t="s">
        <v>2416</v>
      </c>
      <c r="AL896" t="s">
        <v>272</v>
      </c>
    </row>
    <row r="897" spans="1:38">
      <c r="A897" t="s">
        <v>4328</v>
      </c>
      <c r="B897" t="s">
        <v>4329</v>
      </c>
      <c r="C897" t="s">
        <v>4330</v>
      </c>
      <c r="D897" t="s">
        <v>4330</v>
      </c>
      <c r="E897" t="s">
        <v>4331</v>
      </c>
      <c r="F897" t="s">
        <v>2413</v>
      </c>
      <c r="G897">
        <v>2</v>
      </c>
      <c r="H897">
        <v>1</v>
      </c>
      <c r="I897">
        <v>0.01</v>
      </c>
      <c r="J897">
        <v>1000</v>
      </c>
      <c r="K897">
        <v>0</v>
      </c>
      <c r="L897">
        <v>0</v>
      </c>
      <c r="M897">
        <v>75.95</v>
      </c>
      <c r="N897">
        <v>76.069999999999993</v>
      </c>
      <c r="O897">
        <v>75.95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75.209999999999994</v>
      </c>
      <c r="Y897">
        <v>75.95</v>
      </c>
      <c r="Z897">
        <v>0</v>
      </c>
      <c r="AA897">
        <v>5000000</v>
      </c>
      <c r="AB897">
        <v>0</v>
      </c>
      <c r="AC897">
        <v>0</v>
      </c>
      <c r="AD897" t="s">
        <v>94</v>
      </c>
      <c r="AE897" t="s">
        <v>94</v>
      </c>
      <c r="AF897" t="s">
        <v>226</v>
      </c>
      <c r="AG897" t="s">
        <v>226</v>
      </c>
      <c r="AH897">
        <v>6</v>
      </c>
      <c r="AI897" t="s">
        <v>3537</v>
      </c>
      <c r="AJ897" t="s">
        <v>1976</v>
      </c>
      <c r="AK897" t="s">
        <v>2416</v>
      </c>
      <c r="AL897" t="s">
        <v>272</v>
      </c>
    </row>
    <row r="898" spans="1:38">
      <c r="A898" t="s">
        <v>4332</v>
      </c>
      <c r="B898" t="s">
        <v>4333</v>
      </c>
      <c r="C898" t="s">
        <v>4334</v>
      </c>
      <c r="D898" t="s">
        <v>4334</v>
      </c>
      <c r="E898" t="s">
        <v>4335</v>
      </c>
      <c r="F898" t="s">
        <v>2413</v>
      </c>
      <c r="G898">
        <v>2</v>
      </c>
      <c r="H898">
        <v>1</v>
      </c>
      <c r="I898">
        <v>0.01</v>
      </c>
      <c r="J898">
        <v>1000</v>
      </c>
      <c r="K898">
        <v>0</v>
      </c>
      <c r="L898">
        <v>0</v>
      </c>
      <c r="M898">
        <v>74.98</v>
      </c>
      <c r="N898">
        <v>0</v>
      </c>
      <c r="O898">
        <v>74.98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70.34</v>
      </c>
      <c r="Y898">
        <v>74.98</v>
      </c>
      <c r="Z898">
        <v>0</v>
      </c>
      <c r="AA898">
        <v>5000000</v>
      </c>
      <c r="AB898">
        <v>0</v>
      </c>
      <c r="AC898">
        <v>0</v>
      </c>
      <c r="AD898" t="s">
        <v>94</v>
      </c>
      <c r="AE898" t="s">
        <v>94</v>
      </c>
      <c r="AF898" t="s">
        <v>226</v>
      </c>
      <c r="AG898" t="s">
        <v>226</v>
      </c>
      <c r="AH898">
        <v>6</v>
      </c>
      <c r="AI898" t="s">
        <v>3537</v>
      </c>
      <c r="AJ898" t="s">
        <v>1976</v>
      </c>
      <c r="AK898" t="s">
        <v>2416</v>
      </c>
      <c r="AL898" t="s">
        <v>272</v>
      </c>
    </row>
    <row r="899" spans="1:38">
      <c r="A899" t="s">
        <v>4336</v>
      </c>
      <c r="B899" t="s">
        <v>2418</v>
      </c>
      <c r="C899" t="s">
        <v>2419</v>
      </c>
      <c r="D899" t="s">
        <v>2419</v>
      </c>
      <c r="E899" t="s">
        <v>2420</v>
      </c>
      <c r="F899" t="s">
        <v>2413</v>
      </c>
      <c r="G899">
        <v>2</v>
      </c>
      <c r="H899">
        <v>1</v>
      </c>
      <c r="I899">
        <v>1E-4</v>
      </c>
      <c r="J899">
        <v>1000</v>
      </c>
      <c r="K899">
        <v>-1.5</v>
      </c>
      <c r="L899">
        <v>93.029700000000005</v>
      </c>
      <c r="M899">
        <v>94.447100000000006</v>
      </c>
      <c r="N899">
        <v>95.298699999999997</v>
      </c>
      <c r="O899">
        <v>94.729799999999997</v>
      </c>
      <c r="P899">
        <v>0</v>
      </c>
      <c r="Q899">
        <v>0</v>
      </c>
      <c r="R899">
        <v>0</v>
      </c>
      <c r="S899">
        <v>94.6999</v>
      </c>
      <c r="T899">
        <v>95.545900000000003</v>
      </c>
      <c r="U899">
        <v>91.801500000000004</v>
      </c>
      <c r="V899">
        <v>95.545900000000003</v>
      </c>
      <c r="W899">
        <v>629292</v>
      </c>
      <c r="X899">
        <v>93.027299999999997</v>
      </c>
      <c r="Y899">
        <v>94.893699999999995</v>
      </c>
      <c r="Z899">
        <v>34</v>
      </c>
      <c r="AA899">
        <v>1500000</v>
      </c>
      <c r="AB899">
        <v>13540.01</v>
      </c>
      <c r="AC899">
        <v>0</v>
      </c>
      <c r="AD899" t="s">
        <v>1663</v>
      </c>
      <c r="AE899" t="s">
        <v>94</v>
      </c>
      <c r="AF899" t="s">
        <v>226</v>
      </c>
      <c r="AG899" t="s">
        <v>226</v>
      </c>
      <c r="AH899">
        <v>6</v>
      </c>
      <c r="AI899" t="s">
        <v>3537</v>
      </c>
      <c r="AJ899" t="s">
        <v>1976</v>
      </c>
      <c r="AK899" t="s">
        <v>2416</v>
      </c>
      <c r="AL899" t="s">
        <v>272</v>
      </c>
    </row>
    <row r="900" spans="1:38">
      <c r="A900" t="s">
        <v>4337</v>
      </c>
      <c r="B900" t="s">
        <v>4338</v>
      </c>
      <c r="C900" t="s">
        <v>4339</v>
      </c>
      <c r="D900" t="s">
        <v>4339</v>
      </c>
      <c r="E900" t="s">
        <v>4340</v>
      </c>
      <c r="F900" t="s">
        <v>2413</v>
      </c>
      <c r="G900">
        <v>2</v>
      </c>
      <c r="H900">
        <v>1</v>
      </c>
      <c r="I900">
        <v>0.01</v>
      </c>
      <c r="J900">
        <v>1000</v>
      </c>
      <c r="K900">
        <v>7.0000000000000007E-2</v>
      </c>
      <c r="L900">
        <v>99.07</v>
      </c>
      <c r="M900">
        <v>99</v>
      </c>
      <c r="N900">
        <v>99.02</v>
      </c>
      <c r="O900">
        <v>99.06</v>
      </c>
      <c r="P900">
        <v>0</v>
      </c>
      <c r="Q900">
        <v>0</v>
      </c>
      <c r="R900">
        <v>0</v>
      </c>
      <c r="S900">
        <v>99</v>
      </c>
      <c r="T900">
        <v>99.07</v>
      </c>
      <c r="U900">
        <v>98.7</v>
      </c>
      <c r="V900">
        <v>99.07</v>
      </c>
      <c r="W900">
        <v>15117259</v>
      </c>
      <c r="X900">
        <v>99.06</v>
      </c>
      <c r="Y900">
        <v>99.07</v>
      </c>
      <c r="Z900">
        <v>701</v>
      </c>
      <c r="AA900">
        <v>12000000</v>
      </c>
      <c r="AB900">
        <v>990.7</v>
      </c>
      <c r="AC900">
        <v>0</v>
      </c>
      <c r="AD900" t="s">
        <v>94</v>
      </c>
      <c r="AE900" t="s">
        <v>94</v>
      </c>
      <c r="AF900" t="s">
        <v>226</v>
      </c>
      <c r="AG900" t="s">
        <v>226</v>
      </c>
      <c r="AH900">
        <v>8</v>
      </c>
      <c r="AI900" t="s">
        <v>3537</v>
      </c>
      <c r="AJ900" t="s">
        <v>1976</v>
      </c>
      <c r="AK900" t="s">
        <v>2416</v>
      </c>
      <c r="AL900" t="s">
        <v>272</v>
      </c>
    </row>
    <row r="901" spans="1:38">
      <c r="A901" t="s">
        <v>4341</v>
      </c>
      <c r="B901" t="s">
        <v>4342</v>
      </c>
      <c r="C901" t="s">
        <v>4343</v>
      </c>
      <c r="D901" t="s">
        <v>4343</v>
      </c>
      <c r="E901" t="s">
        <v>4344</v>
      </c>
      <c r="F901" t="s">
        <v>2425</v>
      </c>
      <c r="G901">
        <v>3</v>
      </c>
      <c r="H901">
        <v>1</v>
      </c>
      <c r="I901">
        <v>0.01</v>
      </c>
      <c r="J901">
        <v>541.34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310000</v>
      </c>
      <c r="AB901">
        <v>0</v>
      </c>
      <c r="AC901">
        <v>0</v>
      </c>
      <c r="AD901" t="s">
        <v>94</v>
      </c>
      <c r="AE901" t="s">
        <v>94</v>
      </c>
      <c r="AF901" t="s">
        <v>304</v>
      </c>
      <c r="AG901" t="s">
        <v>226</v>
      </c>
      <c r="AH901">
        <v>0</v>
      </c>
      <c r="AI901" t="s">
        <v>3537</v>
      </c>
      <c r="AJ901" t="s">
        <v>1976</v>
      </c>
      <c r="AK901" t="s">
        <v>2426</v>
      </c>
      <c r="AL901" t="s">
        <v>272</v>
      </c>
    </row>
    <row r="902" spans="1:38">
      <c r="A902" t="s">
        <v>4345</v>
      </c>
      <c r="B902" t="s">
        <v>4346</v>
      </c>
      <c r="C902" t="s">
        <v>4347</v>
      </c>
      <c r="D902" t="s">
        <v>4347</v>
      </c>
      <c r="E902" t="s">
        <v>4348</v>
      </c>
      <c r="F902" t="s">
        <v>2413</v>
      </c>
      <c r="G902">
        <v>3</v>
      </c>
      <c r="H902">
        <v>1</v>
      </c>
      <c r="I902">
        <v>0.01</v>
      </c>
      <c r="J902">
        <v>1000</v>
      </c>
      <c r="K902">
        <v>-0.55000000000000004</v>
      </c>
      <c r="L902">
        <v>100.09</v>
      </c>
      <c r="M902">
        <v>100.64</v>
      </c>
      <c r="N902">
        <v>0</v>
      </c>
      <c r="O902">
        <v>100.09</v>
      </c>
      <c r="P902">
        <v>0</v>
      </c>
      <c r="Q902">
        <v>0</v>
      </c>
      <c r="R902">
        <v>0</v>
      </c>
      <c r="S902">
        <v>98.31</v>
      </c>
      <c r="T902">
        <v>96.53</v>
      </c>
      <c r="U902">
        <v>96.53</v>
      </c>
      <c r="V902">
        <v>100.09</v>
      </c>
      <c r="W902">
        <v>1966</v>
      </c>
      <c r="X902">
        <v>96.53</v>
      </c>
      <c r="Y902">
        <v>0</v>
      </c>
      <c r="Z902">
        <v>2</v>
      </c>
      <c r="AA902">
        <v>5000000</v>
      </c>
      <c r="AB902">
        <v>1000.9</v>
      </c>
      <c r="AC902">
        <v>0</v>
      </c>
      <c r="AD902" t="s">
        <v>94</v>
      </c>
      <c r="AE902" t="s">
        <v>94</v>
      </c>
      <c r="AF902" t="s">
        <v>226</v>
      </c>
      <c r="AG902" t="s">
        <v>226</v>
      </c>
      <c r="AH902">
        <v>6</v>
      </c>
      <c r="AI902" t="s">
        <v>3537</v>
      </c>
      <c r="AJ902" t="s">
        <v>1976</v>
      </c>
      <c r="AK902" t="s">
        <v>2416</v>
      </c>
      <c r="AL902" t="s">
        <v>272</v>
      </c>
    </row>
    <row r="903" spans="1:38">
      <c r="A903" t="s">
        <v>4349</v>
      </c>
      <c r="B903" t="s">
        <v>4350</v>
      </c>
      <c r="C903" t="s">
        <v>4351</v>
      </c>
      <c r="D903" t="s">
        <v>4351</v>
      </c>
      <c r="E903" t="s">
        <v>4352</v>
      </c>
      <c r="F903" t="s">
        <v>2413</v>
      </c>
      <c r="G903">
        <v>3</v>
      </c>
      <c r="H903">
        <v>1</v>
      </c>
      <c r="I903">
        <v>0.01</v>
      </c>
      <c r="J903">
        <v>1000</v>
      </c>
      <c r="K903">
        <v>-0.04</v>
      </c>
      <c r="L903">
        <v>98.16</v>
      </c>
      <c r="M903">
        <v>98.2</v>
      </c>
      <c r="N903">
        <v>98.07</v>
      </c>
      <c r="O903">
        <v>98.16</v>
      </c>
      <c r="P903">
        <v>0</v>
      </c>
      <c r="Q903">
        <v>0</v>
      </c>
      <c r="R903">
        <v>0</v>
      </c>
      <c r="S903">
        <v>98.36</v>
      </c>
      <c r="T903">
        <v>98.48</v>
      </c>
      <c r="U903">
        <v>98.13</v>
      </c>
      <c r="V903">
        <v>98.48</v>
      </c>
      <c r="W903">
        <v>168189</v>
      </c>
      <c r="X903">
        <v>98.21</v>
      </c>
      <c r="Y903">
        <v>98.37</v>
      </c>
      <c r="Z903">
        <v>18</v>
      </c>
      <c r="AA903">
        <v>5000000</v>
      </c>
      <c r="AB903">
        <v>1963.2</v>
      </c>
      <c r="AC903">
        <v>0</v>
      </c>
      <c r="AD903" t="s">
        <v>94</v>
      </c>
      <c r="AE903" t="s">
        <v>94</v>
      </c>
      <c r="AF903" t="s">
        <v>226</v>
      </c>
      <c r="AG903" t="s">
        <v>226</v>
      </c>
      <c r="AH903">
        <v>6</v>
      </c>
      <c r="AI903" t="s">
        <v>3537</v>
      </c>
      <c r="AJ903" t="s">
        <v>1976</v>
      </c>
      <c r="AK903" t="s">
        <v>2416</v>
      </c>
      <c r="AL903" t="s">
        <v>272</v>
      </c>
    </row>
    <row r="904" spans="1:38">
      <c r="A904" t="s">
        <v>4353</v>
      </c>
      <c r="B904" t="s">
        <v>4354</v>
      </c>
      <c r="C904" t="s">
        <v>4355</v>
      </c>
      <c r="D904" t="s">
        <v>4355</v>
      </c>
      <c r="E904" t="s">
        <v>4356</v>
      </c>
      <c r="F904" t="s">
        <v>2413</v>
      </c>
      <c r="G904">
        <v>3</v>
      </c>
      <c r="H904">
        <v>1</v>
      </c>
      <c r="I904">
        <v>0.01</v>
      </c>
      <c r="J904">
        <v>1000</v>
      </c>
      <c r="K904">
        <v>0.15</v>
      </c>
      <c r="L904">
        <v>85.44</v>
      </c>
      <c r="M904">
        <v>85.32</v>
      </c>
      <c r="N904">
        <v>86.53</v>
      </c>
      <c r="O904">
        <v>85.35</v>
      </c>
      <c r="P904">
        <v>0</v>
      </c>
      <c r="Q904">
        <v>0</v>
      </c>
      <c r="R904">
        <v>0</v>
      </c>
      <c r="S904">
        <v>85.47</v>
      </c>
      <c r="T904">
        <v>85.61</v>
      </c>
      <c r="U904">
        <v>85.25</v>
      </c>
      <c r="V904">
        <v>85.61</v>
      </c>
      <c r="W904">
        <v>10257</v>
      </c>
      <c r="X904">
        <v>85.26</v>
      </c>
      <c r="Y904">
        <v>85.42</v>
      </c>
      <c r="Z904">
        <v>6</v>
      </c>
      <c r="AA904">
        <v>5000000</v>
      </c>
      <c r="AB904">
        <v>854.4</v>
      </c>
      <c r="AC904">
        <v>0</v>
      </c>
      <c r="AD904" t="s">
        <v>94</v>
      </c>
      <c r="AE904" t="s">
        <v>94</v>
      </c>
      <c r="AF904" t="s">
        <v>226</v>
      </c>
      <c r="AG904" t="s">
        <v>226</v>
      </c>
      <c r="AH904">
        <v>6</v>
      </c>
      <c r="AI904" t="s">
        <v>3537</v>
      </c>
      <c r="AJ904" t="s">
        <v>1976</v>
      </c>
      <c r="AK904" t="s">
        <v>2416</v>
      </c>
      <c r="AL904" t="s">
        <v>272</v>
      </c>
    </row>
    <row r="905" spans="1:38">
      <c r="A905" t="s">
        <v>4357</v>
      </c>
      <c r="B905" t="s">
        <v>4358</v>
      </c>
      <c r="C905" t="s">
        <v>4359</v>
      </c>
      <c r="D905" t="s">
        <v>4359</v>
      </c>
      <c r="E905" t="s">
        <v>4360</v>
      </c>
      <c r="F905" t="s">
        <v>2413</v>
      </c>
      <c r="G905">
        <v>2</v>
      </c>
      <c r="H905">
        <v>1</v>
      </c>
      <c r="I905">
        <v>0.01</v>
      </c>
      <c r="J905">
        <v>1000</v>
      </c>
      <c r="K905">
        <v>-0.05</v>
      </c>
      <c r="L905">
        <v>100.09</v>
      </c>
      <c r="M905">
        <v>100.14</v>
      </c>
      <c r="N905">
        <v>100.1</v>
      </c>
      <c r="O905">
        <v>100.09</v>
      </c>
      <c r="P905">
        <v>0</v>
      </c>
      <c r="Q905">
        <v>0</v>
      </c>
      <c r="R905">
        <v>0</v>
      </c>
      <c r="S905">
        <v>100.1</v>
      </c>
      <c r="T905">
        <v>100.12</v>
      </c>
      <c r="U905">
        <v>100.02</v>
      </c>
      <c r="V905">
        <v>100.13</v>
      </c>
      <c r="W905">
        <v>3149245</v>
      </c>
      <c r="X905">
        <v>100.03</v>
      </c>
      <c r="Y905">
        <v>100.09</v>
      </c>
      <c r="Z905">
        <v>75</v>
      </c>
      <c r="AA905">
        <v>1000000</v>
      </c>
      <c r="AB905">
        <v>7006.3</v>
      </c>
      <c r="AC905">
        <v>0</v>
      </c>
      <c r="AD905" t="s">
        <v>94</v>
      </c>
      <c r="AE905" t="s">
        <v>94</v>
      </c>
      <c r="AF905" t="s">
        <v>226</v>
      </c>
      <c r="AG905" t="s">
        <v>226</v>
      </c>
      <c r="AH905">
        <v>8</v>
      </c>
      <c r="AI905" t="s">
        <v>3537</v>
      </c>
      <c r="AJ905" t="s">
        <v>1976</v>
      </c>
      <c r="AK905" t="s">
        <v>2416</v>
      </c>
      <c r="AL905" t="s">
        <v>272</v>
      </c>
    </row>
    <row r="906" spans="1:38">
      <c r="A906" t="s">
        <v>4361</v>
      </c>
      <c r="B906" t="s">
        <v>4362</v>
      </c>
      <c r="C906" t="s">
        <v>4363</v>
      </c>
      <c r="D906" t="s">
        <v>4363</v>
      </c>
      <c r="E906" t="s">
        <v>4364</v>
      </c>
      <c r="F906" t="s">
        <v>2413</v>
      </c>
      <c r="G906">
        <v>2</v>
      </c>
      <c r="H906">
        <v>1</v>
      </c>
      <c r="I906">
        <v>0.01</v>
      </c>
      <c r="J906">
        <v>1000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80.010000000000005</v>
      </c>
      <c r="Y906">
        <v>0</v>
      </c>
      <c r="Z906">
        <v>0</v>
      </c>
      <c r="AA906">
        <v>20000000</v>
      </c>
      <c r="AB906">
        <v>0</v>
      </c>
      <c r="AC906">
        <v>0</v>
      </c>
      <c r="AD906" t="s">
        <v>94</v>
      </c>
      <c r="AE906" t="s">
        <v>94</v>
      </c>
      <c r="AF906" t="s">
        <v>226</v>
      </c>
      <c r="AG906" t="s">
        <v>226</v>
      </c>
      <c r="AH906">
        <v>800</v>
      </c>
      <c r="AI906" t="s">
        <v>3537</v>
      </c>
      <c r="AJ906" t="s">
        <v>1976</v>
      </c>
      <c r="AK906" t="s">
        <v>2416</v>
      </c>
      <c r="AL906" t="s">
        <v>272</v>
      </c>
    </row>
    <row r="907" spans="1:38">
      <c r="A907" t="s">
        <v>4365</v>
      </c>
      <c r="B907" t="s">
        <v>4366</v>
      </c>
      <c r="C907" t="s">
        <v>4367</v>
      </c>
      <c r="D907" t="s">
        <v>4367</v>
      </c>
      <c r="E907" t="s">
        <v>4368</v>
      </c>
      <c r="F907" t="s">
        <v>2413</v>
      </c>
      <c r="G907">
        <v>2</v>
      </c>
      <c r="H907">
        <v>1</v>
      </c>
      <c r="I907">
        <v>0.01</v>
      </c>
      <c r="J907">
        <v>1000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80.010000000000005</v>
      </c>
      <c r="Y907">
        <v>0</v>
      </c>
      <c r="Z907">
        <v>0</v>
      </c>
      <c r="AA907">
        <v>10000000</v>
      </c>
      <c r="AB907">
        <v>0</v>
      </c>
      <c r="AC907">
        <v>0</v>
      </c>
      <c r="AD907" t="s">
        <v>94</v>
      </c>
      <c r="AE907" t="s">
        <v>94</v>
      </c>
      <c r="AF907" t="s">
        <v>226</v>
      </c>
      <c r="AG907" t="s">
        <v>226</v>
      </c>
      <c r="AH907">
        <v>800</v>
      </c>
      <c r="AI907" t="s">
        <v>3537</v>
      </c>
      <c r="AJ907" t="s">
        <v>1976</v>
      </c>
      <c r="AK907" t="s">
        <v>2416</v>
      </c>
      <c r="AL907" t="s">
        <v>272</v>
      </c>
    </row>
    <row r="908" spans="1:38">
      <c r="A908" t="s">
        <v>4369</v>
      </c>
      <c r="B908" t="s">
        <v>4370</v>
      </c>
      <c r="C908" t="s">
        <v>4371</v>
      </c>
      <c r="D908" t="s">
        <v>4371</v>
      </c>
      <c r="E908" t="s">
        <v>4372</v>
      </c>
      <c r="F908" t="s">
        <v>2413</v>
      </c>
      <c r="G908">
        <v>3</v>
      </c>
      <c r="H908">
        <v>1</v>
      </c>
      <c r="I908">
        <v>0.01</v>
      </c>
      <c r="J908">
        <v>1000</v>
      </c>
      <c r="K908">
        <v>0.34</v>
      </c>
      <c r="L908">
        <v>91</v>
      </c>
      <c r="M908">
        <v>90.68</v>
      </c>
      <c r="N908">
        <v>91.49</v>
      </c>
      <c r="O908">
        <v>91</v>
      </c>
      <c r="P908">
        <v>0</v>
      </c>
      <c r="Q908">
        <v>0</v>
      </c>
      <c r="R908">
        <v>0</v>
      </c>
      <c r="S908">
        <v>89.33</v>
      </c>
      <c r="T908">
        <v>89.37</v>
      </c>
      <c r="U908">
        <v>89.02</v>
      </c>
      <c r="V908">
        <v>91</v>
      </c>
      <c r="W908">
        <v>45557</v>
      </c>
      <c r="X908">
        <v>91</v>
      </c>
      <c r="Y908">
        <v>91.5</v>
      </c>
      <c r="Z908">
        <v>9</v>
      </c>
      <c r="AA908">
        <v>80000</v>
      </c>
      <c r="AB908">
        <v>910</v>
      </c>
      <c r="AC908">
        <v>0</v>
      </c>
      <c r="AD908" t="s">
        <v>94</v>
      </c>
      <c r="AE908" t="s">
        <v>94</v>
      </c>
      <c r="AF908" t="s">
        <v>304</v>
      </c>
      <c r="AG908" t="s">
        <v>226</v>
      </c>
      <c r="AH908">
        <v>0</v>
      </c>
      <c r="AI908" t="s">
        <v>3537</v>
      </c>
      <c r="AJ908" t="s">
        <v>1976</v>
      </c>
      <c r="AK908" t="s">
        <v>2416</v>
      </c>
      <c r="AL908" t="s">
        <v>272</v>
      </c>
    </row>
    <row r="909" spans="1:38">
      <c r="A909" t="s">
        <v>4373</v>
      </c>
      <c r="B909" t="s">
        <v>4374</v>
      </c>
      <c r="C909" t="s">
        <v>4375</v>
      </c>
      <c r="D909" t="s">
        <v>4375</v>
      </c>
      <c r="E909" t="s">
        <v>4376</v>
      </c>
      <c r="F909" t="s">
        <v>2413</v>
      </c>
      <c r="G909">
        <v>3</v>
      </c>
      <c r="H909">
        <v>1</v>
      </c>
      <c r="I909">
        <v>0.01</v>
      </c>
      <c r="J909">
        <v>1000</v>
      </c>
      <c r="K909">
        <v>-1</v>
      </c>
      <c r="L909">
        <v>81.28</v>
      </c>
      <c r="M909">
        <v>82.1</v>
      </c>
      <c r="N909">
        <v>81.790000000000006</v>
      </c>
      <c r="O909">
        <v>81.28</v>
      </c>
      <c r="P909">
        <v>0</v>
      </c>
      <c r="Q909">
        <v>0</v>
      </c>
      <c r="R909">
        <v>0</v>
      </c>
      <c r="S909">
        <v>81.19</v>
      </c>
      <c r="T909">
        <v>81.08</v>
      </c>
      <c r="U909">
        <v>81</v>
      </c>
      <c r="V909">
        <v>82.07</v>
      </c>
      <c r="W909">
        <v>65768</v>
      </c>
      <c r="X909">
        <v>81.59</v>
      </c>
      <c r="Y909">
        <v>82.04</v>
      </c>
      <c r="Z909">
        <v>29</v>
      </c>
      <c r="AA909">
        <v>300000</v>
      </c>
      <c r="AB909">
        <v>11379.2</v>
      </c>
      <c r="AC909">
        <v>0</v>
      </c>
      <c r="AD909" t="s">
        <v>94</v>
      </c>
      <c r="AE909" t="s">
        <v>94</v>
      </c>
      <c r="AF909" t="s">
        <v>226</v>
      </c>
      <c r="AG909" t="s">
        <v>226</v>
      </c>
      <c r="AH909">
        <v>6</v>
      </c>
      <c r="AI909" t="s">
        <v>3537</v>
      </c>
      <c r="AJ909" t="s">
        <v>1976</v>
      </c>
      <c r="AK909" t="s">
        <v>2416</v>
      </c>
      <c r="AL909" t="s">
        <v>272</v>
      </c>
    </row>
    <row r="910" spans="1:38">
      <c r="A910" t="s">
        <v>4377</v>
      </c>
      <c r="B910" t="s">
        <v>4378</v>
      </c>
      <c r="C910" t="s">
        <v>4379</v>
      </c>
      <c r="D910" t="s">
        <v>4379</v>
      </c>
      <c r="E910" t="s">
        <v>4380</v>
      </c>
      <c r="F910" t="s">
        <v>2413</v>
      </c>
      <c r="G910">
        <v>2</v>
      </c>
      <c r="H910">
        <v>1</v>
      </c>
      <c r="I910">
        <v>0.01</v>
      </c>
      <c r="J910">
        <v>1000</v>
      </c>
      <c r="K910">
        <v>0</v>
      </c>
      <c r="L910">
        <v>99</v>
      </c>
      <c r="M910">
        <v>99</v>
      </c>
      <c r="N910">
        <v>99.18</v>
      </c>
      <c r="O910">
        <v>99</v>
      </c>
      <c r="P910">
        <v>0</v>
      </c>
      <c r="Q910">
        <v>0</v>
      </c>
      <c r="R910">
        <v>0</v>
      </c>
      <c r="S910">
        <v>98.99</v>
      </c>
      <c r="T910">
        <v>99.33</v>
      </c>
      <c r="U910">
        <v>98.9</v>
      </c>
      <c r="V910">
        <v>99.33</v>
      </c>
      <c r="W910">
        <v>1631423</v>
      </c>
      <c r="X910">
        <v>98.91</v>
      </c>
      <c r="Y910">
        <v>99</v>
      </c>
      <c r="Z910">
        <v>56</v>
      </c>
      <c r="AA910">
        <v>20000000</v>
      </c>
      <c r="AB910">
        <v>4950</v>
      </c>
      <c r="AC910">
        <v>0</v>
      </c>
      <c r="AD910" t="s">
        <v>94</v>
      </c>
      <c r="AE910" t="s">
        <v>94</v>
      </c>
      <c r="AF910" t="s">
        <v>226</v>
      </c>
      <c r="AG910" t="s">
        <v>226</v>
      </c>
      <c r="AH910">
        <v>8</v>
      </c>
      <c r="AI910" t="s">
        <v>3537</v>
      </c>
      <c r="AJ910" t="s">
        <v>1976</v>
      </c>
      <c r="AK910" t="s">
        <v>2416</v>
      </c>
      <c r="AL910" t="s">
        <v>272</v>
      </c>
    </row>
    <row r="911" spans="1:38">
      <c r="A911" t="s">
        <v>4381</v>
      </c>
      <c r="B911" t="s">
        <v>4382</v>
      </c>
      <c r="C911" t="s">
        <v>4383</v>
      </c>
      <c r="D911" t="s">
        <v>4383</v>
      </c>
      <c r="E911" t="s">
        <v>4384</v>
      </c>
      <c r="F911" t="s">
        <v>2413</v>
      </c>
      <c r="G911">
        <v>1</v>
      </c>
      <c r="H911">
        <v>1</v>
      </c>
      <c r="I911">
        <v>0.01</v>
      </c>
      <c r="J911">
        <v>1000</v>
      </c>
      <c r="K911">
        <v>-0.02</v>
      </c>
      <c r="L911">
        <v>82.78</v>
      </c>
      <c r="M911">
        <v>82.79</v>
      </c>
      <c r="N911">
        <v>82.84</v>
      </c>
      <c r="O911">
        <v>82.79</v>
      </c>
      <c r="P911">
        <v>0</v>
      </c>
      <c r="Q911">
        <v>0</v>
      </c>
      <c r="R911">
        <v>0</v>
      </c>
      <c r="S911">
        <v>82.78</v>
      </c>
      <c r="T911">
        <v>83.64</v>
      </c>
      <c r="U911">
        <v>82.66</v>
      </c>
      <c r="V911">
        <v>83.64</v>
      </c>
      <c r="W911">
        <v>1669632</v>
      </c>
      <c r="X911">
        <v>82.68</v>
      </c>
      <c r="Y911">
        <v>82.78</v>
      </c>
      <c r="Z911">
        <v>140</v>
      </c>
      <c r="AA911">
        <v>24650000</v>
      </c>
      <c r="AB911">
        <v>827.8</v>
      </c>
      <c r="AC911">
        <v>0</v>
      </c>
      <c r="AD911" t="s">
        <v>94</v>
      </c>
      <c r="AE911" t="s">
        <v>94</v>
      </c>
      <c r="AF911" t="s">
        <v>226</v>
      </c>
      <c r="AG911" t="s">
        <v>226</v>
      </c>
      <c r="AH911">
        <v>6</v>
      </c>
      <c r="AI911" t="s">
        <v>3537</v>
      </c>
      <c r="AJ911" t="s">
        <v>1976</v>
      </c>
      <c r="AK911" t="s">
        <v>2416</v>
      </c>
      <c r="AL911" t="s">
        <v>272</v>
      </c>
    </row>
    <row r="912" spans="1:38">
      <c r="A912" t="s">
        <v>4385</v>
      </c>
      <c r="B912" t="s">
        <v>4386</v>
      </c>
      <c r="C912" t="s">
        <v>4387</v>
      </c>
      <c r="D912" t="s">
        <v>4387</v>
      </c>
      <c r="E912" t="s">
        <v>4388</v>
      </c>
      <c r="F912" t="s">
        <v>2413</v>
      </c>
      <c r="G912">
        <v>2</v>
      </c>
      <c r="H912">
        <v>1</v>
      </c>
      <c r="I912">
        <v>0.01</v>
      </c>
      <c r="J912">
        <v>1000</v>
      </c>
      <c r="K912">
        <v>0.28000000000000003</v>
      </c>
      <c r="L912">
        <v>86.95</v>
      </c>
      <c r="M912">
        <v>86.3</v>
      </c>
      <c r="N912">
        <v>87.07</v>
      </c>
      <c r="O912">
        <v>86.96</v>
      </c>
      <c r="P912">
        <v>0</v>
      </c>
      <c r="Q912">
        <v>0</v>
      </c>
      <c r="R912">
        <v>0</v>
      </c>
      <c r="S912">
        <v>86.74</v>
      </c>
      <c r="T912">
        <v>86.73</v>
      </c>
      <c r="U912">
        <v>86</v>
      </c>
      <c r="V912">
        <v>87.25</v>
      </c>
      <c r="W912">
        <v>842282</v>
      </c>
      <c r="X912">
        <v>86.92</v>
      </c>
      <c r="Y912">
        <v>86.96</v>
      </c>
      <c r="Z912">
        <v>115</v>
      </c>
      <c r="AA912">
        <v>1400000</v>
      </c>
      <c r="AB912">
        <v>869.5</v>
      </c>
      <c r="AC912">
        <v>0</v>
      </c>
      <c r="AD912" t="s">
        <v>94</v>
      </c>
      <c r="AE912" t="s">
        <v>94</v>
      </c>
      <c r="AF912" t="s">
        <v>226</v>
      </c>
      <c r="AG912" t="s">
        <v>226</v>
      </c>
      <c r="AH912">
        <v>6</v>
      </c>
      <c r="AI912" t="s">
        <v>3537</v>
      </c>
      <c r="AJ912" t="s">
        <v>1976</v>
      </c>
      <c r="AK912" t="s">
        <v>2416</v>
      </c>
      <c r="AL912" t="s">
        <v>272</v>
      </c>
    </row>
    <row r="913" spans="1:38">
      <c r="A913" t="s">
        <v>4389</v>
      </c>
      <c r="B913" t="s">
        <v>4390</v>
      </c>
      <c r="C913" t="s">
        <v>4391</v>
      </c>
      <c r="D913" t="s">
        <v>4391</v>
      </c>
      <c r="E913" t="s">
        <v>4392</v>
      </c>
      <c r="F913" t="s">
        <v>2413</v>
      </c>
      <c r="G913">
        <v>2</v>
      </c>
      <c r="H913">
        <v>1</v>
      </c>
      <c r="I913">
        <v>0.01</v>
      </c>
      <c r="J913">
        <v>1000</v>
      </c>
      <c r="K913">
        <v>-0.1</v>
      </c>
      <c r="L913">
        <v>90.78</v>
      </c>
      <c r="M913">
        <v>90.87</v>
      </c>
      <c r="N913">
        <v>90.68</v>
      </c>
      <c r="O913">
        <v>90.43</v>
      </c>
      <c r="P913">
        <v>0</v>
      </c>
      <c r="Q913">
        <v>0</v>
      </c>
      <c r="R913">
        <v>0</v>
      </c>
      <c r="S913">
        <v>90.45</v>
      </c>
      <c r="T913">
        <v>90.86</v>
      </c>
      <c r="U913">
        <v>90</v>
      </c>
      <c r="V913">
        <v>90.87</v>
      </c>
      <c r="W913">
        <v>366341</v>
      </c>
      <c r="X913">
        <v>90.21</v>
      </c>
      <c r="Y913">
        <v>90.4</v>
      </c>
      <c r="Z913">
        <v>57</v>
      </c>
      <c r="AA913">
        <v>1600000</v>
      </c>
      <c r="AB913">
        <v>2723.4</v>
      </c>
      <c r="AC913">
        <v>0</v>
      </c>
      <c r="AD913" t="s">
        <v>94</v>
      </c>
      <c r="AE913" t="s">
        <v>94</v>
      </c>
      <c r="AF913" t="s">
        <v>226</v>
      </c>
      <c r="AG913" t="s">
        <v>226</v>
      </c>
      <c r="AH913">
        <v>800</v>
      </c>
      <c r="AI913" t="s">
        <v>3537</v>
      </c>
      <c r="AJ913" t="s">
        <v>1976</v>
      </c>
      <c r="AK913" t="s">
        <v>2416</v>
      </c>
      <c r="AL913" t="s">
        <v>272</v>
      </c>
    </row>
    <row r="914" spans="1:38">
      <c r="A914" t="s">
        <v>4393</v>
      </c>
      <c r="B914" t="s">
        <v>4394</v>
      </c>
      <c r="C914" t="s">
        <v>4395</v>
      </c>
      <c r="D914" t="s">
        <v>4395</v>
      </c>
      <c r="E914" t="s">
        <v>4396</v>
      </c>
      <c r="F914" t="s">
        <v>2413</v>
      </c>
      <c r="G914">
        <v>3</v>
      </c>
      <c r="H914">
        <v>1</v>
      </c>
      <c r="I914">
        <v>0.01</v>
      </c>
      <c r="J914">
        <v>1000</v>
      </c>
      <c r="K914">
        <v>0.53</v>
      </c>
      <c r="L914">
        <v>92.36</v>
      </c>
      <c r="M914">
        <v>91.87</v>
      </c>
      <c r="N914">
        <v>91.27</v>
      </c>
      <c r="O914">
        <v>92.36</v>
      </c>
      <c r="P914">
        <v>0</v>
      </c>
      <c r="Q914">
        <v>0</v>
      </c>
      <c r="R914">
        <v>0</v>
      </c>
      <c r="S914">
        <v>91.83</v>
      </c>
      <c r="T914">
        <v>91.95</v>
      </c>
      <c r="U914">
        <v>90.51</v>
      </c>
      <c r="V914">
        <v>93</v>
      </c>
      <c r="W914">
        <v>398525</v>
      </c>
      <c r="X914">
        <v>92.08</v>
      </c>
      <c r="Y914">
        <v>92.34</v>
      </c>
      <c r="Z914">
        <v>90</v>
      </c>
      <c r="AA914">
        <v>200000</v>
      </c>
      <c r="AB914">
        <v>2770.8</v>
      </c>
      <c r="AC914">
        <v>0</v>
      </c>
      <c r="AD914" t="s">
        <v>94</v>
      </c>
      <c r="AE914" t="s">
        <v>94</v>
      </c>
      <c r="AF914" t="s">
        <v>226</v>
      </c>
      <c r="AG914" t="s">
        <v>226</v>
      </c>
      <c r="AH914">
        <v>6</v>
      </c>
      <c r="AI914" t="s">
        <v>3537</v>
      </c>
      <c r="AJ914" t="s">
        <v>1976</v>
      </c>
      <c r="AK914" t="s">
        <v>2416</v>
      </c>
      <c r="AL914" t="s">
        <v>272</v>
      </c>
    </row>
    <row r="915" spans="1:38">
      <c r="A915" t="s">
        <v>4397</v>
      </c>
      <c r="B915" t="s">
        <v>4398</v>
      </c>
      <c r="C915" t="s">
        <v>4399</v>
      </c>
      <c r="D915" t="s">
        <v>4399</v>
      </c>
      <c r="E915" t="s">
        <v>4400</v>
      </c>
      <c r="F915" t="s">
        <v>2413</v>
      </c>
      <c r="G915">
        <v>3</v>
      </c>
      <c r="H915">
        <v>1</v>
      </c>
      <c r="I915">
        <v>0.01</v>
      </c>
      <c r="J915">
        <v>1000</v>
      </c>
      <c r="K915">
        <v>-1.3</v>
      </c>
      <c r="L915">
        <v>80</v>
      </c>
      <c r="M915">
        <v>81.05</v>
      </c>
      <c r="N915">
        <v>81.739999999999995</v>
      </c>
      <c r="O915">
        <v>79.989999999999995</v>
      </c>
      <c r="P915">
        <v>0</v>
      </c>
      <c r="Q915">
        <v>0</v>
      </c>
      <c r="R915">
        <v>0</v>
      </c>
      <c r="S915">
        <v>79.78</v>
      </c>
      <c r="T915">
        <v>85.24</v>
      </c>
      <c r="U915">
        <v>79.459999999999994</v>
      </c>
      <c r="V915">
        <v>85.24</v>
      </c>
      <c r="W915">
        <v>450744</v>
      </c>
      <c r="X915">
        <v>79.94</v>
      </c>
      <c r="Y915">
        <v>80.069999999999993</v>
      </c>
      <c r="Z915">
        <v>103</v>
      </c>
      <c r="AA915">
        <v>300000</v>
      </c>
      <c r="AB915">
        <v>8000</v>
      </c>
      <c r="AC915">
        <v>0</v>
      </c>
      <c r="AD915" t="s">
        <v>94</v>
      </c>
      <c r="AE915" t="s">
        <v>94</v>
      </c>
      <c r="AF915" t="s">
        <v>226</v>
      </c>
      <c r="AG915" t="s">
        <v>226</v>
      </c>
      <c r="AH915">
        <v>6</v>
      </c>
      <c r="AI915" t="s">
        <v>3537</v>
      </c>
      <c r="AJ915" t="s">
        <v>1976</v>
      </c>
      <c r="AK915" t="s">
        <v>2416</v>
      </c>
      <c r="AL915" t="s">
        <v>272</v>
      </c>
    </row>
    <row r="916" spans="1:38">
      <c r="A916" t="s">
        <v>4401</v>
      </c>
      <c r="B916" t="s">
        <v>4402</v>
      </c>
      <c r="C916" t="s">
        <v>4403</v>
      </c>
      <c r="D916" t="s">
        <v>4403</v>
      </c>
      <c r="E916" t="s">
        <v>4404</v>
      </c>
      <c r="F916" t="s">
        <v>2413</v>
      </c>
      <c r="G916">
        <v>3</v>
      </c>
      <c r="H916">
        <v>1</v>
      </c>
      <c r="I916">
        <v>0.01</v>
      </c>
      <c r="J916">
        <v>1000</v>
      </c>
      <c r="K916">
        <v>0</v>
      </c>
      <c r="L916">
        <v>0</v>
      </c>
      <c r="M916">
        <v>94.06</v>
      </c>
      <c r="N916">
        <v>0</v>
      </c>
      <c r="O916">
        <v>94.06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200000</v>
      </c>
      <c r="AB916">
        <v>0</v>
      </c>
      <c r="AC916">
        <v>0</v>
      </c>
      <c r="AD916" t="s">
        <v>94</v>
      </c>
      <c r="AE916" t="s">
        <v>94</v>
      </c>
      <c r="AF916" t="s">
        <v>226</v>
      </c>
      <c r="AG916" t="s">
        <v>226</v>
      </c>
      <c r="AH916">
        <v>800</v>
      </c>
      <c r="AI916" t="s">
        <v>3537</v>
      </c>
      <c r="AJ916" t="s">
        <v>1976</v>
      </c>
      <c r="AK916" t="s">
        <v>2416</v>
      </c>
      <c r="AL916" t="s">
        <v>272</v>
      </c>
    </row>
    <row r="917" spans="1:38">
      <c r="A917" t="s">
        <v>4405</v>
      </c>
      <c r="B917" t="s">
        <v>4406</v>
      </c>
      <c r="C917" t="s">
        <v>4407</v>
      </c>
      <c r="D917" t="s">
        <v>4407</v>
      </c>
      <c r="E917" t="s">
        <v>4408</v>
      </c>
      <c r="F917" t="s">
        <v>2413</v>
      </c>
      <c r="G917">
        <v>3</v>
      </c>
      <c r="H917">
        <v>1</v>
      </c>
      <c r="I917">
        <v>0.01</v>
      </c>
      <c r="J917">
        <v>1000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200000</v>
      </c>
      <c r="AB917">
        <v>0</v>
      </c>
      <c r="AC917">
        <v>0</v>
      </c>
      <c r="AD917" t="s">
        <v>94</v>
      </c>
      <c r="AE917" t="s">
        <v>94</v>
      </c>
      <c r="AF917" t="s">
        <v>226</v>
      </c>
      <c r="AG917" t="s">
        <v>226</v>
      </c>
      <c r="AH917">
        <v>800</v>
      </c>
      <c r="AI917" t="s">
        <v>3537</v>
      </c>
      <c r="AJ917" t="s">
        <v>1976</v>
      </c>
      <c r="AK917" t="s">
        <v>2416</v>
      </c>
      <c r="AL917" t="s">
        <v>272</v>
      </c>
    </row>
    <row r="918" spans="1:38">
      <c r="A918" t="s">
        <v>4409</v>
      </c>
      <c r="B918" t="s">
        <v>4410</v>
      </c>
      <c r="C918" t="s">
        <v>4411</v>
      </c>
      <c r="D918" t="s">
        <v>4411</v>
      </c>
      <c r="E918" t="s">
        <v>4412</v>
      </c>
      <c r="F918" t="s">
        <v>2413</v>
      </c>
      <c r="G918">
        <v>3</v>
      </c>
      <c r="H918">
        <v>1</v>
      </c>
      <c r="I918">
        <v>0.01</v>
      </c>
      <c r="J918">
        <v>1000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100000</v>
      </c>
      <c r="AB918">
        <v>0</v>
      </c>
      <c r="AC918">
        <v>0</v>
      </c>
      <c r="AD918" t="s">
        <v>94</v>
      </c>
      <c r="AE918" t="s">
        <v>94</v>
      </c>
      <c r="AF918" t="s">
        <v>304</v>
      </c>
      <c r="AG918" t="s">
        <v>226</v>
      </c>
      <c r="AH918">
        <v>800</v>
      </c>
      <c r="AI918" t="s">
        <v>3537</v>
      </c>
      <c r="AJ918" t="s">
        <v>1976</v>
      </c>
      <c r="AK918" t="s">
        <v>2416</v>
      </c>
      <c r="AL918" t="s">
        <v>272</v>
      </c>
    </row>
    <row r="919" spans="1:38">
      <c r="A919" t="s">
        <v>4413</v>
      </c>
      <c r="B919" t="s">
        <v>4414</v>
      </c>
      <c r="C919" t="s">
        <v>4415</v>
      </c>
      <c r="D919" t="s">
        <v>4415</v>
      </c>
      <c r="E919" t="s">
        <v>4416</v>
      </c>
      <c r="F919" t="s">
        <v>2413</v>
      </c>
      <c r="G919">
        <v>3</v>
      </c>
      <c r="H919">
        <v>1</v>
      </c>
      <c r="I919">
        <v>0.01</v>
      </c>
      <c r="J919">
        <v>1000</v>
      </c>
      <c r="K919">
        <v>0</v>
      </c>
      <c r="L919">
        <v>0</v>
      </c>
      <c r="M919">
        <v>127.43</v>
      </c>
      <c r="N919">
        <v>0</v>
      </c>
      <c r="O919">
        <v>127.43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150000</v>
      </c>
      <c r="AB919">
        <v>0</v>
      </c>
      <c r="AC919">
        <v>0</v>
      </c>
      <c r="AD919" t="s">
        <v>94</v>
      </c>
      <c r="AE919" t="s">
        <v>94</v>
      </c>
      <c r="AF919" t="s">
        <v>304</v>
      </c>
      <c r="AG919" t="s">
        <v>226</v>
      </c>
      <c r="AH919">
        <v>800</v>
      </c>
      <c r="AI919" t="s">
        <v>3537</v>
      </c>
      <c r="AJ919" t="s">
        <v>1976</v>
      </c>
      <c r="AK919" t="s">
        <v>2416</v>
      </c>
      <c r="AL919" t="s">
        <v>272</v>
      </c>
    </row>
    <row r="920" spans="1:38">
      <c r="A920" t="s">
        <v>4417</v>
      </c>
      <c r="B920" t="s">
        <v>4418</v>
      </c>
      <c r="C920" t="s">
        <v>4419</v>
      </c>
      <c r="D920" t="s">
        <v>4419</v>
      </c>
      <c r="E920" t="s">
        <v>4420</v>
      </c>
      <c r="F920" t="s">
        <v>2413</v>
      </c>
      <c r="G920">
        <v>3</v>
      </c>
      <c r="H920">
        <v>1</v>
      </c>
      <c r="I920">
        <v>0.01</v>
      </c>
      <c r="J920">
        <v>1000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300000</v>
      </c>
      <c r="AB920">
        <v>0</v>
      </c>
      <c r="AC920">
        <v>0</v>
      </c>
      <c r="AD920" t="s">
        <v>94</v>
      </c>
      <c r="AE920" t="s">
        <v>94</v>
      </c>
      <c r="AF920" t="s">
        <v>304</v>
      </c>
      <c r="AG920" t="s">
        <v>226</v>
      </c>
      <c r="AH920">
        <v>800</v>
      </c>
      <c r="AI920" t="s">
        <v>3537</v>
      </c>
      <c r="AJ920" t="s">
        <v>1976</v>
      </c>
      <c r="AK920" t="s">
        <v>2416</v>
      </c>
      <c r="AL920" t="s">
        <v>272</v>
      </c>
    </row>
    <row r="921" spans="1:38">
      <c r="A921" t="s">
        <v>4421</v>
      </c>
      <c r="B921" t="s">
        <v>4422</v>
      </c>
      <c r="C921" t="s">
        <v>4423</v>
      </c>
      <c r="D921" t="s">
        <v>4423</v>
      </c>
      <c r="E921" t="s">
        <v>4424</v>
      </c>
      <c r="F921" t="s">
        <v>2413</v>
      </c>
      <c r="G921">
        <v>3</v>
      </c>
      <c r="H921">
        <v>1</v>
      </c>
      <c r="I921">
        <v>0.01</v>
      </c>
      <c r="J921">
        <v>1000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150000</v>
      </c>
      <c r="AB921">
        <v>0</v>
      </c>
      <c r="AC921">
        <v>0</v>
      </c>
      <c r="AD921" t="s">
        <v>94</v>
      </c>
      <c r="AE921" t="s">
        <v>94</v>
      </c>
      <c r="AF921" t="s">
        <v>304</v>
      </c>
      <c r="AG921" t="s">
        <v>226</v>
      </c>
      <c r="AH921">
        <v>800</v>
      </c>
      <c r="AI921" t="s">
        <v>3537</v>
      </c>
      <c r="AJ921" t="s">
        <v>1976</v>
      </c>
      <c r="AK921" t="s">
        <v>2416</v>
      </c>
      <c r="AL921" t="s">
        <v>272</v>
      </c>
    </row>
    <row r="922" spans="1:38">
      <c r="A922" t="s">
        <v>4425</v>
      </c>
      <c r="B922" t="s">
        <v>4426</v>
      </c>
      <c r="C922" t="s">
        <v>4427</v>
      </c>
      <c r="D922" t="s">
        <v>4427</v>
      </c>
      <c r="E922" t="s">
        <v>4428</v>
      </c>
      <c r="F922" t="s">
        <v>2413</v>
      </c>
      <c r="G922">
        <v>3</v>
      </c>
      <c r="H922">
        <v>1</v>
      </c>
      <c r="I922">
        <v>0.01</v>
      </c>
      <c r="J922">
        <v>1000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400000</v>
      </c>
      <c r="AB922">
        <v>0</v>
      </c>
      <c r="AC922">
        <v>0</v>
      </c>
      <c r="AD922" t="s">
        <v>94</v>
      </c>
      <c r="AE922" t="s">
        <v>94</v>
      </c>
      <c r="AF922" t="s">
        <v>304</v>
      </c>
      <c r="AG922" t="s">
        <v>226</v>
      </c>
      <c r="AH922">
        <v>800</v>
      </c>
      <c r="AI922" t="s">
        <v>3537</v>
      </c>
      <c r="AJ922" t="s">
        <v>1976</v>
      </c>
      <c r="AK922" t="s">
        <v>2416</v>
      </c>
      <c r="AL922" t="s">
        <v>272</v>
      </c>
    </row>
    <row r="923" spans="1:38">
      <c r="A923" t="s">
        <v>4429</v>
      </c>
      <c r="B923" t="s">
        <v>4430</v>
      </c>
      <c r="C923" t="s">
        <v>4431</v>
      </c>
      <c r="D923" t="s">
        <v>4431</v>
      </c>
      <c r="E923" t="s">
        <v>4432</v>
      </c>
      <c r="F923" t="s">
        <v>2413</v>
      </c>
      <c r="G923">
        <v>1</v>
      </c>
      <c r="H923">
        <v>1</v>
      </c>
      <c r="I923">
        <v>0.01</v>
      </c>
      <c r="J923">
        <v>750</v>
      </c>
      <c r="K923">
        <v>0.01</v>
      </c>
      <c r="L923">
        <v>95.2</v>
      </c>
      <c r="M923">
        <v>95.19</v>
      </c>
      <c r="N923">
        <v>95.06</v>
      </c>
      <c r="O923">
        <v>95.2</v>
      </c>
      <c r="P923">
        <v>0</v>
      </c>
      <c r="Q923">
        <v>0</v>
      </c>
      <c r="R923">
        <v>0</v>
      </c>
      <c r="S923">
        <v>95.2</v>
      </c>
      <c r="T923">
        <v>95.19</v>
      </c>
      <c r="U923">
        <v>95.14</v>
      </c>
      <c r="V923">
        <v>95.29</v>
      </c>
      <c r="W923">
        <v>857475</v>
      </c>
      <c r="X923">
        <v>95.15</v>
      </c>
      <c r="Y923">
        <v>95.2</v>
      </c>
      <c r="Z923">
        <v>81</v>
      </c>
      <c r="AA923">
        <v>5000000</v>
      </c>
      <c r="AB923">
        <v>7140</v>
      </c>
      <c r="AC923">
        <v>0</v>
      </c>
      <c r="AD923" t="s">
        <v>94</v>
      </c>
      <c r="AE923" t="s">
        <v>94</v>
      </c>
      <c r="AF923" t="s">
        <v>226</v>
      </c>
      <c r="AG923" t="s">
        <v>226</v>
      </c>
      <c r="AH923">
        <v>6</v>
      </c>
      <c r="AI923" t="s">
        <v>3537</v>
      </c>
      <c r="AJ923" t="s">
        <v>1976</v>
      </c>
      <c r="AK923" t="s">
        <v>2416</v>
      </c>
      <c r="AL923" t="s">
        <v>272</v>
      </c>
    </row>
    <row r="924" spans="1:38">
      <c r="A924" t="s">
        <v>4433</v>
      </c>
      <c r="B924" t="s">
        <v>4434</v>
      </c>
      <c r="C924" t="s">
        <v>4435</v>
      </c>
      <c r="D924" t="s">
        <v>4435</v>
      </c>
      <c r="E924" t="s">
        <v>4436</v>
      </c>
      <c r="F924" t="s">
        <v>2413</v>
      </c>
      <c r="G924">
        <v>3</v>
      </c>
      <c r="H924">
        <v>1</v>
      </c>
      <c r="I924">
        <v>0.01</v>
      </c>
      <c r="J924">
        <v>1000</v>
      </c>
      <c r="K924">
        <v>-0.09</v>
      </c>
      <c r="L924">
        <v>85.32</v>
      </c>
      <c r="M924">
        <v>85.26</v>
      </c>
      <c r="N924">
        <v>85.26</v>
      </c>
      <c r="O924">
        <v>85.16</v>
      </c>
      <c r="P924">
        <v>0</v>
      </c>
      <c r="Q924">
        <v>0</v>
      </c>
      <c r="R924">
        <v>0</v>
      </c>
      <c r="S924">
        <v>85.17</v>
      </c>
      <c r="T924">
        <v>85.7</v>
      </c>
      <c r="U924">
        <v>85.11</v>
      </c>
      <c r="V924">
        <v>85.7</v>
      </c>
      <c r="W924">
        <v>519550</v>
      </c>
      <c r="X924">
        <v>85.2</v>
      </c>
      <c r="Y924">
        <v>85.32</v>
      </c>
      <c r="Z924">
        <v>24</v>
      </c>
      <c r="AA924">
        <v>6000000</v>
      </c>
      <c r="AB924">
        <v>8532</v>
      </c>
      <c r="AC924">
        <v>0</v>
      </c>
      <c r="AD924" t="s">
        <v>94</v>
      </c>
      <c r="AE924" t="s">
        <v>94</v>
      </c>
      <c r="AF924" t="s">
        <v>226</v>
      </c>
      <c r="AG924" t="s">
        <v>226</v>
      </c>
      <c r="AH924">
        <v>6</v>
      </c>
      <c r="AI924" t="s">
        <v>3537</v>
      </c>
      <c r="AJ924" t="s">
        <v>1976</v>
      </c>
      <c r="AK924" t="s">
        <v>2416</v>
      </c>
      <c r="AL924" t="s">
        <v>272</v>
      </c>
    </row>
    <row r="925" spans="1:38">
      <c r="A925" t="s">
        <v>4437</v>
      </c>
      <c r="B925" t="s">
        <v>4438</v>
      </c>
      <c r="C925" t="s">
        <v>4439</v>
      </c>
      <c r="D925" t="s">
        <v>4439</v>
      </c>
      <c r="E925" t="s">
        <v>4440</v>
      </c>
      <c r="F925" t="s">
        <v>2413</v>
      </c>
      <c r="G925">
        <v>3</v>
      </c>
      <c r="H925">
        <v>1</v>
      </c>
      <c r="I925">
        <v>0.01</v>
      </c>
      <c r="J925">
        <v>1000</v>
      </c>
      <c r="K925">
        <v>-1.55</v>
      </c>
      <c r="L925">
        <v>83.79</v>
      </c>
      <c r="M925">
        <v>85.13</v>
      </c>
      <c r="N925">
        <v>85.58</v>
      </c>
      <c r="O925">
        <v>83.63</v>
      </c>
      <c r="P925">
        <v>0</v>
      </c>
      <c r="Q925">
        <v>0</v>
      </c>
      <c r="R925">
        <v>0</v>
      </c>
      <c r="S925">
        <v>84.1</v>
      </c>
      <c r="T925">
        <v>85.14</v>
      </c>
      <c r="U925">
        <v>82.9</v>
      </c>
      <c r="V925">
        <v>85.32</v>
      </c>
      <c r="W925">
        <v>1787177</v>
      </c>
      <c r="X925">
        <v>83.42</v>
      </c>
      <c r="Y925">
        <v>83.77</v>
      </c>
      <c r="Z925">
        <v>238</v>
      </c>
      <c r="AA925">
        <v>200000</v>
      </c>
      <c r="AB925">
        <v>5027.3999999999996</v>
      </c>
      <c r="AC925">
        <v>0</v>
      </c>
      <c r="AD925" t="s">
        <v>94</v>
      </c>
      <c r="AE925" t="s">
        <v>94</v>
      </c>
      <c r="AF925" t="s">
        <v>226</v>
      </c>
      <c r="AG925" t="s">
        <v>226</v>
      </c>
      <c r="AH925">
        <v>6</v>
      </c>
      <c r="AI925" t="s">
        <v>3537</v>
      </c>
      <c r="AJ925" t="s">
        <v>1976</v>
      </c>
      <c r="AK925" t="s">
        <v>2416</v>
      </c>
      <c r="AL925" t="s">
        <v>272</v>
      </c>
    </row>
    <row r="926" spans="1:38">
      <c r="A926" t="s">
        <v>4441</v>
      </c>
      <c r="B926" t="s">
        <v>4442</v>
      </c>
      <c r="C926" t="s">
        <v>4443</v>
      </c>
      <c r="D926" t="s">
        <v>4443</v>
      </c>
      <c r="E926" t="s">
        <v>4444</v>
      </c>
      <c r="F926" t="s">
        <v>2413</v>
      </c>
      <c r="G926">
        <v>3</v>
      </c>
      <c r="H926">
        <v>1</v>
      </c>
      <c r="I926">
        <v>0.01</v>
      </c>
      <c r="J926">
        <v>1000</v>
      </c>
      <c r="K926">
        <v>-0.4</v>
      </c>
      <c r="L926">
        <v>91.08</v>
      </c>
      <c r="M926">
        <v>91.45</v>
      </c>
      <c r="N926">
        <v>91.65</v>
      </c>
      <c r="O926">
        <v>91</v>
      </c>
      <c r="P926">
        <v>0</v>
      </c>
      <c r="Q926">
        <v>0</v>
      </c>
      <c r="R926">
        <v>0</v>
      </c>
      <c r="S926">
        <v>91.12</v>
      </c>
      <c r="T926">
        <v>91.21</v>
      </c>
      <c r="U926">
        <v>90.82</v>
      </c>
      <c r="V926">
        <v>91.45</v>
      </c>
      <c r="W926">
        <v>285193</v>
      </c>
      <c r="X926">
        <v>90.91</v>
      </c>
      <c r="Y926">
        <v>91.08</v>
      </c>
      <c r="Z926">
        <v>44</v>
      </c>
      <c r="AA926">
        <v>30999</v>
      </c>
      <c r="AB926">
        <v>9108</v>
      </c>
      <c r="AC926">
        <v>0</v>
      </c>
      <c r="AD926" t="s">
        <v>94</v>
      </c>
      <c r="AE926" t="s">
        <v>94</v>
      </c>
      <c r="AF926" t="s">
        <v>226</v>
      </c>
      <c r="AG926" t="s">
        <v>226</v>
      </c>
      <c r="AH926">
        <v>6</v>
      </c>
      <c r="AI926" t="s">
        <v>3537</v>
      </c>
      <c r="AJ926" t="s">
        <v>1976</v>
      </c>
      <c r="AK926" t="s">
        <v>2416</v>
      </c>
      <c r="AL926" t="s">
        <v>272</v>
      </c>
    </row>
    <row r="927" spans="1:38">
      <c r="A927" t="s">
        <v>4445</v>
      </c>
      <c r="B927" t="s">
        <v>4446</v>
      </c>
      <c r="C927" t="s">
        <v>4447</v>
      </c>
      <c r="D927" t="s">
        <v>4447</v>
      </c>
      <c r="E927" t="s">
        <v>4448</v>
      </c>
      <c r="F927" t="s">
        <v>2413</v>
      </c>
      <c r="G927">
        <v>2</v>
      </c>
      <c r="H927">
        <v>1</v>
      </c>
      <c r="I927">
        <v>0.01</v>
      </c>
      <c r="J927">
        <v>670</v>
      </c>
      <c r="K927">
        <v>-0.59</v>
      </c>
      <c r="L927">
        <v>92.53</v>
      </c>
      <c r="M927">
        <v>92.97</v>
      </c>
      <c r="N927">
        <v>92.43</v>
      </c>
      <c r="O927">
        <v>92.53</v>
      </c>
      <c r="P927">
        <v>0</v>
      </c>
      <c r="Q927">
        <v>0</v>
      </c>
      <c r="R927">
        <v>0</v>
      </c>
      <c r="S927">
        <v>92.89</v>
      </c>
      <c r="T927">
        <v>92.1</v>
      </c>
      <c r="U927">
        <v>92.1</v>
      </c>
      <c r="V927">
        <v>93.1</v>
      </c>
      <c r="W927">
        <v>469889</v>
      </c>
      <c r="X927">
        <v>92.49</v>
      </c>
      <c r="Y927">
        <v>92.91</v>
      </c>
      <c r="Z927">
        <v>48</v>
      </c>
      <c r="AA927">
        <v>13000000</v>
      </c>
      <c r="AB927">
        <v>619.95000000000005</v>
      </c>
      <c r="AC927">
        <v>0</v>
      </c>
      <c r="AD927" t="s">
        <v>94</v>
      </c>
      <c r="AE927" t="s">
        <v>94</v>
      </c>
      <c r="AF927" t="s">
        <v>226</v>
      </c>
      <c r="AG927" t="s">
        <v>226</v>
      </c>
      <c r="AH927">
        <v>6</v>
      </c>
      <c r="AI927" t="s">
        <v>3537</v>
      </c>
      <c r="AJ927" t="s">
        <v>1976</v>
      </c>
      <c r="AK927" t="s">
        <v>2416</v>
      </c>
      <c r="AL927" t="s">
        <v>272</v>
      </c>
    </row>
    <row r="928" spans="1:38">
      <c r="A928" t="s">
        <v>4449</v>
      </c>
      <c r="B928" t="s">
        <v>4450</v>
      </c>
      <c r="C928" t="s">
        <v>4451</v>
      </c>
      <c r="D928" t="s">
        <v>4451</v>
      </c>
      <c r="E928" t="s">
        <v>4452</v>
      </c>
      <c r="F928" t="s">
        <v>2413</v>
      </c>
      <c r="G928">
        <v>2</v>
      </c>
      <c r="H928">
        <v>1</v>
      </c>
      <c r="I928">
        <v>0.01</v>
      </c>
      <c r="J928">
        <v>1000</v>
      </c>
      <c r="K928">
        <v>-0.68</v>
      </c>
      <c r="L928">
        <v>91.09</v>
      </c>
      <c r="M928">
        <v>91.71</v>
      </c>
      <c r="N928">
        <v>91.55</v>
      </c>
      <c r="O928">
        <v>91.09</v>
      </c>
      <c r="P928">
        <v>0</v>
      </c>
      <c r="Q928">
        <v>0</v>
      </c>
      <c r="R928">
        <v>0</v>
      </c>
      <c r="S928">
        <v>90.68</v>
      </c>
      <c r="T928">
        <v>91.77</v>
      </c>
      <c r="U928">
        <v>90</v>
      </c>
      <c r="V928">
        <v>91.77</v>
      </c>
      <c r="W928">
        <v>5441</v>
      </c>
      <c r="X928">
        <v>90.41</v>
      </c>
      <c r="Y928">
        <v>91.18</v>
      </c>
      <c r="Z928">
        <v>6</v>
      </c>
      <c r="AA928">
        <v>5000000</v>
      </c>
      <c r="AB928">
        <v>910.9</v>
      </c>
      <c r="AC928">
        <v>0</v>
      </c>
      <c r="AD928" t="s">
        <v>94</v>
      </c>
      <c r="AE928" t="s">
        <v>94</v>
      </c>
      <c r="AF928" t="s">
        <v>226</v>
      </c>
      <c r="AG928" t="s">
        <v>226</v>
      </c>
      <c r="AH928">
        <v>6</v>
      </c>
      <c r="AI928" t="s">
        <v>3537</v>
      </c>
      <c r="AJ928" t="s">
        <v>1976</v>
      </c>
      <c r="AK928" t="s">
        <v>2416</v>
      </c>
      <c r="AL928" t="s">
        <v>272</v>
      </c>
    </row>
    <row r="929" spans="1:38">
      <c r="A929" t="s">
        <v>4453</v>
      </c>
      <c r="B929" t="s">
        <v>4454</v>
      </c>
      <c r="C929" t="s">
        <v>4455</v>
      </c>
      <c r="D929" t="s">
        <v>4455</v>
      </c>
      <c r="E929" t="s">
        <v>4456</v>
      </c>
      <c r="F929" t="s">
        <v>2413</v>
      </c>
      <c r="G929">
        <v>2</v>
      </c>
      <c r="H929">
        <v>1</v>
      </c>
      <c r="I929">
        <v>0.01</v>
      </c>
      <c r="J929">
        <v>1000</v>
      </c>
      <c r="K929">
        <v>-0.14000000000000001</v>
      </c>
      <c r="L929">
        <v>89.88</v>
      </c>
      <c r="M929">
        <v>90.01</v>
      </c>
      <c r="N929">
        <v>90</v>
      </c>
      <c r="O929">
        <v>89.82</v>
      </c>
      <c r="P929">
        <v>0</v>
      </c>
      <c r="Q929">
        <v>0</v>
      </c>
      <c r="R929">
        <v>0</v>
      </c>
      <c r="S929">
        <v>89.92</v>
      </c>
      <c r="T929">
        <v>90.01</v>
      </c>
      <c r="U929">
        <v>89.76</v>
      </c>
      <c r="V929">
        <v>90.25</v>
      </c>
      <c r="W929">
        <v>1942372</v>
      </c>
      <c r="X929">
        <v>89.82</v>
      </c>
      <c r="Y929">
        <v>89.88</v>
      </c>
      <c r="Z929">
        <v>139</v>
      </c>
      <c r="AA929">
        <v>10000000</v>
      </c>
      <c r="AB929">
        <v>898.8</v>
      </c>
      <c r="AC929">
        <v>0</v>
      </c>
      <c r="AD929" t="s">
        <v>94</v>
      </c>
      <c r="AE929" t="s">
        <v>94</v>
      </c>
      <c r="AF929" t="s">
        <v>226</v>
      </c>
      <c r="AG929" t="s">
        <v>226</v>
      </c>
      <c r="AH929">
        <v>6</v>
      </c>
      <c r="AI929" t="s">
        <v>3537</v>
      </c>
      <c r="AJ929" t="s">
        <v>1976</v>
      </c>
      <c r="AK929" t="s">
        <v>2416</v>
      </c>
      <c r="AL929" t="s">
        <v>272</v>
      </c>
    </row>
    <row r="930" spans="1:38">
      <c r="A930" t="s">
        <v>4457</v>
      </c>
      <c r="B930" t="s">
        <v>4458</v>
      </c>
      <c r="C930" t="s">
        <v>4459</v>
      </c>
      <c r="D930" t="s">
        <v>4459</v>
      </c>
      <c r="E930" t="s">
        <v>4460</v>
      </c>
      <c r="F930" t="s">
        <v>2413</v>
      </c>
      <c r="G930">
        <v>2</v>
      </c>
      <c r="H930">
        <v>1</v>
      </c>
      <c r="I930">
        <v>0.01</v>
      </c>
      <c r="J930">
        <v>725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90</v>
      </c>
      <c r="Y930">
        <v>0</v>
      </c>
      <c r="Z930">
        <v>0</v>
      </c>
      <c r="AA930">
        <v>3000000</v>
      </c>
      <c r="AB930">
        <v>0</v>
      </c>
      <c r="AC930">
        <v>0</v>
      </c>
      <c r="AD930" t="s">
        <v>94</v>
      </c>
      <c r="AE930" t="s">
        <v>94</v>
      </c>
      <c r="AF930" t="s">
        <v>226</v>
      </c>
      <c r="AG930" t="s">
        <v>226</v>
      </c>
      <c r="AH930">
        <v>6</v>
      </c>
      <c r="AI930" t="s">
        <v>3537</v>
      </c>
      <c r="AJ930" t="s">
        <v>1976</v>
      </c>
      <c r="AK930" t="s">
        <v>2416</v>
      </c>
      <c r="AL930" t="s">
        <v>272</v>
      </c>
    </row>
    <row r="931" spans="1:38">
      <c r="A931" t="s">
        <v>4461</v>
      </c>
      <c r="B931" t="s">
        <v>4462</v>
      </c>
      <c r="C931" t="s">
        <v>4463</v>
      </c>
      <c r="D931" t="s">
        <v>4463</v>
      </c>
      <c r="E931" t="s">
        <v>4464</v>
      </c>
      <c r="F931" t="s">
        <v>2413</v>
      </c>
      <c r="G931">
        <v>2</v>
      </c>
      <c r="H931">
        <v>1</v>
      </c>
      <c r="I931">
        <v>0.01</v>
      </c>
      <c r="J931">
        <v>1000</v>
      </c>
      <c r="K931">
        <v>-0.15</v>
      </c>
      <c r="L931">
        <v>91.6</v>
      </c>
      <c r="M931">
        <v>91.74</v>
      </c>
      <c r="N931">
        <v>92.06</v>
      </c>
      <c r="O931">
        <v>91.6</v>
      </c>
      <c r="P931">
        <v>0</v>
      </c>
      <c r="Q931">
        <v>0</v>
      </c>
      <c r="R931">
        <v>0</v>
      </c>
      <c r="S931">
        <v>91.42</v>
      </c>
      <c r="T931">
        <v>91.74</v>
      </c>
      <c r="U931">
        <v>91.1</v>
      </c>
      <c r="V931">
        <v>91.74</v>
      </c>
      <c r="W931">
        <v>2429117</v>
      </c>
      <c r="X931">
        <v>91.56</v>
      </c>
      <c r="Y931">
        <v>91.6</v>
      </c>
      <c r="Z931">
        <v>292</v>
      </c>
      <c r="AA931">
        <v>8000000</v>
      </c>
      <c r="AB931">
        <v>87936</v>
      </c>
      <c r="AC931">
        <v>0</v>
      </c>
      <c r="AD931" t="s">
        <v>94</v>
      </c>
      <c r="AE931" t="s">
        <v>94</v>
      </c>
      <c r="AF931" t="s">
        <v>226</v>
      </c>
      <c r="AG931" t="s">
        <v>226</v>
      </c>
      <c r="AH931">
        <v>8</v>
      </c>
      <c r="AI931" t="s">
        <v>3537</v>
      </c>
      <c r="AJ931" t="s">
        <v>1976</v>
      </c>
      <c r="AK931" t="s">
        <v>2416</v>
      </c>
      <c r="AL931" t="s">
        <v>272</v>
      </c>
    </row>
    <row r="932" spans="1:38">
      <c r="A932" t="s">
        <v>4465</v>
      </c>
      <c r="B932" t="s">
        <v>4466</v>
      </c>
      <c r="C932" t="s">
        <v>4467</v>
      </c>
      <c r="D932" t="s">
        <v>4467</v>
      </c>
      <c r="E932" t="s">
        <v>4468</v>
      </c>
      <c r="F932" t="s">
        <v>2413</v>
      </c>
      <c r="G932">
        <v>2</v>
      </c>
      <c r="H932">
        <v>1</v>
      </c>
      <c r="I932">
        <v>0.01</v>
      </c>
      <c r="J932">
        <v>1000</v>
      </c>
      <c r="K932">
        <v>-0.41</v>
      </c>
      <c r="L932">
        <v>91.29</v>
      </c>
      <c r="M932">
        <v>91.67</v>
      </c>
      <c r="N932">
        <v>91.57</v>
      </c>
      <c r="O932">
        <v>91.29</v>
      </c>
      <c r="P932">
        <v>0</v>
      </c>
      <c r="Q932">
        <v>0</v>
      </c>
      <c r="R932">
        <v>0</v>
      </c>
      <c r="S932">
        <v>91.28</v>
      </c>
      <c r="T932">
        <v>91.67</v>
      </c>
      <c r="U932">
        <v>90.64</v>
      </c>
      <c r="V932">
        <v>91.67</v>
      </c>
      <c r="W932">
        <v>3218508</v>
      </c>
      <c r="X932">
        <v>91.11</v>
      </c>
      <c r="Y932">
        <v>91.29</v>
      </c>
      <c r="Z932">
        <v>274</v>
      </c>
      <c r="AA932">
        <v>6000000</v>
      </c>
      <c r="AB932">
        <v>912.9</v>
      </c>
      <c r="AC932">
        <v>0</v>
      </c>
      <c r="AD932" t="s">
        <v>94</v>
      </c>
      <c r="AE932" t="s">
        <v>94</v>
      </c>
      <c r="AF932" t="s">
        <v>226</v>
      </c>
      <c r="AG932" t="s">
        <v>226</v>
      </c>
      <c r="AH932">
        <v>8</v>
      </c>
      <c r="AI932" t="s">
        <v>3537</v>
      </c>
      <c r="AJ932" t="s">
        <v>1976</v>
      </c>
      <c r="AK932" t="s">
        <v>2416</v>
      </c>
      <c r="AL932" t="s">
        <v>272</v>
      </c>
    </row>
    <row r="933" spans="1:38">
      <c r="A933" t="s">
        <v>4469</v>
      </c>
      <c r="B933" t="s">
        <v>4470</v>
      </c>
      <c r="C933" t="s">
        <v>4471</v>
      </c>
      <c r="D933" t="s">
        <v>4471</v>
      </c>
      <c r="E933" t="s">
        <v>4472</v>
      </c>
      <c r="F933" t="s">
        <v>2413</v>
      </c>
      <c r="G933">
        <v>2</v>
      </c>
      <c r="H933">
        <v>1</v>
      </c>
      <c r="I933">
        <v>0.01</v>
      </c>
      <c r="J933">
        <v>1000</v>
      </c>
      <c r="K933">
        <v>0.15</v>
      </c>
      <c r="L933">
        <v>94.29</v>
      </c>
      <c r="M933">
        <v>94.15</v>
      </c>
      <c r="N933">
        <v>93.96</v>
      </c>
      <c r="O933">
        <v>94.29</v>
      </c>
      <c r="P933">
        <v>0</v>
      </c>
      <c r="Q933">
        <v>0</v>
      </c>
      <c r="R933">
        <v>0</v>
      </c>
      <c r="S933">
        <v>94.16</v>
      </c>
      <c r="T933">
        <v>94.15</v>
      </c>
      <c r="U933">
        <v>93.71</v>
      </c>
      <c r="V933">
        <v>94.5</v>
      </c>
      <c r="W933">
        <v>2186429</v>
      </c>
      <c r="X933">
        <v>94.08</v>
      </c>
      <c r="Y933">
        <v>94.29</v>
      </c>
      <c r="Z933">
        <v>210</v>
      </c>
      <c r="AA933">
        <v>7500000</v>
      </c>
      <c r="AB933">
        <v>942.9</v>
      </c>
      <c r="AC933">
        <v>0</v>
      </c>
      <c r="AD933" t="s">
        <v>94</v>
      </c>
      <c r="AE933" t="s">
        <v>94</v>
      </c>
      <c r="AF933" t="s">
        <v>226</v>
      </c>
      <c r="AG933" t="s">
        <v>226</v>
      </c>
      <c r="AH933">
        <v>8</v>
      </c>
      <c r="AI933" t="s">
        <v>3537</v>
      </c>
      <c r="AJ933" t="s">
        <v>1976</v>
      </c>
      <c r="AK933" t="s">
        <v>2416</v>
      </c>
      <c r="AL933" t="s">
        <v>272</v>
      </c>
    </row>
    <row r="934" spans="1:38">
      <c r="A934" t="s">
        <v>4473</v>
      </c>
      <c r="B934" t="s">
        <v>4474</v>
      </c>
      <c r="C934" t="s">
        <v>4475</v>
      </c>
      <c r="D934" t="s">
        <v>4475</v>
      </c>
      <c r="E934" t="s">
        <v>4476</v>
      </c>
      <c r="F934" t="s">
        <v>2413</v>
      </c>
      <c r="G934">
        <v>2</v>
      </c>
      <c r="H934">
        <v>1</v>
      </c>
      <c r="I934">
        <v>0.01</v>
      </c>
      <c r="J934">
        <v>1000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92.18</v>
      </c>
      <c r="Y934">
        <v>0</v>
      </c>
      <c r="Z934">
        <v>0</v>
      </c>
      <c r="AA934">
        <v>9000000</v>
      </c>
      <c r="AB934">
        <v>0</v>
      </c>
      <c r="AC934">
        <v>0</v>
      </c>
      <c r="AD934" t="s">
        <v>94</v>
      </c>
      <c r="AE934" t="s">
        <v>94</v>
      </c>
      <c r="AF934" t="s">
        <v>226</v>
      </c>
      <c r="AG934" t="s">
        <v>226</v>
      </c>
      <c r="AH934">
        <v>8</v>
      </c>
      <c r="AI934" t="s">
        <v>3537</v>
      </c>
      <c r="AJ934" t="s">
        <v>1976</v>
      </c>
      <c r="AK934" t="s">
        <v>2416</v>
      </c>
      <c r="AL934" t="s">
        <v>272</v>
      </c>
    </row>
    <row r="935" spans="1:38">
      <c r="A935" t="s">
        <v>4477</v>
      </c>
      <c r="B935" t="s">
        <v>4478</v>
      </c>
      <c r="C935" t="s">
        <v>4479</v>
      </c>
      <c r="D935" t="s">
        <v>4479</v>
      </c>
      <c r="E935" t="s">
        <v>4480</v>
      </c>
      <c r="F935" t="s">
        <v>3754</v>
      </c>
      <c r="G935">
        <v>1</v>
      </c>
      <c r="H935">
        <v>1</v>
      </c>
      <c r="I935">
        <v>0.01</v>
      </c>
      <c r="J935">
        <v>400</v>
      </c>
      <c r="K935">
        <v>0</v>
      </c>
      <c r="L935">
        <v>90.66</v>
      </c>
      <c r="M935">
        <v>90.66</v>
      </c>
      <c r="N935">
        <v>88.74</v>
      </c>
      <c r="O935">
        <v>90.66</v>
      </c>
      <c r="P935">
        <v>0</v>
      </c>
      <c r="Q935">
        <v>0</v>
      </c>
      <c r="R935">
        <v>0</v>
      </c>
      <c r="S935">
        <v>90.48</v>
      </c>
      <c r="T935">
        <v>90.66</v>
      </c>
      <c r="U935">
        <v>90.08</v>
      </c>
      <c r="V935">
        <v>90.66</v>
      </c>
      <c r="W935">
        <v>11943</v>
      </c>
      <c r="X935">
        <v>90.67</v>
      </c>
      <c r="Y935">
        <v>91.16</v>
      </c>
      <c r="Z935">
        <v>15</v>
      </c>
      <c r="AA935">
        <v>5000000</v>
      </c>
      <c r="AB935">
        <v>3263.76</v>
      </c>
      <c r="AC935">
        <v>0</v>
      </c>
      <c r="AD935" t="s">
        <v>94</v>
      </c>
      <c r="AE935" t="s">
        <v>94</v>
      </c>
      <c r="AF935" t="s">
        <v>226</v>
      </c>
      <c r="AG935" t="s">
        <v>226</v>
      </c>
      <c r="AH935">
        <v>-100</v>
      </c>
      <c r="AI935" t="s">
        <v>3537</v>
      </c>
      <c r="AJ935" t="s">
        <v>1976</v>
      </c>
      <c r="AK935" t="s">
        <v>3755</v>
      </c>
      <c r="AL935" t="s">
        <v>272</v>
      </c>
    </row>
    <row r="936" spans="1:38">
      <c r="A936" t="s">
        <v>4481</v>
      </c>
      <c r="B936" t="s">
        <v>4482</v>
      </c>
      <c r="C936" t="s">
        <v>4483</v>
      </c>
      <c r="D936" t="s">
        <v>4483</v>
      </c>
      <c r="E936" t="s">
        <v>4484</v>
      </c>
      <c r="F936" t="s">
        <v>3754</v>
      </c>
      <c r="G936">
        <v>1</v>
      </c>
      <c r="H936">
        <v>1</v>
      </c>
      <c r="I936">
        <v>0.01</v>
      </c>
      <c r="J936">
        <v>700</v>
      </c>
      <c r="K936">
        <v>-1.66</v>
      </c>
      <c r="L936">
        <v>84.11</v>
      </c>
      <c r="M936">
        <v>85.53</v>
      </c>
      <c r="N936">
        <v>86.03</v>
      </c>
      <c r="O936">
        <v>85.27</v>
      </c>
      <c r="P936">
        <v>0</v>
      </c>
      <c r="Q936">
        <v>0</v>
      </c>
      <c r="R936">
        <v>0</v>
      </c>
      <c r="S936">
        <v>86.1</v>
      </c>
      <c r="T936">
        <v>85.88</v>
      </c>
      <c r="U936">
        <v>84.11</v>
      </c>
      <c r="V936">
        <v>86.19</v>
      </c>
      <c r="W936">
        <v>245890</v>
      </c>
      <c r="X936">
        <v>84.76</v>
      </c>
      <c r="Y936">
        <v>85.86</v>
      </c>
      <c r="Z936">
        <v>29</v>
      </c>
      <c r="AA936">
        <v>10000000</v>
      </c>
      <c r="AB936">
        <v>2943.85</v>
      </c>
      <c r="AC936">
        <v>0</v>
      </c>
      <c r="AD936" t="s">
        <v>94</v>
      </c>
      <c r="AE936" t="s">
        <v>94</v>
      </c>
      <c r="AF936" t="s">
        <v>226</v>
      </c>
      <c r="AG936" t="s">
        <v>226</v>
      </c>
      <c r="AH936">
        <v>-100</v>
      </c>
      <c r="AI936" t="s">
        <v>3537</v>
      </c>
      <c r="AJ936" t="s">
        <v>1976</v>
      </c>
      <c r="AK936" t="s">
        <v>3755</v>
      </c>
      <c r="AL936" t="s">
        <v>272</v>
      </c>
    </row>
    <row r="937" spans="1:38">
      <c r="A937" t="s">
        <v>4485</v>
      </c>
      <c r="B937" t="s">
        <v>4486</v>
      </c>
      <c r="C937" t="s">
        <v>4487</v>
      </c>
      <c r="D937" t="s">
        <v>4487</v>
      </c>
      <c r="E937" t="s">
        <v>4488</v>
      </c>
      <c r="F937" t="s">
        <v>3754</v>
      </c>
      <c r="G937">
        <v>1</v>
      </c>
      <c r="H937">
        <v>1</v>
      </c>
      <c r="I937">
        <v>0.01</v>
      </c>
      <c r="J937">
        <v>1000</v>
      </c>
      <c r="K937">
        <v>-0.1</v>
      </c>
      <c r="L937">
        <v>87.01</v>
      </c>
      <c r="M937">
        <v>87.1</v>
      </c>
      <c r="N937">
        <v>88.78</v>
      </c>
      <c r="O937">
        <v>87.01</v>
      </c>
      <c r="P937">
        <v>0</v>
      </c>
      <c r="Q937">
        <v>0</v>
      </c>
      <c r="R937">
        <v>0</v>
      </c>
      <c r="S937">
        <v>86.8</v>
      </c>
      <c r="T937">
        <v>86.5</v>
      </c>
      <c r="U937">
        <v>85.9</v>
      </c>
      <c r="V937">
        <v>87.05</v>
      </c>
      <c r="W937">
        <v>70310</v>
      </c>
      <c r="X937">
        <v>86.78</v>
      </c>
      <c r="Y937">
        <v>87.02</v>
      </c>
      <c r="Z937">
        <v>23</v>
      </c>
      <c r="AA937">
        <v>5500000</v>
      </c>
      <c r="AB937">
        <v>870.1</v>
      </c>
      <c r="AC937">
        <v>0</v>
      </c>
      <c r="AD937" t="s">
        <v>94</v>
      </c>
      <c r="AE937" t="s">
        <v>94</v>
      </c>
      <c r="AF937" t="s">
        <v>226</v>
      </c>
      <c r="AG937" t="s">
        <v>226</v>
      </c>
      <c r="AH937">
        <v>-100</v>
      </c>
      <c r="AI937" t="s">
        <v>3537</v>
      </c>
      <c r="AJ937" t="s">
        <v>1976</v>
      </c>
      <c r="AK937" t="s">
        <v>3755</v>
      </c>
      <c r="AL937" t="s">
        <v>272</v>
      </c>
    </row>
    <row r="938" spans="1:38">
      <c r="A938" t="s">
        <v>4489</v>
      </c>
      <c r="B938" t="s">
        <v>4490</v>
      </c>
      <c r="C938" t="s">
        <v>4491</v>
      </c>
      <c r="D938" t="s">
        <v>4491</v>
      </c>
      <c r="E938" t="s">
        <v>4492</v>
      </c>
      <c r="F938" t="s">
        <v>2413</v>
      </c>
      <c r="G938">
        <v>3</v>
      </c>
      <c r="H938">
        <v>1</v>
      </c>
      <c r="I938">
        <v>0.01</v>
      </c>
      <c r="J938">
        <v>1000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99</v>
      </c>
      <c r="Y938">
        <v>0</v>
      </c>
      <c r="Z938">
        <v>0</v>
      </c>
      <c r="AA938">
        <v>10000000</v>
      </c>
      <c r="AB938">
        <v>0</v>
      </c>
      <c r="AC938">
        <v>0</v>
      </c>
      <c r="AD938" t="s">
        <v>94</v>
      </c>
      <c r="AE938" t="s">
        <v>94</v>
      </c>
      <c r="AF938" t="s">
        <v>226</v>
      </c>
      <c r="AG938" t="s">
        <v>226</v>
      </c>
      <c r="AH938">
        <v>-100</v>
      </c>
      <c r="AI938" t="s">
        <v>3537</v>
      </c>
      <c r="AJ938" t="s">
        <v>1976</v>
      </c>
      <c r="AK938" t="s">
        <v>2416</v>
      </c>
      <c r="AL938" t="s">
        <v>272</v>
      </c>
    </row>
    <row r="939" spans="1:38">
      <c r="A939" t="s">
        <v>4493</v>
      </c>
      <c r="B939" t="s">
        <v>4494</v>
      </c>
      <c r="C939" t="s">
        <v>4495</v>
      </c>
      <c r="D939" t="s">
        <v>4495</v>
      </c>
      <c r="E939" t="s">
        <v>4496</v>
      </c>
      <c r="F939" t="s">
        <v>2413</v>
      </c>
      <c r="G939">
        <v>3</v>
      </c>
      <c r="H939">
        <v>1</v>
      </c>
      <c r="I939">
        <v>0.01</v>
      </c>
      <c r="J939">
        <v>1000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97.15</v>
      </c>
      <c r="Y939">
        <v>0</v>
      </c>
      <c r="Z939">
        <v>0</v>
      </c>
      <c r="AA939">
        <v>5000000</v>
      </c>
      <c r="AB939">
        <v>0</v>
      </c>
      <c r="AC939">
        <v>0</v>
      </c>
      <c r="AD939" t="s">
        <v>94</v>
      </c>
      <c r="AE939" t="s">
        <v>94</v>
      </c>
      <c r="AF939" t="s">
        <v>226</v>
      </c>
      <c r="AG939" t="s">
        <v>226</v>
      </c>
      <c r="AH939">
        <v>-100</v>
      </c>
      <c r="AI939" t="s">
        <v>3537</v>
      </c>
      <c r="AJ939" t="s">
        <v>1976</v>
      </c>
      <c r="AK939" t="s">
        <v>2416</v>
      </c>
      <c r="AL939" t="s">
        <v>272</v>
      </c>
    </row>
    <row r="940" spans="1:38">
      <c r="A940" t="s">
        <v>4497</v>
      </c>
      <c r="B940" t="s">
        <v>4498</v>
      </c>
      <c r="C940" t="s">
        <v>4499</v>
      </c>
      <c r="D940" t="s">
        <v>4499</v>
      </c>
      <c r="E940" t="s">
        <v>4500</v>
      </c>
      <c r="F940" t="s">
        <v>2413</v>
      </c>
      <c r="G940">
        <v>3</v>
      </c>
      <c r="H940">
        <v>1</v>
      </c>
      <c r="I940">
        <v>0.01</v>
      </c>
      <c r="J940">
        <v>1000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10000000</v>
      </c>
      <c r="AB940">
        <v>0</v>
      </c>
      <c r="AC940">
        <v>0</v>
      </c>
      <c r="AD940" t="s">
        <v>94</v>
      </c>
      <c r="AE940" t="s">
        <v>94</v>
      </c>
      <c r="AF940" t="s">
        <v>226</v>
      </c>
      <c r="AG940" t="s">
        <v>226</v>
      </c>
      <c r="AH940">
        <v>-100</v>
      </c>
      <c r="AI940" t="s">
        <v>3537</v>
      </c>
      <c r="AJ940" t="s">
        <v>1976</v>
      </c>
      <c r="AK940" t="s">
        <v>2416</v>
      </c>
      <c r="AL940" t="s">
        <v>272</v>
      </c>
    </row>
    <row r="941" spans="1:38">
      <c r="A941" t="s">
        <v>4501</v>
      </c>
      <c r="B941" t="s">
        <v>4502</v>
      </c>
      <c r="C941" t="s">
        <v>4503</v>
      </c>
      <c r="D941" t="s">
        <v>4503</v>
      </c>
      <c r="E941" t="s">
        <v>4504</v>
      </c>
      <c r="F941" t="s">
        <v>2413</v>
      </c>
      <c r="G941">
        <v>3</v>
      </c>
      <c r="H941">
        <v>1</v>
      </c>
      <c r="I941">
        <v>0.01</v>
      </c>
      <c r="J941">
        <v>1000</v>
      </c>
      <c r="K941">
        <v>0</v>
      </c>
      <c r="L941">
        <v>0</v>
      </c>
      <c r="M941">
        <v>105.01</v>
      </c>
      <c r="N941">
        <v>0</v>
      </c>
      <c r="O941">
        <v>105.01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5000000</v>
      </c>
      <c r="AB941">
        <v>0</v>
      </c>
      <c r="AC941">
        <v>0</v>
      </c>
      <c r="AD941" t="s">
        <v>94</v>
      </c>
      <c r="AE941" t="s">
        <v>94</v>
      </c>
      <c r="AF941" t="s">
        <v>226</v>
      </c>
      <c r="AG941" t="s">
        <v>226</v>
      </c>
      <c r="AH941">
        <v>-100</v>
      </c>
      <c r="AI941" t="s">
        <v>3537</v>
      </c>
      <c r="AJ941" t="s">
        <v>1976</v>
      </c>
      <c r="AK941" t="s">
        <v>2416</v>
      </c>
      <c r="AL941" t="s">
        <v>272</v>
      </c>
    </row>
    <row r="942" spans="1:38">
      <c r="A942" t="s">
        <v>4505</v>
      </c>
      <c r="B942" t="s">
        <v>4506</v>
      </c>
      <c r="C942" t="s">
        <v>4507</v>
      </c>
      <c r="D942" t="s">
        <v>4507</v>
      </c>
      <c r="E942" t="s">
        <v>4508</v>
      </c>
      <c r="F942" t="s">
        <v>2413</v>
      </c>
      <c r="G942">
        <v>3</v>
      </c>
      <c r="H942">
        <v>1</v>
      </c>
      <c r="I942">
        <v>0.01</v>
      </c>
      <c r="J942">
        <v>1000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100.01</v>
      </c>
      <c r="Y942">
        <v>0</v>
      </c>
      <c r="Z942">
        <v>0</v>
      </c>
      <c r="AA942">
        <v>5000000</v>
      </c>
      <c r="AB942">
        <v>0</v>
      </c>
      <c r="AC942">
        <v>0</v>
      </c>
      <c r="AD942" t="s">
        <v>94</v>
      </c>
      <c r="AE942" t="s">
        <v>94</v>
      </c>
      <c r="AF942" t="s">
        <v>226</v>
      </c>
      <c r="AG942" t="s">
        <v>226</v>
      </c>
      <c r="AH942">
        <v>-100</v>
      </c>
      <c r="AI942" t="s">
        <v>3537</v>
      </c>
      <c r="AJ942" t="s">
        <v>1976</v>
      </c>
      <c r="AK942" t="s">
        <v>2416</v>
      </c>
      <c r="AL942" t="s">
        <v>272</v>
      </c>
    </row>
    <row r="943" spans="1:38">
      <c r="A943" t="s">
        <v>4509</v>
      </c>
      <c r="B943" t="s">
        <v>4510</v>
      </c>
      <c r="C943" t="s">
        <v>4511</v>
      </c>
      <c r="D943" t="s">
        <v>4511</v>
      </c>
      <c r="E943" t="s">
        <v>4512</v>
      </c>
      <c r="F943" t="s">
        <v>2413</v>
      </c>
      <c r="G943">
        <v>3</v>
      </c>
      <c r="H943">
        <v>1</v>
      </c>
      <c r="I943">
        <v>0.01</v>
      </c>
      <c r="J943">
        <v>1000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5000000</v>
      </c>
      <c r="AB943">
        <v>0</v>
      </c>
      <c r="AC943">
        <v>0</v>
      </c>
      <c r="AD943" t="s">
        <v>94</v>
      </c>
      <c r="AE943" t="s">
        <v>94</v>
      </c>
      <c r="AF943" t="s">
        <v>226</v>
      </c>
      <c r="AG943" t="s">
        <v>226</v>
      </c>
      <c r="AH943">
        <v>800</v>
      </c>
      <c r="AI943" t="s">
        <v>3537</v>
      </c>
      <c r="AJ943" t="s">
        <v>1976</v>
      </c>
      <c r="AK943" t="s">
        <v>2416</v>
      </c>
      <c r="AL943" t="s">
        <v>272</v>
      </c>
    </row>
    <row r="944" spans="1:38">
      <c r="A944" t="s">
        <v>4513</v>
      </c>
      <c r="B944" t="s">
        <v>4514</v>
      </c>
      <c r="C944" t="s">
        <v>4515</v>
      </c>
      <c r="D944" t="s">
        <v>4515</v>
      </c>
      <c r="E944" t="s">
        <v>4516</v>
      </c>
      <c r="F944" t="s">
        <v>2413</v>
      </c>
      <c r="G944">
        <v>3</v>
      </c>
      <c r="H944">
        <v>1</v>
      </c>
      <c r="I944">
        <v>0.01</v>
      </c>
      <c r="J944">
        <v>1000</v>
      </c>
      <c r="K944">
        <v>-0.32</v>
      </c>
      <c r="L944">
        <v>97.05</v>
      </c>
      <c r="M944">
        <v>97.36</v>
      </c>
      <c r="N944">
        <v>96.64</v>
      </c>
      <c r="O944">
        <v>97.05</v>
      </c>
      <c r="P944">
        <v>0</v>
      </c>
      <c r="Q944">
        <v>0</v>
      </c>
      <c r="R944">
        <v>0</v>
      </c>
      <c r="S944">
        <v>97</v>
      </c>
      <c r="T944">
        <v>96.33</v>
      </c>
      <c r="U944">
        <v>96.33</v>
      </c>
      <c r="V944">
        <v>97.06</v>
      </c>
      <c r="W944">
        <v>12610</v>
      </c>
      <c r="X944">
        <v>96.86</v>
      </c>
      <c r="Y944">
        <v>97.05</v>
      </c>
      <c r="Z944">
        <v>6</v>
      </c>
      <c r="AA944">
        <v>5000000</v>
      </c>
      <c r="AB944">
        <v>970.5</v>
      </c>
      <c r="AC944">
        <v>0</v>
      </c>
      <c r="AD944" t="s">
        <v>94</v>
      </c>
      <c r="AE944" t="s">
        <v>94</v>
      </c>
      <c r="AF944" t="s">
        <v>226</v>
      </c>
      <c r="AG944" t="s">
        <v>226</v>
      </c>
      <c r="AH944">
        <v>-100</v>
      </c>
      <c r="AI944" t="s">
        <v>3537</v>
      </c>
      <c r="AJ944" t="s">
        <v>1976</v>
      </c>
      <c r="AK944" t="s">
        <v>2416</v>
      </c>
      <c r="AL944" t="s">
        <v>272</v>
      </c>
    </row>
    <row r="945" spans="1:38">
      <c r="A945" t="s">
        <v>4517</v>
      </c>
      <c r="B945" t="s">
        <v>4518</v>
      </c>
      <c r="C945" t="s">
        <v>4519</v>
      </c>
      <c r="D945" t="s">
        <v>4519</v>
      </c>
      <c r="E945" t="s">
        <v>4520</v>
      </c>
      <c r="F945" t="s">
        <v>2413</v>
      </c>
      <c r="G945">
        <v>3</v>
      </c>
      <c r="H945">
        <v>1</v>
      </c>
      <c r="I945">
        <v>0.01</v>
      </c>
      <c r="J945">
        <v>1000</v>
      </c>
      <c r="K945">
        <v>0</v>
      </c>
      <c r="L945">
        <v>0</v>
      </c>
      <c r="M945">
        <v>106.8</v>
      </c>
      <c r="N945">
        <v>0</v>
      </c>
      <c r="O945">
        <v>106.8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70.02</v>
      </c>
      <c r="Y945">
        <v>0</v>
      </c>
      <c r="Z945">
        <v>0</v>
      </c>
      <c r="AA945">
        <v>5000000</v>
      </c>
      <c r="AB945">
        <v>0</v>
      </c>
      <c r="AC945">
        <v>0</v>
      </c>
      <c r="AD945" t="s">
        <v>94</v>
      </c>
      <c r="AE945" t="s">
        <v>94</v>
      </c>
      <c r="AF945" t="s">
        <v>226</v>
      </c>
      <c r="AG945" t="s">
        <v>226</v>
      </c>
      <c r="AH945">
        <v>-100</v>
      </c>
      <c r="AI945" t="s">
        <v>3537</v>
      </c>
      <c r="AJ945" t="s">
        <v>1976</v>
      </c>
      <c r="AK945" t="s">
        <v>2416</v>
      </c>
      <c r="AL945" t="s">
        <v>272</v>
      </c>
    </row>
    <row r="946" spans="1:38">
      <c r="A946" t="s">
        <v>4521</v>
      </c>
      <c r="B946" t="s">
        <v>4522</v>
      </c>
      <c r="C946" t="s">
        <v>4523</v>
      </c>
      <c r="D946" t="s">
        <v>4523</v>
      </c>
      <c r="E946" t="s">
        <v>4524</v>
      </c>
      <c r="F946" t="s">
        <v>3754</v>
      </c>
      <c r="G946">
        <v>1</v>
      </c>
      <c r="H946">
        <v>1</v>
      </c>
      <c r="I946">
        <v>0.01</v>
      </c>
      <c r="J946">
        <v>350</v>
      </c>
      <c r="K946">
        <v>-0.05</v>
      </c>
      <c r="L946">
        <v>94.2</v>
      </c>
      <c r="M946">
        <v>94.25</v>
      </c>
      <c r="N946">
        <v>94.26</v>
      </c>
      <c r="O946">
        <v>93.8</v>
      </c>
      <c r="P946">
        <v>0</v>
      </c>
      <c r="Q946">
        <v>0</v>
      </c>
      <c r="R946">
        <v>0</v>
      </c>
      <c r="S946">
        <v>94.01</v>
      </c>
      <c r="T946">
        <v>94.86</v>
      </c>
      <c r="U946">
        <v>93.5</v>
      </c>
      <c r="V946">
        <v>95.59</v>
      </c>
      <c r="W946">
        <v>48369</v>
      </c>
      <c r="X946">
        <v>93.63</v>
      </c>
      <c r="Y946">
        <v>94.19</v>
      </c>
      <c r="Z946">
        <v>47</v>
      </c>
      <c r="AA946">
        <v>3000000</v>
      </c>
      <c r="AB946">
        <v>659.4</v>
      </c>
      <c r="AC946">
        <v>0</v>
      </c>
      <c r="AD946" t="s">
        <v>94</v>
      </c>
      <c r="AE946" t="s">
        <v>94</v>
      </c>
      <c r="AF946" t="s">
        <v>226</v>
      </c>
      <c r="AG946" t="s">
        <v>226</v>
      </c>
      <c r="AH946">
        <v>-100</v>
      </c>
      <c r="AI946" t="s">
        <v>3537</v>
      </c>
      <c r="AJ946" t="s">
        <v>1976</v>
      </c>
      <c r="AK946" t="s">
        <v>3755</v>
      </c>
      <c r="AL946" t="s">
        <v>272</v>
      </c>
    </row>
    <row r="947" spans="1:38">
      <c r="A947" t="s">
        <v>4525</v>
      </c>
      <c r="B947" t="s">
        <v>4526</v>
      </c>
      <c r="C947" t="s">
        <v>4527</v>
      </c>
      <c r="D947" t="s">
        <v>4527</v>
      </c>
      <c r="E947" t="s">
        <v>4528</v>
      </c>
      <c r="F947" t="s">
        <v>3754</v>
      </c>
      <c r="G947">
        <v>1</v>
      </c>
      <c r="H947">
        <v>1</v>
      </c>
      <c r="I947">
        <v>0.01</v>
      </c>
      <c r="J947">
        <v>350</v>
      </c>
      <c r="K947">
        <v>-0.27</v>
      </c>
      <c r="L947">
        <v>94.99</v>
      </c>
      <c r="M947">
        <v>95.25</v>
      </c>
      <c r="N947">
        <v>95.61</v>
      </c>
      <c r="O947">
        <v>94.99</v>
      </c>
      <c r="P947">
        <v>0</v>
      </c>
      <c r="Q947">
        <v>0</v>
      </c>
      <c r="R947">
        <v>0</v>
      </c>
      <c r="S947">
        <v>94.81</v>
      </c>
      <c r="T947">
        <v>95.8</v>
      </c>
      <c r="U947">
        <v>94.29</v>
      </c>
      <c r="V947">
        <v>95.8</v>
      </c>
      <c r="W947">
        <v>33516</v>
      </c>
      <c r="X947">
        <v>94.31</v>
      </c>
      <c r="Y947">
        <v>94.99</v>
      </c>
      <c r="Z947">
        <v>24</v>
      </c>
      <c r="AA947">
        <v>2700000</v>
      </c>
      <c r="AB947">
        <v>332.47</v>
      </c>
      <c r="AC947">
        <v>0</v>
      </c>
      <c r="AD947" t="s">
        <v>94</v>
      </c>
      <c r="AE947" t="s">
        <v>94</v>
      </c>
      <c r="AF947" t="s">
        <v>226</v>
      </c>
      <c r="AG947" t="s">
        <v>226</v>
      </c>
      <c r="AH947">
        <v>-100</v>
      </c>
      <c r="AI947" t="s">
        <v>3537</v>
      </c>
      <c r="AJ947" t="s">
        <v>1976</v>
      </c>
      <c r="AK947" t="s">
        <v>3755</v>
      </c>
      <c r="AL947" t="s">
        <v>272</v>
      </c>
    </row>
    <row r="948" spans="1:38">
      <c r="A948" t="s">
        <v>4529</v>
      </c>
      <c r="B948" t="s">
        <v>4530</v>
      </c>
      <c r="C948" t="s">
        <v>4531</v>
      </c>
      <c r="D948" t="s">
        <v>4531</v>
      </c>
      <c r="E948" t="s">
        <v>4532</v>
      </c>
      <c r="F948" t="s">
        <v>3754</v>
      </c>
      <c r="G948">
        <v>1</v>
      </c>
      <c r="H948">
        <v>1</v>
      </c>
      <c r="I948">
        <v>0.01</v>
      </c>
      <c r="J948">
        <v>60</v>
      </c>
      <c r="K948">
        <v>0.22</v>
      </c>
      <c r="L948">
        <v>89.27</v>
      </c>
      <c r="M948">
        <v>89.07</v>
      </c>
      <c r="N948">
        <v>89.31</v>
      </c>
      <c r="O948">
        <v>89.56</v>
      </c>
      <c r="P948">
        <v>0</v>
      </c>
      <c r="Q948">
        <v>0</v>
      </c>
      <c r="R948">
        <v>0</v>
      </c>
      <c r="S948">
        <v>89.86</v>
      </c>
      <c r="T948">
        <v>90.91</v>
      </c>
      <c r="U948">
        <v>89.08</v>
      </c>
      <c r="V948">
        <v>90.92</v>
      </c>
      <c r="W948">
        <v>45826</v>
      </c>
      <c r="X948">
        <v>89.27</v>
      </c>
      <c r="Y948">
        <v>89.59</v>
      </c>
      <c r="Z948">
        <v>94</v>
      </c>
      <c r="AA948">
        <v>4500000</v>
      </c>
      <c r="AB948">
        <v>53.56</v>
      </c>
      <c r="AC948">
        <v>0</v>
      </c>
      <c r="AD948" t="s">
        <v>94</v>
      </c>
      <c r="AE948" t="s">
        <v>94</v>
      </c>
      <c r="AF948" t="s">
        <v>226</v>
      </c>
      <c r="AG948" t="s">
        <v>226</v>
      </c>
      <c r="AH948">
        <v>-100</v>
      </c>
      <c r="AI948" t="s">
        <v>3537</v>
      </c>
      <c r="AJ948" t="s">
        <v>1976</v>
      </c>
      <c r="AK948" t="s">
        <v>3755</v>
      </c>
      <c r="AL948" t="s">
        <v>272</v>
      </c>
    </row>
    <row r="949" spans="1:38">
      <c r="A949" t="s">
        <v>4533</v>
      </c>
      <c r="B949" t="s">
        <v>226</v>
      </c>
      <c r="C949" t="s">
        <v>4534</v>
      </c>
      <c r="D949" t="s">
        <v>4534</v>
      </c>
      <c r="E949" t="s">
        <v>4535</v>
      </c>
      <c r="F949" t="s">
        <v>2125</v>
      </c>
      <c r="G949">
        <v>3</v>
      </c>
      <c r="H949">
        <v>1</v>
      </c>
      <c r="I949">
        <v>0.01</v>
      </c>
      <c r="J949">
        <v>1000</v>
      </c>
      <c r="K949">
        <v>0.2</v>
      </c>
      <c r="L949">
        <v>94.99</v>
      </c>
      <c r="M949">
        <v>94.9</v>
      </c>
      <c r="N949">
        <v>94.71</v>
      </c>
      <c r="O949">
        <v>95</v>
      </c>
      <c r="P949">
        <v>0</v>
      </c>
      <c r="Q949">
        <v>0</v>
      </c>
      <c r="R949">
        <v>0</v>
      </c>
      <c r="S949">
        <v>94.9</v>
      </c>
      <c r="T949">
        <v>94.8</v>
      </c>
      <c r="U949">
        <v>94.8</v>
      </c>
      <c r="V949">
        <v>95.1</v>
      </c>
      <c r="W949">
        <v>5282367</v>
      </c>
      <c r="X949">
        <v>94.95</v>
      </c>
      <c r="Y949">
        <v>95.08</v>
      </c>
      <c r="Z949">
        <v>202</v>
      </c>
      <c r="AA949">
        <v>10000000</v>
      </c>
      <c r="AB949">
        <v>10448.9</v>
      </c>
      <c r="AC949">
        <v>0</v>
      </c>
      <c r="AD949" t="s">
        <v>94</v>
      </c>
      <c r="AE949" t="s">
        <v>94</v>
      </c>
      <c r="AF949" t="s">
        <v>226</v>
      </c>
      <c r="AG949" t="s">
        <v>226</v>
      </c>
      <c r="AH949">
        <v>-100</v>
      </c>
      <c r="AI949" t="s">
        <v>3537</v>
      </c>
      <c r="AJ949" t="s">
        <v>1976</v>
      </c>
      <c r="AK949" t="s">
        <v>2556</v>
      </c>
      <c r="AL949" t="s">
        <v>272</v>
      </c>
    </row>
    <row r="950" spans="1:38">
      <c r="A950" t="s">
        <v>4536</v>
      </c>
      <c r="B950" t="s">
        <v>4537</v>
      </c>
      <c r="C950" t="s">
        <v>4538</v>
      </c>
      <c r="D950" t="s">
        <v>4538</v>
      </c>
      <c r="E950" t="s">
        <v>4539</v>
      </c>
      <c r="F950" t="s">
        <v>2413</v>
      </c>
      <c r="G950">
        <v>3</v>
      </c>
      <c r="H950">
        <v>1</v>
      </c>
      <c r="I950">
        <v>0.01</v>
      </c>
      <c r="J950">
        <v>1000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2700000</v>
      </c>
      <c r="AB950">
        <v>0</v>
      </c>
      <c r="AC950">
        <v>0</v>
      </c>
      <c r="AD950" t="s">
        <v>94</v>
      </c>
      <c r="AE950" t="s">
        <v>94</v>
      </c>
      <c r="AF950" t="s">
        <v>226</v>
      </c>
      <c r="AG950" t="s">
        <v>226</v>
      </c>
      <c r="AH950">
        <v>6</v>
      </c>
      <c r="AI950" t="s">
        <v>3537</v>
      </c>
      <c r="AJ950" t="s">
        <v>1976</v>
      </c>
      <c r="AK950" t="s">
        <v>2416</v>
      </c>
      <c r="AL950" t="s">
        <v>272</v>
      </c>
    </row>
    <row r="951" spans="1:38">
      <c r="A951" t="s">
        <v>4540</v>
      </c>
      <c r="B951" t="s">
        <v>4541</v>
      </c>
      <c r="C951" t="s">
        <v>4542</v>
      </c>
      <c r="D951" t="s">
        <v>4542</v>
      </c>
      <c r="E951" t="s">
        <v>4543</v>
      </c>
      <c r="F951" t="s">
        <v>2413</v>
      </c>
      <c r="G951">
        <v>2</v>
      </c>
      <c r="H951">
        <v>1</v>
      </c>
      <c r="I951">
        <v>0.01</v>
      </c>
      <c r="J951">
        <v>1000</v>
      </c>
      <c r="K951">
        <v>-0.38</v>
      </c>
      <c r="L951">
        <v>99.78</v>
      </c>
      <c r="M951">
        <v>100.16</v>
      </c>
      <c r="N951">
        <v>99.81</v>
      </c>
      <c r="O951">
        <v>99.78</v>
      </c>
      <c r="P951">
        <v>0</v>
      </c>
      <c r="Q951">
        <v>0</v>
      </c>
      <c r="R951">
        <v>0</v>
      </c>
      <c r="S951">
        <v>99.63</v>
      </c>
      <c r="T951">
        <v>100.97</v>
      </c>
      <c r="U951">
        <v>99.35</v>
      </c>
      <c r="V951">
        <v>100.97</v>
      </c>
      <c r="W951">
        <v>241106</v>
      </c>
      <c r="X951">
        <v>99.71</v>
      </c>
      <c r="Y951">
        <v>99.78</v>
      </c>
      <c r="Z951">
        <v>43</v>
      </c>
      <c r="AA951">
        <v>3000000</v>
      </c>
      <c r="AB951">
        <v>19956</v>
      </c>
      <c r="AC951">
        <v>0</v>
      </c>
      <c r="AD951" t="s">
        <v>94</v>
      </c>
      <c r="AE951" t="s">
        <v>94</v>
      </c>
      <c r="AF951" t="s">
        <v>226</v>
      </c>
      <c r="AG951" t="s">
        <v>226</v>
      </c>
      <c r="AH951">
        <v>6</v>
      </c>
      <c r="AI951" t="s">
        <v>3537</v>
      </c>
      <c r="AJ951" t="s">
        <v>1976</v>
      </c>
      <c r="AK951" t="s">
        <v>2416</v>
      </c>
      <c r="AL951" t="s">
        <v>272</v>
      </c>
    </row>
    <row r="952" spans="1:38">
      <c r="A952" t="s">
        <v>4544</v>
      </c>
      <c r="B952" t="s">
        <v>4545</v>
      </c>
      <c r="C952" t="s">
        <v>4546</v>
      </c>
      <c r="D952" t="s">
        <v>4546</v>
      </c>
      <c r="E952" t="s">
        <v>4547</v>
      </c>
      <c r="F952" t="s">
        <v>2413</v>
      </c>
      <c r="G952">
        <v>2</v>
      </c>
      <c r="H952">
        <v>1</v>
      </c>
      <c r="I952">
        <v>0.01</v>
      </c>
      <c r="J952">
        <v>1000</v>
      </c>
      <c r="K952">
        <v>0.81</v>
      </c>
      <c r="L952">
        <v>98.33</v>
      </c>
      <c r="M952">
        <v>97.54</v>
      </c>
      <c r="N952">
        <v>97.55</v>
      </c>
      <c r="O952">
        <v>98.33</v>
      </c>
      <c r="P952">
        <v>0</v>
      </c>
      <c r="Q952">
        <v>0</v>
      </c>
      <c r="R952">
        <v>0</v>
      </c>
      <c r="S952">
        <v>98.04</v>
      </c>
      <c r="T952">
        <v>97.7</v>
      </c>
      <c r="U952">
        <v>97.7</v>
      </c>
      <c r="V952">
        <v>98.34</v>
      </c>
      <c r="W952">
        <v>17647</v>
      </c>
      <c r="X952">
        <v>98.34</v>
      </c>
      <c r="Y952">
        <v>98.49</v>
      </c>
      <c r="Z952">
        <v>7</v>
      </c>
      <c r="AA952">
        <v>3000000</v>
      </c>
      <c r="AB952">
        <v>983.3</v>
      </c>
      <c r="AC952">
        <v>0</v>
      </c>
      <c r="AD952" t="s">
        <v>94</v>
      </c>
      <c r="AE952" t="s">
        <v>94</v>
      </c>
      <c r="AF952" t="s">
        <v>226</v>
      </c>
      <c r="AG952" t="s">
        <v>226</v>
      </c>
      <c r="AH952">
        <v>6</v>
      </c>
      <c r="AI952" t="s">
        <v>3537</v>
      </c>
      <c r="AJ952" t="s">
        <v>1976</v>
      </c>
      <c r="AK952" t="s">
        <v>2416</v>
      </c>
      <c r="AL952" t="s">
        <v>272</v>
      </c>
    </row>
    <row r="953" spans="1:38">
      <c r="A953" t="s">
        <v>4548</v>
      </c>
      <c r="B953" t="s">
        <v>4549</v>
      </c>
      <c r="C953" t="s">
        <v>4550</v>
      </c>
      <c r="D953" t="s">
        <v>4550</v>
      </c>
      <c r="E953" t="s">
        <v>4551</v>
      </c>
      <c r="F953" t="s">
        <v>2413</v>
      </c>
      <c r="G953">
        <v>2</v>
      </c>
      <c r="H953">
        <v>1</v>
      </c>
      <c r="I953">
        <v>0.01</v>
      </c>
      <c r="J953">
        <v>1000</v>
      </c>
      <c r="K953">
        <v>0.92</v>
      </c>
      <c r="L953">
        <v>91.29</v>
      </c>
      <c r="M953">
        <v>90.46</v>
      </c>
      <c r="N953">
        <v>90.54</v>
      </c>
      <c r="O953">
        <v>91.29</v>
      </c>
      <c r="P953">
        <v>0</v>
      </c>
      <c r="Q953">
        <v>0</v>
      </c>
      <c r="R953">
        <v>0</v>
      </c>
      <c r="S953">
        <v>90.67</v>
      </c>
      <c r="T953">
        <v>90.95</v>
      </c>
      <c r="U953">
        <v>90.02</v>
      </c>
      <c r="V953">
        <v>91.82</v>
      </c>
      <c r="W953">
        <v>4696707</v>
      </c>
      <c r="X953">
        <v>91.29</v>
      </c>
      <c r="Y953">
        <v>91.35</v>
      </c>
      <c r="Z953">
        <v>135</v>
      </c>
      <c r="AA953">
        <v>3000000</v>
      </c>
      <c r="AB953">
        <v>1825.8</v>
      </c>
      <c r="AC953">
        <v>0</v>
      </c>
      <c r="AD953" t="s">
        <v>94</v>
      </c>
      <c r="AE953" t="s">
        <v>94</v>
      </c>
      <c r="AF953" t="s">
        <v>226</v>
      </c>
      <c r="AG953" t="s">
        <v>226</v>
      </c>
      <c r="AH953">
        <v>800</v>
      </c>
      <c r="AI953" t="s">
        <v>3537</v>
      </c>
      <c r="AJ953" t="s">
        <v>1976</v>
      </c>
      <c r="AK953" t="s">
        <v>2416</v>
      </c>
      <c r="AL953" t="s">
        <v>272</v>
      </c>
    </row>
    <row r="954" spans="1:38">
      <c r="A954" t="s">
        <v>4552</v>
      </c>
      <c r="B954" t="s">
        <v>4553</v>
      </c>
      <c r="C954" t="s">
        <v>4554</v>
      </c>
      <c r="D954" t="s">
        <v>4554</v>
      </c>
      <c r="E954" t="s">
        <v>4555</v>
      </c>
      <c r="F954" t="s">
        <v>2413</v>
      </c>
      <c r="G954">
        <v>2</v>
      </c>
      <c r="H954">
        <v>1</v>
      </c>
      <c r="I954">
        <v>0.01</v>
      </c>
      <c r="J954">
        <v>1000</v>
      </c>
      <c r="K954">
        <v>-0.05</v>
      </c>
      <c r="L954">
        <v>84.68</v>
      </c>
      <c r="M954">
        <v>84.75</v>
      </c>
      <c r="N954">
        <v>84.8</v>
      </c>
      <c r="O954">
        <v>84.68</v>
      </c>
      <c r="P954">
        <v>0</v>
      </c>
      <c r="Q954">
        <v>0</v>
      </c>
      <c r="R954">
        <v>0</v>
      </c>
      <c r="S954">
        <v>84.73</v>
      </c>
      <c r="T954">
        <v>84.85</v>
      </c>
      <c r="U954">
        <v>84.43</v>
      </c>
      <c r="V954">
        <v>84.9</v>
      </c>
      <c r="W954">
        <v>1417462</v>
      </c>
      <c r="X954">
        <v>84.67</v>
      </c>
      <c r="Y954">
        <v>84.68</v>
      </c>
      <c r="Z954">
        <v>168</v>
      </c>
      <c r="AA954">
        <v>13000000</v>
      </c>
      <c r="AB954">
        <v>846.8</v>
      </c>
      <c r="AC954">
        <v>0</v>
      </c>
      <c r="AD954" t="s">
        <v>94</v>
      </c>
      <c r="AE954" t="s">
        <v>94</v>
      </c>
      <c r="AF954" t="s">
        <v>226</v>
      </c>
      <c r="AG954" t="s">
        <v>226</v>
      </c>
      <c r="AH954">
        <v>6</v>
      </c>
      <c r="AI954" t="s">
        <v>3537</v>
      </c>
      <c r="AJ954" t="s">
        <v>1976</v>
      </c>
      <c r="AK954" t="s">
        <v>2416</v>
      </c>
      <c r="AL954" t="s">
        <v>272</v>
      </c>
    </row>
    <row r="955" spans="1:38">
      <c r="A955" t="s">
        <v>4556</v>
      </c>
      <c r="B955" t="s">
        <v>4557</v>
      </c>
      <c r="C955" t="s">
        <v>4558</v>
      </c>
      <c r="D955" t="s">
        <v>4558</v>
      </c>
      <c r="E955" t="s">
        <v>4559</v>
      </c>
      <c r="F955" t="s">
        <v>2413</v>
      </c>
      <c r="G955">
        <v>2</v>
      </c>
      <c r="H955">
        <v>1</v>
      </c>
      <c r="I955">
        <v>0.01</v>
      </c>
      <c r="J955">
        <v>1000</v>
      </c>
      <c r="K955">
        <v>-0.1</v>
      </c>
      <c r="L955">
        <v>98.9</v>
      </c>
      <c r="M955">
        <v>98.98</v>
      </c>
      <c r="N955">
        <v>98.81</v>
      </c>
      <c r="O955">
        <v>98.9</v>
      </c>
      <c r="P955">
        <v>0</v>
      </c>
      <c r="Q955">
        <v>0</v>
      </c>
      <c r="R955">
        <v>0</v>
      </c>
      <c r="S955">
        <v>98.93</v>
      </c>
      <c r="T955">
        <v>99</v>
      </c>
      <c r="U955">
        <v>98.71</v>
      </c>
      <c r="V955">
        <v>99</v>
      </c>
      <c r="W955">
        <v>2339583</v>
      </c>
      <c r="X955">
        <v>98.86</v>
      </c>
      <c r="Y955">
        <v>98.9</v>
      </c>
      <c r="Z955">
        <v>133</v>
      </c>
      <c r="AA955">
        <v>8000000</v>
      </c>
      <c r="AB955">
        <v>989</v>
      </c>
      <c r="AC955">
        <v>0</v>
      </c>
      <c r="AD955" t="s">
        <v>94</v>
      </c>
      <c r="AE955" t="s">
        <v>94</v>
      </c>
      <c r="AF955" t="s">
        <v>226</v>
      </c>
      <c r="AG955" t="s">
        <v>226</v>
      </c>
      <c r="AH955">
        <v>8</v>
      </c>
      <c r="AI955" t="s">
        <v>3537</v>
      </c>
      <c r="AJ955" t="s">
        <v>1976</v>
      </c>
      <c r="AK955" t="s">
        <v>2416</v>
      </c>
      <c r="AL955" t="s">
        <v>272</v>
      </c>
    </row>
    <row r="956" spans="1:38">
      <c r="A956" t="s">
        <v>4560</v>
      </c>
      <c r="B956" t="s">
        <v>4561</v>
      </c>
      <c r="C956" t="s">
        <v>4562</v>
      </c>
      <c r="D956" t="s">
        <v>4562</v>
      </c>
      <c r="E956" t="s">
        <v>4563</v>
      </c>
      <c r="F956" t="s">
        <v>2425</v>
      </c>
      <c r="G956">
        <v>3</v>
      </c>
      <c r="H956">
        <v>1</v>
      </c>
      <c r="I956">
        <v>1E-4</v>
      </c>
      <c r="J956">
        <v>1000</v>
      </c>
      <c r="K956">
        <v>-1.26</v>
      </c>
      <c r="L956">
        <v>81.019400000000005</v>
      </c>
      <c r="M956">
        <v>82.53</v>
      </c>
      <c r="N956">
        <v>82.707499999999996</v>
      </c>
      <c r="O956">
        <v>81.019400000000005</v>
      </c>
      <c r="P956">
        <v>0</v>
      </c>
      <c r="Q956">
        <v>0</v>
      </c>
      <c r="R956">
        <v>0</v>
      </c>
      <c r="S956">
        <v>81.465400000000002</v>
      </c>
      <c r="T956">
        <v>82.443700000000007</v>
      </c>
      <c r="U956">
        <v>81.000100000000003</v>
      </c>
      <c r="V956">
        <v>82.443799999999996</v>
      </c>
      <c r="W956">
        <v>5190381</v>
      </c>
      <c r="X956">
        <v>81.010300000000001</v>
      </c>
      <c r="Y956">
        <v>81.019400000000005</v>
      </c>
      <c r="Z956">
        <v>36</v>
      </c>
      <c r="AA956">
        <v>254111</v>
      </c>
      <c r="AB956">
        <v>86032.72</v>
      </c>
      <c r="AC956">
        <v>0</v>
      </c>
      <c r="AD956" t="s">
        <v>2</v>
      </c>
      <c r="AE956" t="s">
        <v>94</v>
      </c>
      <c r="AF956" t="s">
        <v>226</v>
      </c>
      <c r="AG956" t="s">
        <v>226</v>
      </c>
      <c r="AH956">
        <v>6</v>
      </c>
      <c r="AI956" t="s">
        <v>3537</v>
      </c>
      <c r="AJ956" t="s">
        <v>1976</v>
      </c>
      <c r="AK956" t="s">
        <v>2426</v>
      </c>
      <c r="AL956" t="s">
        <v>272</v>
      </c>
    </row>
    <row r="957" spans="1:38">
      <c r="A957" t="s">
        <v>4564</v>
      </c>
      <c r="B957" t="s">
        <v>4565</v>
      </c>
      <c r="C957" t="s">
        <v>4566</v>
      </c>
      <c r="D957" t="s">
        <v>4566</v>
      </c>
      <c r="E957" t="s">
        <v>4567</v>
      </c>
      <c r="F957" t="s">
        <v>2413</v>
      </c>
      <c r="G957">
        <v>3</v>
      </c>
      <c r="H957">
        <v>1</v>
      </c>
      <c r="I957">
        <v>0.01</v>
      </c>
      <c r="J957">
        <v>1000</v>
      </c>
      <c r="K957">
        <v>-0.13</v>
      </c>
      <c r="L957">
        <v>92.65</v>
      </c>
      <c r="M957">
        <v>92.77</v>
      </c>
      <c r="N957">
        <v>91.94</v>
      </c>
      <c r="O957">
        <v>92.65</v>
      </c>
      <c r="P957">
        <v>0</v>
      </c>
      <c r="Q957">
        <v>0</v>
      </c>
      <c r="R957">
        <v>0</v>
      </c>
      <c r="S957">
        <v>92.36</v>
      </c>
      <c r="T957">
        <v>92.87</v>
      </c>
      <c r="U957">
        <v>92.05</v>
      </c>
      <c r="V957">
        <v>92.99</v>
      </c>
      <c r="W957">
        <v>263229</v>
      </c>
      <c r="X957">
        <v>92.65</v>
      </c>
      <c r="Y957">
        <v>92.82</v>
      </c>
      <c r="Z957">
        <v>51</v>
      </c>
      <c r="AA957">
        <v>5000000</v>
      </c>
      <c r="AB957">
        <v>4632.5</v>
      </c>
      <c r="AC957">
        <v>0</v>
      </c>
      <c r="AD957" t="s">
        <v>94</v>
      </c>
      <c r="AE957" t="s">
        <v>94</v>
      </c>
      <c r="AF957" t="s">
        <v>226</v>
      </c>
      <c r="AG957" t="s">
        <v>226</v>
      </c>
      <c r="AH957">
        <v>6</v>
      </c>
      <c r="AI957" t="s">
        <v>3537</v>
      </c>
      <c r="AJ957" t="s">
        <v>1976</v>
      </c>
      <c r="AK957" t="s">
        <v>2416</v>
      </c>
      <c r="AL957" t="s">
        <v>272</v>
      </c>
    </row>
    <row r="958" spans="1:38">
      <c r="A958" t="s">
        <v>4568</v>
      </c>
      <c r="B958" t="s">
        <v>4569</v>
      </c>
      <c r="C958" t="s">
        <v>4570</v>
      </c>
      <c r="D958" t="s">
        <v>4570</v>
      </c>
      <c r="E958" t="s">
        <v>4571</v>
      </c>
      <c r="F958" t="s">
        <v>2413</v>
      </c>
      <c r="G958">
        <v>3</v>
      </c>
      <c r="H958">
        <v>1</v>
      </c>
      <c r="I958">
        <v>0.01</v>
      </c>
      <c r="J958">
        <v>1000</v>
      </c>
      <c r="K958">
        <v>-3.04</v>
      </c>
      <c r="L958">
        <v>91</v>
      </c>
      <c r="M958">
        <v>93.85</v>
      </c>
      <c r="N958">
        <v>95.42</v>
      </c>
      <c r="O958">
        <v>91</v>
      </c>
      <c r="P958">
        <v>0</v>
      </c>
      <c r="Q958">
        <v>0</v>
      </c>
      <c r="R958">
        <v>0</v>
      </c>
      <c r="S958">
        <v>91</v>
      </c>
      <c r="T958">
        <v>91</v>
      </c>
      <c r="U958">
        <v>91</v>
      </c>
      <c r="V958">
        <v>91</v>
      </c>
      <c r="W958">
        <v>910</v>
      </c>
      <c r="X958">
        <v>90.01</v>
      </c>
      <c r="Y958">
        <v>93.49</v>
      </c>
      <c r="Z958">
        <v>1</v>
      </c>
      <c r="AA958">
        <v>220000</v>
      </c>
      <c r="AB958">
        <v>910</v>
      </c>
      <c r="AC958">
        <v>0</v>
      </c>
      <c r="AD958" t="s">
        <v>94</v>
      </c>
      <c r="AE958" t="s">
        <v>94</v>
      </c>
      <c r="AF958" t="s">
        <v>226</v>
      </c>
      <c r="AG958" t="s">
        <v>226</v>
      </c>
      <c r="AH958">
        <v>800</v>
      </c>
      <c r="AI958" t="s">
        <v>3537</v>
      </c>
      <c r="AJ958" t="s">
        <v>1976</v>
      </c>
      <c r="AK958" t="s">
        <v>2416</v>
      </c>
      <c r="AL958" t="s">
        <v>272</v>
      </c>
    </row>
    <row r="959" spans="1:38">
      <c r="A959" t="s">
        <v>4572</v>
      </c>
      <c r="B959" t="s">
        <v>4573</v>
      </c>
      <c r="C959" t="s">
        <v>4574</v>
      </c>
      <c r="D959" t="s">
        <v>4574</v>
      </c>
      <c r="E959" t="s">
        <v>4575</v>
      </c>
      <c r="F959" t="s">
        <v>2413</v>
      </c>
      <c r="G959">
        <v>2</v>
      </c>
      <c r="H959">
        <v>1</v>
      </c>
      <c r="I959">
        <v>0.01</v>
      </c>
      <c r="J959">
        <v>750</v>
      </c>
      <c r="K959">
        <v>-0.2</v>
      </c>
      <c r="L959">
        <v>96.33</v>
      </c>
      <c r="M959">
        <v>96.52</v>
      </c>
      <c r="N959">
        <v>96.27</v>
      </c>
      <c r="O959">
        <v>96.33</v>
      </c>
      <c r="P959">
        <v>0</v>
      </c>
      <c r="Q959">
        <v>0</v>
      </c>
      <c r="R959">
        <v>0</v>
      </c>
      <c r="S959">
        <v>96.37</v>
      </c>
      <c r="T959">
        <v>96.95</v>
      </c>
      <c r="U959">
        <v>96.32</v>
      </c>
      <c r="V959">
        <v>96.95</v>
      </c>
      <c r="W959">
        <v>2150945</v>
      </c>
      <c r="X959">
        <v>96.33</v>
      </c>
      <c r="Y959">
        <v>96.34</v>
      </c>
      <c r="Z959">
        <v>88</v>
      </c>
      <c r="AA959">
        <v>5250000</v>
      </c>
      <c r="AB959">
        <v>36123.75</v>
      </c>
      <c r="AC959">
        <v>0</v>
      </c>
      <c r="AD959" t="s">
        <v>94</v>
      </c>
      <c r="AE959" t="s">
        <v>94</v>
      </c>
      <c r="AF959" t="s">
        <v>226</v>
      </c>
      <c r="AG959" t="s">
        <v>226</v>
      </c>
      <c r="AH959">
        <v>6</v>
      </c>
      <c r="AI959" t="s">
        <v>3537</v>
      </c>
      <c r="AJ959" t="s">
        <v>1976</v>
      </c>
      <c r="AK959" t="s">
        <v>2416</v>
      </c>
      <c r="AL959" t="s">
        <v>272</v>
      </c>
    </row>
    <row r="960" spans="1:38">
      <c r="A960" t="s">
        <v>4576</v>
      </c>
      <c r="B960" t="s">
        <v>4577</v>
      </c>
      <c r="C960" t="s">
        <v>4578</v>
      </c>
      <c r="D960" t="s">
        <v>4578</v>
      </c>
      <c r="E960" t="s">
        <v>4579</v>
      </c>
      <c r="F960" t="s">
        <v>2413</v>
      </c>
      <c r="G960">
        <v>2</v>
      </c>
      <c r="H960">
        <v>1</v>
      </c>
      <c r="I960">
        <v>0.01</v>
      </c>
      <c r="J960">
        <v>1000</v>
      </c>
      <c r="K960">
        <v>0</v>
      </c>
      <c r="L960">
        <v>84.19</v>
      </c>
      <c r="M960">
        <v>84.19</v>
      </c>
      <c r="N960">
        <v>83.98</v>
      </c>
      <c r="O960">
        <v>84.24</v>
      </c>
      <c r="P960">
        <v>0</v>
      </c>
      <c r="Q960">
        <v>0</v>
      </c>
      <c r="R960">
        <v>0</v>
      </c>
      <c r="S960">
        <v>84.04</v>
      </c>
      <c r="T960">
        <v>84.61</v>
      </c>
      <c r="U960">
        <v>83.64</v>
      </c>
      <c r="V960">
        <v>84.61</v>
      </c>
      <c r="W960">
        <v>9699487</v>
      </c>
      <c r="X960">
        <v>84.19</v>
      </c>
      <c r="Y960">
        <v>84.24</v>
      </c>
      <c r="Z960">
        <v>502</v>
      </c>
      <c r="AA960">
        <v>7500000</v>
      </c>
      <c r="AB960">
        <v>1683.8</v>
      </c>
      <c r="AC960">
        <v>0</v>
      </c>
      <c r="AD960" t="s">
        <v>94</v>
      </c>
      <c r="AE960" t="s">
        <v>94</v>
      </c>
      <c r="AF960" t="s">
        <v>226</v>
      </c>
      <c r="AG960" t="s">
        <v>226</v>
      </c>
      <c r="AH960">
        <v>6</v>
      </c>
      <c r="AI960" t="s">
        <v>3537</v>
      </c>
      <c r="AJ960" t="s">
        <v>1976</v>
      </c>
      <c r="AK960" t="s">
        <v>2416</v>
      </c>
      <c r="AL960" t="s">
        <v>272</v>
      </c>
    </row>
    <row r="961" spans="1:38">
      <c r="A961" t="s">
        <v>4580</v>
      </c>
      <c r="B961" t="s">
        <v>4581</v>
      </c>
      <c r="C961" t="s">
        <v>4582</v>
      </c>
      <c r="D961" t="s">
        <v>4582</v>
      </c>
      <c r="E961" t="s">
        <v>4583</v>
      </c>
      <c r="F961" t="s">
        <v>2413</v>
      </c>
      <c r="G961">
        <v>2</v>
      </c>
      <c r="H961">
        <v>1</v>
      </c>
      <c r="I961">
        <v>0.01</v>
      </c>
      <c r="J961">
        <v>1000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99.06</v>
      </c>
      <c r="Y961">
        <v>0</v>
      </c>
      <c r="Z961">
        <v>0</v>
      </c>
      <c r="AA961">
        <v>3425000</v>
      </c>
      <c r="AB961">
        <v>0</v>
      </c>
      <c r="AC961">
        <v>0</v>
      </c>
      <c r="AD961" t="s">
        <v>94</v>
      </c>
      <c r="AE961" t="s">
        <v>94</v>
      </c>
      <c r="AF961" t="s">
        <v>226</v>
      </c>
      <c r="AG961" t="s">
        <v>226</v>
      </c>
      <c r="AH961">
        <v>800</v>
      </c>
      <c r="AI961" t="s">
        <v>3537</v>
      </c>
      <c r="AJ961" t="s">
        <v>1976</v>
      </c>
      <c r="AK961" t="s">
        <v>2416</v>
      </c>
      <c r="AL961" t="s">
        <v>272</v>
      </c>
    </row>
    <row r="962" spans="1:38">
      <c r="A962" t="s">
        <v>4584</v>
      </c>
      <c r="B962" t="s">
        <v>4585</v>
      </c>
      <c r="C962" t="s">
        <v>4586</v>
      </c>
      <c r="D962" t="s">
        <v>4586</v>
      </c>
      <c r="E962" t="s">
        <v>4587</v>
      </c>
      <c r="F962" t="s">
        <v>2413</v>
      </c>
      <c r="G962">
        <v>2</v>
      </c>
      <c r="H962">
        <v>1</v>
      </c>
      <c r="I962">
        <v>0.01</v>
      </c>
      <c r="J962">
        <v>1000</v>
      </c>
      <c r="K962">
        <v>0</v>
      </c>
      <c r="L962">
        <v>0</v>
      </c>
      <c r="M962">
        <v>99.32</v>
      </c>
      <c r="N962">
        <v>0</v>
      </c>
      <c r="O962">
        <v>99.32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93.92</v>
      </c>
      <c r="Y962">
        <v>99.2</v>
      </c>
      <c r="Z962">
        <v>0</v>
      </c>
      <c r="AA962">
        <v>5000000</v>
      </c>
      <c r="AB962">
        <v>0</v>
      </c>
      <c r="AC962">
        <v>0</v>
      </c>
      <c r="AD962" t="s">
        <v>94</v>
      </c>
      <c r="AE962" t="s">
        <v>94</v>
      </c>
      <c r="AF962" t="s">
        <v>226</v>
      </c>
      <c r="AG962" t="s">
        <v>226</v>
      </c>
      <c r="AH962">
        <v>6</v>
      </c>
      <c r="AI962" t="s">
        <v>3537</v>
      </c>
      <c r="AJ962" t="s">
        <v>1976</v>
      </c>
      <c r="AK962" t="s">
        <v>2416</v>
      </c>
      <c r="AL962" t="s">
        <v>272</v>
      </c>
    </row>
    <row r="963" spans="1:38">
      <c r="A963" t="s">
        <v>4588</v>
      </c>
      <c r="B963" t="s">
        <v>4589</v>
      </c>
      <c r="C963" t="s">
        <v>4590</v>
      </c>
      <c r="D963" t="s">
        <v>4590</v>
      </c>
      <c r="E963" t="s">
        <v>4591</v>
      </c>
      <c r="F963" t="s">
        <v>2413</v>
      </c>
      <c r="G963">
        <v>1</v>
      </c>
      <c r="H963">
        <v>1</v>
      </c>
      <c r="I963">
        <v>0.01</v>
      </c>
      <c r="J963">
        <v>1000</v>
      </c>
      <c r="K963">
        <v>0</v>
      </c>
      <c r="L963">
        <v>0</v>
      </c>
      <c r="M963">
        <v>101.6</v>
      </c>
      <c r="N963">
        <v>99.36</v>
      </c>
      <c r="O963">
        <v>101.6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96.73</v>
      </c>
      <c r="Y963">
        <v>100.98</v>
      </c>
      <c r="Z963">
        <v>0</v>
      </c>
      <c r="AA963">
        <v>5000000</v>
      </c>
      <c r="AB963">
        <v>0</v>
      </c>
      <c r="AC963">
        <v>0</v>
      </c>
      <c r="AD963" t="s">
        <v>94</v>
      </c>
      <c r="AE963" t="s">
        <v>94</v>
      </c>
      <c r="AF963" t="s">
        <v>226</v>
      </c>
      <c r="AG963" t="s">
        <v>226</v>
      </c>
      <c r="AH963">
        <v>6</v>
      </c>
      <c r="AI963" t="s">
        <v>3537</v>
      </c>
      <c r="AJ963" t="s">
        <v>1976</v>
      </c>
      <c r="AK963" t="s">
        <v>2416</v>
      </c>
      <c r="AL963" t="s">
        <v>272</v>
      </c>
    </row>
    <row r="964" spans="1:38">
      <c r="A964" t="s">
        <v>4592</v>
      </c>
      <c r="B964" t="s">
        <v>4593</v>
      </c>
      <c r="C964" t="s">
        <v>4594</v>
      </c>
      <c r="D964" t="s">
        <v>4594</v>
      </c>
      <c r="E964" t="s">
        <v>4595</v>
      </c>
      <c r="F964" t="s">
        <v>2413</v>
      </c>
      <c r="G964">
        <v>3</v>
      </c>
      <c r="H964">
        <v>1</v>
      </c>
      <c r="I964">
        <v>0.01</v>
      </c>
      <c r="J964">
        <v>1000</v>
      </c>
      <c r="K964">
        <v>0.04</v>
      </c>
      <c r="L964">
        <v>100.14</v>
      </c>
      <c r="M964">
        <v>100.1</v>
      </c>
      <c r="N964">
        <v>100.14</v>
      </c>
      <c r="O964">
        <v>100.14</v>
      </c>
      <c r="P964">
        <v>0</v>
      </c>
      <c r="Q964">
        <v>0</v>
      </c>
      <c r="R964">
        <v>0</v>
      </c>
      <c r="S964">
        <v>100.14</v>
      </c>
      <c r="T964">
        <v>100.1</v>
      </c>
      <c r="U964">
        <v>100.04</v>
      </c>
      <c r="V964">
        <v>100.2</v>
      </c>
      <c r="W964">
        <v>181251</v>
      </c>
      <c r="X964">
        <v>100.03</v>
      </c>
      <c r="Y964">
        <v>100.13</v>
      </c>
      <c r="Z964">
        <v>23</v>
      </c>
      <c r="AA964">
        <v>500000</v>
      </c>
      <c r="AB964">
        <v>5007</v>
      </c>
      <c r="AC964">
        <v>0</v>
      </c>
      <c r="AD964" t="s">
        <v>94</v>
      </c>
      <c r="AE964" t="s">
        <v>94</v>
      </c>
      <c r="AF964" t="s">
        <v>226</v>
      </c>
      <c r="AG964" t="s">
        <v>226</v>
      </c>
      <c r="AH964">
        <v>6</v>
      </c>
      <c r="AI964" t="s">
        <v>3537</v>
      </c>
      <c r="AJ964" t="s">
        <v>1976</v>
      </c>
      <c r="AK964" t="s">
        <v>2416</v>
      </c>
      <c r="AL964" t="s">
        <v>272</v>
      </c>
    </row>
    <row r="965" spans="1:38">
      <c r="A965" t="s">
        <v>4596</v>
      </c>
      <c r="B965" t="s">
        <v>4597</v>
      </c>
      <c r="C965" t="s">
        <v>4598</v>
      </c>
      <c r="D965" t="s">
        <v>4598</v>
      </c>
      <c r="E965" t="s">
        <v>4599</v>
      </c>
      <c r="F965" t="s">
        <v>2413</v>
      </c>
      <c r="G965">
        <v>3</v>
      </c>
      <c r="H965">
        <v>1</v>
      </c>
      <c r="I965">
        <v>0.01</v>
      </c>
      <c r="J965">
        <v>1000</v>
      </c>
      <c r="K965">
        <v>0.37</v>
      </c>
      <c r="L965">
        <v>100.55</v>
      </c>
      <c r="M965">
        <v>100.18</v>
      </c>
      <c r="N965">
        <v>100.21</v>
      </c>
      <c r="O965">
        <v>100.5</v>
      </c>
      <c r="P965">
        <v>0</v>
      </c>
      <c r="Q965">
        <v>0</v>
      </c>
      <c r="R965">
        <v>0</v>
      </c>
      <c r="S965">
        <v>100.25</v>
      </c>
      <c r="T965">
        <v>100.18</v>
      </c>
      <c r="U965">
        <v>100.18</v>
      </c>
      <c r="V965">
        <v>100.55</v>
      </c>
      <c r="W965">
        <v>1510790</v>
      </c>
      <c r="X965">
        <v>100.5</v>
      </c>
      <c r="Y965">
        <v>100.55</v>
      </c>
      <c r="Z965">
        <v>151</v>
      </c>
      <c r="AA965">
        <v>100000</v>
      </c>
      <c r="AB965">
        <v>3016.5</v>
      </c>
      <c r="AC965">
        <v>0</v>
      </c>
      <c r="AD965" t="s">
        <v>94</v>
      </c>
      <c r="AE965" t="s">
        <v>94</v>
      </c>
      <c r="AF965" t="s">
        <v>226</v>
      </c>
      <c r="AG965" t="s">
        <v>226</v>
      </c>
      <c r="AH965">
        <v>6</v>
      </c>
      <c r="AI965" t="s">
        <v>3537</v>
      </c>
      <c r="AJ965" t="s">
        <v>1976</v>
      </c>
      <c r="AK965" t="s">
        <v>2416</v>
      </c>
      <c r="AL965" t="s">
        <v>272</v>
      </c>
    </row>
    <row r="966" spans="1:38">
      <c r="A966" t="s">
        <v>4600</v>
      </c>
      <c r="B966" t="s">
        <v>4601</v>
      </c>
      <c r="C966" t="s">
        <v>4602</v>
      </c>
      <c r="D966" t="s">
        <v>4602</v>
      </c>
      <c r="E966" t="s">
        <v>4603</v>
      </c>
      <c r="F966" t="s">
        <v>2413</v>
      </c>
      <c r="G966">
        <v>2</v>
      </c>
      <c r="H966">
        <v>1</v>
      </c>
      <c r="I966">
        <v>0.01</v>
      </c>
      <c r="J966">
        <v>1000</v>
      </c>
      <c r="K966">
        <v>0.16</v>
      </c>
      <c r="L966">
        <v>68</v>
      </c>
      <c r="M966">
        <v>67.930000000000007</v>
      </c>
      <c r="N966">
        <v>67.98</v>
      </c>
      <c r="O966">
        <v>68.08</v>
      </c>
      <c r="P966">
        <v>0</v>
      </c>
      <c r="Q966">
        <v>0</v>
      </c>
      <c r="R966">
        <v>0</v>
      </c>
      <c r="S966">
        <v>68.349999999999994</v>
      </c>
      <c r="T966">
        <v>68.12</v>
      </c>
      <c r="U966">
        <v>67.77</v>
      </c>
      <c r="V966">
        <v>68.900000000000006</v>
      </c>
      <c r="W966">
        <v>93645</v>
      </c>
      <c r="X966">
        <v>68.040000000000006</v>
      </c>
      <c r="Y966">
        <v>68.25</v>
      </c>
      <c r="Z966">
        <v>64</v>
      </c>
      <c r="AA966">
        <v>2500000</v>
      </c>
      <c r="AB966">
        <v>680</v>
      </c>
      <c r="AC966">
        <v>0</v>
      </c>
      <c r="AD966" t="s">
        <v>94</v>
      </c>
      <c r="AE966" t="s">
        <v>94</v>
      </c>
      <c r="AF966" t="s">
        <v>226</v>
      </c>
      <c r="AG966" t="s">
        <v>226</v>
      </c>
      <c r="AH966">
        <v>6</v>
      </c>
      <c r="AI966" t="s">
        <v>3537</v>
      </c>
      <c r="AJ966" t="s">
        <v>1976</v>
      </c>
      <c r="AK966" t="s">
        <v>2416</v>
      </c>
      <c r="AL966" t="s">
        <v>272</v>
      </c>
    </row>
    <row r="967" spans="1:38">
      <c r="A967" t="s">
        <v>4604</v>
      </c>
      <c r="B967" t="s">
        <v>4605</v>
      </c>
      <c r="C967" t="s">
        <v>4606</v>
      </c>
      <c r="D967" t="s">
        <v>4606</v>
      </c>
      <c r="E967" t="s">
        <v>4607</v>
      </c>
      <c r="F967" t="s">
        <v>2413</v>
      </c>
      <c r="G967">
        <v>2</v>
      </c>
      <c r="H967">
        <v>1</v>
      </c>
      <c r="I967">
        <v>0.01</v>
      </c>
      <c r="J967">
        <v>1000</v>
      </c>
      <c r="K967">
        <v>-0.02</v>
      </c>
      <c r="L967">
        <v>83.3</v>
      </c>
      <c r="M967">
        <v>83.07</v>
      </c>
      <c r="N967">
        <v>83.06</v>
      </c>
      <c r="O967">
        <v>83.29</v>
      </c>
      <c r="P967">
        <v>0</v>
      </c>
      <c r="Q967">
        <v>0</v>
      </c>
      <c r="R967">
        <v>0</v>
      </c>
      <c r="S967">
        <v>83.22</v>
      </c>
      <c r="T967">
        <v>83.56</v>
      </c>
      <c r="U967">
        <v>82.88</v>
      </c>
      <c r="V967">
        <v>83.56</v>
      </c>
      <c r="W967">
        <v>957910</v>
      </c>
      <c r="X967">
        <v>83.28</v>
      </c>
      <c r="Y967">
        <v>83.3</v>
      </c>
      <c r="Z967">
        <v>198</v>
      </c>
      <c r="AA967">
        <v>1500000</v>
      </c>
      <c r="AB967">
        <v>833</v>
      </c>
      <c r="AC967">
        <v>0</v>
      </c>
      <c r="AD967" t="s">
        <v>94</v>
      </c>
      <c r="AE967" t="s">
        <v>94</v>
      </c>
      <c r="AF967" t="s">
        <v>226</v>
      </c>
      <c r="AG967" t="s">
        <v>226</v>
      </c>
      <c r="AH967">
        <v>6</v>
      </c>
      <c r="AI967" t="s">
        <v>3537</v>
      </c>
      <c r="AJ967" t="s">
        <v>1976</v>
      </c>
      <c r="AK967" t="s">
        <v>2416</v>
      </c>
      <c r="AL967" t="s">
        <v>272</v>
      </c>
    </row>
    <row r="968" spans="1:38">
      <c r="A968" t="s">
        <v>4608</v>
      </c>
      <c r="B968" t="s">
        <v>4609</v>
      </c>
      <c r="C968" t="s">
        <v>4610</v>
      </c>
      <c r="D968" t="s">
        <v>4610</v>
      </c>
      <c r="E968" t="s">
        <v>4611</v>
      </c>
      <c r="F968" t="s">
        <v>2413</v>
      </c>
      <c r="G968">
        <v>2</v>
      </c>
      <c r="H968">
        <v>1</v>
      </c>
      <c r="I968">
        <v>0.01</v>
      </c>
      <c r="J968">
        <v>1000</v>
      </c>
      <c r="K968">
        <v>-0.72</v>
      </c>
      <c r="L968">
        <v>80.2</v>
      </c>
      <c r="M968">
        <v>80.91</v>
      </c>
      <c r="N968">
        <v>80.67</v>
      </c>
      <c r="O968">
        <v>80.2</v>
      </c>
      <c r="P968">
        <v>0</v>
      </c>
      <c r="Q968">
        <v>0</v>
      </c>
      <c r="R968">
        <v>0</v>
      </c>
      <c r="S968">
        <v>80.13</v>
      </c>
      <c r="T968">
        <v>80.78</v>
      </c>
      <c r="U968">
        <v>79.900000000000006</v>
      </c>
      <c r="V968">
        <v>80.78</v>
      </c>
      <c r="W968">
        <v>1838209</v>
      </c>
      <c r="X968">
        <v>80.19</v>
      </c>
      <c r="Y968">
        <v>80.2</v>
      </c>
      <c r="Z968">
        <v>245</v>
      </c>
      <c r="AA968">
        <v>2000000</v>
      </c>
      <c r="AB968">
        <v>802</v>
      </c>
      <c r="AC968">
        <v>0</v>
      </c>
      <c r="AD968" t="s">
        <v>94</v>
      </c>
      <c r="AE968" t="s">
        <v>94</v>
      </c>
      <c r="AF968" t="s">
        <v>226</v>
      </c>
      <c r="AG968" t="s">
        <v>226</v>
      </c>
      <c r="AH968">
        <v>6</v>
      </c>
      <c r="AI968" t="s">
        <v>3537</v>
      </c>
      <c r="AJ968" t="s">
        <v>1976</v>
      </c>
      <c r="AK968" t="s">
        <v>2416</v>
      </c>
      <c r="AL968" t="s">
        <v>272</v>
      </c>
    </row>
    <row r="969" spans="1:38">
      <c r="A969" t="s">
        <v>4612</v>
      </c>
      <c r="B969" t="s">
        <v>4613</v>
      </c>
      <c r="C969" t="s">
        <v>4614</v>
      </c>
      <c r="D969" t="s">
        <v>4614</v>
      </c>
      <c r="E969" t="s">
        <v>4615</v>
      </c>
      <c r="F969" t="s">
        <v>2413</v>
      </c>
      <c r="G969">
        <v>2</v>
      </c>
      <c r="H969">
        <v>1</v>
      </c>
      <c r="I969">
        <v>0.01</v>
      </c>
      <c r="J969">
        <v>1000</v>
      </c>
      <c r="K969">
        <v>0.02</v>
      </c>
      <c r="L969">
        <v>90.52</v>
      </c>
      <c r="M969">
        <v>90.5</v>
      </c>
      <c r="N969">
        <v>90.38</v>
      </c>
      <c r="O969">
        <v>90.46</v>
      </c>
      <c r="P969">
        <v>0</v>
      </c>
      <c r="Q969">
        <v>0</v>
      </c>
      <c r="R969">
        <v>0</v>
      </c>
      <c r="S969">
        <v>90.39</v>
      </c>
      <c r="T969">
        <v>90.56</v>
      </c>
      <c r="U969">
        <v>90.12</v>
      </c>
      <c r="V969">
        <v>90.64</v>
      </c>
      <c r="W969">
        <v>2929513</v>
      </c>
      <c r="X969">
        <v>90.4</v>
      </c>
      <c r="Y969">
        <v>90.52</v>
      </c>
      <c r="Z969">
        <v>159</v>
      </c>
      <c r="AA969">
        <v>2000000</v>
      </c>
      <c r="AB969">
        <v>905.2</v>
      </c>
      <c r="AC969">
        <v>0</v>
      </c>
      <c r="AD969" t="s">
        <v>94</v>
      </c>
      <c r="AE969" t="s">
        <v>94</v>
      </c>
      <c r="AF969" t="s">
        <v>226</v>
      </c>
      <c r="AG969" t="s">
        <v>226</v>
      </c>
      <c r="AH969">
        <v>6</v>
      </c>
      <c r="AI969" t="s">
        <v>3537</v>
      </c>
      <c r="AJ969" t="s">
        <v>1976</v>
      </c>
      <c r="AK969" t="s">
        <v>2416</v>
      </c>
      <c r="AL969" t="s">
        <v>272</v>
      </c>
    </row>
    <row r="970" spans="1:38">
      <c r="A970" t="s">
        <v>4616</v>
      </c>
      <c r="B970" t="s">
        <v>4617</v>
      </c>
      <c r="C970" t="s">
        <v>4618</v>
      </c>
      <c r="D970" t="s">
        <v>4618</v>
      </c>
      <c r="E970" t="s">
        <v>4619</v>
      </c>
      <c r="F970" t="s">
        <v>2413</v>
      </c>
      <c r="G970">
        <v>2</v>
      </c>
      <c r="H970">
        <v>1</v>
      </c>
      <c r="I970">
        <v>0.01</v>
      </c>
      <c r="J970">
        <v>1000</v>
      </c>
      <c r="K970">
        <v>2.12</v>
      </c>
      <c r="L970">
        <v>88.48</v>
      </c>
      <c r="M970">
        <v>86.5</v>
      </c>
      <c r="N970">
        <v>86.52</v>
      </c>
      <c r="O970">
        <v>88.48</v>
      </c>
      <c r="P970">
        <v>0</v>
      </c>
      <c r="Q970">
        <v>0</v>
      </c>
      <c r="R970">
        <v>0</v>
      </c>
      <c r="S970">
        <v>87.69</v>
      </c>
      <c r="T970">
        <v>88.07</v>
      </c>
      <c r="U970">
        <v>85.3</v>
      </c>
      <c r="V970">
        <v>88.71</v>
      </c>
      <c r="W970">
        <v>1880051</v>
      </c>
      <c r="X970">
        <v>87.53</v>
      </c>
      <c r="Y970">
        <v>88.4</v>
      </c>
      <c r="Z970">
        <v>79</v>
      </c>
      <c r="AA970">
        <v>2500000</v>
      </c>
      <c r="AB970">
        <v>884.8</v>
      </c>
      <c r="AC970">
        <v>0</v>
      </c>
      <c r="AD970" t="s">
        <v>94</v>
      </c>
      <c r="AE970" t="s">
        <v>94</v>
      </c>
      <c r="AF970" t="s">
        <v>226</v>
      </c>
      <c r="AG970" t="s">
        <v>226</v>
      </c>
      <c r="AH970">
        <v>800</v>
      </c>
      <c r="AI970" t="s">
        <v>3537</v>
      </c>
      <c r="AJ970" t="s">
        <v>1976</v>
      </c>
      <c r="AK970" t="s">
        <v>2416</v>
      </c>
      <c r="AL970" t="s">
        <v>272</v>
      </c>
    </row>
    <row r="971" spans="1:38">
      <c r="A971" t="s">
        <v>4620</v>
      </c>
      <c r="B971" t="s">
        <v>4621</v>
      </c>
      <c r="C971" t="s">
        <v>4622</v>
      </c>
      <c r="D971" t="s">
        <v>4622</v>
      </c>
      <c r="E971" t="s">
        <v>4623</v>
      </c>
      <c r="F971" t="s">
        <v>2413</v>
      </c>
      <c r="G971">
        <v>3</v>
      </c>
      <c r="H971">
        <v>1</v>
      </c>
      <c r="I971">
        <v>0.01</v>
      </c>
      <c r="J971">
        <v>1000</v>
      </c>
      <c r="K971">
        <v>0.46</v>
      </c>
      <c r="L971">
        <v>87.4</v>
      </c>
      <c r="M971">
        <v>87.05</v>
      </c>
      <c r="N971">
        <v>86.43</v>
      </c>
      <c r="O971">
        <v>87.4</v>
      </c>
      <c r="P971">
        <v>0</v>
      </c>
      <c r="Q971">
        <v>0</v>
      </c>
      <c r="R971">
        <v>0</v>
      </c>
      <c r="S971">
        <v>87.02</v>
      </c>
      <c r="T971">
        <v>87.12</v>
      </c>
      <c r="U971">
        <v>86.06</v>
      </c>
      <c r="V971">
        <v>87.5</v>
      </c>
      <c r="W971">
        <v>249748</v>
      </c>
      <c r="X971">
        <v>87.08</v>
      </c>
      <c r="Y971">
        <v>87.4</v>
      </c>
      <c r="Z971">
        <v>55</v>
      </c>
      <c r="AA971">
        <v>5000000</v>
      </c>
      <c r="AB971">
        <v>3496</v>
      </c>
      <c r="AC971">
        <v>0</v>
      </c>
      <c r="AD971" t="s">
        <v>94</v>
      </c>
      <c r="AE971" t="s">
        <v>94</v>
      </c>
      <c r="AF971" t="s">
        <v>226</v>
      </c>
      <c r="AG971" t="s">
        <v>226</v>
      </c>
      <c r="AH971">
        <v>6</v>
      </c>
      <c r="AI971" t="s">
        <v>3537</v>
      </c>
      <c r="AJ971" t="s">
        <v>1976</v>
      </c>
      <c r="AK971" t="s">
        <v>2416</v>
      </c>
      <c r="AL971" t="s">
        <v>272</v>
      </c>
    </row>
    <row r="972" spans="1:38">
      <c r="A972" t="s">
        <v>4624</v>
      </c>
      <c r="B972" t="s">
        <v>4625</v>
      </c>
      <c r="C972" t="s">
        <v>4626</v>
      </c>
      <c r="D972" t="s">
        <v>4626</v>
      </c>
      <c r="E972" t="s">
        <v>4627</v>
      </c>
      <c r="F972" t="s">
        <v>2413</v>
      </c>
      <c r="G972">
        <v>3</v>
      </c>
      <c r="H972">
        <v>1</v>
      </c>
      <c r="I972">
        <v>0.01</v>
      </c>
      <c r="J972">
        <v>1000</v>
      </c>
      <c r="K972">
        <v>-0.52</v>
      </c>
      <c r="L972">
        <v>80</v>
      </c>
      <c r="M972">
        <v>80.42</v>
      </c>
      <c r="N972">
        <v>80.36</v>
      </c>
      <c r="O972">
        <v>80.16</v>
      </c>
      <c r="P972">
        <v>0</v>
      </c>
      <c r="Q972">
        <v>0</v>
      </c>
      <c r="R972">
        <v>0</v>
      </c>
      <c r="S972">
        <v>80.44</v>
      </c>
      <c r="T972">
        <v>80.97</v>
      </c>
      <c r="U972">
        <v>80</v>
      </c>
      <c r="V972">
        <v>80.98</v>
      </c>
      <c r="W972">
        <v>16088</v>
      </c>
      <c r="X972">
        <v>80.05</v>
      </c>
      <c r="Y972">
        <v>80.44</v>
      </c>
      <c r="Z972">
        <v>11</v>
      </c>
      <c r="AA972">
        <v>7500000</v>
      </c>
      <c r="AB972">
        <v>800</v>
      </c>
      <c r="AC972">
        <v>0</v>
      </c>
      <c r="AD972" t="s">
        <v>94</v>
      </c>
      <c r="AE972" t="s">
        <v>94</v>
      </c>
      <c r="AF972" t="s">
        <v>226</v>
      </c>
      <c r="AG972" t="s">
        <v>226</v>
      </c>
      <c r="AH972">
        <v>6</v>
      </c>
      <c r="AI972" t="s">
        <v>3537</v>
      </c>
      <c r="AJ972" t="s">
        <v>1976</v>
      </c>
      <c r="AK972" t="s">
        <v>2416</v>
      </c>
      <c r="AL972" t="s">
        <v>272</v>
      </c>
    </row>
    <row r="973" spans="1:38">
      <c r="A973" t="s">
        <v>4628</v>
      </c>
      <c r="B973" t="s">
        <v>4629</v>
      </c>
      <c r="C973" t="s">
        <v>4630</v>
      </c>
      <c r="D973" t="s">
        <v>4630</v>
      </c>
      <c r="E973" t="s">
        <v>4631</v>
      </c>
      <c r="F973" t="s">
        <v>2413</v>
      </c>
      <c r="G973">
        <v>3</v>
      </c>
      <c r="H973">
        <v>1</v>
      </c>
      <c r="I973">
        <v>0.01</v>
      </c>
      <c r="J973">
        <v>1000</v>
      </c>
      <c r="K973">
        <v>-0.2</v>
      </c>
      <c r="L973">
        <v>73.349999999999994</v>
      </c>
      <c r="M973">
        <v>73.5</v>
      </c>
      <c r="N973">
        <v>73.22</v>
      </c>
      <c r="O973">
        <v>73.349999999999994</v>
      </c>
      <c r="P973">
        <v>0</v>
      </c>
      <c r="Q973">
        <v>0</v>
      </c>
      <c r="R973">
        <v>0</v>
      </c>
      <c r="S973">
        <v>73.25</v>
      </c>
      <c r="T973">
        <v>73.17</v>
      </c>
      <c r="U973">
        <v>72.23</v>
      </c>
      <c r="V973">
        <v>73.69</v>
      </c>
      <c r="W973">
        <v>1082570</v>
      </c>
      <c r="X973">
        <v>73.239999999999995</v>
      </c>
      <c r="Y973">
        <v>73.349999999999994</v>
      </c>
      <c r="Z973">
        <v>188</v>
      </c>
      <c r="AA973">
        <v>15000000</v>
      </c>
      <c r="AB973">
        <v>733.5</v>
      </c>
      <c r="AC973">
        <v>0</v>
      </c>
      <c r="AD973" t="s">
        <v>94</v>
      </c>
      <c r="AE973" t="s">
        <v>94</v>
      </c>
      <c r="AF973" t="s">
        <v>226</v>
      </c>
      <c r="AG973" t="s">
        <v>226</v>
      </c>
      <c r="AH973">
        <v>6</v>
      </c>
      <c r="AI973" t="s">
        <v>3537</v>
      </c>
      <c r="AJ973" t="s">
        <v>1976</v>
      </c>
      <c r="AK973" t="s">
        <v>2416</v>
      </c>
      <c r="AL973" t="s">
        <v>272</v>
      </c>
    </row>
    <row r="974" spans="1:38">
      <c r="A974" t="s">
        <v>4632</v>
      </c>
      <c r="B974" t="s">
        <v>4633</v>
      </c>
      <c r="C974" t="s">
        <v>4634</v>
      </c>
      <c r="D974" t="s">
        <v>4634</v>
      </c>
      <c r="E974" t="s">
        <v>4635</v>
      </c>
      <c r="F974" t="s">
        <v>2413</v>
      </c>
      <c r="G974">
        <v>3</v>
      </c>
      <c r="H974">
        <v>1</v>
      </c>
      <c r="I974">
        <v>0.01</v>
      </c>
      <c r="J974">
        <v>1000</v>
      </c>
      <c r="K974">
        <v>-0.14000000000000001</v>
      </c>
      <c r="L974">
        <v>72.25</v>
      </c>
      <c r="M974">
        <v>72.349999999999994</v>
      </c>
      <c r="N974">
        <v>72.37</v>
      </c>
      <c r="O974">
        <v>72.25</v>
      </c>
      <c r="P974">
        <v>0</v>
      </c>
      <c r="Q974">
        <v>0</v>
      </c>
      <c r="R974">
        <v>0</v>
      </c>
      <c r="S974">
        <v>72.34</v>
      </c>
      <c r="T974">
        <v>72.34</v>
      </c>
      <c r="U974">
        <v>72.2</v>
      </c>
      <c r="V974">
        <v>72.349999999999994</v>
      </c>
      <c r="W974">
        <v>809447</v>
      </c>
      <c r="X974">
        <v>72.23</v>
      </c>
      <c r="Y974">
        <v>72.239999999999995</v>
      </c>
      <c r="Z974">
        <v>64</v>
      </c>
      <c r="AA974">
        <v>15000000</v>
      </c>
      <c r="AB974">
        <v>7225</v>
      </c>
      <c r="AC974">
        <v>0</v>
      </c>
      <c r="AD974" t="s">
        <v>94</v>
      </c>
      <c r="AE974" t="s">
        <v>94</v>
      </c>
      <c r="AF974" t="s">
        <v>226</v>
      </c>
      <c r="AG974" t="s">
        <v>226</v>
      </c>
      <c r="AH974">
        <v>6</v>
      </c>
      <c r="AI974" t="s">
        <v>3537</v>
      </c>
      <c r="AJ974" t="s">
        <v>1976</v>
      </c>
      <c r="AK974" t="s">
        <v>2416</v>
      </c>
      <c r="AL974" t="s">
        <v>272</v>
      </c>
    </row>
    <row r="975" spans="1:38">
      <c r="A975" t="s">
        <v>4636</v>
      </c>
      <c r="B975" t="s">
        <v>4637</v>
      </c>
      <c r="C975" t="s">
        <v>4638</v>
      </c>
      <c r="D975" t="s">
        <v>4638</v>
      </c>
      <c r="E975" t="s">
        <v>4639</v>
      </c>
      <c r="F975" t="s">
        <v>2413</v>
      </c>
      <c r="G975">
        <v>3</v>
      </c>
      <c r="H975">
        <v>1</v>
      </c>
      <c r="I975">
        <v>0.01</v>
      </c>
      <c r="J975">
        <v>1000</v>
      </c>
      <c r="K975">
        <v>0</v>
      </c>
      <c r="L975">
        <v>0</v>
      </c>
      <c r="M975">
        <v>94</v>
      </c>
      <c r="N975">
        <v>91.93</v>
      </c>
      <c r="O975">
        <v>94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93.04</v>
      </c>
      <c r="Y975">
        <v>99.91</v>
      </c>
      <c r="Z975">
        <v>0</v>
      </c>
      <c r="AA975">
        <v>78691</v>
      </c>
      <c r="AB975">
        <v>0</v>
      </c>
      <c r="AC975">
        <v>0</v>
      </c>
      <c r="AD975" t="s">
        <v>94</v>
      </c>
      <c r="AE975" t="s">
        <v>94</v>
      </c>
      <c r="AF975" t="s">
        <v>226</v>
      </c>
      <c r="AG975" t="s">
        <v>226</v>
      </c>
      <c r="AH975">
        <v>800</v>
      </c>
      <c r="AI975" t="s">
        <v>3537</v>
      </c>
      <c r="AJ975" t="s">
        <v>1976</v>
      </c>
      <c r="AK975" t="s">
        <v>2416</v>
      </c>
      <c r="AL975" t="s">
        <v>272</v>
      </c>
    </row>
    <row r="976" spans="1:38">
      <c r="A976" t="s">
        <v>4640</v>
      </c>
      <c r="B976" t="s">
        <v>4641</v>
      </c>
      <c r="C976" t="s">
        <v>4642</v>
      </c>
      <c r="D976" t="s">
        <v>4642</v>
      </c>
      <c r="E976" t="s">
        <v>4643</v>
      </c>
      <c r="F976" t="s">
        <v>2413</v>
      </c>
      <c r="G976">
        <v>3</v>
      </c>
      <c r="H976">
        <v>1</v>
      </c>
      <c r="I976">
        <v>0.01</v>
      </c>
      <c r="J976">
        <v>1000</v>
      </c>
      <c r="K976">
        <v>0</v>
      </c>
      <c r="L976">
        <v>0</v>
      </c>
      <c r="M976">
        <v>191.99</v>
      </c>
      <c r="N976">
        <v>188.04</v>
      </c>
      <c r="O976">
        <v>191.99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191.94</v>
      </c>
      <c r="Y976">
        <v>191.99</v>
      </c>
      <c r="Z976">
        <v>0</v>
      </c>
      <c r="AA976">
        <v>335659</v>
      </c>
      <c r="AB976">
        <v>0</v>
      </c>
      <c r="AC976">
        <v>0</v>
      </c>
      <c r="AD976" t="s">
        <v>94</v>
      </c>
      <c r="AE976" t="s">
        <v>94</v>
      </c>
      <c r="AF976" t="s">
        <v>226</v>
      </c>
      <c r="AG976" t="s">
        <v>226</v>
      </c>
      <c r="AH976">
        <v>800</v>
      </c>
      <c r="AI976" t="s">
        <v>3537</v>
      </c>
      <c r="AJ976" t="s">
        <v>1976</v>
      </c>
      <c r="AK976" t="s">
        <v>2416</v>
      </c>
      <c r="AL976" t="s">
        <v>272</v>
      </c>
    </row>
    <row r="977" spans="1:38">
      <c r="A977" t="s">
        <v>4644</v>
      </c>
      <c r="B977" t="s">
        <v>4645</v>
      </c>
      <c r="C977" t="s">
        <v>4646</v>
      </c>
      <c r="D977" t="s">
        <v>4646</v>
      </c>
      <c r="E977" t="s">
        <v>4647</v>
      </c>
      <c r="F977" t="s">
        <v>2413</v>
      </c>
      <c r="G977">
        <v>3</v>
      </c>
      <c r="H977">
        <v>1</v>
      </c>
      <c r="I977">
        <v>0.01</v>
      </c>
      <c r="J977">
        <v>1000</v>
      </c>
      <c r="K977">
        <v>0.17</v>
      </c>
      <c r="L977">
        <v>135.29</v>
      </c>
      <c r="M977">
        <v>135.06</v>
      </c>
      <c r="N977">
        <v>139.74</v>
      </c>
      <c r="O977">
        <v>135.29</v>
      </c>
      <c r="P977">
        <v>0</v>
      </c>
      <c r="Q977">
        <v>0</v>
      </c>
      <c r="R977">
        <v>0</v>
      </c>
      <c r="S977">
        <v>135.29</v>
      </c>
      <c r="T977">
        <v>135.29</v>
      </c>
      <c r="U977">
        <v>135.29</v>
      </c>
      <c r="V977">
        <v>135.29</v>
      </c>
      <c r="W977">
        <v>27058</v>
      </c>
      <c r="X977">
        <v>135.61000000000001</v>
      </c>
      <c r="Y977">
        <v>192.39</v>
      </c>
      <c r="Z977">
        <v>1</v>
      </c>
      <c r="AA977">
        <v>283849</v>
      </c>
      <c r="AB977">
        <v>27058</v>
      </c>
      <c r="AC977">
        <v>0</v>
      </c>
      <c r="AD977" t="s">
        <v>94</v>
      </c>
      <c r="AE977" t="s">
        <v>94</v>
      </c>
      <c r="AF977" t="s">
        <v>226</v>
      </c>
      <c r="AG977" t="s">
        <v>226</v>
      </c>
      <c r="AH977">
        <v>800</v>
      </c>
      <c r="AI977" t="s">
        <v>3537</v>
      </c>
      <c r="AJ977" t="s">
        <v>1976</v>
      </c>
      <c r="AK977" t="s">
        <v>2416</v>
      </c>
      <c r="AL977" t="s">
        <v>272</v>
      </c>
    </row>
    <row r="978" spans="1:38">
      <c r="A978" t="s">
        <v>4648</v>
      </c>
      <c r="B978" t="s">
        <v>4649</v>
      </c>
      <c r="C978" t="s">
        <v>4650</v>
      </c>
      <c r="D978" t="s">
        <v>4650</v>
      </c>
      <c r="E978" t="s">
        <v>4651</v>
      </c>
      <c r="F978" t="s">
        <v>2413</v>
      </c>
      <c r="G978">
        <v>3</v>
      </c>
      <c r="H978">
        <v>1</v>
      </c>
      <c r="I978">
        <v>0.01</v>
      </c>
      <c r="J978">
        <v>1000</v>
      </c>
      <c r="K978">
        <v>0.28000000000000003</v>
      </c>
      <c r="L978">
        <v>131.08000000000001</v>
      </c>
      <c r="M978">
        <v>130.71</v>
      </c>
      <c r="N978">
        <v>131.86000000000001</v>
      </c>
      <c r="O978">
        <v>131.08000000000001</v>
      </c>
      <c r="P978">
        <v>0</v>
      </c>
      <c r="Q978">
        <v>0</v>
      </c>
      <c r="R978">
        <v>0</v>
      </c>
      <c r="S978">
        <v>131.08000000000001</v>
      </c>
      <c r="T978">
        <v>131.08000000000001</v>
      </c>
      <c r="U978">
        <v>131.08000000000001</v>
      </c>
      <c r="V978">
        <v>131.08000000000001</v>
      </c>
      <c r="W978">
        <v>11797</v>
      </c>
      <c r="X978">
        <v>131.16999999999999</v>
      </c>
      <c r="Y978">
        <v>145</v>
      </c>
      <c r="Z978">
        <v>1</v>
      </c>
      <c r="AA978">
        <v>397548</v>
      </c>
      <c r="AB978">
        <v>11797.2</v>
      </c>
      <c r="AC978">
        <v>0</v>
      </c>
      <c r="AD978" t="s">
        <v>94</v>
      </c>
      <c r="AE978" t="s">
        <v>94</v>
      </c>
      <c r="AF978" t="s">
        <v>226</v>
      </c>
      <c r="AG978" t="s">
        <v>226</v>
      </c>
      <c r="AH978">
        <v>800</v>
      </c>
      <c r="AI978" t="s">
        <v>3537</v>
      </c>
      <c r="AJ978" t="s">
        <v>1976</v>
      </c>
      <c r="AK978" t="s">
        <v>2416</v>
      </c>
      <c r="AL978" t="s">
        <v>272</v>
      </c>
    </row>
    <row r="979" spans="1:38">
      <c r="A979" t="s">
        <v>4652</v>
      </c>
      <c r="B979" t="s">
        <v>4653</v>
      </c>
      <c r="C979" t="s">
        <v>4654</v>
      </c>
      <c r="D979" t="s">
        <v>4654</v>
      </c>
      <c r="E979" t="s">
        <v>4655</v>
      </c>
      <c r="F979" t="s">
        <v>2413</v>
      </c>
      <c r="G979">
        <v>3</v>
      </c>
      <c r="H979">
        <v>1</v>
      </c>
      <c r="I979">
        <v>0.01</v>
      </c>
      <c r="J979">
        <v>1000</v>
      </c>
      <c r="K979">
        <v>0</v>
      </c>
      <c r="L979">
        <v>0</v>
      </c>
      <c r="M979">
        <v>189.2</v>
      </c>
      <c r="N979">
        <v>189.46</v>
      </c>
      <c r="O979">
        <v>189.2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196.44</v>
      </c>
      <c r="Y979">
        <v>274</v>
      </c>
      <c r="Z979">
        <v>0</v>
      </c>
      <c r="AA979">
        <v>83816</v>
      </c>
      <c r="AB979">
        <v>0</v>
      </c>
      <c r="AC979">
        <v>0</v>
      </c>
      <c r="AD979" t="s">
        <v>94</v>
      </c>
      <c r="AE979" t="s">
        <v>94</v>
      </c>
      <c r="AF979" t="s">
        <v>226</v>
      </c>
      <c r="AG979" t="s">
        <v>226</v>
      </c>
      <c r="AH979">
        <v>800</v>
      </c>
      <c r="AI979" t="s">
        <v>3537</v>
      </c>
      <c r="AJ979" t="s">
        <v>1976</v>
      </c>
      <c r="AK979" t="s">
        <v>2416</v>
      </c>
      <c r="AL979" t="s">
        <v>272</v>
      </c>
    </row>
    <row r="980" spans="1:38">
      <c r="A980" t="s">
        <v>4656</v>
      </c>
      <c r="B980" t="s">
        <v>4657</v>
      </c>
      <c r="C980" t="s">
        <v>4658</v>
      </c>
      <c r="D980" t="s">
        <v>4658</v>
      </c>
      <c r="E980" t="s">
        <v>4659</v>
      </c>
      <c r="F980" t="s">
        <v>2413</v>
      </c>
      <c r="G980">
        <v>3</v>
      </c>
      <c r="H980">
        <v>1</v>
      </c>
      <c r="I980">
        <v>0.01</v>
      </c>
      <c r="J980">
        <v>1000</v>
      </c>
      <c r="K980">
        <v>0</v>
      </c>
      <c r="L980">
        <v>0</v>
      </c>
      <c r="M980">
        <v>168.83</v>
      </c>
      <c r="N980">
        <v>0</v>
      </c>
      <c r="O980">
        <v>168.83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175.89</v>
      </c>
      <c r="Y980">
        <v>0</v>
      </c>
      <c r="Z980">
        <v>0</v>
      </c>
      <c r="AA980">
        <v>38774</v>
      </c>
      <c r="AB980">
        <v>0</v>
      </c>
      <c r="AC980">
        <v>0</v>
      </c>
      <c r="AD980" t="s">
        <v>94</v>
      </c>
      <c r="AE980" t="s">
        <v>94</v>
      </c>
      <c r="AF980" t="s">
        <v>226</v>
      </c>
      <c r="AG980" t="s">
        <v>226</v>
      </c>
      <c r="AH980">
        <v>800</v>
      </c>
      <c r="AI980" t="s">
        <v>3537</v>
      </c>
      <c r="AJ980" t="s">
        <v>1976</v>
      </c>
      <c r="AK980" t="s">
        <v>2416</v>
      </c>
      <c r="AL980" t="s">
        <v>272</v>
      </c>
    </row>
    <row r="981" spans="1:38">
      <c r="A981" t="s">
        <v>4660</v>
      </c>
      <c r="B981" t="s">
        <v>4661</v>
      </c>
      <c r="C981" t="s">
        <v>4662</v>
      </c>
      <c r="D981" t="s">
        <v>4662</v>
      </c>
      <c r="E981" t="s">
        <v>4663</v>
      </c>
      <c r="F981" t="s">
        <v>2413</v>
      </c>
      <c r="G981">
        <v>3</v>
      </c>
      <c r="H981">
        <v>1</v>
      </c>
      <c r="I981">
        <v>0.01</v>
      </c>
      <c r="J981">
        <v>1000</v>
      </c>
      <c r="K981">
        <v>0</v>
      </c>
      <c r="L981">
        <v>0</v>
      </c>
      <c r="M981">
        <v>85.58</v>
      </c>
      <c r="N981">
        <v>86.73</v>
      </c>
      <c r="O981">
        <v>85.58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85.88</v>
      </c>
      <c r="Y981">
        <v>86.74</v>
      </c>
      <c r="Z981">
        <v>0</v>
      </c>
      <c r="AA981">
        <v>145813</v>
      </c>
      <c r="AB981">
        <v>0</v>
      </c>
      <c r="AC981">
        <v>0</v>
      </c>
      <c r="AD981" t="s">
        <v>94</v>
      </c>
      <c r="AE981" t="s">
        <v>94</v>
      </c>
      <c r="AF981" t="s">
        <v>226</v>
      </c>
      <c r="AG981" t="s">
        <v>226</v>
      </c>
      <c r="AH981">
        <v>800</v>
      </c>
      <c r="AI981" t="s">
        <v>3537</v>
      </c>
      <c r="AJ981" t="s">
        <v>1976</v>
      </c>
      <c r="AK981" t="s">
        <v>2416</v>
      </c>
      <c r="AL981" t="s">
        <v>272</v>
      </c>
    </row>
    <row r="982" spans="1:38">
      <c r="A982" t="s">
        <v>4664</v>
      </c>
      <c r="B982" t="s">
        <v>4665</v>
      </c>
      <c r="C982" t="s">
        <v>4666</v>
      </c>
      <c r="D982" t="s">
        <v>4666</v>
      </c>
      <c r="E982" t="s">
        <v>4667</v>
      </c>
      <c r="F982" t="s">
        <v>2413</v>
      </c>
      <c r="G982">
        <v>3</v>
      </c>
      <c r="H982">
        <v>1</v>
      </c>
      <c r="I982">
        <v>0.01</v>
      </c>
      <c r="J982">
        <v>1000</v>
      </c>
      <c r="K982">
        <v>0</v>
      </c>
      <c r="L982">
        <v>0</v>
      </c>
      <c r="M982">
        <v>86</v>
      </c>
      <c r="N982">
        <v>84.88</v>
      </c>
      <c r="O982">
        <v>86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85.62</v>
      </c>
      <c r="Y982">
        <v>91.16</v>
      </c>
      <c r="Z982">
        <v>0</v>
      </c>
      <c r="AA982">
        <v>54077</v>
      </c>
      <c r="AB982">
        <v>0</v>
      </c>
      <c r="AC982">
        <v>0</v>
      </c>
      <c r="AD982" t="s">
        <v>94</v>
      </c>
      <c r="AE982" t="s">
        <v>94</v>
      </c>
      <c r="AF982" t="s">
        <v>226</v>
      </c>
      <c r="AG982" t="s">
        <v>226</v>
      </c>
      <c r="AH982">
        <v>800</v>
      </c>
      <c r="AI982" t="s">
        <v>3537</v>
      </c>
      <c r="AJ982" t="s">
        <v>1976</v>
      </c>
      <c r="AK982" t="s">
        <v>2416</v>
      </c>
      <c r="AL982" t="s">
        <v>272</v>
      </c>
    </row>
    <row r="983" spans="1:38">
      <c r="A983" t="s">
        <v>4668</v>
      </c>
      <c r="B983" t="s">
        <v>4669</v>
      </c>
      <c r="C983" t="s">
        <v>4670</v>
      </c>
      <c r="D983" t="s">
        <v>4670</v>
      </c>
      <c r="E983" t="s">
        <v>4671</v>
      </c>
      <c r="F983" t="s">
        <v>2413</v>
      </c>
      <c r="G983">
        <v>3</v>
      </c>
      <c r="H983">
        <v>1</v>
      </c>
      <c r="I983">
        <v>0.01</v>
      </c>
      <c r="J983">
        <v>1000</v>
      </c>
      <c r="K983">
        <v>0</v>
      </c>
      <c r="L983">
        <v>0</v>
      </c>
      <c r="M983">
        <v>83</v>
      </c>
      <c r="N983">
        <v>0</v>
      </c>
      <c r="O983">
        <v>83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81.12</v>
      </c>
      <c r="Y983">
        <v>0</v>
      </c>
      <c r="Z983">
        <v>0</v>
      </c>
      <c r="AA983">
        <v>42599</v>
      </c>
      <c r="AB983">
        <v>0</v>
      </c>
      <c r="AC983">
        <v>0</v>
      </c>
      <c r="AD983" t="s">
        <v>94</v>
      </c>
      <c r="AE983" t="s">
        <v>94</v>
      </c>
      <c r="AF983" t="s">
        <v>226</v>
      </c>
      <c r="AG983" t="s">
        <v>226</v>
      </c>
      <c r="AH983">
        <v>800</v>
      </c>
      <c r="AI983" t="s">
        <v>3537</v>
      </c>
      <c r="AJ983" t="s">
        <v>1976</v>
      </c>
      <c r="AK983" t="s">
        <v>2416</v>
      </c>
      <c r="AL983" t="s">
        <v>272</v>
      </c>
    </row>
    <row r="984" spans="1:38">
      <c r="A984" t="s">
        <v>4672</v>
      </c>
      <c r="B984" t="s">
        <v>4673</v>
      </c>
      <c r="C984" t="s">
        <v>4674</v>
      </c>
      <c r="D984" t="s">
        <v>4674</v>
      </c>
      <c r="E984" t="s">
        <v>4675</v>
      </c>
      <c r="F984" t="s">
        <v>2413</v>
      </c>
      <c r="G984">
        <v>3</v>
      </c>
      <c r="H984">
        <v>1</v>
      </c>
      <c r="I984">
        <v>0.01</v>
      </c>
      <c r="J984">
        <v>1000</v>
      </c>
      <c r="K984">
        <v>-2.37</v>
      </c>
      <c r="L984">
        <v>82.01</v>
      </c>
      <c r="M984">
        <v>84</v>
      </c>
      <c r="N984">
        <v>88.47</v>
      </c>
      <c r="O984">
        <v>82.01</v>
      </c>
      <c r="P984">
        <v>0</v>
      </c>
      <c r="Q984">
        <v>0</v>
      </c>
      <c r="R984">
        <v>0</v>
      </c>
      <c r="S984">
        <v>82.01</v>
      </c>
      <c r="T984">
        <v>82.01</v>
      </c>
      <c r="U984">
        <v>82.01</v>
      </c>
      <c r="V984">
        <v>82.01</v>
      </c>
      <c r="W984">
        <v>26243</v>
      </c>
      <c r="X984">
        <v>81.61</v>
      </c>
      <c r="Y984">
        <v>87.01</v>
      </c>
      <c r="Z984">
        <v>2</v>
      </c>
      <c r="AA984">
        <v>51971</v>
      </c>
      <c r="AB984">
        <v>25423.1</v>
      </c>
      <c r="AC984">
        <v>0</v>
      </c>
      <c r="AD984" t="s">
        <v>94</v>
      </c>
      <c r="AE984" t="s">
        <v>94</v>
      </c>
      <c r="AF984" t="s">
        <v>226</v>
      </c>
      <c r="AG984" t="s">
        <v>226</v>
      </c>
      <c r="AH984">
        <v>800</v>
      </c>
      <c r="AI984" t="s">
        <v>3537</v>
      </c>
      <c r="AJ984" t="s">
        <v>1976</v>
      </c>
      <c r="AK984" t="s">
        <v>2416</v>
      </c>
      <c r="AL984" t="s">
        <v>272</v>
      </c>
    </row>
    <row r="985" spans="1:38">
      <c r="A985" t="s">
        <v>4676</v>
      </c>
      <c r="B985" t="s">
        <v>4677</v>
      </c>
      <c r="C985" t="s">
        <v>4678</v>
      </c>
      <c r="D985" t="s">
        <v>4678</v>
      </c>
      <c r="E985" t="s">
        <v>4679</v>
      </c>
      <c r="F985" t="s">
        <v>2413</v>
      </c>
      <c r="G985">
        <v>3</v>
      </c>
      <c r="H985">
        <v>1</v>
      </c>
      <c r="I985">
        <v>0.01</v>
      </c>
      <c r="J985">
        <v>1000</v>
      </c>
      <c r="K985">
        <v>0</v>
      </c>
      <c r="L985">
        <v>0</v>
      </c>
      <c r="M985">
        <v>87.9</v>
      </c>
      <c r="N985">
        <v>0</v>
      </c>
      <c r="O985">
        <v>87.9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80.58</v>
      </c>
      <c r="Y985">
        <v>94.5</v>
      </c>
      <c r="Z985">
        <v>0</v>
      </c>
      <c r="AA985">
        <v>67746</v>
      </c>
      <c r="AB985">
        <v>0</v>
      </c>
      <c r="AC985">
        <v>0</v>
      </c>
      <c r="AD985" t="s">
        <v>94</v>
      </c>
      <c r="AE985" t="s">
        <v>94</v>
      </c>
      <c r="AF985" t="s">
        <v>226</v>
      </c>
      <c r="AG985" t="s">
        <v>226</v>
      </c>
      <c r="AH985">
        <v>800</v>
      </c>
      <c r="AI985" t="s">
        <v>3537</v>
      </c>
      <c r="AJ985" t="s">
        <v>1976</v>
      </c>
      <c r="AK985" t="s">
        <v>2416</v>
      </c>
      <c r="AL985" t="s">
        <v>272</v>
      </c>
    </row>
    <row r="986" spans="1:38">
      <c r="A986" t="s">
        <v>4680</v>
      </c>
      <c r="B986" t="s">
        <v>4681</v>
      </c>
      <c r="C986" t="s">
        <v>4682</v>
      </c>
      <c r="D986" t="s">
        <v>4682</v>
      </c>
      <c r="E986" t="s">
        <v>4683</v>
      </c>
      <c r="F986" t="s">
        <v>2413</v>
      </c>
      <c r="G986">
        <v>3</v>
      </c>
      <c r="H986">
        <v>1</v>
      </c>
      <c r="I986">
        <v>0.01</v>
      </c>
      <c r="J986">
        <v>1000</v>
      </c>
      <c r="K986">
        <v>0</v>
      </c>
      <c r="L986">
        <v>0</v>
      </c>
      <c r="M986">
        <v>82.66</v>
      </c>
      <c r="N986">
        <v>80.680000000000007</v>
      </c>
      <c r="O986">
        <v>82.66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82.35</v>
      </c>
      <c r="Y986">
        <v>84.49</v>
      </c>
      <c r="Z986">
        <v>0</v>
      </c>
      <c r="AA986">
        <v>125978</v>
      </c>
      <c r="AB986">
        <v>0</v>
      </c>
      <c r="AC986">
        <v>0</v>
      </c>
      <c r="AD986" t="s">
        <v>94</v>
      </c>
      <c r="AE986" t="s">
        <v>94</v>
      </c>
      <c r="AF986" t="s">
        <v>304</v>
      </c>
      <c r="AG986" t="s">
        <v>226</v>
      </c>
      <c r="AH986">
        <v>800</v>
      </c>
      <c r="AI986" t="s">
        <v>3537</v>
      </c>
      <c r="AJ986" t="s">
        <v>1976</v>
      </c>
      <c r="AK986" t="s">
        <v>2416</v>
      </c>
      <c r="AL986" t="s">
        <v>272</v>
      </c>
    </row>
    <row r="987" spans="1:38">
      <c r="A987" t="s">
        <v>4684</v>
      </c>
      <c r="B987" t="s">
        <v>4685</v>
      </c>
      <c r="C987" t="s">
        <v>4686</v>
      </c>
      <c r="D987" t="s">
        <v>4686</v>
      </c>
      <c r="E987" t="s">
        <v>4687</v>
      </c>
      <c r="F987" t="s">
        <v>2413</v>
      </c>
      <c r="G987">
        <v>3</v>
      </c>
      <c r="H987">
        <v>1</v>
      </c>
      <c r="I987">
        <v>0.01</v>
      </c>
      <c r="J987">
        <v>1000</v>
      </c>
      <c r="K987">
        <v>0</v>
      </c>
      <c r="L987">
        <v>0</v>
      </c>
      <c r="M987">
        <v>81.489999999999995</v>
      </c>
      <c r="N987">
        <v>0</v>
      </c>
      <c r="O987">
        <v>81.489999999999995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81.2</v>
      </c>
      <c r="Y987">
        <v>81.48</v>
      </c>
      <c r="Z987">
        <v>0</v>
      </c>
      <c r="AA987">
        <v>128581</v>
      </c>
      <c r="AB987">
        <v>0</v>
      </c>
      <c r="AC987">
        <v>0</v>
      </c>
      <c r="AD987" t="s">
        <v>94</v>
      </c>
      <c r="AE987" t="s">
        <v>94</v>
      </c>
      <c r="AF987" t="s">
        <v>304</v>
      </c>
      <c r="AG987" t="s">
        <v>226</v>
      </c>
      <c r="AH987">
        <v>800</v>
      </c>
      <c r="AI987" t="s">
        <v>3537</v>
      </c>
      <c r="AJ987" t="s">
        <v>1976</v>
      </c>
      <c r="AK987" t="s">
        <v>2416</v>
      </c>
      <c r="AL987" t="s">
        <v>272</v>
      </c>
    </row>
    <row r="988" spans="1:38">
      <c r="A988" t="s">
        <v>4688</v>
      </c>
      <c r="B988" t="s">
        <v>4689</v>
      </c>
      <c r="C988" t="s">
        <v>4690</v>
      </c>
      <c r="D988" t="s">
        <v>4690</v>
      </c>
      <c r="E988" t="s">
        <v>4691</v>
      </c>
      <c r="F988" t="s">
        <v>2413</v>
      </c>
      <c r="G988">
        <v>3</v>
      </c>
      <c r="H988">
        <v>1</v>
      </c>
      <c r="I988">
        <v>0.01</v>
      </c>
      <c r="J988">
        <v>1000</v>
      </c>
      <c r="K988">
        <v>0</v>
      </c>
      <c r="L988">
        <v>0</v>
      </c>
      <c r="M988">
        <v>84</v>
      </c>
      <c r="N988">
        <v>83.75</v>
      </c>
      <c r="O988">
        <v>84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74.83</v>
      </c>
      <c r="Y988">
        <v>84</v>
      </c>
      <c r="Z988">
        <v>0</v>
      </c>
      <c r="AA988">
        <v>40602</v>
      </c>
      <c r="AB988">
        <v>0</v>
      </c>
      <c r="AC988">
        <v>0</v>
      </c>
      <c r="AD988" t="s">
        <v>94</v>
      </c>
      <c r="AE988" t="s">
        <v>94</v>
      </c>
      <c r="AF988" t="s">
        <v>304</v>
      </c>
      <c r="AG988" t="s">
        <v>226</v>
      </c>
      <c r="AH988">
        <v>800</v>
      </c>
      <c r="AI988" t="s">
        <v>3537</v>
      </c>
      <c r="AJ988" t="s">
        <v>1976</v>
      </c>
      <c r="AK988" t="s">
        <v>2416</v>
      </c>
      <c r="AL988" t="s">
        <v>272</v>
      </c>
    </row>
    <row r="989" spans="1:38">
      <c r="A989" t="s">
        <v>4692</v>
      </c>
      <c r="B989" t="s">
        <v>4693</v>
      </c>
      <c r="C989" t="s">
        <v>4694</v>
      </c>
      <c r="D989" t="s">
        <v>4694</v>
      </c>
      <c r="E989" t="s">
        <v>4695</v>
      </c>
      <c r="F989" t="s">
        <v>2413</v>
      </c>
      <c r="G989">
        <v>3</v>
      </c>
      <c r="H989">
        <v>1</v>
      </c>
      <c r="I989">
        <v>0.01</v>
      </c>
      <c r="J989">
        <v>1000</v>
      </c>
      <c r="K989">
        <v>0</v>
      </c>
      <c r="L989">
        <v>0</v>
      </c>
      <c r="M989">
        <v>72.89</v>
      </c>
      <c r="N989">
        <v>72.13</v>
      </c>
      <c r="O989">
        <v>72.89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69.52</v>
      </c>
      <c r="Y989">
        <v>73</v>
      </c>
      <c r="Z989">
        <v>0</v>
      </c>
      <c r="AA989">
        <v>316819</v>
      </c>
      <c r="AB989">
        <v>0</v>
      </c>
      <c r="AC989">
        <v>0</v>
      </c>
      <c r="AD989" t="s">
        <v>94</v>
      </c>
      <c r="AE989" t="s">
        <v>94</v>
      </c>
      <c r="AF989" t="s">
        <v>304</v>
      </c>
      <c r="AG989" t="s">
        <v>226</v>
      </c>
      <c r="AH989">
        <v>800</v>
      </c>
      <c r="AI989" t="s">
        <v>3537</v>
      </c>
      <c r="AJ989" t="s">
        <v>1976</v>
      </c>
      <c r="AK989" t="s">
        <v>2416</v>
      </c>
      <c r="AL989" t="s">
        <v>272</v>
      </c>
    </row>
    <row r="990" spans="1:38">
      <c r="A990" t="s">
        <v>4696</v>
      </c>
      <c r="B990" t="s">
        <v>4697</v>
      </c>
      <c r="C990" t="s">
        <v>4698</v>
      </c>
      <c r="D990" t="s">
        <v>4698</v>
      </c>
      <c r="E990" t="s">
        <v>4699</v>
      </c>
      <c r="F990" t="s">
        <v>2413</v>
      </c>
      <c r="G990">
        <v>3</v>
      </c>
      <c r="H990">
        <v>1</v>
      </c>
      <c r="I990">
        <v>0.01</v>
      </c>
      <c r="J990">
        <v>1000</v>
      </c>
      <c r="K990">
        <v>0</v>
      </c>
      <c r="L990">
        <v>0</v>
      </c>
      <c r="M990">
        <v>69.28</v>
      </c>
      <c r="N990">
        <v>73.680000000000007</v>
      </c>
      <c r="O990">
        <v>69.28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69.010000000000005</v>
      </c>
      <c r="Y990">
        <v>79.010000000000005</v>
      </c>
      <c r="Z990">
        <v>0</v>
      </c>
      <c r="AA990">
        <v>163174</v>
      </c>
      <c r="AB990">
        <v>0</v>
      </c>
      <c r="AC990">
        <v>0</v>
      </c>
      <c r="AD990" t="s">
        <v>94</v>
      </c>
      <c r="AE990" t="s">
        <v>94</v>
      </c>
      <c r="AF990" t="s">
        <v>304</v>
      </c>
      <c r="AG990" t="s">
        <v>226</v>
      </c>
      <c r="AH990">
        <v>800</v>
      </c>
      <c r="AI990" t="s">
        <v>3537</v>
      </c>
      <c r="AJ990" t="s">
        <v>1976</v>
      </c>
      <c r="AK990" t="s">
        <v>2416</v>
      </c>
      <c r="AL990" t="s">
        <v>272</v>
      </c>
    </row>
    <row r="991" spans="1:38">
      <c r="A991" t="s">
        <v>4700</v>
      </c>
      <c r="B991" t="s">
        <v>4701</v>
      </c>
      <c r="C991" t="s">
        <v>4702</v>
      </c>
      <c r="D991" t="s">
        <v>4702</v>
      </c>
      <c r="E991" t="s">
        <v>4703</v>
      </c>
      <c r="F991" t="s">
        <v>2413</v>
      </c>
      <c r="G991">
        <v>3</v>
      </c>
      <c r="H991">
        <v>1</v>
      </c>
      <c r="I991">
        <v>0.01</v>
      </c>
      <c r="J991">
        <v>1000</v>
      </c>
      <c r="K991">
        <v>0</v>
      </c>
      <c r="L991">
        <v>0</v>
      </c>
      <c r="M991">
        <v>73.56</v>
      </c>
      <c r="N991">
        <v>67.900000000000006</v>
      </c>
      <c r="O991">
        <v>73.56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68.75</v>
      </c>
      <c r="Y991">
        <v>77.95</v>
      </c>
      <c r="Z991">
        <v>0</v>
      </c>
      <c r="AA991">
        <v>153012</v>
      </c>
      <c r="AB991">
        <v>0</v>
      </c>
      <c r="AC991">
        <v>0</v>
      </c>
      <c r="AD991" t="s">
        <v>94</v>
      </c>
      <c r="AE991" t="s">
        <v>94</v>
      </c>
      <c r="AF991" t="s">
        <v>226</v>
      </c>
      <c r="AG991" t="s">
        <v>226</v>
      </c>
      <c r="AH991">
        <v>800</v>
      </c>
      <c r="AI991" t="s">
        <v>3537</v>
      </c>
      <c r="AJ991" t="s">
        <v>1976</v>
      </c>
      <c r="AK991" t="s">
        <v>2416</v>
      </c>
      <c r="AL991" t="s">
        <v>272</v>
      </c>
    </row>
    <row r="992" spans="1:38">
      <c r="A992" t="s">
        <v>4704</v>
      </c>
      <c r="B992" t="s">
        <v>4705</v>
      </c>
      <c r="C992" t="s">
        <v>4706</v>
      </c>
      <c r="D992" t="s">
        <v>4706</v>
      </c>
      <c r="E992" t="s">
        <v>4707</v>
      </c>
      <c r="F992" t="s">
        <v>2413</v>
      </c>
      <c r="G992">
        <v>3</v>
      </c>
      <c r="H992">
        <v>1</v>
      </c>
      <c r="I992">
        <v>0.01</v>
      </c>
      <c r="J992">
        <v>1000</v>
      </c>
      <c r="K992">
        <v>0</v>
      </c>
      <c r="L992">
        <v>0</v>
      </c>
      <c r="M992">
        <v>84.06</v>
      </c>
      <c r="N992">
        <v>85.07</v>
      </c>
      <c r="O992">
        <v>84.06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84.89</v>
      </c>
      <c r="Y992">
        <v>118.84</v>
      </c>
      <c r="Z992">
        <v>0</v>
      </c>
      <c r="AA992">
        <v>35906</v>
      </c>
      <c r="AB992">
        <v>0</v>
      </c>
      <c r="AC992">
        <v>0</v>
      </c>
      <c r="AD992" t="s">
        <v>94</v>
      </c>
      <c r="AE992" t="s">
        <v>94</v>
      </c>
      <c r="AF992" t="s">
        <v>226</v>
      </c>
      <c r="AG992" t="s">
        <v>226</v>
      </c>
      <c r="AH992">
        <v>8</v>
      </c>
      <c r="AI992" t="s">
        <v>3537</v>
      </c>
      <c r="AJ992" t="s">
        <v>1976</v>
      </c>
      <c r="AK992" t="s">
        <v>2416</v>
      </c>
      <c r="AL992" t="s">
        <v>272</v>
      </c>
    </row>
    <row r="993" spans="1:38">
      <c r="A993" t="s">
        <v>4708</v>
      </c>
      <c r="B993" t="s">
        <v>4709</v>
      </c>
      <c r="C993" t="s">
        <v>4710</v>
      </c>
      <c r="D993" t="s">
        <v>4710</v>
      </c>
      <c r="E993" t="s">
        <v>4711</v>
      </c>
      <c r="F993" t="s">
        <v>2413</v>
      </c>
      <c r="G993">
        <v>3</v>
      </c>
      <c r="H993">
        <v>1</v>
      </c>
      <c r="I993">
        <v>0.01</v>
      </c>
      <c r="J993">
        <v>1000</v>
      </c>
      <c r="K993">
        <v>0</v>
      </c>
      <c r="L993">
        <v>0</v>
      </c>
      <c r="M993">
        <v>65.03</v>
      </c>
      <c r="N993">
        <v>63.55</v>
      </c>
      <c r="O993">
        <v>65.03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64.180000000000007</v>
      </c>
      <c r="Y993">
        <v>70.010000000000005</v>
      </c>
      <c r="Z993">
        <v>0</v>
      </c>
      <c r="AA993">
        <v>322035</v>
      </c>
      <c r="AB993">
        <v>0</v>
      </c>
      <c r="AC993">
        <v>0</v>
      </c>
      <c r="AD993" t="s">
        <v>94</v>
      </c>
      <c r="AE993" t="s">
        <v>94</v>
      </c>
      <c r="AF993" t="s">
        <v>304</v>
      </c>
      <c r="AG993" t="s">
        <v>226</v>
      </c>
      <c r="AH993">
        <v>800</v>
      </c>
      <c r="AI993" t="s">
        <v>3537</v>
      </c>
      <c r="AJ993" t="s">
        <v>1976</v>
      </c>
      <c r="AK993" t="s">
        <v>2416</v>
      </c>
      <c r="AL993" t="s">
        <v>272</v>
      </c>
    </row>
    <row r="994" spans="1:38">
      <c r="A994" t="s">
        <v>4712</v>
      </c>
      <c r="B994" t="s">
        <v>4713</v>
      </c>
      <c r="C994" t="s">
        <v>4714</v>
      </c>
      <c r="D994" t="s">
        <v>4714</v>
      </c>
      <c r="E994" t="s">
        <v>4715</v>
      </c>
      <c r="F994" t="s">
        <v>2413</v>
      </c>
      <c r="G994">
        <v>3</v>
      </c>
      <c r="H994">
        <v>1</v>
      </c>
      <c r="I994">
        <v>0.01</v>
      </c>
      <c r="J994">
        <v>1000</v>
      </c>
      <c r="K994">
        <v>0</v>
      </c>
      <c r="L994">
        <v>0</v>
      </c>
      <c r="M994">
        <v>70.510000000000005</v>
      </c>
      <c r="N994">
        <v>86.51</v>
      </c>
      <c r="O994">
        <v>70.510000000000005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63.01</v>
      </c>
      <c r="Y994">
        <v>73.010000000000005</v>
      </c>
      <c r="Z994">
        <v>0</v>
      </c>
      <c r="AA994">
        <v>187561</v>
      </c>
      <c r="AB994">
        <v>0</v>
      </c>
      <c r="AC994">
        <v>0</v>
      </c>
      <c r="AD994" t="s">
        <v>94</v>
      </c>
      <c r="AE994" t="s">
        <v>94</v>
      </c>
      <c r="AF994" t="s">
        <v>304</v>
      </c>
      <c r="AG994" t="s">
        <v>226</v>
      </c>
      <c r="AH994">
        <v>800</v>
      </c>
      <c r="AI994" t="s">
        <v>3537</v>
      </c>
      <c r="AJ994" t="s">
        <v>1976</v>
      </c>
      <c r="AK994" t="s">
        <v>2416</v>
      </c>
      <c r="AL994" t="s">
        <v>272</v>
      </c>
    </row>
    <row r="995" spans="1:38">
      <c r="A995" t="s">
        <v>4716</v>
      </c>
      <c r="B995" t="s">
        <v>4717</v>
      </c>
      <c r="C995" t="s">
        <v>4718</v>
      </c>
      <c r="D995" t="s">
        <v>4718</v>
      </c>
      <c r="E995" t="s">
        <v>4719</v>
      </c>
      <c r="F995" t="s">
        <v>2413</v>
      </c>
      <c r="G995">
        <v>3</v>
      </c>
      <c r="H995">
        <v>1</v>
      </c>
      <c r="I995">
        <v>0.01</v>
      </c>
      <c r="J995">
        <v>1000</v>
      </c>
      <c r="K995">
        <v>0</v>
      </c>
      <c r="L995">
        <v>0</v>
      </c>
      <c r="M995">
        <v>66.02</v>
      </c>
      <c r="N995">
        <v>0</v>
      </c>
      <c r="O995">
        <v>66.02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61.06</v>
      </c>
      <c r="Y995">
        <v>71</v>
      </c>
      <c r="Z995">
        <v>0</v>
      </c>
      <c r="AA995">
        <v>451636</v>
      </c>
      <c r="AB995">
        <v>0</v>
      </c>
      <c r="AC995">
        <v>0</v>
      </c>
      <c r="AD995" t="s">
        <v>94</v>
      </c>
      <c r="AE995" t="s">
        <v>94</v>
      </c>
      <c r="AF995" t="s">
        <v>226</v>
      </c>
      <c r="AG995" t="s">
        <v>226</v>
      </c>
      <c r="AH995">
        <v>800</v>
      </c>
      <c r="AI995" t="s">
        <v>3537</v>
      </c>
      <c r="AJ995" t="s">
        <v>1976</v>
      </c>
      <c r="AK995" t="s">
        <v>2416</v>
      </c>
      <c r="AL995" t="s">
        <v>272</v>
      </c>
    </row>
    <row r="996" spans="1:38">
      <c r="A996" t="s">
        <v>4720</v>
      </c>
      <c r="B996" t="s">
        <v>4721</v>
      </c>
      <c r="C996" t="s">
        <v>4722</v>
      </c>
      <c r="D996" t="s">
        <v>4722</v>
      </c>
      <c r="E996" t="s">
        <v>4723</v>
      </c>
      <c r="F996" t="s">
        <v>2413</v>
      </c>
      <c r="G996">
        <v>3</v>
      </c>
      <c r="H996">
        <v>1</v>
      </c>
      <c r="I996">
        <v>0.01</v>
      </c>
      <c r="J996">
        <v>1000</v>
      </c>
      <c r="K996">
        <v>0</v>
      </c>
      <c r="L996">
        <v>0</v>
      </c>
      <c r="M996">
        <v>68.349999999999994</v>
      </c>
      <c r="N996">
        <v>73.510000000000005</v>
      </c>
      <c r="O996">
        <v>68.349999999999994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68.680000000000007</v>
      </c>
      <c r="Y996">
        <v>85.5</v>
      </c>
      <c r="Z996">
        <v>0</v>
      </c>
      <c r="AA996">
        <v>269657</v>
      </c>
      <c r="AB996">
        <v>0</v>
      </c>
      <c r="AC996">
        <v>0</v>
      </c>
      <c r="AD996" t="s">
        <v>94</v>
      </c>
      <c r="AE996" t="s">
        <v>94</v>
      </c>
      <c r="AF996" t="s">
        <v>304</v>
      </c>
      <c r="AG996" t="s">
        <v>226</v>
      </c>
      <c r="AH996">
        <v>800</v>
      </c>
      <c r="AI996" t="s">
        <v>3537</v>
      </c>
      <c r="AJ996" t="s">
        <v>1976</v>
      </c>
      <c r="AK996" t="s">
        <v>2416</v>
      </c>
      <c r="AL996" t="s">
        <v>272</v>
      </c>
    </row>
    <row r="997" spans="1:38">
      <c r="A997" t="s">
        <v>4724</v>
      </c>
      <c r="B997" t="s">
        <v>4725</v>
      </c>
      <c r="C997" t="s">
        <v>4726</v>
      </c>
      <c r="D997" t="s">
        <v>4726</v>
      </c>
      <c r="E997" t="s">
        <v>4727</v>
      </c>
      <c r="F997" t="s">
        <v>2413</v>
      </c>
      <c r="G997">
        <v>3</v>
      </c>
      <c r="H997">
        <v>1</v>
      </c>
      <c r="I997">
        <v>0.01</v>
      </c>
      <c r="J997">
        <v>1000</v>
      </c>
      <c r="K997">
        <v>0</v>
      </c>
      <c r="L997">
        <v>0</v>
      </c>
      <c r="M997">
        <v>69</v>
      </c>
      <c r="N997">
        <v>79.83</v>
      </c>
      <c r="O997">
        <v>69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68.17</v>
      </c>
      <c r="Y997">
        <v>73.010000000000005</v>
      </c>
      <c r="Z997">
        <v>0</v>
      </c>
      <c r="AA997">
        <v>118223</v>
      </c>
      <c r="AB997">
        <v>0</v>
      </c>
      <c r="AC997">
        <v>0</v>
      </c>
      <c r="AD997" t="s">
        <v>94</v>
      </c>
      <c r="AE997" t="s">
        <v>94</v>
      </c>
      <c r="AF997" t="s">
        <v>304</v>
      </c>
      <c r="AG997" t="s">
        <v>226</v>
      </c>
      <c r="AH997">
        <v>800</v>
      </c>
      <c r="AI997" t="s">
        <v>3537</v>
      </c>
      <c r="AJ997" t="s">
        <v>1976</v>
      </c>
      <c r="AK997" t="s">
        <v>2416</v>
      </c>
      <c r="AL997" t="s">
        <v>272</v>
      </c>
    </row>
    <row r="998" spans="1:38">
      <c r="A998" t="s">
        <v>4728</v>
      </c>
      <c r="B998" t="s">
        <v>4729</v>
      </c>
      <c r="C998" t="s">
        <v>4730</v>
      </c>
      <c r="D998" t="s">
        <v>4730</v>
      </c>
      <c r="E998" t="s">
        <v>4731</v>
      </c>
      <c r="F998" t="s">
        <v>2413</v>
      </c>
      <c r="G998">
        <v>3</v>
      </c>
      <c r="H998">
        <v>1</v>
      </c>
      <c r="I998">
        <v>0.01</v>
      </c>
      <c r="J998">
        <v>1000</v>
      </c>
      <c r="K998">
        <v>0</v>
      </c>
      <c r="L998">
        <v>0</v>
      </c>
      <c r="M998">
        <v>88.38</v>
      </c>
      <c r="N998">
        <v>0</v>
      </c>
      <c r="O998">
        <v>88.38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68.400000000000006</v>
      </c>
      <c r="Y998">
        <v>0</v>
      </c>
      <c r="Z998">
        <v>0</v>
      </c>
      <c r="AA998">
        <v>28242</v>
      </c>
      <c r="AB998">
        <v>0</v>
      </c>
      <c r="AC998">
        <v>0</v>
      </c>
      <c r="AD998" t="s">
        <v>94</v>
      </c>
      <c r="AE998" t="s">
        <v>94</v>
      </c>
      <c r="AF998" t="s">
        <v>304</v>
      </c>
      <c r="AG998" t="s">
        <v>226</v>
      </c>
      <c r="AH998">
        <v>800</v>
      </c>
      <c r="AI998" t="s">
        <v>3537</v>
      </c>
      <c r="AJ998" t="s">
        <v>1976</v>
      </c>
      <c r="AK998" t="s">
        <v>2416</v>
      </c>
      <c r="AL998" t="s">
        <v>272</v>
      </c>
    </row>
    <row r="999" spans="1:38">
      <c r="A999" t="s">
        <v>4732</v>
      </c>
      <c r="B999" t="s">
        <v>4733</v>
      </c>
      <c r="C999" t="s">
        <v>4734</v>
      </c>
      <c r="D999" t="s">
        <v>4734</v>
      </c>
      <c r="E999" t="s">
        <v>4735</v>
      </c>
      <c r="F999" t="s">
        <v>2413</v>
      </c>
      <c r="G999">
        <v>3</v>
      </c>
      <c r="H999">
        <v>1</v>
      </c>
      <c r="I999">
        <v>0.01</v>
      </c>
      <c r="J999">
        <v>1000</v>
      </c>
      <c r="K999">
        <v>0</v>
      </c>
      <c r="L999">
        <v>0</v>
      </c>
      <c r="M999">
        <v>87.73</v>
      </c>
      <c r="N999">
        <v>0</v>
      </c>
      <c r="O999">
        <v>87.73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67.7</v>
      </c>
      <c r="Y999">
        <v>0</v>
      </c>
      <c r="Z999">
        <v>0</v>
      </c>
      <c r="AA999">
        <v>29934</v>
      </c>
      <c r="AB999">
        <v>0</v>
      </c>
      <c r="AC999">
        <v>0</v>
      </c>
      <c r="AD999" t="s">
        <v>94</v>
      </c>
      <c r="AE999" t="s">
        <v>94</v>
      </c>
      <c r="AF999" t="s">
        <v>304</v>
      </c>
      <c r="AG999" t="s">
        <v>226</v>
      </c>
      <c r="AH999">
        <v>800</v>
      </c>
      <c r="AI999" t="s">
        <v>3537</v>
      </c>
      <c r="AJ999" t="s">
        <v>1976</v>
      </c>
      <c r="AK999" t="s">
        <v>2416</v>
      </c>
      <c r="AL999" t="s">
        <v>272</v>
      </c>
    </row>
    <row r="1000" spans="1:38">
      <c r="A1000" t="s">
        <v>4736</v>
      </c>
      <c r="B1000" t="s">
        <v>4737</v>
      </c>
      <c r="C1000" t="s">
        <v>4738</v>
      </c>
      <c r="D1000" t="s">
        <v>4738</v>
      </c>
      <c r="E1000" t="s">
        <v>4739</v>
      </c>
      <c r="F1000" t="s">
        <v>2413</v>
      </c>
      <c r="G1000">
        <v>3</v>
      </c>
      <c r="H1000">
        <v>1</v>
      </c>
      <c r="I1000">
        <v>0.01</v>
      </c>
      <c r="J1000">
        <v>1000</v>
      </c>
      <c r="K1000">
        <v>2.98</v>
      </c>
      <c r="L1000">
        <v>117.4</v>
      </c>
      <c r="M1000">
        <v>114</v>
      </c>
      <c r="N1000">
        <v>111.99</v>
      </c>
      <c r="O1000">
        <v>117.4</v>
      </c>
      <c r="P1000">
        <v>0</v>
      </c>
      <c r="Q1000">
        <v>0</v>
      </c>
      <c r="R1000">
        <v>0</v>
      </c>
      <c r="S1000">
        <v>117.4</v>
      </c>
      <c r="T1000">
        <v>117.4</v>
      </c>
      <c r="U1000">
        <v>117.4</v>
      </c>
      <c r="V1000">
        <v>117.4</v>
      </c>
      <c r="W1000">
        <v>585826</v>
      </c>
      <c r="X1000">
        <v>118.3</v>
      </c>
      <c r="Y1000">
        <v>135</v>
      </c>
      <c r="Z1000">
        <v>2</v>
      </c>
      <c r="AA1000">
        <v>66442</v>
      </c>
      <c r="AB1000">
        <v>385072</v>
      </c>
      <c r="AC1000">
        <v>0</v>
      </c>
      <c r="AD1000" t="s">
        <v>94</v>
      </c>
      <c r="AE1000" t="s">
        <v>94</v>
      </c>
      <c r="AF1000" t="s">
        <v>304</v>
      </c>
      <c r="AG1000" t="s">
        <v>226</v>
      </c>
      <c r="AH1000">
        <v>800</v>
      </c>
      <c r="AI1000" t="s">
        <v>3537</v>
      </c>
      <c r="AJ1000" t="s">
        <v>1976</v>
      </c>
      <c r="AK1000" t="s">
        <v>2416</v>
      </c>
      <c r="AL1000" t="s">
        <v>272</v>
      </c>
    </row>
    <row r="1001" spans="1:38">
      <c r="A1001" t="s">
        <v>4740</v>
      </c>
      <c r="B1001" t="s">
        <v>4741</v>
      </c>
      <c r="C1001" t="s">
        <v>4742</v>
      </c>
      <c r="D1001" t="s">
        <v>4742</v>
      </c>
      <c r="E1001" t="s">
        <v>4743</v>
      </c>
      <c r="F1001" t="s">
        <v>2413</v>
      </c>
      <c r="G1001">
        <v>3</v>
      </c>
      <c r="H1001">
        <v>1</v>
      </c>
      <c r="I1001">
        <v>0.01</v>
      </c>
      <c r="J1001">
        <v>1000</v>
      </c>
      <c r="K1001">
        <v>0</v>
      </c>
      <c r="L1001">
        <v>0</v>
      </c>
      <c r="M1001">
        <v>72.25</v>
      </c>
      <c r="N1001">
        <v>72.47</v>
      </c>
      <c r="O1001">
        <v>72.25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66.28</v>
      </c>
      <c r="Y1001">
        <v>72.25</v>
      </c>
      <c r="Z1001">
        <v>0</v>
      </c>
      <c r="AA1001">
        <v>146308</v>
      </c>
      <c r="AB1001">
        <v>0</v>
      </c>
      <c r="AC1001">
        <v>0</v>
      </c>
      <c r="AD1001" t="s">
        <v>94</v>
      </c>
      <c r="AE1001" t="s">
        <v>94</v>
      </c>
      <c r="AF1001" t="s">
        <v>226</v>
      </c>
      <c r="AG1001" t="s">
        <v>226</v>
      </c>
      <c r="AH1001">
        <v>8</v>
      </c>
      <c r="AI1001" t="s">
        <v>3537</v>
      </c>
      <c r="AJ1001" t="s">
        <v>1976</v>
      </c>
      <c r="AK1001" t="s">
        <v>2416</v>
      </c>
      <c r="AL1001" t="s">
        <v>272</v>
      </c>
    </row>
    <row r="1002" spans="1:38">
      <c r="A1002" t="s">
        <v>4744</v>
      </c>
      <c r="B1002" t="s">
        <v>4745</v>
      </c>
      <c r="C1002" t="s">
        <v>4746</v>
      </c>
      <c r="D1002" t="s">
        <v>4746</v>
      </c>
      <c r="E1002" t="s">
        <v>4747</v>
      </c>
      <c r="F1002" t="s">
        <v>2413</v>
      </c>
      <c r="G1002">
        <v>3</v>
      </c>
      <c r="H1002">
        <v>1</v>
      </c>
      <c r="I1002">
        <v>0.01</v>
      </c>
      <c r="J1002">
        <v>1000</v>
      </c>
      <c r="K1002">
        <v>0</v>
      </c>
      <c r="L1002">
        <v>0</v>
      </c>
      <c r="M1002">
        <v>78.67</v>
      </c>
      <c r="N1002">
        <v>67.099999999999994</v>
      </c>
      <c r="O1002">
        <v>78.67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65</v>
      </c>
      <c r="Y1002">
        <v>83.67</v>
      </c>
      <c r="Z1002">
        <v>0</v>
      </c>
      <c r="AA1002">
        <v>252399</v>
      </c>
      <c r="AB1002">
        <v>0</v>
      </c>
      <c r="AC1002">
        <v>0</v>
      </c>
      <c r="AD1002" t="s">
        <v>94</v>
      </c>
      <c r="AE1002" t="s">
        <v>94</v>
      </c>
      <c r="AF1002" t="s">
        <v>226</v>
      </c>
      <c r="AG1002" t="s">
        <v>226</v>
      </c>
      <c r="AH1002">
        <v>800</v>
      </c>
      <c r="AI1002" t="s">
        <v>3537</v>
      </c>
      <c r="AJ1002" t="s">
        <v>1976</v>
      </c>
      <c r="AK1002" t="s">
        <v>2416</v>
      </c>
      <c r="AL1002" t="s">
        <v>272</v>
      </c>
    </row>
    <row r="1003" spans="1:38">
      <c r="A1003" t="s">
        <v>4748</v>
      </c>
      <c r="B1003" t="s">
        <v>4749</v>
      </c>
      <c r="C1003" t="s">
        <v>4750</v>
      </c>
      <c r="D1003" t="s">
        <v>4750</v>
      </c>
      <c r="E1003" t="s">
        <v>4751</v>
      </c>
      <c r="F1003" t="s">
        <v>2413</v>
      </c>
      <c r="G1003">
        <v>3</v>
      </c>
      <c r="H1003">
        <v>1</v>
      </c>
      <c r="I1003">
        <v>0.01</v>
      </c>
      <c r="J1003">
        <v>1000</v>
      </c>
      <c r="K1003">
        <v>0</v>
      </c>
      <c r="L1003">
        <v>0</v>
      </c>
      <c r="M1003">
        <v>73.010000000000005</v>
      </c>
      <c r="N1003">
        <v>0</v>
      </c>
      <c r="O1003">
        <v>73.010000000000005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68.02</v>
      </c>
      <c r="Y1003">
        <v>78.010000000000005</v>
      </c>
      <c r="Z1003">
        <v>0</v>
      </c>
      <c r="AA1003">
        <v>81998</v>
      </c>
      <c r="AB1003">
        <v>0</v>
      </c>
      <c r="AC1003">
        <v>0</v>
      </c>
      <c r="AD1003" t="s">
        <v>94</v>
      </c>
      <c r="AE1003" t="s">
        <v>94</v>
      </c>
      <c r="AF1003" t="s">
        <v>226</v>
      </c>
      <c r="AG1003" t="s">
        <v>226</v>
      </c>
      <c r="AH1003">
        <v>8</v>
      </c>
      <c r="AI1003" t="s">
        <v>3537</v>
      </c>
      <c r="AJ1003" t="s">
        <v>1976</v>
      </c>
      <c r="AK1003" t="s">
        <v>2416</v>
      </c>
      <c r="AL1003" t="s">
        <v>272</v>
      </c>
    </row>
    <row r="1004" spans="1:38">
      <c r="A1004" t="s">
        <v>4752</v>
      </c>
      <c r="B1004" t="s">
        <v>4753</v>
      </c>
      <c r="C1004" t="s">
        <v>4754</v>
      </c>
      <c r="D1004" t="s">
        <v>4754</v>
      </c>
      <c r="E1004" t="s">
        <v>4755</v>
      </c>
      <c r="F1004" t="s">
        <v>2413</v>
      </c>
      <c r="G1004">
        <v>3</v>
      </c>
      <c r="H1004">
        <v>1</v>
      </c>
      <c r="I1004">
        <v>0.01</v>
      </c>
      <c r="J1004">
        <v>1000</v>
      </c>
      <c r="K1004">
        <v>1.96</v>
      </c>
      <c r="L1004">
        <v>77.489999999999995</v>
      </c>
      <c r="M1004">
        <v>76</v>
      </c>
      <c r="N1004">
        <v>77.510000000000005</v>
      </c>
      <c r="O1004">
        <v>77.489999999999995</v>
      </c>
      <c r="P1004">
        <v>0</v>
      </c>
      <c r="Q1004">
        <v>0</v>
      </c>
      <c r="R1004">
        <v>0</v>
      </c>
      <c r="S1004">
        <v>77.87</v>
      </c>
      <c r="T1004">
        <v>81.290000000000006</v>
      </c>
      <c r="U1004">
        <v>77.489999999999995</v>
      </c>
      <c r="V1004">
        <v>81.290000000000006</v>
      </c>
      <c r="W1004">
        <v>7787</v>
      </c>
      <c r="X1004">
        <v>76.03</v>
      </c>
      <c r="Y1004">
        <v>77.3</v>
      </c>
      <c r="Z1004">
        <v>3</v>
      </c>
      <c r="AA1004">
        <v>123773</v>
      </c>
      <c r="AB1004">
        <v>6199.2</v>
      </c>
      <c r="AC1004">
        <v>0</v>
      </c>
      <c r="AD1004" t="s">
        <v>94</v>
      </c>
      <c r="AE1004" t="s">
        <v>94</v>
      </c>
      <c r="AF1004" t="s">
        <v>226</v>
      </c>
      <c r="AG1004" t="s">
        <v>226</v>
      </c>
      <c r="AH1004">
        <v>8</v>
      </c>
      <c r="AI1004" t="s">
        <v>3537</v>
      </c>
      <c r="AJ1004" t="s">
        <v>1976</v>
      </c>
      <c r="AK1004" t="s">
        <v>2416</v>
      </c>
      <c r="AL1004" t="s">
        <v>272</v>
      </c>
    </row>
    <row r="1005" spans="1:38">
      <c r="A1005" t="s">
        <v>4756</v>
      </c>
      <c r="B1005" t="s">
        <v>4757</v>
      </c>
      <c r="C1005" t="s">
        <v>4758</v>
      </c>
      <c r="D1005" t="s">
        <v>4758</v>
      </c>
      <c r="E1005" t="s">
        <v>4759</v>
      </c>
      <c r="F1005" t="s">
        <v>2413</v>
      </c>
      <c r="G1005">
        <v>3</v>
      </c>
      <c r="H1005">
        <v>1</v>
      </c>
      <c r="I1005">
        <v>0.01</v>
      </c>
      <c r="J1005">
        <v>1000</v>
      </c>
      <c r="K1005">
        <v>0</v>
      </c>
      <c r="L1005">
        <v>0</v>
      </c>
      <c r="M1005">
        <v>100.9</v>
      </c>
      <c r="N1005">
        <v>98.53</v>
      </c>
      <c r="O1005">
        <v>100.9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99.68</v>
      </c>
      <c r="Y1005">
        <v>100.23</v>
      </c>
      <c r="Z1005">
        <v>0</v>
      </c>
      <c r="AA1005">
        <v>78101</v>
      </c>
      <c r="AB1005">
        <v>0</v>
      </c>
      <c r="AC1005">
        <v>0</v>
      </c>
      <c r="AD1005" t="s">
        <v>94</v>
      </c>
      <c r="AE1005" t="s">
        <v>94</v>
      </c>
      <c r="AF1005" t="s">
        <v>304</v>
      </c>
      <c r="AG1005" t="s">
        <v>226</v>
      </c>
      <c r="AH1005">
        <v>800</v>
      </c>
      <c r="AI1005" t="s">
        <v>3537</v>
      </c>
      <c r="AJ1005" t="s">
        <v>1976</v>
      </c>
      <c r="AK1005" t="s">
        <v>2416</v>
      </c>
      <c r="AL1005" t="s">
        <v>272</v>
      </c>
    </row>
    <row r="1006" spans="1:38">
      <c r="A1006" t="s">
        <v>4760</v>
      </c>
      <c r="B1006" t="s">
        <v>4761</v>
      </c>
      <c r="C1006" t="s">
        <v>4762</v>
      </c>
      <c r="D1006" t="s">
        <v>4762</v>
      </c>
      <c r="E1006" t="s">
        <v>4763</v>
      </c>
      <c r="F1006" t="s">
        <v>2413</v>
      </c>
      <c r="G1006">
        <v>3</v>
      </c>
      <c r="H1006">
        <v>1</v>
      </c>
      <c r="I1006">
        <v>0.01</v>
      </c>
      <c r="J1006">
        <v>1000</v>
      </c>
      <c r="K1006">
        <v>0</v>
      </c>
      <c r="L1006">
        <v>99.95</v>
      </c>
      <c r="M1006">
        <v>99.95</v>
      </c>
      <c r="N1006">
        <v>102.11</v>
      </c>
      <c r="O1006">
        <v>99.95</v>
      </c>
      <c r="P1006">
        <v>0</v>
      </c>
      <c r="Q1006">
        <v>0</v>
      </c>
      <c r="R1006">
        <v>0</v>
      </c>
      <c r="S1006">
        <v>99.95</v>
      </c>
      <c r="T1006">
        <v>99.95</v>
      </c>
      <c r="U1006">
        <v>99.95</v>
      </c>
      <c r="V1006">
        <v>99.95</v>
      </c>
      <c r="W1006">
        <v>1000</v>
      </c>
      <c r="X1006">
        <v>99.78</v>
      </c>
      <c r="Y1006">
        <v>99.95</v>
      </c>
      <c r="Z1006">
        <v>1</v>
      </c>
      <c r="AA1006">
        <v>145649</v>
      </c>
      <c r="AB1006">
        <v>999.5</v>
      </c>
      <c r="AC1006">
        <v>0</v>
      </c>
      <c r="AD1006" t="s">
        <v>94</v>
      </c>
      <c r="AE1006" t="s">
        <v>94</v>
      </c>
      <c r="AF1006" t="s">
        <v>304</v>
      </c>
      <c r="AG1006" t="s">
        <v>226</v>
      </c>
      <c r="AH1006">
        <v>800</v>
      </c>
      <c r="AI1006" t="s">
        <v>3537</v>
      </c>
      <c r="AJ1006" t="s">
        <v>1976</v>
      </c>
      <c r="AK1006" t="s">
        <v>2416</v>
      </c>
      <c r="AL1006" t="s">
        <v>272</v>
      </c>
    </row>
    <row r="1007" spans="1:38">
      <c r="A1007" t="s">
        <v>4764</v>
      </c>
      <c r="B1007" t="s">
        <v>4765</v>
      </c>
      <c r="C1007" t="s">
        <v>4766</v>
      </c>
      <c r="D1007" t="s">
        <v>4766</v>
      </c>
      <c r="E1007" t="s">
        <v>4767</v>
      </c>
      <c r="F1007" t="s">
        <v>2413</v>
      </c>
      <c r="G1007">
        <v>3</v>
      </c>
      <c r="H1007">
        <v>1</v>
      </c>
      <c r="I1007">
        <v>0.01</v>
      </c>
      <c r="J1007">
        <v>1000</v>
      </c>
      <c r="K1007">
        <v>0.36</v>
      </c>
      <c r="L1007">
        <v>99.9</v>
      </c>
      <c r="M1007">
        <v>99.55</v>
      </c>
      <c r="N1007">
        <v>99.07</v>
      </c>
      <c r="O1007">
        <v>99.9</v>
      </c>
      <c r="P1007">
        <v>0</v>
      </c>
      <c r="Q1007">
        <v>0</v>
      </c>
      <c r="R1007">
        <v>0</v>
      </c>
      <c r="S1007">
        <v>99.9</v>
      </c>
      <c r="T1007">
        <v>99.9</v>
      </c>
      <c r="U1007">
        <v>99.9</v>
      </c>
      <c r="V1007">
        <v>99.9</v>
      </c>
      <c r="W1007">
        <v>49950</v>
      </c>
      <c r="X1007">
        <v>99.59</v>
      </c>
      <c r="Y1007">
        <v>99.9</v>
      </c>
      <c r="Z1007">
        <v>5</v>
      </c>
      <c r="AA1007">
        <v>149212</v>
      </c>
      <c r="AB1007">
        <v>39960</v>
      </c>
      <c r="AC1007">
        <v>0</v>
      </c>
      <c r="AD1007" t="s">
        <v>94</v>
      </c>
      <c r="AE1007" t="s">
        <v>94</v>
      </c>
      <c r="AF1007" t="s">
        <v>304</v>
      </c>
      <c r="AG1007" t="s">
        <v>226</v>
      </c>
      <c r="AH1007">
        <v>800</v>
      </c>
      <c r="AI1007" t="s">
        <v>3537</v>
      </c>
      <c r="AJ1007" t="s">
        <v>1976</v>
      </c>
      <c r="AK1007" t="s">
        <v>2416</v>
      </c>
      <c r="AL1007" t="s">
        <v>272</v>
      </c>
    </row>
    <row r="1008" spans="1:38">
      <c r="A1008" t="s">
        <v>4768</v>
      </c>
      <c r="B1008" t="s">
        <v>4769</v>
      </c>
      <c r="C1008" t="s">
        <v>4770</v>
      </c>
      <c r="D1008" t="s">
        <v>4770</v>
      </c>
      <c r="E1008" t="s">
        <v>4771</v>
      </c>
      <c r="F1008" t="s">
        <v>2413</v>
      </c>
      <c r="G1008">
        <v>3</v>
      </c>
      <c r="H1008">
        <v>1</v>
      </c>
      <c r="I1008">
        <v>0.01</v>
      </c>
      <c r="J1008">
        <v>1000</v>
      </c>
      <c r="K1008">
        <v>0.44</v>
      </c>
      <c r="L1008">
        <v>128.51</v>
      </c>
      <c r="M1008">
        <v>127.95</v>
      </c>
      <c r="N1008">
        <v>127.01</v>
      </c>
      <c r="O1008">
        <v>128.51</v>
      </c>
      <c r="P1008">
        <v>0</v>
      </c>
      <c r="Q1008">
        <v>0</v>
      </c>
      <c r="R1008">
        <v>0</v>
      </c>
      <c r="S1008">
        <v>128.51</v>
      </c>
      <c r="T1008">
        <v>128.51</v>
      </c>
      <c r="U1008">
        <v>128.51</v>
      </c>
      <c r="V1008">
        <v>128.51</v>
      </c>
      <c r="W1008">
        <v>1283815</v>
      </c>
      <c r="X1008">
        <v>127.45</v>
      </c>
      <c r="Y1008">
        <v>140</v>
      </c>
      <c r="Z1008">
        <v>1</v>
      </c>
      <c r="AA1008">
        <v>360471</v>
      </c>
      <c r="AB1008">
        <v>1283814.8999999999</v>
      </c>
      <c r="AC1008">
        <v>0</v>
      </c>
      <c r="AD1008" t="s">
        <v>94</v>
      </c>
      <c r="AE1008" t="s">
        <v>94</v>
      </c>
      <c r="AF1008" t="s">
        <v>226</v>
      </c>
      <c r="AG1008" t="s">
        <v>226</v>
      </c>
      <c r="AH1008">
        <v>800</v>
      </c>
      <c r="AI1008" t="s">
        <v>3537</v>
      </c>
      <c r="AJ1008" t="s">
        <v>1976</v>
      </c>
      <c r="AK1008" t="s">
        <v>2416</v>
      </c>
      <c r="AL1008" t="s">
        <v>272</v>
      </c>
    </row>
    <row r="1009" spans="1:38">
      <c r="A1009" t="s">
        <v>4772</v>
      </c>
      <c r="B1009" t="s">
        <v>4773</v>
      </c>
      <c r="C1009" t="s">
        <v>4774</v>
      </c>
      <c r="D1009" t="s">
        <v>4774</v>
      </c>
      <c r="E1009" t="s">
        <v>4775</v>
      </c>
      <c r="F1009" t="s">
        <v>2413</v>
      </c>
      <c r="G1009">
        <v>3</v>
      </c>
      <c r="H1009">
        <v>1</v>
      </c>
      <c r="I1009">
        <v>0.01</v>
      </c>
      <c r="J1009">
        <v>1000</v>
      </c>
      <c r="K1009">
        <v>0.92</v>
      </c>
      <c r="L1009">
        <v>99.91</v>
      </c>
      <c r="M1009">
        <v>99</v>
      </c>
      <c r="N1009">
        <v>98.73</v>
      </c>
      <c r="O1009">
        <v>99.91</v>
      </c>
      <c r="P1009">
        <v>0</v>
      </c>
      <c r="Q1009">
        <v>0</v>
      </c>
      <c r="R1009">
        <v>0</v>
      </c>
      <c r="S1009">
        <v>99.91</v>
      </c>
      <c r="T1009">
        <v>99.91</v>
      </c>
      <c r="U1009">
        <v>99.91</v>
      </c>
      <c r="V1009">
        <v>99.91</v>
      </c>
      <c r="W1009">
        <v>999</v>
      </c>
      <c r="X1009">
        <v>99.5</v>
      </c>
      <c r="Y1009">
        <v>99.89</v>
      </c>
      <c r="Z1009">
        <v>1</v>
      </c>
      <c r="AA1009">
        <v>276162</v>
      </c>
      <c r="AB1009">
        <v>999.1</v>
      </c>
      <c r="AC1009">
        <v>0</v>
      </c>
      <c r="AD1009" t="s">
        <v>94</v>
      </c>
      <c r="AE1009" t="s">
        <v>94</v>
      </c>
      <c r="AF1009" t="s">
        <v>304</v>
      </c>
      <c r="AG1009" t="s">
        <v>226</v>
      </c>
      <c r="AH1009">
        <v>800</v>
      </c>
      <c r="AI1009" t="s">
        <v>3537</v>
      </c>
      <c r="AJ1009" t="s">
        <v>1976</v>
      </c>
      <c r="AK1009" t="s">
        <v>2416</v>
      </c>
      <c r="AL1009" t="s">
        <v>272</v>
      </c>
    </row>
    <row r="1010" spans="1:38">
      <c r="A1010" t="s">
        <v>4776</v>
      </c>
      <c r="B1010" t="s">
        <v>4777</v>
      </c>
      <c r="C1010" t="s">
        <v>4778</v>
      </c>
      <c r="D1010" t="s">
        <v>4778</v>
      </c>
      <c r="E1010" t="s">
        <v>4779</v>
      </c>
      <c r="F1010" t="s">
        <v>2413</v>
      </c>
      <c r="G1010">
        <v>3</v>
      </c>
      <c r="H1010">
        <v>1</v>
      </c>
      <c r="I1010">
        <v>0.01</v>
      </c>
      <c r="J1010">
        <v>1000</v>
      </c>
      <c r="K1010">
        <v>-2.25</v>
      </c>
      <c r="L1010">
        <v>112.39</v>
      </c>
      <c r="M1010">
        <v>114.99</v>
      </c>
      <c r="N1010">
        <v>110.89</v>
      </c>
      <c r="O1010">
        <v>112.39</v>
      </c>
      <c r="P1010">
        <v>0</v>
      </c>
      <c r="Q1010">
        <v>0</v>
      </c>
      <c r="R1010">
        <v>0</v>
      </c>
      <c r="S1010">
        <v>112.39</v>
      </c>
      <c r="T1010">
        <v>112.42</v>
      </c>
      <c r="U1010">
        <v>112.39</v>
      </c>
      <c r="V1010">
        <v>112.42</v>
      </c>
      <c r="W1010">
        <v>1121662</v>
      </c>
      <c r="X1010">
        <v>112.4</v>
      </c>
      <c r="Y1010">
        <v>115.99</v>
      </c>
      <c r="Z1010">
        <v>3</v>
      </c>
      <c r="AA1010">
        <v>1149477</v>
      </c>
      <c r="AB1010">
        <v>1031740.2</v>
      </c>
      <c r="AC1010">
        <v>0</v>
      </c>
      <c r="AD1010" t="s">
        <v>94</v>
      </c>
      <c r="AE1010" t="s">
        <v>94</v>
      </c>
      <c r="AF1010" t="s">
        <v>304</v>
      </c>
      <c r="AG1010" t="s">
        <v>226</v>
      </c>
      <c r="AH1010">
        <v>800</v>
      </c>
      <c r="AI1010" t="s">
        <v>3537</v>
      </c>
      <c r="AJ1010" t="s">
        <v>1976</v>
      </c>
      <c r="AK1010" t="s">
        <v>2416</v>
      </c>
      <c r="AL1010" t="s">
        <v>272</v>
      </c>
    </row>
    <row r="1011" spans="1:38">
      <c r="A1011" t="s">
        <v>4780</v>
      </c>
      <c r="B1011" t="s">
        <v>4781</v>
      </c>
      <c r="C1011" t="s">
        <v>4782</v>
      </c>
      <c r="D1011" t="s">
        <v>4782</v>
      </c>
      <c r="E1011" t="s">
        <v>4783</v>
      </c>
      <c r="F1011" t="s">
        <v>2413</v>
      </c>
      <c r="G1011">
        <v>3</v>
      </c>
      <c r="H1011">
        <v>1</v>
      </c>
      <c r="I1011">
        <v>0.01</v>
      </c>
      <c r="J1011">
        <v>1000</v>
      </c>
      <c r="K1011">
        <v>0</v>
      </c>
      <c r="L1011">
        <v>0</v>
      </c>
      <c r="M1011">
        <v>99.98</v>
      </c>
      <c r="N1011">
        <v>93.9</v>
      </c>
      <c r="O1011">
        <v>99.98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98.35</v>
      </c>
      <c r="Y1011">
        <v>99.79</v>
      </c>
      <c r="Z1011">
        <v>0</v>
      </c>
      <c r="AA1011">
        <v>100024</v>
      </c>
      <c r="AB1011">
        <v>0</v>
      </c>
      <c r="AC1011">
        <v>0</v>
      </c>
      <c r="AD1011" t="s">
        <v>94</v>
      </c>
      <c r="AE1011" t="s">
        <v>94</v>
      </c>
      <c r="AF1011" t="s">
        <v>304</v>
      </c>
      <c r="AG1011" t="s">
        <v>226</v>
      </c>
      <c r="AH1011">
        <v>800</v>
      </c>
      <c r="AI1011" t="s">
        <v>3537</v>
      </c>
      <c r="AJ1011" t="s">
        <v>1976</v>
      </c>
      <c r="AK1011" t="s">
        <v>2416</v>
      </c>
      <c r="AL1011" t="s">
        <v>272</v>
      </c>
    </row>
    <row r="1012" spans="1:38">
      <c r="A1012" t="s">
        <v>4784</v>
      </c>
      <c r="B1012" t="s">
        <v>4785</v>
      </c>
      <c r="C1012" t="s">
        <v>4786</v>
      </c>
      <c r="D1012" t="s">
        <v>4786</v>
      </c>
      <c r="E1012" t="s">
        <v>4787</v>
      </c>
      <c r="F1012" t="s">
        <v>2413</v>
      </c>
      <c r="G1012">
        <v>3</v>
      </c>
      <c r="H1012">
        <v>1</v>
      </c>
      <c r="I1012">
        <v>0.01</v>
      </c>
      <c r="J1012">
        <v>1000</v>
      </c>
      <c r="K1012">
        <v>0</v>
      </c>
      <c r="L1012">
        <v>0</v>
      </c>
      <c r="M1012">
        <v>134.97</v>
      </c>
      <c r="N1012">
        <v>99.42</v>
      </c>
      <c r="O1012">
        <v>134.97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98.82</v>
      </c>
      <c r="Y1012">
        <v>119.94</v>
      </c>
      <c r="Z1012">
        <v>0</v>
      </c>
      <c r="AA1012">
        <v>180295</v>
      </c>
      <c r="AB1012">
        <v>0</v>
      </c>
      <c r="AC1012">
        <v>0</v>
      </c>
      <c r="AD1012" t="s">
        <v>94</v>
      </c>
      <c r="AE1012" t="s">
        <v>94</v>
      </c>
      <c r="AF1012" t="s">
        <v>304</v>
      </c>
      <c r="AG1012" t="s">
        <v>226</v>
      </c>
      <c r="AH1012">
        <v>800</v>
      </c>
      <c r="AI1012" t="s">
        <v>3537</v>
      </c>
      <c r="AJ1012" t="s">
        <v>1976</v>
      </c>
      <c r="AK1012" t="s">
        <v>2416</v>
      </c>
      <c r="AL1012" t="s">
        <v>272</v>
      </c>
    </row>
    <row r="1013" spans="1:38">
      <c r="A1013" t="s">
        <v>4788</v>
      </c>
      <c r="B1013" t="s">
        <v>4789</v>
      </c>
      <c r="C1013" t="s">
        <v>4790</v>
      </c>
      <c r="D1013" t="s">
        <v>4790</v>
      </c>
      <c r="E1013" t="s">
        <v>4791</v>
      </c>
      <c r="F1013" t="s">
        <v>2413</v>
      </c>
      <c r="G1013">
        <v>3</v>
      </c>
      <c r="H1013">
        <v>1</v>
      </c>
      <c r="I1013">
        <v>0.01</v>
      </c>
      <c r="J1013">
        <v>1000</v>
      </c>
      <c r="K1013">
        <v>-1.56</v>
      </c>
      <c r="L1013">
        <v>60.05</v>
      </c>
      <c r="M1013">
        <v>61</v>
      </c>
      <c r="N1013">
        <v>0</v>
      </c>
      <c r="O1013">
        <v>60.05</v>
      </c>
      <c r="P1013">
        <v>0</v>
      </c>
      <c r="Q1013">
        <v>0</v>
      </c>
      <c r="R1013">
        <v>0</v>
      </c>
      <c r="S1013">
        <v>60.05</v>
      </c>
      <c r="T1013">
        <v>60.05</v>
      </c>
      <c r="U1013">
        <v>60.05</v>
      </c>
      <c r="V1013">
        <v>60.05</v>
      </c>
      <c r="W1013">
        <v>14412</v>
      </c>
      <c r="X1013">
        <v>60.03</v>
      </c>
      <c r="Y1013">
        <v>61</v>
      </c>
      <c r="Z1013">
        <v>4</v>
      </c>
      <c r="AA1013">
        <v>30528</v>
      </c>
      <c r="AB1013">
        <v>12610.5</v>
      </c>
      <c r="AC1013">
        <v>0</v>
      </c>
      <c r="AD1013" t="s">
        <v>94</v>
      </c>
      <c r="AE1013" t="s">
        <v>94</v>
      </c>
      <c r="AF1013" t="s">
        <v>226</v>
      </c>
      <c r="AG1013" t="s">
        <v>226</v>
      </c>
      <c r="AH1013">
        <v>8</v>
      </c>
      <c r="AI1013" t="s">
        <v>3537</v>
      </c>
      <c r="AJ1013" t="s">
        <v>1976</v>
      </c>
      <c r="AK1013" t="s">
        <v>2416</v>
      </c>
      <c r="AL1013" t="s">
        <v>272</v>
      </c>
    </row>
    <row r="1014" spans="1:38">
      <c r="A1014" t="s">
        <v>4792</v>
      </c>
      <c r="B1014" t="s">
        <v>4793</v>
      </c>
      <c r="C1014" t="s">
        <v>4794</v>
      </c>
      <c r="D1014" t="s">
        <v>4794</v>
      </c>
      <c r="E1014" t="s">
        <v>4795</v>
      </c>
      <c r="F1014" t="s">
        <v>2413</v>
      </c>
      <c r="G1014">
        <v>3</v>
      </c>
      <c r="H1014">
        <v>1</v>
      </c>
      <c r="I1014">
        <v>0.01</v>
      </c>
      <c r="J1014">
        <v>1000</v>
      </c>
      <c r="K1014">
        <v>0</v>
      </c>
      <c r="L1014">
        <v>0</v>
      </c>
      <c r="M1014">
        <v>99.29</v>
      </c>
      <c r="N1014">
        <v>98.1</v>
      </c>
      <c r="O1014">
        <v>99.29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98.36</v>
      </c>
      <c r="Y1014">
        <v>99.88</v>
      </c>
      <c r="Z1014">
        <v>0</v>
      </c>
      <c r="AA1014">
        <v>328905</v>
      </c>
      <c r="AB1014">
        <v>0</v>
      </c>
      <c r="AC1014">
        <v>0</v>
      </c>
      <c r="AD1014" t="s">
        <v>94</v>
      </c>
      <c r="AE1014" t="s">
        <v>94</v>
      </c>
      <c r="AF1014" t="s">
        <v>226</v>
      </c>
      <c r="AG1014" t="s">
        <v>226</v>
      </c>
      <c r="AH1014">
        <v>800</v>
      </c>
      <c r="AI1014" t="s">
        <v>3537</v>
      </c>
      <c r="AJ1014" t="s">
        <v>1976</v>
      </c>
      <c r="AK1014" t="s">
        <v>2416</v>
      </c>
      <c r="AL1014" t="s">
        <v>272</v>
      </c>
    </row>
    <row r="1015" spans="1:38">
      <c r="A1015" t="s">
        <v>4796</v>
      </c>
      <c r="B1015" t="s">
        <v>4797</v>
      </c>
      <c r="C1015" t="s">
        <v>4798</v>
      </c>
      <c r="D1015" t="s">
        <v>4798</v>
      </c>
      <c r="E1015" t="s">
        <v>4799</v>
      </c>
      <c r="F1015" t="s">
        <v>2413</v>
      </c>
      <c r="G1015">
        <v>3</v>
      </c>
      <c r="H1015">
        <v>1</v>
      </c>
      <c r="I1015">
        <v>0.01</v>
      </c>
      <c r="J1015">
        <v>1000</v>
      </c>
      <c r="K1015">
        <v>1.52</v>
      </c>
      <c r="L1015">
        <v>99.5</v>
      </c>
      <c r="M1015">
        <v>98.01</v>
      </c>
      <c r="N1015">
        <v>97.73</v>
      </c>
      <c r="O1015">
        <v>99.5</v>
      </c>
      <c r="P1015">
        <v>0</v>
      </c>
      <c r="Q1015">
        <v>0</v>
      </c>
      <c r="R1015">
        <v>0</v>
      </c>
      <c r="S1015">
        <v>99.5</v>
      </c>
      <c r="T1015">
        <v>99.5</v>
      </c>
      <c r="U1015">
        <v>99.5</v>
      </c>
      <c r="V1015">
        <v>99.5</v>
      </c>
      <c r="W1015">
        <v>1990</v>
      </c>
      <c r="X1015">
        <v>98.13</v>
      </c>
      <c r="Y1015">
        <v>99.89</v>
      </c>
      <c r="Z1015">
        <v>1</v>
      </c>
      <c r="AA1015">
        <v>241526</v>
      </c>
      <c r="AB1015">
        <v>1990</v>
      </c>
      <c r="AC1015">
        <v>0</v>
      </c>
      <c r="AD1015" t="s">
        <v>94</v>
      </c>
      <c r="AE1015" t="s">
        <v>94</v>
      </c>
      <c r="AF1015" t="s">
        <v>304</v>
      </c>
      <c r="AG1015" t="s">
        <v>226</v>
      </c>
      <c r="AH1015">
        <v>800</v>
      </c>
      <c r="AI1015" t="s">
        <v>3537</v>
      </c>
      <c r="AJ1015" t="s">
        <v>1976</v>
      </c>
      <c r="AK1015" t="s">
        <v>2416</v>
      </c>
      <c r="AL1015" t="s">
        <v>272</v>
      </c>
    </row>
    <row r="1016" spans="1:38">
      <c r="A1016" t="s">
        <v>4800</v>
      </c>
      <c r="B1016" t="s">
        <v>4801</v>
      </c>
      <c r="C1016" t="s">
        <v>4802</v>
      </c>
      <c r="D1016" t="s">
        <v>4802</v>
      </c>
      <c r="E1016" t="s">
        <v>4803</v>
      </c>
      <c r="F1016" t="s">
        <v>2413</v>
      </c>
      <c r="G1016">
        <v>3</v>
      </c>
      <c r="H1016">
        <v>1</v>
      </c>
      <c r="I1016">
        <v>0.01</v>
      </c>
      <c r="J1016">
        <v>1000</v>
      </c>
      <c r="K1016">
        <v>0</v>
      </c>
      <c r="L1016">
        <v>0</v>
      </c>
      <c r="M1016">
        <v>97.81</v>
      </c>
      <c r="N1016">
        <v>97.95</v>
      </c>
      <c r="O1016">
        <v>97.81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98.1</v>
      </c>
      <c r="Y1016">
        <v>99.44</v>
      </c>
      <c r="Z1016">
        <v>0</v>
      </c>
      <c r="AA1016">
        <v>258361</v>
      </c>
      <c r="AB1016">
        <v>0</v>
      </c>
      <c r="AC1016">
        <v>0</v>
      </c>
      <c r="AD1016" t="s">
        <v>94</v>
      </c>
      <c r="AE1016" t="s">
        <v>94</v>
      </c>
      <c r="AF1016" t="s">
        <v>226</v>
      </c>
      <c r="AG1016" t="s">
        <v>226</v>
      </c>
      <c r="AH1016">
        <v>800</v>
      </c>
      <c r="AI1016" t="s">
        <v>3537</v>
      </c>
      <c r="AJ1016" t="s">
        <v>1976</v>
      </c>
      <c r="AK1016" t="s">
        <v>2416</v>
      </c>
      <c r="AL1016" t="s">
        <v>272</v>
      </c>
    </row>
    <row r="1017" spans="1:38">
      <c r="A1017" t="s">
        <v>4804</v>
      </c>
      <c r="B1017" t="s">
        <v>4805</v>
      </c>
      <c r="C1017" t="s">
        <v>4806</v>
      </c>
      <c r="D1017" t="s">
        <v>4806</v>
      </c>
      <c r="E1017" t="s">
        <v>4807</v>
      </c>
      <c r="F1017" t="s">
        <v>2413</v>
      </c>
      <c r="G1017">
        <v>3</v>
      </c>
      <c r="H1017">
        <v>1</v>
      </c>
      <c r="I1017">
        <v>0.01</v>
      </c>
      <c r="J1017">
        <v>1000</v>
      </c>
      <c r="K1017">
        <v>-0.32</v>
      </c>
      <c r="L1017">
        <v>96.79</v>
      </c>
      <c r="M1017">
        <v>97.1</v>
      </c>
      <c r="N1017">
        <v>97.1</v>
      </c>
      <c r="O1017">
        <v>96.79</v>
      </c>
      <c r="P1017">
        <v>0</v>
      </c>
      <c r="Q1017">
        <v>0</v>
      </c>
      <c r="R1017">
        <v>0</v>
      </c>
      <c r="S1017">
        <v>97.43</v>
      </c>
      <c r="T1017">
        <v>97.3</v>
      </c>
      <c r="U1017">
        <v>96.77</v>
      </c>
      <c r="V1017">
        <v>97.47</v>
      </c>
      <c r="W1017">
        <v>4972694</v>
      </c>
      <c r="X1017">
        <v>96.82</v>
      </c>
      <c r="Y1017">
        <v>97.97</v>
      </c>
      <c r="Z1017">
        <v>11</v>
      </c>
      <c r="AA1017">
        <v>193964</v>
      </c>
      <c r="AB1017">
        <v>8711.1</v>
      </c>
      <c r="AC1017">
        <v>0</v>
      </c>
      <c r="AD1017" t="s">
        <v>94</v>
      </c>
      <c r="AE1017" t="s">
        <v>94</v>
      </c>
      <c r="AF1017" t="s">
        <v>226</v>
      </c>
      <c r="AG1017" t="s">
        <v>226</v>
      </c>
      <c r="AH1017">
        <v>800</v>
      </c>
      <c r="AI1017" t="s">
        <v>3537</v>
      </c>
      <c r="AJ1017" t="s">
        <v>1976</v>
      </c>
      <c r="AK1017" t="s">
        <v>2416</v>
      </c>
      <c r="AL1017" t="s">
        <v>272</v>
      </c>
    </row>
    <row r="1018" spans="1:38">
      <c r="A1018" t="s">
        <v>4808</v>
      </c>
      <c r="B1018" t="s">
        <v>4809</v>
      </c>
      <c r="C1018" t="s">
        <v>4810</v>
      </c>
      <c r="D1018" t="s">
        <v>4810</v>
      </c>
      <c r="E1018" t="s">
        <v>4811</v>
      </c>
      <c r="F1018" t="s">
        <v>2413</v>
      </c>
      <c r="G1018">
        <v>3</v>
      </c>
      <c r="H1018">
        <v>1</v>
      </c>
      <c r="I1018">
        <v>0.01</v>
      </c>
      <c r="J1018">
        <v>1000</v>
      </c>
      <c r="K1018">
        <v>0</v>
      </c>
      <c r="L1018">
        <v>0</v>
      </c>
      <c r="M1018">
        <v>104.83</v>
      </c>
      <c r="N1018">
        <v>0</v>
      </c>
      <c r="O1018">
        <v>104.83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98.19</v>
      </c>
      <c r="Y1018">
        <v>104.84</v>
      </c>
      <c r="Z1018">
        <v>0</v>
      </c>
      <c r="AA1018">
        <v>21250</v>
      </c>
      <c r="AB1018">
        <v>0</v>
      </c>
      <c r="AC1018">
        <v>0</v>
      </c>
      <c r="AD1018" t="s">
        <v>94</v>
      </c>
      <c r="AE1018" t="s">
        <v>94</v>
      </c>
      <c r="AF1018" t="s">
        <v>304</v>
      </c>
      <c r="AG1018" t="s">
        <v>226</v>
      </c>
      <c r="AH1018">
        <v>800</v>
      </c>
      <c r="AI1018" t="s">
        <v>3537</v>
      </c>
      <c r="AJ1018" t="s">
        <v>1976</v>
      </c>
      <c r="AK1018" t="s">
        <v>2416</v>
      </c>
      <c r="AL1018" t="s">
        <v>272</v>
      </c>
    </row>
    <row r="1019" spans="1:38">
      <c r="A1019" t="s">
        <v>4812</v>
      </c>
      <c r="B1019" t="s">
        <v>4813</v>
      </c>
      <c r="C1019" t="s">
        <v>4814</v>
      </c>
      <c r="D1019" t="s">
        <v>4814</v>
      </c>
      <c r="E1019" t="s">
        <v>4815</v>
      </c>
      <c r="F1019" t="s">
        <v>2413</v>
      </c>
      <c r="G1019">
        <v>3</v>
      </c>
      <c r="H1019">
        <v>1</v>
      </c>
      <c r="I1019">
        <v>0.01</v>
      </c>
      <c r="J1019">
        <v>1000</v>
      </c>
      <c r="K1019">
        <v>0.19</v>
      </c>
      <c r="L1019">
        <v>97.18</v>
      </c>
      <c r="M1019">
        <v>97</v>
      </c>
      <c r="N1019">
        <v>96.02</v>
      </c>
      <c r="O1019">
        <v>97.18</v>
      </c>
      <c r="P1019">
        <v>0</v>
      </c>
      <c r="Q1019">
        <v>0</v>
      </c>
      <c r="R1019">
        <v>0</v>
      </c>
      <c r="S1019">
        <v>97.16</v>
      </c>
      <c r="T1019">
        <v>97.17</v>
      </c>
      <c r="U1019">
        <v>96.9</v>
      </c>
      <c r="V1019">
        <v>97.19</v>
      </c>
      <c r="W1019">
        <v>14575</v>
      </c>
      <c r="X1019">
        <v>96.6</v>
      </c>
      <c r="Y1019">
        <v>97.18</v>
      </c>
      <c r="Z1019">
        <v>5</v>
      </c>
      <c r="AA1019">
        <v>163042</v>
      </c>
      <c r="AB1019">
        <v>971.8</v>
      </c>
      <c r="AC1019">
        <v>0</v>
      </c>
      <c r="AD1019" t="s">
        <v>94</v>
      </c>
      <c r="AE1019" t="s">
        <v>94</v>
      </c>
      <c r="AF1019" t="s">
        <v>226</v>
      </c>
      <c r="AG1019" t="s">
        <v>226</v>
      </c>
      <c r="AH1019">
        <v>8</v>
      </c>
      <c r="AI1019" t="s">
        <v>3537</v>
      </c>
      <c r="AJ1019" t="s">
        <v>1976</v>
      </c>
      <c r="AK1019" t="s">
        <v>2416</v>
      </c>
      <c r="AL1019" t="s">
        <v>272</v>
      </c>
    </row>
    <row r="1020" spans="1:38">
      <c r="A1020" t="s">
        <v>4816</v>
      </c>
      <c r="B1020" t="s">
        <v>4817</v>
      </c>
      <c r="C1020" t="s">
        <v>4818</v>
      </c>
      <c r="D1020" t="s">
        <v>4818</v>
      </c>
      <c r="E1020" t="s">
        <v>4819</v>
      </c>
      <c r="F1020" t="s">
        <v>2413</v>
      </c>
      <c r="G1020">
        <v>3</v>
      </c>
      <c r="H1020">
        <v>1</v>
      </c>
      <c r="I1020">
        <v>0.01</v>
      </c>
      <c r="J1020">
        <v>1000</v>
      </c>
      <c r="K1020">
        <v>0</v>
      </c>
      <c r="L1020">
        <v>0</v>
      </c>
      <c r="M1020">
        <v>124.52</v>
      </c>
      <c r="N1020">
        <v>109.12</v>
      </c>
      <c r="O1020">
        <v>124.52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118.99</v>
      </c>
      <c r="Y1020">
        <v>174.33</v>
      </c>
      <c r="Z1020">
        <v>0</v>
      </c>
      <c r="AA1020">
        <v>93894</v>
      </c>
      <c r="AB1020">
        <v>0</v>
      </c>
      <c r="AC1020">
        <v>0</v>
      </c>
      <c r="AD1020" t="s">
        <v>94</v>
      </c>
      <c r="AE1020" t="s">
        <v>94</v>
      </c>
      <c r="AF1020" t="s">
        <v>304</v>
      </c>
      <c r="AG1020" t="s">
        <v>226</v>
      </c>
      <c r="AH1020">
        <v>800</v>
      </c>
      <c r="AI1020" t="s">
        <v>3537</v>
      </c>
      <c r="AJ1020" t="s">
        <v>1976</v>
      </c>
      <c r="AK1020" t="s">
        <v>2416</v>
      </c>
      <c r="AL1020" t="s">
        <v>272</v>
      </c>
    </row>
    <row r="1021" spans="1:38">
      <c r="A1021" t="s">
        <v>4820</v>
      </c>
      <c r="B1021" t="s">
        <v>4821</v>
      </c>
      <c r="C1021" t="s">
        <v>4822</v>
      </c>
      <c r="D1021" t="s">
        <v>4822</v>
      </c>
      <c r="E1021" t="s">
        <v>4823</v>
      </c>
      <c r="F1021" t="s">
        <v>2413</v>
      </c>
      <c r="G1021">
        <v>3</v>
      </c>
      <c r="H1021">
        <v>1</v>
      </c>
      <c r="I1021">
        <v>0.01</v>
      </c>
      <c r="J1021">
        <v>1000</v>
      </c>
      <c r="K1021">
        <v>0.42</v>
      </c>
      <c r="L1021">
        <v>97.11</v>
      </c>
      <c r="M1021">
        <v>96.7</v>
      </c>
      <c r="N1021">
        <v>95.74</v>
      </c>
      <c r="O1021">
        <v>97.11</v>
      </c>
      <c r="P1021">
        <v>0</v>
      </c>
      <c r="Q1021">
        <v>0</v>
      </c>
      <c r="R1021">
        <v>0</v>
      </c>
      <c r="S1021">
        <v>97.11</v>
      </c>
      <c r="T1021">
        <v>97.11</v>
      </c>
      <c r="U1021">
        <v>97.11</v>
      </c>
      <c r="V1021">
        <v>97.11</v>
      </c>
      <c r="W1021">
        <v>9711</v>
      </c>
      <c r="X1021">
        <v>95.23</v>
      </c>
      <c r="Y1021">
        <v>97.1</v>
      </c>
      <c r="Z1021">
        <v>1</v>
      </c>
      <c r="AA1021">
        <v>222590</v>
      </c>
      <c r="AB1021">
        <v>9711</v>
      </c>
      <c r="AC1021">
        <v>0</v>
      </c>
      <c r="AD1021" t="s">
        <v>94</v>
      </c>
      <c r="AE1021" t="s">
        <v>94</v>
      </c>
      <c r="AF1021" t="s">
        <v>304</v>
      </c>
      <c r="AG1021" t="s">
        <v>226</v>
      </c>
      <c r="AH1021">
        <v>800</v>
      </c>
      <c r="AI1021" t="s">
        <v>3537</v>
      </c>
      <c r="AJ1021" t="s">
        <v>1976</v>
      </c>
      <c r="AK1021" t="s">
        <v>2416</v>
      </c>
      <c r="AL1021" t="s">
        <v>272</v>
      </c>
    </row>
    <row r="1022" spans="1:38">
      <c r="A1022" t="s">
        <v>4824</v>
      </c>
      <c r="B1022" t="s">
        <v>4825</v>
      </c>
      <c r="C1022" t="s">
        <v>4826</v>
      </c>
      <c r="D1022" t="s">
        <v>4826</v>
      </c>
      <c r="E1022" t="s">
        <v>4827</v>
      </c>
      <c r="F1022" t="s">
        <v>2413</v>
      </c>
      <c r="G1022">
        <v>3</v>
      </c>
      <c r="H1022">
        <v>1</v>
      </c>
      <c r="I1022">
        <v>0.01</v>
      </c>
      <c r="J1022">
        <v>1000</v>
      </c>
      <c r="K1022">
        <v>0.11</v>
      </c>
      <c r="L1022">
        <v>95.1</v>
      </c>
      <c r="M1022">
        <v>95</v>
      </c>
      <c r="N1022">
        <v>94.84</v>
      </c>
      <c r="O1022">
        <v>95.1</v>
      </c>
      <c r="P1022">
        <v>0</v>
      </c>
      <c r="Q1022">
        <v>0</v>
      </c>
      <c r="R1022">
        <v>0</v>
      </c>
      <c r="S1022">
        <v>95.54</v>
      </c>
      <c r="T1022">
        <v>95.8</v>
      </c>
      <c r="U1022">
        <v>95.1</v>
      </c>
      <c r="V1022">
        <v>96.33</v>
      </c>
      <c r="W1022">
        <v>637252</v>
      </c>
      <c r="X1022">
        <v>95.16</v>
      </c>
      <c r="Y1022">
        <v>95.5</v>
      </c>
      <c r="Z1022">
        <v>5</v>
      </c>
      <c r="AA1022">
        <v>224196</v>
      </c>
      <c r="AB1022">
        <v>266280</v>
      </c>
      <c r="AC1022">
        <v>0</v>
      </c>
      <c r="AD1022" t="s">
        <v>94</v>
      </c>
      <c r="AE1022" t="s">
        <v>94</v>
      </c>
      <c r="AF1022" t="s">
        <v>226</v>
      </c>
      <c r="AG1022" t="s">
        <v>226</v>
      </c>
      <c r="AH1022">
        <v>800</v>
      </c>
      <c r="AI1022" t="s">
        <v>3537</v>
      </c>
      <c r="AJ1022" t="s">
        <v>1976</v>
      </c>
      <c r="AK1022" t="s">
        <v>2416</v>
      </c>
      <c r="AL1022" t="s">
        <v>272</v>
      </c>
    </row>
    <row r="1023" spans="1:38">
      <c r="A1023" t="s">
        <v>4828</v>
      </c>
      <c r="B1023" t="s">
        <v>4829</v>
      </c>
      <c r="C1023" t="s">
        <v>4830</v>
      </c>
      <c r="D1023" t="s">
        <v>4830</v>
      </c>
      <c r="E1023" t="s">
        <v>4831</v>
      </c>
      <c r="F1023" t="s">
        <v>2413</v>
      </c>
      <c r="G1023">
        <v>3</v>
      </c>
      <c r="H1023">
        <v>1</v>
      </c>
      <c r="I1023">
        <v>0.01</v>
      </c>
      <c r="J1023">
        <v>1000</v>
      </c>
      <c r="K1023">
        <v>0</v>
      </c>
      <c r="L1023">
        <v>0</v>
      </c>
      <c r="M1023">
        <v>94.15</v>
      </c>
      <c r="N1023">
        <v>95.28</v>
      </c>
      <c r="O1023">
        <v>94.15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95.21</v>
      </c>
      <c r="Y1023">
        <v>98.92</v>
      </c>
      <c r="Z1023">
        <v>0</v>
      </c>
      <c r="AA1023">
        <v>314583</v>
      </c>
      <c r="AB1023">
        <v>0</v>
      </c>
      <c r="AC1023">
        <v>0</v>
      </c>
      <c r="AD1023" t="s">
        <v>94</v>
      </c>
      <c r="AE1023" t="s">
        <v>94</v>
      </c>
      <c r="AF1023" t="s">
        <v>304</v>
      </c>
      <c r="AG1023" t="s">
        <v>226</v>
      </c>
      <c r="AH1023">
        <v>800</v>
      </c>
      <c r="AI1023" t="s">
        <v>3537</v>
      </c>
      <c r="AJ1023" t="s">
        <v>1976</v>
      </c>
      <c r="AK1023" t="s">
        <v>2416</v>
      </c>
      <c r="AL1023" t="s">
        <v>272</v>
      </c>
    </row>
    <row r="1024" spans="1:38">
      <c r="A1024" t="s">
        <v>4832</v>
      </c>
      <c r="B1024" t="s">
        <v>4833</v>
      </c>
      <c r="C1024" t="s">
        <v>4834</v>
      </c>
      <c r="D1024" t="s">
        <v>4834</v>
      </c>
      <c r="E1024" t="s">
        <v>4835</v>
      </c>
      <c r="F1024" t="s">
        <v>2413</v>
      </c>
      <c r="G1024">
        <v>3</v>
      </c>
      <c r="H1024">
        <v>1</v>
      </c>
      <c r="I1024">
        <v>0.01</v>
      </c>
      <c r="J1024">
        <v>1000</v>
      </c>
      <c r="K1024">
        <v>0</v>
      </c>
      <c r="L1024">
        <v>0</v>
      </c>
      <c r="M1024">
        <v>99.77</v>
      </c>
      <c r="N1024">
        <v>0</v>
      </c>
      <c r="O1024">
        <v>99.77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94.54</v>
      </c>
      <c r="Y1024">
        <v>99.59</v>
      </c>
      <c r="Z1024">
        <v>0</v>
      </c>
      <c r="AA1024">
        <v>124974</v>
      </c>
      <c r="AB1024">
        <v>0</v>
      </c>
      <c r="AC1024">
        <v>0</v>
      </c>
      <c r="AD1024" t="s">
        <v>94</v>
      </c>
      <c r="AE1024" t="s">
        <v>94</v>
      </c>
      <c r="AF1024" t="s">
        <v>304</v>
      </c>
      <c r="AG1024" t="s">
        <v>226</v>
      </c>
      <c r="AH1024">
        <v>800</v>
      </c>
      <c r="AI1024" t="s">
        <v>3537</v>
      </c>
      <c r="AJ1024" t="s">
        <v>1976</v>
      </c>
      <c r="AK1024" t="s">
        <v>2416</v>
      </c>
      <c r="AL1024" t="s">
        <v>272</v>
      </c>
    </row>
    <row r="1025" spans="1:38">
      <c r="A1025" t="s">
        <v>4836</v>
      </c>
      <c r="B1025" t="s">
        <v>4837</v>
      </c>
      <c r="C1025" t="s">
        <v>4838</v>
      </c>
      <c r="D1025" t="s">
        <v>4838</v>
      </c>
      <c r="E1025" t="s">
        <v>4839</v>
      </c>
      <c r="F1025" t="s">
        <v>2413</v>
      </c>
      <c r="G1025">
        <v>3</v>
      </c>
      <c r="H1025">
        <v>1</v>
      </c>
      <c r="I1025">
        <v>0.01</v>
      </c>
      <c r="J1025">
        <v>1000</v>
      </c>
      <c r="K1025">
        <v>0.27</v>
      </c>
      <c r="L1025">
        <v>109.98</v>
      </c>
      <c r="M1025">
        <v>109.68</v>
      </c>
      <c r="N1025">
        <v>109.31</v>
      </c>
      <c r="O1025">
        <v>109.98</v>
      </c>
      <c r="P1025">
        <v>0</v>
      </c>
      <c r="Q1025">
        <v>0</v>
      </c>
      <c r="R1025">
        <v>0</v>
      </c>
      <c r="S1025">
        <v>109.98</v>
      </c>
      <c r="T1025">
        <v>109.98</v>
      </c>
      <c r="U1025">
        <v>109.98</v>
      </c>
      <c r="V1025">
        <v>109.98</v>
      </c>
      <c r="W1025">
        <v>1100</v>
      </c>
      <c r="X1025">
        <v>109.95</v>
      </c>
      <c r="Y1025">
        <v>109.98</v>
      </c>
      <c r="Z1025">
        <v>1</v>
      </c>
      <c r="AA1025">
        <v>151400</v>
      </c>
      <c r="AB1025">
        <v>1099.8</v>
      </c>
      <c r="AC1025">
        <v>0</v>
      </c>
      <c r="AD1025" t="s">
        <v>94</v>
      </c>
      <c r="AE1025" t="s">
        <v>94</v>
      </c>
      <c r="AF1025" t="s">
        <v>226</v>
      </c>
      <c r="AG1025" t="s">
        <v>226</v>
      </c>
      <c r="AH1025">
        <v>8</v>
      </c>
      <c r="AI1025" t="s">
        <v>3537</v>
      </c>
      <c r="AJ1025" t="s">
        <v>1976</v>
      </c>
      <c r="AK1025" t="s">
        <v>2416</v>
      </c>
      <c r="AL1025" t="s">
        <v>272</v>
      </c>
    </row>
    <row r="1026" spans="1:38">
      <c r="A1026" t="s">
        <v>4840</v>
      </c>
      <c r="B1026" t="s">
        <v>4841</v>
      </c>
      <c r="C1026" t="s">
        <v>4842</v>
      </c>
      <c r="D1026" t="s">
        <v>4842</v>
      </c>
      <c r="E1026" t="s">
        <v>4843</v>
      </c>
      <c r="F1026" t="s">
        <v>2413</v>
      </c>
      <c r="G1026">
        <v>3</v>
      </c>
      <c r="H1026">
        <v>1</v>
      </c>
      <c r="I1026">
        <v>0.01</v>
      </c>
      <c r="J1026">
        <v>1000</v>
      </c>
      <c r="K1026">
        <v>0</v>
      </c>
      <c r="L1026">
        <v>0</v>
      </c>
      <c r="M1026">
        <v>91.69</v>
      </c>
      <c r="N1026">
        <v>91</v>
      </c>
      <c r="O1026">
        <v>91.69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90.81</v>
      </c>
      <c r="Y1026">
        <v>92.91</v>
      </c>
      <c r="Z1026">
        <v>0</v>
      </c>
      <c r="AA1026">
        <v>116202</v>
      </c>
      <c r="AB1026">
        <v>0</v>
      </c>
      <c r="AC1026">
        <v>0</v>
      </c>
      <c r="AD1026" t="s">
        <v>94</v>
      </c>
      <c r="AE1026" t="s">
        <v>94</v>
      </c>
      <c r="AF1026" t="s">
        <v>226</v>
      </c>
      <c r="AG1026" t="s">
        <v>226</v>
      </c>
      <c r="AH1026">
        <v>8</v>
      </c>
      <c r="AI1026" t="s">
        <v>3537</v>
      </c>
      <c r="AJ1026" t="s">
        <v>1976</v>
      </c>
      <c r="AK1026" t="s">
        <v>2416</v>
      </c>
      <c r="AL1026" t="s">
        <v>272</v>
      </c>
    </row>
    <row r="1027" spans="1:38">
      <c r="A1027" t="s">
        <v>4844</v>
      </c>
      <c r="B1027" t="s">
        <v>4845</v>
      </c>
      <c r="C1027" t="s">
        <v>4846</v>
      </c>
      <c r="D1027" t="s">
        <v>4846</v>
      </c>
      <c r="E1027" t="s">
        <v>4847</v>
      </c>
      <c r="F1027" t="s">
        <v>2413</v>
      </c>
      <c r="G1027">
        <v>3</v>
      </c>
      <c r="H1027">
        <v>1</v>
      </c>
      <c r="I1027">
        <v>0.01</v>
      </c>
      <c r="J1027">
        <v>1000</v>
      </c>
      <c r="K1027">
        <v>-4.87</v>
      </c>
      <c r="L1027">
        <v>78</v>
      </c>
      <c r="M1027">
        <v>81.99</v>
      </c>
      <c r="N1027">
        <v>97.9</v>
      </c>
      <c r="O1027">
        <v>78</v>
      </c>
      <c r="P1027">
        <v>0</v>
      </c>
      <c r="Q1027">
        <v>0</v>
      </c>
      <c r="R1027">
        <v>0</v>
      </c>
      <c r="S1027">
        <v>77.459999999999994</v>
      </c>
      <c r="T1027">
        <v>78</v>
      </c>
      <c r="U1027">
        <v>76</v>
      </c>
      <c r="V1027">
        <v>78.83</v>
      </c>
      <c r="W1027">
        <v>14717</v>
      </c>
      <c r="X1027">
        <v>74.010000000000005</v>
      </c>
      <c r="Y1027">
        <v>78.75</v>
      </c>
      <c r="Z1027">
        <v>7</v>
      </c>
      <c r="AA1027">
        <v>54774</v>
      </c>
      <c r="AB1027">
        <v>7800</v>
      </c>
      <c r="AC1027">
        <v>0</v>
      </c>
      <c r="AD1027" t="s">
        <v>94</v>
      </c>
      <c r="AE1027" t="s">
        <v>94</v>
      </c>
      <c r="AF1027" t="s">
        <v>226</v>
      </c>
      <c r="AG1027" t="s">
        <v>226</v>
      </c>
      <c r="AH1027">
        <v>8</v>
      </c>
      <c r="AI1027" t="s">
        <v>3537</v>
      </c>
      <c r="AJ1027" t="s">
        <v>1976</v>
      </c>
      <c r="AK1027" t="s">
        <v>2416</v>
      </c>
      <c r="AL1027" t="s">
        <v>272</v>
      </c>
    </row>
    <row r="1028" spans="1:38">
      <c r="A1028" t="s">
        <v>4848</v>
      </c>
      <c r="B1028" t="s">
        <v>4849</v>
      </c>
      <c r="C1028" t="s">
        <v>4850</v>
      </c>
      <c r="D1028" t="s">
        <v>4850</v>
      </c>
      <c r="E1028" t="s">
        <v>4851</v>
      </c>
      <c r="F1028" t="s">
        <v>2413</v>
      </c>
      <c r="G1028">
        <v>3</v>
      </c>
      <c r="H1028">
        <v>1</v>
      </c>
      <c r="I1028">
        <v>0.01</v>
      </c>
      <c r="J1028">
        <v>1000</v>
      </c>
      <c r="K1028">
        <v>-2.2000000000000002</v>
      </c>
      <c r="L1028">
        <v>84</v>
      </c>
      <c r="M1028">
        <v>85.89</v>
      </c>
      <c r="N1028">
        <v>84.1</v>
      </c>
      <c r="O1028">
        <v>83.99</v>
      </c>
      <c r="P1028">
        <v>0</v>
      </c>
      <c r="Q1028">
        <v>0</v>
      </c>
      <c r="R1028">
        <v>0</v>
      </c>
      <c r="S1028">
        <v>83.59</v>
      </c>
      <c r="T1028">
        <v>89.83</v>
      </c>
      <c r="U1028">
        <v>83</v>
      </c>
      <c r="V1028">
        <v>89.83</v>
      </c>
      <c r="W1028">
        <v>1161062</v>
      </c>
      <c r="X1028">
        <v>83.91</v>
      </c>
      <c r="Y1028">
        <v>84.03</v>
      </c>
      <c r="Z1028">
        <v>37</v>
      </c>
      <c r="AA1028">
        <v>712961</v>
      </c>
      <c r="AB1028">
        <v>126000</v>
      </c>
      <c r="AC1028">
        <v>0</v>
      </c>
      <c r="AD1028" t="s">
        <v>94</v>
      </c>
      <c r="AE1028" t="s">
        <v>94</v>
      </c>
      <c r="AF1028" t="s">
        <v>226</v>
      </c>
      <c r="AG1028" t="s">
        <v>226</v>
      </c>
      <c r="AH1028">
        <v>8</v>
      </c>
      <c r="AI1028" t="s">
        <v>3537</v>
      </c>
      <c r="AJ1028" t="s">
        <v>1976</v>
      </c>
      <c r="AK1028" t="s">
        <v>2416</v>
      </c>
      <c r="AL1028" t="s">
        <v>272</v>
      </c>
    </row>
    <row r="1029" spans="1:38">
      <c r="A1029" t="s">
        <v>4852</v>
      </c>
      <c r="B1029" t="s">
        <v>4853</v>
      </c>
      <c r="C1029" t="s">
        <v>4854</v>
      </c>
      <c r="D1029" t="s">
        <v>4854</v>
      </c>
      <c r="E1029" t="s">
        <v>4855</v>
      </c>
      <c r="F1029" t="s">
        <v>2413</v>
      </c>
      <c r="G1029">
        <v>3</v>
      </c>
      <c r="H1029">
        <v>1</v>
      </c>
      <c r="I1029">
        <v>0.01</v>
      </c>
      <c r="J1029">
        <v>1000</v>
      </c>
      <c r="K1029">
        <v>0.22</v>
      </c>
      <c r="L1029">
        <v>80.959999999999994</v>
      </c>
      <c r="M1029">
        <v>80.78</v>
      </c>
      <c r="N1029">
        <v>80.97</v>
      </c>
      <c r="O1029">
        <v>80.959999999999994</v>
      </c>
      <c r="P1029">
        <v>0</v>
      </c>
      <c r="Q1029">
        <v>0</v>
      </c>
      <c r="R1029">
        <v>0</v>
      </c>
      <c r="S1029">
        <v>80.95</v>
      </c>
      <c r="T1029">
        <v>80.84</v>
      </c>
      <c r="U1029">
        <v>80.84</v>
      </c>
      <c r="V1029">
        <v>81.239999999999995</v>
      </c>
      <c r="W1029">
        <v>106854</v>
      </c>
      <c r="X1029">
        <v>80.95</v>
      </c>
      <c r="Y1029">
        <v>81.14</v>
      </c>
      <c r="Z1029">
        <v>10</v>
      </c>
      <c r="AA1029">
        <v>500330</v>
      </c>
      <c r="AB1029">
        <v>809.6</v>
      </c>
      <c r="AC1029">
        <v>0</v>
      </c>
      <c r="AD1029" t="s">
        <v>94</v>
      </c>
      <c r="AE1029" t="s">
        <v>94</v>
      </c>
      <c r="AF1029" t="s">
        <v>226</v>
      </c>
      <c r="AG1029" t="s">
        <v>226</v>
      </c>
      <c r="AH1029">
        <v>8</v>
      </c>
      <c r="AI1029" t="s">
        <v>3537</v>
      </c>
      <c r="AJ1029" t="s">
        <v>1976</v>
      </c>
      <c r="AK1029" t="s">
        <v>2416</v>
      </c>
      <c r="AL1029" t="s">
        <v>272</v>
      </c>
    </row>
    <row r="1030" spans="1:38">
      <c r="A1030" t="s">
        <v>4856</v>
      </c>
      <c r="B1030" t="s">
        <v>4857</v>
      </c>
      <c r="C1030" t="s">
        <v>4858</v>
      </c>
      <c r="D1030" t="s">
        <v>4858</v>
      </c>
      <c r="E1030" t="s">
        <v>4859</v>
      </c>
      <c r="F1030" t="s">
        <v>2413</v>
      </c>
      <c r="G1030">
        <v>3</v>
      </c>
      <c r="H1030">
        <v>1</v>
      </c>
      <c r="I1030">
        <v>0.01</v>
      </c>
      <c r="J1030">
        <v>1000</v>
      </c>
      <c r="K1030">
        <v>-0.64</v>
      </c>
      <c r="L1030">
        <v>76.459999999999994</v>
      </c>
      <c r="M1030">
        <v>76.95</v>
      </c>
      <c r="N1030">
        <v>76.17</v>
      </c>
      <c r="O1030">
        <v>76.459999999999994</v>
      </c>
      <c r="P1030">
        <v>0</v>
      </c>
      <c r="Q1030">
        <v>0</v>
      </c>
      <c r="R1030">
        <v>0</v>
      </c>
      <c r="S1030">
        <v>76.25</v>
      </c>
      <c r="T1030">
        <v>76.459999999999994</v>
      </c>
      <c r="U1030">
        <v>76.11</v>
      </c>
      <c r="V1030">
        <v>76.5</v>
      </c>
      <c r="W1030">
        <v>571879</v>
      </c>
      <c r="X1030">
        <v>76.319999999999993</v>
      </c>
      <c r="Y1030">
        <v>76.459999999999994</v>
      </c>
      <c r="Z1030">
        <v>8</v>
      </c>
      <c r="AA1030">
        <v>806239</v>
      </c>
      <c r="AB1030">
        <v>33642.400000000001</v>
      </c>
      <c r="AC1030">
        <v>0</v>
      </c>
      <c r="AD1030" t="s">
        <v>94</v>
      </c>
      <c r="AE1030" t="s">
        <v>94</v>
      </c>
      <c r="AF1030" t="s">
        <v>226</v>
      </c>
      <c r="AG1030" t="s">
        <v>226</v>
      </c>
      <c r="AH1030">
        <v>8</v>
      </c>
      <c r="AI1030" t="s">
        <v>3537</v>
      </c>
      <c r="AJ1030" t="s">
        <v>1976</v>
      </c>
      <c r="AK1030" t="s">
        <v>2416</v>
      </c>
      <c r="AL1030" t="s">
        <v>272</v>
      </c>
    </row>
    <row r="1031" spans="1:38">
      <c r="A1031" t="s">
        <v>4860</v>
      </c>
      <c r="B1031" t="s">
        <v>4861</v>
      </c>
      <c r="C1031" t="s">
        <v>4862</v>
      </c>
      <c r="D1031" t="s">
        <v>4862</v>
      </c>
      <c r="E1031" t="s">
        <v>4863</v>
      </c>
      <c r="F1031" t="s">
        <v>2413</v>
      </c>
      <c r="G1031">
        <v>3</v>
      </c>
      <c r="H1031">
        <v>1</v>
      </c>
      <c r="I1031">
        <v>0.01</v>
      </c>
      <c r="J1031">
        <v>1000</v>
      </c>
      <c r="K1031">
        <v>-0.64</v>
      </c>
      <c r="L1031">
        <v>73.27</v>
      </c>
      <c r="M1031">
        <v>73.739999999999995</v>
      </c>
      <c r="N1031">
        <v>72.7</v>
      </c>
      <c r="O1031">
        <v>73.27</v>
      </c>
      <c r="P1031">
        <v>0</v>
      </c>
      <c r="Q1031">
        <v>0</v>
      </c>
      <c r="R1031">
        <v>0</v>
      </c>
      <c r="S1031">
        <v>73.27</v>
      </c>
      <c r="T1031">
        <v>74.31</v>
      </c>
      <c r="U1031">
        <v>73.16</v>
      </c>
      <c r="V1031">
        <v>74.31</v>
      </c>
      <c r="W1031">
        <v>43228</v>
      </c>
      <c r="X1031">
        <v>73.290000000000006</v>
      </c>
      <c r="Y1031">
        <v>73.400000000000006</v>
      </c>
      <c r="Z1031">
        <v>9</v>
      </c>
      <c r="AA1031">
        <v>496039</v>
      </c>
      <c r="AB1031">
        <v>2930.8</v>
      </c>
      <c r="AC1031">
        <v>0</v>
      </c>
      <c r="AD1031" t="s">
        <v>94</v>
      </c>
      <c r="AE1031" t="s">
        <v>94</v>
      </c>
      <c r="AF1031" t="s">
        <v>226</v>
      </c>
      <c r="AG1031" t="s">
        <v>226</v>
      </c>
      <c r="AH1031">
        <v>8</v>
      </c>
      <c r="AI1031" t="s">
        <v>3537</v>
      </c>
      <c r="AJ1031" t="s">
        <v>1976</v>
      </c>
      <c r="AK1031" t="s">
        <v>2416</v>
      </c>
      <c r="AL1031" t="s">
        <v>272</v>
      </c>
    </row>
    <row r="1032" spans="1:38">
      <c r="A1032" t="s">
        <v>4864</v>
      </c>
      <c r="B1032" t="s">
        <v>4865</v>
      </c>
      <c r="C1032" t="s">
        <v>4866</v>
      </c>
      <c r="D1032" t="s">
        <v>4866</v>
      </c>
      <c r="E1032" t="s">
        <v>4867</v>
      </c>
      <c r="F1032" t="s">
        <v>2413</v>
      </c>
      <c r="G1032">
        <v>3</v>
      </c>
      <c r="H1032">
        <v>1</v>
      </c>
      <c r="I1032">
        <v>0.01</v>
      </c>
      <c r="J1032">
        <v>1000</v>
      </c>
      <c r="K1032">
        <v>0</v>
      </c>
      <c r="L1032">
        <v>0</v>
      </c>
      <c r="M1032">
        <v>70.510000000000005</v>
      </c>
      <c r="N1032">
        <v>70.77</v>
      </c>
      <c r="O1032">
        <v>70.510000000000005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71</v>
      </c>
      <c r="Y1032">
        <v>71.42</v>
      </c>
      <c r="Z1032">
        <v>0</v>
      </c>
      <c r="AA1032">
        <v>441698</v>
      </c>
      <c r="AB1032">
        <v>0</v>
      </c>
      <c r="AC1032">
        <v>0</v>
      </c>
      <c r="AD1032" t="s">
        <v>94</v>
      </c>
      <c r="AE1032" t="s">
        <v>94</v>
      </c>
      <c r="AF1032" t="s">
        <v>226</v>
      </c>
      <c r="AG1032" t="s">
        <v>226</v>
      </c>
      <c r="AH1032">
        <v>8</v>
      </c>
      <c r="AI1032" t="s">
        <v>3537</v>
      </c>
      <c r="AJ1032" t="s">
        <v>1976</v>
      </c>
      <c r="AK1032" t="s">
        <v>2416</v>
      </c>
      <c r="AL1032" t="s">
        <v>272</v>
      </c>
    </row>
    <row r="1033" spans="1:38">
      <c r="A1033" t="s">
        <v>4868</v>
      </c>
      <c r="B1033" t="s">
        <v>4869</v>
      </c>
      <c r="C1033" t="s">
        <v>4870</v>
      </c>
      <c r="D1033" t="s">
        <v>4870</v>
      </c>
      <c r="E1033" t="s">
        <v>4871</v>
      </c>
      <c r="F1033" t="s">
        <v>2413</v>
      </c>
      <c r="G1033">
        <v>3</v>
      </c>
      <c r="H1033">
        <v>1</v>
      </c>
      <c r="I1033">
        <v>0.01</v>
      </c>
      <c r="J1033">
        <v>1000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99.73</v>
      </c>
      <c r="Y1033">
        <v>0</v>
      </c>
      <c r="Z1033">
        <v>0</v>
      </c>
      <c r="AA1033">
        <v>64720</v>
      </c>
      <c r="AB1033">
        <v>0</v>
      </c>
      <c r="AC1033">
        <v>0</v>
      </c>
      <c r="AD1033" t="s">
        <v>94</v>
      </c>
      <c r="AE1033" t="s">
        <v>94</v>
      </c>
      <c r="AF1033" t="s">
        <v>226</v>
      </c>
      <c r="AG1033" t="s">
        <v>226</v>
      </c>
      <c r="AH1033">
        <v>800</v>
      </c>
      <c r="AI1033" t="s">
        <v>3537</v>
      </c>
      <c r="AJ1033" t="s">
        <v>1976</v>
      </c>
      <c r="AK1033" t="s">
        <v>2416</v>
      </c>
      <c r="AL1033" t="s">
        <v>272</v>
      </c>
    </row>
    <row r="1034" spans="1:38">
      <c r="A1034" t="s">
        <v>4872</v>
      </c>
      <c r="B1034" t="s">
        <v>4873</v>
      </c>
      <c r="C1034" t="s">
        <v>4874</v>
      </c>
      <c r="D1034" t="s">
        <v>4874</v>
      </c>
      <c r="E1034" t="s">
        <v>4875</v>
      </c>
      <c r="F1034" t="s">
        <v>2413</v>
      </c>
      <c r="G1034">
        <v>3</v>
      </c>
      <c r="H1034">
        <v>1</v>
      </c>
      <c r="I1034">
        <v>0.01</v>
      </c>
      <c r="J1034">
        <v>1000</v>
      </c>
      <c r="K1034">
        <v>0</v>
      </c>
      <c r="L1034">
        <v>0</v>
      </c>
      <c r="M1034">
        <v>104.24</v>
      </c>
      <c r="N1034">
        <v>0</v>
      </c>
      <c r="O1034">
        <v>104.24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100.42</v>
      </c>
      <c r="Y1034">
        <v>0</v>
      </c>
      <c r="Z1034">
        <v>0</v>
      </c>
      <c r="AA1034">
        <v>61942</v>
      </c>
      <c r="AB1034">
        <v>0</v>
      </c>
      <c r="AC1034">
        <v>0</v>
      </c>
      <c r="AD1034" t="s">
        <v>94</v>
      </c>
      <c r="AE1034" t="s">
        <v>94</v>
      </c>
      <c r="AF1034" t="s">
        <v>226</v>
      </c>
      <c r="AG1034" t="s">
        <v>226</v>
      </c>
      <c r="AH1034">
        <v>800</v>
      </c>
      <c r="AI1034" t="s">
        <v>3537</v>
      </c>
      <c r="AJ1034" t="s">
        <v>1976</v>
      </c>
      <c r="AK1034" t="s">
        <v>2416</v>
      </c>
      <c r="AL1034" t="s">
        <v>272</v>
      </c>
    </row>
    <row r="1035" spans="1:38">
      <c r="A1035" t="s">
        <v>4876</v>
      </c>
      <c r="B1035" t="s">
        <v>4877</v>
      </c>
      <c r="C1035" t="s">
        <v>4878</v>
      </c>
      <c r="D1035" t="s">
        <v>4878</v>
      </c>
      <c r="E1035" t="s">
        <v>4879</v>
      </c>
      <c r="F1035" t="s">
        <v>2413</v>
      </c>
      <c r="G1035">
        <v>3</v>
      </c>
      <c r="H1035">
        <v>1</v>
      </c>
      <c r="I1035">
        <v>0.01</v>
      </c>
      <c r="J1035">
        <v>1000</v>
      </c>
      <c r="K1035">
        <v>0</v>
      </c>
      <c r="L1035">
        <v>0</v>
      </c>
      <c r="M1035">
        <v>97.11</v>
      </c>
      <c r="N1035">
        <v>94.15</v>
      </c>
      <c r="O1035">
        <v>97.11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93.86</v>
      </c>
      <c r="Y1035">
        <v>0</v>
      </c>
      <c r="Z1035">
        <v>0</v>
      </c>
      <c r="AA1035">
        <v>118722</v>
      </c>
      <c r="AB1035">
        <v>0</v>
      </c>
      <c r="AC1035">
        <v>0</v>
      </c>
      <c r="AD1035" t="s">
        <v>94</v>
      </c>
      <c r="AE1035" t="s">
        <v>94</v>
      </c>
      <c r="AF1035" t="s">
        <v>226</v>
      </c>
      <c r="AG1035" t="s">
        <v>226</v>
      </c>
      <c r="AH1035">
        <v>8</v>
      </c>
      <c r="AI1035" t="s">
        <v>3537</v>
      </c>
      <c r="AJ1035" t="s">
        <v>1976</v>
      </c>
      <c r="AK1035" t="s">
        <v>2416</v>
      </c>
      <c r="AL1035" t="s">
        <v>272</v>
      </c>
    </row>
    <row r="1036" spans="1:38">
      <c r="A1036" t="s">
        <v>4880</v>
      </c>
      <c r="B1036" t="s">
        <v>4881</v>
      </c>
      <c r="C1036" t="s">
        <v>4882</v>
      </c>
      <c r="D1036" t="s">
        <v>4882</v>
      </c>
      <c r="E1036" t="s">
        <v>4883</v>
      </c>
      <c r="F1036" t="s">
        <v>2413</v>
      </c>
      <c r="G1036">
        <v>3</v>
      </c>
      <c r="H1036">
        <v>1</v>
      </c>
      <c r="I1036">
        <v>0.01</v>
      </c>
      <c r="J1036">
        <v>1000</v>
      </c>
      <c r="K1036">
        <v>0</v>
      </c>
      <c r="L1036">
        <v>0</v>
      </c>
      <c r="M1036">
        <v>93.02</v>
      </c>
      <c r="N1036">
        <v>0</v>
      </c>
      <c r="O1036">
        <v>93.02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92.51</v>
      </c>
      <c r="Y1036">
        <v>0</v>
      </c>
      <c r="Z1036">
        <v>0</v>
      </c>
      <c r="AA1036">
        <v>79850</v>
      </c>
      <c r="AB1036">
        <v>0</v>
      </c>
      <c r="AC1036">
        <v>0</v>
      </c>
      <c r="AD1036" t="s">
        <v>94</v>
      </c>
      <c r="AE1036" t="s">
        <v>94</v>
      </c>
      <c r="AF1036" t="s">
        <v>226</v>
      </c>
      <c r="AG1036" t="s">
        <v>226</v>
      </c>
      <c r="AH1036">
        <v>800</v>
      </c>
      <c r="AI1036" t="s">
        <v>3537</v>
      </c>
      <c r="AJ1036" t="s">
        <v>1976</v>
      </c>
      <c r="AK1036" t="s">
        <v>2416</v>
      </c>
      <c r="AL1036" t="s">
        <v>272</v>
      </c>
    </row>
    <row r="1037" spans="1:38">
      <c r="A1037" t="s">
        <v>4884</v>
      </c>
      <c r="B1037" t="s">
        <v>4885</v>
      </c>
      <c r="C1037" t="s">
        <v>4886</v>
      </c>
      <c r="D1037" t="s">
        <v>4886</v>
      </c>
      <c r="E1037" t="s">
        <v>4887</v>
      </c>
      <c r="F1037" t="s">
        <v>2413</v>
      </c>
      <c r="G1037">
        <v>3</v>
      </c>
      <c r="H1037">
        <v>1</v>
      </c>
      <c r="I1037">
        <v>0.01</v>
      </c>
      <c r="J1037">
        <v>1000</v>
      </c>
      <c r="K1037">
        <v>0.11</v>
      </c>
      <c r="L1037">
        <v>92.6</v>
      </c>
      <c r="M1037">
        <v>92.55</v>
      </c>
      <c r="N1037">
        <v>96.04</v>
      </c>
      <c r="O1037">
        <v>92.6</v>
      </c>
      <c r="P1037">
        <v>0</v>
      </c>
      <c r="Q1037">
        <v>0</v>
      </c>
      <c r="R1037">
        <v>0</v>
      </c>
      <c r="S1037">
        <v>92.6</v>
      </c>
      <c r="T1037">
        <v>92.61</v>
      </c>
      <c r="U1037">
        <v>92.6</v>
      </c>
      <c r="V1037">
        <v>92.61</v>
      </c>
      <c r="W1037">
        <v>13890</v>
      </c>
      <c r="X1037">
        <v>92.09</v>
      </c>
      <c r="Y1037">
        <v>97.97</v>
      </c>
      <c r="Z1037">
        <v>5</v>
      </c>
      <c r="AA1037">
        <v>15373</v>
      </c>
      <c r="AB1037">
        <v>5556</v>
      </c>
      <c r="AC1037">
        <v>0</v>
      </c>
      <c r="AD1037" t="s">
        <v>94</v>
      </c>
      <c r="AE1037" t="s">
        <v>94</v>
      </c>
      <c r="AF1037" t="s">
        <v>226</v>
      </c>
      <c r="AG1037" t="s">
        <v>226</v>
      </c>
      <c r="AH1037">
        <v>-100</v>
      </c>
      <c r="AI1037" t="s">
        <v>3537</v>
      </c>
      <c r="AJ1037" t="s">
        <v>1976</v>
      </c>
      <c r="AK1037" t="s">
        <v>2416</v>
      </c>
      <c r="AL1037" t="s">
        <v>272</v>
      </c>
    </row>
    <row r="1038" spans="1:38">
      <c r="A1038" t="s">
        <v>4888</v>
      </c>
      <c r="B1038" t="s">
        <v>4889</v>
      </c>
      <c r="C1038" t="s">
        <v>4890</v>
      </c>
      <c r="D1038" t="s">
        <v>4890</v>
      </c>
      <c r="E1038" t="s">
        <v>4891</v>
      </c>
      <c r="F1038" t="s">
        <v>2413</v>
      </c>
      <c r="G1038">
        <v>3</v>
      </c>
      <c r="H1038">
        <v>1</v>
      </c>
      <c r="I1038">
        <v>0.01</v>
      </c>
      <c r="J1038">
        <v>1000</v>
      </c>
      <c r="K1038">
        <v>0</v>
      </c>
      <c r="L1038">
        <v>0</v>
      </c>
      <c r="M1038">
        <v>68.16</v>
      </c>
      <c r="N1038">
        <v>68.959999999999994</v>
      </c>
      <c r="O1038">
        <v>68.16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68.16</v>
      </c>
      <c r="Y1038">
        <v>73.41</v>
      </c>
      <c r="Z1038">
        <v>0</v>
      </c>
      <c r="AA1038">
        <v>121743</v>
      </c>
      <c r="AB1038">
        <v>0</v>
      </c>
      <c r="AC1038">
        <v>0</v>
      </c>
      <c r="AD1038" t="s">
        <v>94</v>
      </c>
      <c r="AE1038" t="s">
        <v>94</v>
      </c>
      <c r="AF1038" t="s">
        <v>226</v>
      </c>
      <c r="AG1038" t="s">
        <v>226</v>
      </c>
      <c r="AH1038">
        <v>8</v>
      </c>
      <c r="AI1038" t="s">
        <v>3537</v>
      </c>
      <c r="AJ1038" t="s">
        <v>1976</v>
      </c>
      <c r="AK1038" t="s">
        <v>2416</v>
      </c>
      <c r="AL1038" t="s">
        <v>272</v>
      </c>
    </row>
    <row r="1039" spans="1:38">
      <c r="A1039" t="s">
        <v>4892</v>
      </c>
      <c r="B1039" t="s">
        <v>4893</v>
      </c>
      <c r="C1039" t="s">
        <v>4894</v>
      </c>
      <c r="D1039" t="s">
        <v>4894</v>
      </c>
      <c r="E1039" t="s">
        <v>4895</v>
      </c>
      <c r="F1039" t="s">
        <v>2413</v>
      </c>
      <c r="G1039">
        <v>3</v>
      </c>
      <c r="H1039">
        <v>1</v>
      </c>
      <c r="I1039">
        <v>0.01</v>
      </c>
      <c r="J1039">
        <v>1000</v>
      </c>
      <c r="K1039">
        <v>0</v>
      </c>
      <c r="L1039">
        <v>0</v>
      </c>
      <c r="M1039">
        <v>77.099999999999994</v>
      </c>
      <c r="N1039">
        <v>0</v>
      </c>
      <c r="O1039">
        <v>77.099999999999994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73.12</v>
      </c>
      <c r="Y1039">
        <v>0</v>
      </c>
      <c r="Z1039">
        <v>0</v>
      </c>
      <c r="AA1039">
        <v>120999</v>
      </c>
      <c r="AB1039">
        <v>0</v>
      </c>
      <c r="AC1039">
        <v>0</v>
      </c>
      <c r="AD1039" t="s">
        <v>94</v>
      </c>
      <c r="AE1039" t="s">
        <v>94</v>
      </c>
      <c r="AF1039" t="s">
        <v>226</v>
      </c>
      <c r="AG1039" t="s">
        <v>226</v>
      </c>
      <c r="AH1039">
        <v>8</v>
      </c>
      <c r="AI1039" t="s">
        <v>3537</v>
      </c>
      <c r="AJ1039" t="s">
        <v>1976</v>
      </c>
      <c r="AK1039" t="s">
        <v>2416</v>
      </c>
      <c r="AL1039" t="s">
        <v>272</v>
      </c>
    </row>
    <row r="1040" spans="1:38">
      <c r="A1040" t="s">
        <v>4896</v>
      </c>
      <c r="B1040" t="s">
        <v>4897</v>
      </c>
      <c r="C1040" t="s">
        <v>4898</v>
      </c>
      <c r="D1040" t="s">
        <v>4898</v>
      </c>
      <c r="E1040" t="s">
        <v>4899</v>
      </c>
      <c r="F1040" t="s">
        <v>2413</v>
      </c>
      <c r="G1040">
        <v>3</v>
      </c>
      <c r="H1040">
        <v>1</v>
      </c>
      <c r="I1040">
        <v>0.01</v>
      </c>
      <c r="J1040">
        <v>1000</v>
      </c>
      <c r="K1040">
        <v>0</v>
      </c>
      <c r="L1040">
        <v>0</v>
      </c>
      <c r="M1040">
        <v>85.28</v>
      </c>
      <c r="N1040">
        <v>0</v>
      </c>
      <c r="O1040">
        <v>85.28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85.21</v>
      </c>
      <c r="Y1040">
        <v>0</v>
      </c>
      <c r="Z1040">
        <v>0</v>
      </c>
      <c r="AA1040">
        <v>52150</v>
      </c>
      <c r="AB1040">
        <v>0</v>
      </c>
      <c r="AC1040">
        <v>0</v>
      </c>
      <c r="AD1040" t="s">
        <v>94</v>
      </c>
      <c r="AE1040" t="s">
        <v>94</v>
      </c>
      <c r="AF1040" t="s">
        <v>226</v>
      </c>
      <c r="AG1040" t="s">
        <v>226</v>
      </c>
      <c r="AH1040">
        <v>800</v>
      </c>
      <c r="AI1040" t="s">
        <v>3537</v>
      </c>
      <c r="AJ1040" t="s">
        <v>1976</v>
      </c>
      <c r="AK1040" t="s">
        <v>2416</v>
      </c>
      <c r="AL1040" t="s">
        <v>272</v>
      </c>
    </row>
    <row r="1041" spans="1:38">
      <c r="A1041" t="s">
        <v>4900</v>
      </c>
      <c r="B1041" t="s">
        <v>4901</v>
      </c>
      <c r="C1041" t="s">
        <v>4902</v>
      </c>
      <c r="D1041" t="s">
        <v>4902</v>
      </c>
      <c r="E1041" t="s">
        <v>4903</v>
      </c>
      <c r="F1041" t="s">
        <v>2413</v>
      </c>
      <c r="G1041">
        <v>3</v>
      </c>
      <c r="H1041">
        <v>1</v>
      </c>
      <c r="I1041">
        <v>0.01</v>
      </c>
      <c r="J1041">
        <v>1000</v>
      </c>
      <c r="K1041">
        <v>0</v>
      </c>
      <c r="L1041">
        <v>100.18</v>
      </c>
      <c r="M1041">
        <v>100.17</v>
      </c>
      <c r="N1041">
        <v>100.11</v>
      </c>
      <c r="O1041">
        <v>100.18</v>
      </c>
      <c r="P1041">
        <v>0</v>
      </c>
      <c r="Q1041">
        <v>0</v>
      </c>
      <c r="R1041">
        <v>0</v>
      </c>
      <c r="S1041">
        <v>100.11</v>
      </c>
      <c r="T1041">
        <v>100.2</v>
      </c>
      <c r="U1041">
        <v>99.88</v>
      </c>
      <c r="V1041">
        <v>100.22</v>
      </c>
      <c r="W1041">
        <v>379435</v>
      </c>
      <c r="X1041">
        <v>99.99</v>
      </c>
      <c r="Y1041">
        <v>100.18</v>
      </c>
      <c r="Z1041">
        <v>33</v>
      </c>
      <c r="AA1041">
        <v>712812</v>
      </c>
      <c r="AB1041">
        <v>1001.8</v>
      </c>
      <c r="AC1041">
        <v>0</v>
      </c>
      <c r="AD1041" t="s">
        <v>94</v>
      </c>
      <c r="AE1041" t="s">
        <v>94</v>
      </c>
      <c r="AF1041" t="s">
        <v>226</v>
      </c>
      <c r="AG1041" t="s">
        <v>226</v>
      </c>
      <c r="AH1041">
        <v>-100</v>
      </c>
      <c r="AI1041" t="s">
        <v>3537</v>
      </c>
      <c r="AJ1041" t="s">
        <v>1976</v>
      </c>
      <c r="AK1041" t="s">
        <v>2416</v>
      </c>
      <c r="AL1041" t="s">
        <v>272</v>
      </c>
    </row>
    <row r="1042" spans="1:38">
      <c r="A1042" t="s">
        <v>4904</v>
      </c>
      <c r="B1042" t="s">
        <v>4905</v>
      </c>
      <c r="C1042" t="s">
        <v>4906</v>
      </c>
      <c r="D1042" t="s">
        <v>4906</v>
      </c>
      <c r="E1042" t="s">
        <v>4907</v>
      </c>
      <c r="F1042" t="s">
        <v>2413</v>
      </c>
      <c r="G1042">
        <v>3</v>
      </c>
      <c r="H1042">
        <v>1</v>
      </c>
      <c r="I1042">
        <v>0.01</v>
      </c>
      <c r="J1042">
        <v>1000</v>
      </c>
      <c r="K1042">
        <v>-0.01</v>
      </c>
      <c r="L1042">
        <v>98.96</v>
      </c>
      <c r="M1042">
        <v>98.97</v>
      </c>
      <c r="N1042">
        <v>98.92</v>
      </c>
      <c r="O1042">
        <v>98.97</v>
      </c>
      <c r="P1042">
        <v>0</v>
      </c>
      <c r="Q1042">
        <v>0</v>
      </c>
      <c r="R1042">
        <v>0</v>
      </c>
      <c r="S1042">
        <v>98.92</v>
      </c>
      <c r="T1042">
        <v>98.97</v>
      </c>
      <c r="U1042">
        <v>98.76</v>
      </c>
      <c r="V1042">
        <v>98.98</v>
      </c>
      <c r="W1042">
        <v>14318511</v>
      </c>
      <c r="X1042">
        <v>98.87</v>
      </c>
      <c r="Y1042">
        <v>98.96</v>
      </c>
      <c r="Z1042">
        <v>178</v>
      </c>
      <c r="AA1042">
        <v>14901802</v>
      </c>
      <c r="AB1042">
        <v>4948</v>
      </c>
      <c r="AC1042">
        <v>0</v>
      </c>
      <c r="AD1042" t="s">
        <v>94</v>
      </c>
      <c r="AE1042" t="s">
        <v>94</v>
      </c>
      <c r="AF1042" t="s">
        <v>304</v>
      </c>
      <c r="AG1042" t="s">
        <v>226</v>
      </c>
      <c r="AH1042">
        <v>800</v>
      </c>
      <c r="AI1042" t="s">
        <v>3537</v>
      </c>
      <c r="AJ1042" t="s">
        <v>1976</v>
      </c>
      <c r="AK1042" t="s">
        <v>2416</v>
      </c>
      <c r="AL1042" t="s">
        <v>272</v>
      </c>
    </row>
    <row r="1043" spans="1:38">
      <c r="A1043" t="s">
        <v>4908</v>
      </c>
      <c r="B1043" t="s">
        <v>4909</v>
      </c>
      <c r="C1043" t="s">
        <v>4910</v>
      </c>
      <c r="D1043" t="s">
        <v>4910</v>
      </c>
      <c r="E1043" t="s">
        <v>4911</v>
      </c>
      <c r="F1043" t="s">
        <v>2413</v>
      </c>
      <c r="G1043">
        <v>3</v>
      </c>
      <c r="H1043">
        <v>1</v>
      </c>
      <c r="I1043">
        <v>0.01</v>
      </c>
      <c r="J1043">
        <v>1000</v>
      </c>
      <c r="K1043">
        <v>-0.67</v>
      </c>
      <c r="L1043">
        <v>98.62</v>
      </c>
      <c r="M1043">
        <v>99.28</v>
      </c>
      <c r="N1043">
        <v>99.25</v>
      </c>
      <c r="O1043">
        <v>98.73</v>
      </c>
      <c r="P1043">
        <v>0</v>
      </c>
      <c r="Q1043">
        <v>0</v>
      </c>
      <c r="R1043">
        <v>0</v>
      </c>
      <c r="S1043">
        <v>98.96</v>
      </c>
      <c r="T1043">
        <v>99.28</v>
      </c>
      <c r="U1043">
        <v>98.51</v>
      </c>
      <c r="V1043">
        <v>99.29</v>
      </c>
      <c r="W1043">
        <v>5406372</v>
      </c>
      <c r="X1043">
        <v>98.75</v>
      </c>
      <c r="Y1043">
        <v>98.88</v>
      </c>
      <c r="Z1043">
        <v>162</v>
      </c>
      <c r="AA1043">
        <v>3269736</v>
      </c>
      <c r="AB1043">
        <v>7889.6</v>
      </c>
      <c r="AC1043">
        <v>0</v>
      </c>
      <c r="AD1043" t="s">
        <v>94</v>
      </c>
      <c r="AE1043" t="s">
        <v>94</v>
      </c>
      <c r="AF1043" t="s">
        <v>304</v>
      </c>
      <c r="AG1043" t="s">
        <v>226</v>
      </c>
      <c r="AH1043">
        <v>800</v>
      </c>
      <c r="AI1043" t="s">
        <v>3537</v>
      </c>
      <c r="AJ1043" t="s">
        <v>1976</v>
      </c>
      <c r="AK1043" t="s">
        <v>2416</v>
      </c>
      <c r="AL1043" t="s">
        <v>272</v>
      </c>
    </row>
    <row r="1044" spans="1:38">
      <c r="A1044" t="s">
        <v>4912</v>
      </c>
      <c r="B1044" t="s">
        <v>4913</v>
      </c>
      <c r="C1044" t="s">
        <v>4914</v>
      </c>
      <c r="D1044" t="s">
        <v>4914</v>
      </c>
      <c r="E1044" t="s">
        <v>4915</v>
      </c>
      <c r="F1044" t="s">
        <v>2413</v>
      </c>
      <c r="G1044">
        <v>3</v>
      </c>
      <c r="H1044">
        <v>1</v>
      </c>
      <c r="I1044">
        <v>0.01</v>
      </c>
      <c r="J1044">
        <v>1000</v>
      </c>
      <c r="K1044">
        <v>0.09</v>
      </c>
      <c r="L1044">
        <v>99.97</v>
      </c>
      <c r="M1044">
        <v>99.88</v>
      </c>
      <c r="N1044">
        <v>99.82</v>
      </c>
      <c r="O1044">
        <v>99.97</v>
      </c>
      <c r="P1044">
        <v>0</v>
      </c>
      <c r="Q1044">
        <v>0</v>
      </c>
      <c r="R1044">
        <v>0</v>
      </c>
      <c r="S1044">
        <v>99.95</v>
      </c>
      <c r="T1044">
        <v>99.88</v>
      </c>
      <c r="U1044">
        <v>99.59</v>
      </c>
      <c r="V1044">
        <v>99.99</v>
      </c>
      <c r="W1044">
        <v>2549814</v>
      </c>
      <c r="X1044">
        <v>99.82</v>
      </c>
      <c r="Y1044">
        <v>99.97</v>
      </c>
      <c r="Z1044">
        <v>53</v>
      </c>
      <c r="AA1044">
        <v>1503140</v>
      </c>
      <c r="AB1044">
        <v>82975.100000000006</v>
      </c>
      <c r="AC1044">
        <v>0</v>
      </c>
      <c r="AD1044" t="s">
        <v>94</v>
      </c>
      <c r="AE1044" t="s">
        <v>94</v>
      </c>
      <c r="AF1044" t="s">
        <v>226</v>
      </c>
      <c r="AG1044" t="s">
        <v>226</v>
      </c>
      <c r="AH1044">
        <v>-100</v>
      </c>
      <c r="AI1044" t="s">
        <v>3537</v>
      </c>
      <c r="AJ1044" t="s">
        <v>1976</v>
      </c>
      <c r="AK1044" t="s">
        <v>2416</v>
      </c>
      <c r="AL1044" t="s">
        <v>272</v>
      </c>
    </row>
    <row r="1045" spans="1:38">
      <c r="A1045" t="s">
        <v>4916</v>
      </c>
      <c r="B1045" t="s">
        <v>4917</v>
      </c>
      <c r="C1045" t="s">
        <v>4918</v>
      </c>
      <c r="D1045" t="s">
        <v>4918</v>
      </c>
      <c r="E1045" t="s">
        <v>4919</v>
      </c>
      <c r="F1045" t="s">
        <v>2413</v>
      </c>
      <c r="G1045">
        <v>3</v>
      </c>
      <c r="H1045">
        <v>1</v>
      </c>
      <c r="I1045">
        <v>0.01</v>
      </c>
      <c r="J1045">
        <v>1000</v>
      </c>
      <c r="K1045">
        <v>0.77</v>
      </c>
      <c r="L1045">
        <v>100.52</v>
      </c>
      <c r="M1045">
        <v>99.75</v>
      </c>
      <c r="N1045">
        <v>101.03</v>
      </c>
      <c r="O1045">
        <v>100.52</v>
      </c>
      <c r="P1045">
        <v>0</v>
      </c>
      <c r="Q1045">
        <v>0</v>
      </c>
      <c r="R1045">
        <v>0</v>
      </c>
      <c r="S1045">
        <v>99.98</v>
      </c>
      <c r="T1045">
        <v>100.66</v>
      </c>
      <c r="U1045">
        <v>99.34</v>
      </c>
      <c r="V1045">
        <v>100.77</v>
      </c>
      <c r="W1045">
        <v>107978</v>
      </c>
      <c r="X1045">
        <v>99.82</v>
      </c>
      <c r="Y1045">
        <v>100.48</v>
      </c>
      <c r="Z1045">
        <v>36</v>
      </c>
      <c r="AA1045">
        <v>58348</v>
      </c>
      <c r="AB1045">
        <v>1005.2</v>
      </c>
      <c r="AC1045">
        <v>0</v>
      </c>
      <c r="AD1045" t="s">
        <v>94</v>
      </c>
      <c r="AE1045" t="s">
        <v>94</v>
      </c>
      <c r="AF1045" t="s">
        <v>226</v>
      </c>
      <c r="AG1045" t="s">
        <v>226</v>
      </c>
      <c r="AH1045">
        <v>-100</v>
      </c>
      <c r="AI1045" t="s">
        <v>3537</v>
      </c>
      <c r="AJ1045" t="s">
        <v>1976</v>
      </c>
      <c r="AK1045" t="s">
        <v>2416</v>
      </c>
      <c r="AL1045" t="s">
        <v>272</v>
      </c>
    </row>
    <row r="1046" spans="1:38">
      <c r="A1046" t="s">
        <v>4920</v>
      </c>
      <c r="B1046" t="s">
        <v>4921</v>
      </c>
      <c r="C1046" t="s">
        <v>4922</v>
      </c>
      <c r="D1046" t="s">
        <v>4922</v>
      </c>
      <c r="E1046" t="s">
        <v>4923</v>
      </c>
      <c r="F1046" t="s">
        <v>2413</v>
      </c>
      <c r="G1046">
        <v>3</v>
      </c>
      <c r="H1046">
        <v>1</v>
      </c>
      <c r="I1046">
        <v>0.01</v>
      </c>
      <c r="J1046">
        <v>1000</v>
      </c>
      <c r="K1046">
        <v>-0.04</v>
      </c>
      <c r="L1046">
        <v>100.01</v>
      </c>
      <c r="M1046">
        <v>100.15</v>
      </c>
      <c r="N1046">
        <v>100.13</v>
      </c>
      <c r="O1046">
        <v>100.07</v>
      </c>
      <c r="P1046">
        <v>0</v>
      </c>
      <c r="Q1046">
        <v>0</v>
      </c>
      <c r="R1046">
        <v>0</v>
      </c>
      <c r="S1046">
        <v>100.12</v>
      </c>
      <c r="T1046">
        <v>100.07</v>
      </c>
      <c r="U1046">
        <v>99.76</v>
      </c>
      <c r="V1046">
        <v>100.2</v>
      </c>
      <c r="W1046">
        <v>15774613</v>
      </c>
      <c r="X1046">
        <v>100.01</v>
      </c>
      <c r="Y1046">
        <v>100.08</v>
      </c>
      <c r="Z1046">
        <v>132</v>
      </c>
      <c r="AA1046">
        <v>5361517</v>
      </c>
      <c r="AB1046">
        <v>4000.4</v>
      </c>
      <c r="AC1046">
        <v>0</v>
      </c>
      <c r="AD1046" t="s">
        <v>94</v>
      </c>
      <c r="AE1046" t="s">
        <v>94</v>
      </c>
      <c r="AF1046" t="s">
        <v>304</v>
      </c>
      <c r="AG1046" t="s">
        <v>226</v>
      </c>
      <c r="AH1046">
        <v>800</v>
      </c>
      <c r="AI1046" t="s">
        <v>3537</v>
      </c>
      <c r="AJ1046" t="s">
        <v>1976</v>
      </c>
      <c r="AK1046" t="s">
        <v>2416</v>
      </c>
      <c r="AL1046" t="s">
        <v>272</v>
      </c>
    </row>
    <row r="1047" spans="1:38">
      <c r="A1047" t="s">
        <v>4924</v>
      </c>
      <c r="B1047" t="s">
        <v>4925</v>
      </c>
      <c r="C1047" t="s">
        <v>4926</v>
      </c>
      <c r="D1047" t="s">
        <v>4926</v>
      </c>
      <c r="E1047" t="s">
        <v>4927</v>
      </c>
      <c r="F1047" t="s">
        <v>2413</v>
      </c>
      <c r="G1047">
        <v>3</v>
      </c>
      <c r="H1047">
        <v>1</v>
      </c>
      <c r="I1047">
        <v>0.01</v>
      </c>
      <c r="J1047">
        <v>1000</v>
      </c>
      <c r="K1047">
        <v>0.02</v>
      </c>
      <c r="L1047">
        <v>99.06</v>
      </c>
      <c r="M1047">
        <v>99.04</v>
      </c>
      <c r="N1047">
        <v>98.19</v>
      </c>
      <c r="O1047">
        <v>99.06</v>
      </c>
      <c r="P1047">
        <v>0</v>
      </c>
      <c r="Q1047">
        <v>0</v>
      </c>
      <c r="R1047">
        <v>0</v>
      </c>
      <c r="S1047">
        <v>98.69</v>
      </c>
      <c r="T1047">
        <v>99.17</v>
      </c>
      <c r="U1047">
        <v>98.21</v>
      </c>
      <c r="V1047">
        <v>99.18</v>
      </c>
      <c r="W1047">
        <v>109548</v>
      </c>
      <c r="X1047">
        <v>98.32</v>
      </c>
      <c r="Y1047">
        <v>98.99</v>
      </c>
      <c r="Z1047">
        <v>31</v>
      </c>
      <c r="AA1047">
        <v>137912</v>
      </c>
      <c r="AB1047">
        <v>990.6</v>
      </c>
      <c r="AC1047">
        <v>0</v>
      </c>
      <c r="AD1047" t="s">
        <v>94</v>
      </c>
      <c r="AE1047" t="s">
        <v>94</v>
      </c>
      <c r="AF1047" t="s">
        <v>226</v>
      </c>
      <c r="AG1047" t="s">
        <v>226</v>
      </c>
      <c r="AH1047">
        <v>-100</v>
      </c>
      <c r="AI1047" t="s">
        <v>3537</v>
      </c>
      <c r="AJ1047" t="s">
        <v>1976</v>
      </c>
      <c r="AK1047" t="s">
        <v>2416</v>
      </c>
      <c r="AL1047" t="s">
        <v>272</v>
      </c>
    </row>
    <row r="1048" spans="1:38">
      <c r="A1048" t="s">
        <v>4928</v>
      </c>
      <c r="B1048" t="s">
        <v>4929</v>
      </c>
      <c r="C1048" t="s">
        <v>4930</v>
      </c>
      <c r="D1048" t="s">
        <v>4930</v>
      </c>
      <c r="E1048" t="s">
        <v>4931</v>
      </c>
      <c r="F1048" t="s">
        <v>2413</v>
      </c>
      <c r="G1048">
        <v>3</v>
      </c>
      <c r="H1048">
        <v>1</v>
      </c>
      <c r="I1048">
        <v>0.01</v>
      </c>
      <c r="J1048">
        <v>1000</v>
      </c>
      <c r="K1048">
        <v>0.03</v>
      </c>
      <c r="L1048">
        <v>99.24</v>
      </c>
      <c r="M1048">
        <v>99.21</v>
      </c>
      <c r="N1048">
        <v>99.17</v>
      </c>
      <c r="O1048">
        <v>99.24</v>
      </c>
      <c r="P1048">
        <v>0</v>
      </c>
      <c r="Q1048">
        <v>0</v>
      </c>
      <c r="R1048">
        <v>0</v>
      </c>
      <c r="S1048">
        <v>99.35</v>
      </c>
      <c r="T1048">
        <v>99.88</v>
      </c>
      <c r="U1048">
        <v>99.24</v>
      </c>
      <c r="V1048">
        <v>99.88</v>
      </c>
      <c r="W1048">
        <v>35765</v>
      </c>
      <c r="X1048">
        <v>99.25</v>
      </c>
      <c r="Y1048">
        <v>99.88</v>
      </c>
      <c r="Z1048">
        <v>9</v>
      </c>
      <c r="AA1048">
        <v>323283</v>
      </c>
      <c r="AB1048">
        <v>10916.4</v>
      </c>
      <c r="AC1048">
        <v>0</v>
      </c>
      <c r="AD1048" t="s">
        <v>94</v>
      </c>
      <c r="AE1048" t="s">
        <v>94</v>
      </c>
      <c r="AF1048" t="s">
        <v>226</v>
      </c>
      <c r="AG1048" t="s">
        <v>226</v>
      </c>
      <c r="AH1048">
        <v>-100</v>
      </c>
      <c r="AI1048" t="s">
        <v>3537</v>
      </c>
      <c r="AJ1048" t="s">
        <v>1976</v>
      </c>
      <c r="AK1048" t="s">
        <v>2416</v>
      </c>
      <c r="AL1048" t="s">
        <v>272</v>
      </c>
    </row>
    <row r="1049" spans="1:38">
      <c r="A1049" t="s">
        <v>4932</v>
      </c>
      <c r="B1049" t="s">
        <v>4933</v>
      </c>
      <c r="C1049" t="s">
        <v>4934</v>
      </c>
      <c r="D1049" t="s">
        <v>4934</v>
      </c>
      <c r="E1049" t="s">
        <v>4935</v>
      </c>
      <c r="F1049" t="s">
        <v>2413</v>
      </c>
      <c r="G1049">
        <v>3</v>
      </c>
      <c r="H1049">
        <v>1</v>
      </c>
      <c r="I1049">
        <v>0.01</v>
      </c>
      <c r="J1049">
        <v>1000</v>
      </c>
      <c r="K1049">
        <v>-0.16</v>
      </c>
      <c r="L1049">
        <v>99.37</v>
      </c>
      <c r="M1049">
        <v>99.53</v>
      </c>
      <c r="N1049">
        <v>99.4</v>
      </c>
      <c r="O1049">
        <v>99.41</v>
      </c>
      <c r="P1049">
        <v>0</v>
      </c>
      <c r="Q1049">
        <v>0</v>
      </c>
      <c r="R1049">
        <v>0</v>
      </c>
      <c r="S1049">
        <v>99.56</v>
      </c>
      <c r="T1049">
        <v>99.38</v>
      </c>
      <c r="U1049">
        <v>99.01</v>
      </c>
      <c r="V1049">
        <v>99.65</v>
      </c>
      <c r="W1049">
        <v>345465</v>
      </c>
      <c r="X1049">
        <v>99.02</v>
      </c>
      <c r="Y1049">
        <v>99.39</v>
      </c>
      <c r="Z1049">
        <v>31</v>
      </c>
      <c r="AA1049">
        <v>515996</v>
      </c>
      <c r="AB1049">
        <v>25836.2</v>
      </c>
      <c r="AC1049">
        <v>0</v>
      </c>
      <c r="AD1049" t="s">
        <v>94</v>
      </c>
      <c r="AE1049" t="s">
        <v>94</v>
      </c>
      <c r="AF1049" t="s">
        <v>226</v>
      </c>
      <c r="AG1049" t="s">
        <v>226</v>
      </c>
      <c r="AH1049">
        <v>-100</v>
      </c>
      <c r="AI1049" t="s">
        <v>3537</v>
      </c>
      <c r="AJ1049" t="s">
        <v>1976</v>
      </c>
      <c r="AK1049" t="s">
        <v>2416</v>
      </c>
      <c r="AL1049" t="s">
        <v>272</v>
      </c>
    </row>
    <row r="1050" spans="1:38">
      <c r="A1050" t="s">
        <v>4936</v>
      </c>
      <c r="B1050" t="s">
        <v>4937</v>
      </c>
      <c r="C1050" t="s">
        <v>4938</v>
      </c>
      <c r="D1050" t="s">
        <v>4938</v>
      </c>
      <c r="E1050" t="s">
        <v>4939</v>
      </c>
      <c r="F1050" t="s">
        <v>2413</v>
      </c>
      <c r="G1050">
        <v>3</v>
      </c>
      <c r="H1050">
        <v>1</v>
      </c>
      <c r="I1050">
        <v>0.01</v>
      </c>
      <c r="J1050">
        <v>1000</v>
      </c>
      <c r="K1050">
        <v>0.23</v>
      </c>
      <c r="L1050">
        <v>100.05</v>
      </c>
      <c r="M1050">
        <v>99.82</v>
      </c>
      <c r="N1050">
        <v>99.82</v>
      </c>
      <c r="O1050">
        <v>100.05</v>
      </c>
      <c r="P1050">
        <v>0</v>
      </c>
      <c r="Q1050">
        <v>0</v>
      </c>
      <c r="R1050">
        <v>0</v>
      </c>
      <c r="S1050">
        <v>99.68</v>
      </c>
      <c r="T1050">
        <v>100.1</v>
      </c>
      <c r="U1050">
        <v>99.33</v>
      </c>
      <c r="V1050">
        <v>100.1</v>
      </c>
      <c r="W1050">
        <v>1132384</v>
      </c>
      <c r="X1050">
        <v>99.72</v>
      </c>
      <c r="Y1050">
        <v>100.05</v>
      </c>
      <c r="Z1050">
        <v>59</v>
      </c>
      <c r="AA1050">
        <v>1085563</v>
      </c>
      <c r="AB1050">
        <v>1000.5</v>
      </c>
      <c r="AC1050">
        <v>0</v>
      </c>
      <c r="AD1050" t="s">
        <v>94</v>
      </c>
      <c r="AE1050" t="s">
        <v>94</v>
      </c>
      <c r="AF1050" t="s">
        <v>226</v>
      </c>
      <c r="AG1050" t="s">
        <v>226</v>
      </c>
      <c r="AH1050">
        <v>-100</v>
      </c>
      <c r="AI1050" t="s">
        <v>3537</v>
      </c>
      <c r="AJ1050" t="s">
        <v>1976</v>
      </c>
      <c r="AK1050" t="s">
        <v>2416</v>
      </c>
      <c r="AL1050" t="s">
        <v>272</v>
      </c>
    </row>
    <row r="1051" spans="1:38">
      <c r="A1051" t="s">
        <v>4940</v>
      </c>
      <c r="B1051" t="s">
        <v>4941</v>
      </c>
      <c r="C1051" t="s">
        <v>4942</v>
      </c>
      <c r="D1051" t="s">
        <v>4942</v>
      </c>
      <c r="E1051" t="s">
        <v>4943</v>
      </c>
      <c r="F1051" t="s">
        <v>2413</v>
      </c>
      <c r="G1051">
        <v>3</v>
      </c>
      <c r="H1051">
        <v>1</v>
      </c>
      <c r="I1051">
        <v>0.01</v>
      </c>
      <c r="J1051">
        <v>1000</v>
      </c>
      <c r="K1051">
        <v>0.01</v>
      </c>
      <c r="L1051">
        <v>100</v>
      </c>
      <c r="M1051">
        <v>99.99</v>
      </c>
      <c r="N1051">
        <v>99.35</v>
      </c>
      <c r="O1051">
        <v>100</v>
      </c>
      <c r="P1051">
        <v>0</v>
      </c>
      <c r="Q1051">
        <v>0</v>
      </c>
      <c r="R1051">
        <v>0</v>
      </c>
      <c r="S1051">
        <v>99.91</v>
      </c>
      <c r="T1051">
        <v>100.12</v>
      </c>
      <c r="U1051">
        <v>99.3</v>
      </c>
      <c r="V1051">
        <v>100.12</v>
      </c>
      <c r="W1051">
        <v>160847</v>
      </c>
      <c r="X1051">
        <v>99.65</v>
      </c>
      <c r="Y1051">
        <v>100</v>
      </c>
      <c r="Z1051">
        <v>21</v>
      </c>
      <c r="AA1051">
        <v>434651</v>
      </c>
      <c r="AB1051">
        <v>1000</v>
      </c>
      <c r="AC1051">
        <v>0</v>
      </c>
      <c r="AD1051" t="s">
        <v>94</v>
      </c>
      <c r="AE1051" t="s">
        <v>94</v>
      </c>
      <c r="AF1051" t="s">
        <v>226</v>
      </c>
      <c r="AG1051" t="s">
        <v>226</v>
      </c>
      <c r="AH1051">
        <v>-100</v>
      </c>
      <c r="AI1051" t="s">
        <v>3537</v>
      </c>
      <c r="AJ1051" t="s">
        <v>1976</v>
      </c>
      <c r="AK1051" t="s">
        <v>2416</v>
      </c>
      <c r="AL1051" t="s">
        <v>272</v>
      </c>
    </row>
    <row r="1052" spans="1:38">
      <c r="A1052" t="s">
        <v>4944</v>
      </c>
      <c r="B1052" t="s">
        <v>4945</v>
      </c>
      <c r="C1052" t="s">
        <v>4946</v>
      </c>
      <c r="D1052" t="s">
        <v>4946</v>
      </c>
      <c r="E1052" t="s">
        <v>4947</v>
      </c>
      <c r="F1052" t="s">
        <v>2413</v>
      </c>
      <c r="G1052">
        <v>3</v>
      </c>
      <c r="H1052">
        <v>1</v>
      </c>
      <c r="I1052">
        <v>0.01</v>
      </c>
      <c r="J1052">
        <v>1000</v>
      </c>
      <c r="K1052">
        <v>0.05</v>
      </c>
      <c r="L1052">
        <v>100.1</v>
      </c>
      <c r="M1052">
        <v>100.05</v>
      </c>
      <c r="N1052">
        <v>100.18</v>
      </c>
      <c r="O1052">
        <v>100</v>
      </c>
      <c r="P1052">
        <v>0</v>
      </c>
      <c r="Q1052">
        <v>0</v>
      </c>
      <c r="R1052">
        <v>0</v>
      </c>
      <c r="S1052">
        <v>100.34</v>
      </c>
      <c r="T1052">
        <v>100.38</v>
      </c>
      <c r="U1052">
        <v>99.96</v>
      </c>
      <c r="V1052">
        <v>100.5</v>
      </c>
      <c r="W1052">
        <v>229787</v>
      </c>
      <c r="X1052">
        <v>99.96</v>
      </c>
      <c r="Y1052">
        <v>100.1</v>
      </c>
      <c r="Z1052">
        <v>11</v>
      </c>
      <c r="AA1052">
        <v>10000000</v>
      </c>
      <c r="AB1052">
        <v>4004</v>
      </c>
      <c r="AC1052">
        <v>0</v>
      </c>
      <c r="AD1052" t="s">
        <v>94</v>
      </c>
      <c r="AE1052" t="s">
        <v>94</v>
      </c>
      <c r="AF1052" t="s">
        <v>226</v>
      </c>
      <c r="AG1052" t="s">
        <v>226</v>
      </c>
      <c r="AH1052">
        <v>800</v>
      </c>
      <c r="AI1052" t="s">
        <v>3537</v>
      </c>
      <c r="AJ1052" t="s">
        <v>1976</v>
      </c>
      <c r="AK1052" t="s">
        <v>2416</v>
      </c>
      <c r="AL1052" t="s">
        <v>272</v>
      </c>
    </row>
    <row r="1053" spans="1:38">
      <c r="A1053" t="s">
        <v>4948</v>
      </c>
      <c r="B1053" t="s">
        <v>4949</v>
      </c>
      <c r="C1053" t="s">
        <v>4950</v>
      </c>
      <c r="D1053" t="s">
        <v>4950</v>
      </c>
      <c r="E1053" t="s">
        <v>4951</v>
      </c>
      <c r="F1053" t="s">
        <v>2413</v>
      </c>
      <c r="G1053">
        <v>3</v>
      </c>
      <c r="H1053">
        <v>1</v>
      </c>
      <c r="I1053">
        <v>0.01</v>
      </c>
      <c r="J1053">
        <v>1000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98</v>
      </c>
      <c r="Y1053">
        <v>0</v>
      </c>
      <c r="Z1053">
        <v>0</v>
      </c>
      <c r="AA1053">
        <v>50000000</v>
      </c>
      <c r="AB1053">
        <v>0</v>
      </c>
      <c r="AC1053">
        <v>0</v>
      </c>
      <c r="AD1053" t="s">
        <v>94</v>
      </c>
      <c r="AE1053" t="s">
        <v>94</v>
      </c>
      <c r="AF1053" t="s">
        <v>226</v>
      </c>
      <c r="AG1053" t="s">
        <v>226</v>
      </c>
      <c r="AH1053">
        <v>8</v>
      </c>
      <c r="AI1053" t="s">
        <v>3537</v>
      </c>
      <c r="AJ1053" t="s">
        <v>1976</v>
      </c>
      <c r="AK1053" t="s">
        <v>2416</v>
      </c>
      <c r="AL1053" t="s">
        <v>272</v>
      </c>
    </row>
    <row r="1054" spans="1:38">
      <c r="A1054" t="s">
        <v>4952</v>
      </c>
      <c r="B1054" t="s">
        <v>4953</v>
      </c>
      <c r="C1054" t="s">
        <v>4954</v>
      </c>
      <c r="D1054" t="s">
        <v>4954</v>
      </c>
      <c r="E1054" t="s">
        <v>4955</v>
      </c>
      <c r="F1054" t="s">
        <v>2413</v>
      </c>
      <c r="G1054">
        <v>3</v>
      </c>
      <c r="H1054">
        <v>1</v>
      </c>
      <c r="I1054">
        <v>0.01</v>
      </c>
      <c r="J1054">
        <v>1000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98</v>
      </c>
      <c r="Y1054">
        <v>0</v>
      </c>
      <c r="Z1054">
        <v>0</v>
      </c>
      <c r="AA1054">
        <v>50000000</v>
      </c>
      <c r="AB1054">
        <v>0</v>
      </c>
      <c r="AC1054">
        <v>0</v>
      </c>
      <c r="AD1054" t="s">
        <v>94</v>
      </c>
      <c r="AE1054" t="s">
        <v>94</v>
      </c>
      <c r="AF1054" t="s">
        <v>226</v>
      </c>
      <c r="AG1054" t="s">
        <v>226</v>
      </c>
      <c r="AH1054">
        <v>8</v>
      </c>
      <c r="AI1054" t="s">
        <v>3537</v>
      </c>
      <c r="AJ1054" t="s">
        <v>1976</v>
      </c>
      <c r="AK1054" t="s">
        <v>2416</v>
      </c>
      <c r="AL1054" t="s">
        <v>272</v>
      </c>
    </row>
    <row r="1055" spans="1:38">
      <c r="A1055" t="s">
        <v>4956</v>
      </c>
      <c r="B1055" t="s">
        <v>4957</v>
      </c>
      <c r="C1055" t="s">
        <v>4958</v>
      </c>
      <c r="D1055" t="s">
        <v>4958</v>
      </c>
      <c r="E1055" t="s">
        <v>4959</v>
      </c>
      <c r="F1055" t="s">
        <v>2413</v>
      </c>
      <c r="G1055">
        <v>3</v>
      </c>
      <c r="H1055">
        <v>1</v>
      </c>
      <c r="I1055">
        <v>0.01</v>
      </c>
      <c r="J1055">
        <v>1000</v>
      </c>
      <c r="K1055">
        <v>0</v>
      </c>
      <c r="L1055">
        <v>99.9</v>
      </c>
      <c r="M1055">
        <v>99.9</v>
      </c>
      <c r="N1055">
        <v>99.84</v>
      </c>
      <c r="O1055">
        <v>99.9</v>
      </c>
      <c r="P1055">
        <v>0</v>
      </c>
      <c r="Q1055">
        <v>0</v>
      </c>
      <c r="R1055">
        <v>0</v>
      </c>
      <c r="S1055">
        <v>99.9</v>
      </c>
      <c r="T1055">
        <v>99.9</v>
      </c>
      <c r="U1055">
        <v>99.9</v>
      </c>
      <c r="V1055">
        <v>99.9</v>
      </c>
      <c r="W1055">
        <v>546453</v>
      </c>
      <c r="X1055">
        <v>99.73</v>
      </c>
      <c r="Y1055">
        <v>99.9</v>
      </c>
      <c r="Z1055">
        <v>8</v>
      </c>
      <c r="AA1055">
        <v>218400</v>
      </c>
      <c r="AB1055">
        <v>19980</v>
      </c>
      <c r="AC1055">
        <v>0</v>
      </c>
      <c r="AD1055" t="s">
        <v>94</v>
      </c>
      <c r="AE1055" t="s">
        <v>94</v>
      </c>
      <c r="AF1055" t="s">
        <v>226</v>
      </c>
      <c r="AG1055" t="s">
        <v>226</v>
      </c>
      <c r="AH1055">
        <v>-100</v>
      </c>
      <c r="AI1055" t="s">
        <v>3537</v>
      </c>
      <c r="AJ1055" t="s">
        <v>1976</v>
      </c>
      <c r="AK1055" t="s">
        <v>2416</v>
      </c>
      <c r="AL1055" t="s">
        <v>272</v>
      </c>
    </row>
    <row r="1056" spans="1:38">
      <c r="A1056" t="s">
        <v>4960</v>
      </c>
      <c r="B1056" t="s">
        <v>4961</v>
      </c>
      <c r="C1056" t="s">
        <v>4962</v>
      </c>
      <c r="D1056" t="s">
        <v>4962</v>
      </c>
      <c r="E1056" t="s">
        <v>4963</v>
      </c>
      <c r="F1056" t="s">
        <v>2413</v>
      </c>
      <c r="G1056">
        <v>3</v>
      </c>
      <c r="H1056">
        <v>1</v>
      </c>
      <c r="I1056">
        <v>0.01</v>
      </c>
      <c r="J1056">
        <v>1000</v>
      </c>
      <c r="K1056">
        <v>0</v>
      </c>
      <c r="L1056">
        <v>100.1</v>
      </c>
      <c r="M1056">
        <v>100.11</v>
      </c>
      <c r="N1056">
        <v>100.16</v>
      </c>
      <c r="O1056">
        <v>100.08</v>
      </c>
      <c r="P1056">
        <v>0</v>
      </c>
      <c r="Q1056">
        <v>0</v>
      </c>
      <c r="R1056">
        <v>0</v>
      </c>
      <c r="S1056">
        <v>100.1</v>
      </c>
      <c r="T1056">
        <v>100.1</v>
      </c>
      <c r="U1056">
        <v>100</v>
      </c>
      <c r="V1056">
        <v>100.27</v>
      </c>
      <c r="W1056">
        <v>1431467</v>
      </c>
      <c r="X1056">
        <v>100.02</v>
      </c>
      <c r="Y1056">
        <v>100.11</v>
      </c>
      <c r="Z1056">
        <v>70</v>
      </c>
      <c r="AA1056">
        <v>5000000</v>
      </c>
      <c r="AB1056">
        <v>2002</v>
      </c>
      <c r="AC1056">
        <v>0</v>
      </c>
      <c r="AD1056" t="s">
        <v>94</v>
      </c>
      <c r="AE1056" t="s">
        <v>94</v>
      </c>
      <c r="AF1056" t="s">
        <v>226</v>
      </c>
      <c r="AG1056" t="s">
        <v>226</v>
      </c>
      <c r="AH1056">
        <v>-100</v>
      </c>
      <c r="AI1056" t="s">
        <v>3537</v>
      </c>
      <c r="AJ1056" t="s">
        <v>1976</v>
      </c>
      <c r="AK1056" t="s">
        <v>2416</v>
      </c>
      <c r="AL1056" t="s">
        <v>272</v>
      </c>
    </row>
    <row r="1057" spans="1:38">
      <c r="A1057" t="s">
        <v>4964</v>
      </c>
      <c r="B1057" t="s">
        <v>4965</v>
      </c>
      <c r="C1057" t="s">
        <v>4966</v>
      </c>
      <c r="D1057" t="s">
        <v>4966</v>
      </c>
      <c r="E1057" t="s">
        <v>4967</v>
      </c>
      <c r="F1057" t="s">
        <v>2413</v>
      </c>
      <c r="G1057">
        <v>3</v>
      </c>
      <c r="H1057">
        <v>1</v>
      </c>
      <c r="I1057">
        <v>0.01</v>
      </c>
      <c r="J1057">
        <v>1000</v>
      </c>
      <c r="K1057">
        <v>-0.04</v>
      </c>
      <c r="L1057">
        <v>100.05</v>
      </c>
      <c r="M1057">
        <v>100.09</v>
      </c>
      <c r="N1057">
        <v>100.15</v>
      </c>
      <c r="O1057">
        <v>100.07</v>
      </c>
      <c r="P1057">
        <v>0</v>
      </c>
      <c r="Q1057">
        <v>0</v>
      </c>
      <c r="R1057">
        <v>0</v>
      </c>
      <c r="S1057">
        <v>100.15</v>
      </c>
      <c r="T1057">
        <v>100.1</v>
      </c>
      <c r="U1057">
        <v>100.01</v>
      </c>
      <c r="V1057">
        <v>100.26</v>
      </c>
      <c r="W1057">
        <v>2402547</v>
      </c>
      <c r="X1057">
        <v>100.04</v>
      </c>
      <c r="Y1057">
        <v>100.09</v>
      </c>
      <c r="Z1057">
        <v>102</v>
      </c>
      <c r="AA1057">
        <v>5000000</v>
      </c>
      <c r="AB1057">
        <v>4002</v>
      </c>
      <c r="AC1057">
        <v>0</v>
      </c>
      <c r="AD1057" t="s">
        <v>94</v>
      </c>
      <c r="AE1057" t="s">
        <v>94</v>
      </c>
      <c r="AF1057" t="s">
        <v>226</v>
      </c>
      <c r="AG1057" t="s">
        <v>226</v>
      </c>
      <c r="AH1057">
        <v>-100</v>
      </c>
      <c r="AI1057" t="s">
        <v>3537</v>
      </c>
      <c r="AJ1057" t="s">
        <v>1976</v>
      </c>
      <c r="AK1057" t="s">
        <v>2416</v>
      </c>
      <c r="AL1057" t="s">
        <v>272</v>
      </c>
    </row>
    <row r="1058" spans="1:38">
      <c r="A1058" t="s">
        <v>4968</v>
      </c>
      <c r="B1058" t="s">
        <v>4969</v>
      </c>
      <c r="C1058" t="s">
        <v>4970</v>
      </c>
      <c r="D1058" t="s">
        <v>4970</v>
      </c>
      <c r="E1058" t="s">
        <v>4971</v>
      </c>
      <c r="F1058" t="s">
        <v>2413</v>
      </c>
      <c r="G1058">
        <v>3</v>
      </c>
      <c r="H1058">
        <v>1</v>
      </c>
      <c r="I1058">
        <v>0.01</v>
      </c>
      <c r="J1058">
        <v>1000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93.43</v>
      </c>
      <c r="Y1058">
        <v>0</v>
      </c>
      <c r="Z1058">
        <v>0</v>
      </c>
      <c r="AA1058">
        <v>232906</v>
      </c>
      <c r="AB1058">
        <v>0</v>
      </c>
      <c r="AC1058">
        <v>0</v>
      </c>
      <c r="AD1058" t="s">
        <v>94</v>
      </c>
      <c r="AE1058" t="s">
        <v>94</v>
      </c>
      <c r="AF1058" t="s">
        <v>226</v>
      </c>
      <c r="AG1058" t="s">
        <v>226</v>
      </c>
      <c r="AH1058">
        <v>800</v>
      </c>
      <c r="AI1058" t="s">
        <v>3537</v>
      </c>
      <c r="AJ1058" t="s">
        <v>1976</v>
      </c>
      <c r="AK1058" t="s">
        <v>2416</v>
      </c>
      <c r="AL1058" t="s">
        <v>272</v>
      </c>
    </row>
    <row r="1059" spans="1:38">
      <c r="A1059" t="s">
        <v>4972</v>
      </c>
      <c r="B1059" t="s">
        <v>4973</v>
      </c>
      <c r="C1059" t="s">
        <v>4974</v>
      </c>
      <c r="D1059" t="s">
        <v>4974</v>
      </c>
      <c r="E1059" t="s">
        <v>4975</v>
      </c>
      <c r="F1059" t="s">
        <v>2413</v>
      </c>
      <c r="G1059">
        <v>3</v>
      </c>
      <c r="H1059">
        <v>1</v>
      </c>
      <c r="I1059">
        <v>0.01</v>
      </c>
      <c r="J1059">
        <v>1000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109.79</v>
      </c>
      <c r="Y1059">
        <v>0</v>
      </c>
      <c r="Z1059">
        <v>0</v>
      </c>
      <c r="AA1059">
        <v>86532</v>
      </c>
      <c r="AB1059">
        <v>0</v>
      </c>
      <c r="AC1059">
        <v>0</v>
      </c>
      <c r="AD1059" t="s">
        <v>94</v>
      </c>
      <c r="AE1059" t="s">
        <v>94</v>
      </c>
      <c r="AF1059" t="s">
        <v>226</v>
      </c>
      <c r="AG1059" t="s">
        <v>226</v>
      </c>
      <c r="AH1059">
        <v>800</v>
      </c>
      <c r="AI1059" t="s">
        <v>3537</v>
      </c>
      <c r="AJ1059" t="s">
        <v>1976</v>
      </c>
      <c r="AK1059" t="s">
        <v>2416</v>
      </c>
      <c r="AL1059" t="s">
        <v>272</v>
      </c>
    </row>
    <row r="1060" spans="1:38">
      <c r="A1060" t="s">
        <v>4976</v>
      </c>
      <c r="B1060" t="s">
        <v>4977</v>
      </c>
      <c r="C1060" t="s">
        <v>4978</v>
      </c>
      <c r="D1060" t="s">
        <v>4978</v>
      </c>
      <c r="E1060" t="s">
        <v>4979</v>
      </c>
      <c r="F1060" t="s">
        <v>2413</v>
      </c>
      <c r="G1060">
        <v>1</v>
      </c>
      <c r="H1060">
        <v>1</v>
      </c>
      <c r="I1060">
        <v>0.01</v>
      </c>
      <c r="J1060">
        <v>1000</v>
      </c>
      <c r="K1060">
        <v>3.94</v>
      </c>
      <c r="L1060">
        <v>109.37</v>
      </c>
      <c r="M1060">
        <v>105.22</v>
      </c>
      <c r="N1060">
        <v>103.81</v>
      </c>
      <c r="O1060">
        <v>109.37</v>
      </c>
      <c r="P1060">
        <v>0</v>
      </c>
      <c r="Q1060">
        <v>0</v>
      </c>
      <c r="R1060">
        <v>0</v>
      </c>
      <c r="S1060">
        <v>104.52</v>
      </c>
      <c r="T1060">
        <v>100.44</v>
      </c>
      <c r="U1060">
        <v>100.4</v>
      </c>
      <c r="V1060">
        <v>109.37</v>
      </c>
      <c r="W1060">
        <v>141108</v>
      </c>
      <c r="X1060">
        <v>109.36</v>
      </c>
      <c r="Y1060">
        <v>112.35</v>
      </c>
      <c r="Z1060">
        <v>37</v>
      </c>
      <c r="AA1060">
        <v>10000000</v>
      </c>
      <c r="AB1060">
        <v>1093.7</v>
      </c>
      <c r="AC1060">
        <v>0</v>
      </c>
      <c r="AD1060" t="s">
        <v>94</v>
      </c>
      <c r="AE1060" t="s">
        <v>94</v>
      </c>
      <c r="AF1060" t="s">
        <v>226</v>
      </c>
      <c r="AG1060" t="s">
        <v>226</v>
      </c>
      <c r="AH1060">
        <v>-100</v>
      </c>
      <c r="AI1060" t="s">
        <v>3537</v>
      </c>
      <c r="AJ1060" t="s">
        <v>1976</v>
      </c>
      <c r="AK1060" t="s">
        <v>2416</v>
      </c>
      <c r="AL1060" t="s">
        <v>272</v>
      </c>
    </row>
    <row r="1061" spans="1:38">
      <c r="A1061" t="s">
        <v>4980</v>
      </c>
      <c r="B1061" t="s">
        <v>4981</v>
      </c>
      <c r="C1061" t="s">
        <v>4982</v>
      </c>
      <c r="D1061" t="s">
        <v>4982</v>
      </c>
      <c r="E1061" t="s">
        <v>4983</v>
      </c>
      <c r="F1061" t="s">
        <v>2425</v>
      </c>
      <c r="G1061">
        <v>3</v>
      </c>
      <c r="H1061">
        <v>1</v>
      </c>
      <c r="I1061">
        <v>1E-4</v>
      </c>
      <c r="J1061">
        <v>1000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610</v>
      </c>
      <c r="AB1061">
        <v>0</v>
      </c>
      <c r="AC1061">
        <v>0</v>
      </c>
      <c r="AD1061" t="s">
        <v>2</v>
      </c>
      <c r="AE1061" t="s">
        <v>94</v>
      </c>
      <c r="AF1061" t="s">
        <v>226</v>
      </c>
      <c r="AG1061" t="s">
        <v>226</v>
      </c>
      <c r="AH1061">
        <v>-100</v>
      </c>
      <c r="AI1061" t="s">
        <v>3537</v>
      </c>
      <c r="AJ1061" t="s">
        <v>1976</v>
      </c>
      <c r="AK1061" t="s">
        <v>2426</v>
      </c>
      <c r="AL1061" t="s">
        <v>272</v>
      </c>
    </row>
    <row r="1062" spans="1:38">
      <c r="A1062" t="s">
        <v>4984</v>
      </c>
      <c r="B1062" t="s">
        <v>4985</v>
      </c>
      <c r="C1062" t="s">
        <v>4986</v>
      </c>
      <c r="D1062" t="s">
        <v>4986</v>
      </c>
      <c r="E1062" t="s">
        <v>4987</v>
      </c>
      <c r="F1062" t="s">
        <v>2425</v>
      </c>
      <c r="G1062">
        <v>3</v>
      </c>
      <c r="H1062">
        <v>1</v>
      </c>
      <c r="I1062">
        <v>1E-4</v>
      </c>
      <c r="J1062">
        <v>1000</v>
      </c>
      <c r="K1062">
        <v>-0.3</v>
      </c>
      <c r="L1062">
        <v>49.4</v>
      </c>
      <c r="M1062">
        <v>49.846699999999998</v>
      </c>
      <c r="N1062">
        <v>50.2074</v>
      </c>
      <c r="O1062">
        <v>49.366700000000002</v>
      </c>
      <c r="P1062">
        <v>0</v>
      </c>
      <c r="Q1062">
        <v>0</v>
      </c>
      <c r="R1062">
        <v>0</v>
      </c>
      <c r="S1062">
        <v>49.401200000000003</v>
      </c>
      <c r="T1062">
        <v>50.1</v>
      </c>
      <c r="U1062">
        <v>49.26</v>
      </c>
      <c r="V1062">
        <v>50.4998</v>
      </c>
      <c r="W1062">
        <v>7222252</v>
      </c>
      <c r="X1062">
        <v>49.345500000000001</v>
      </c>
      <c r="Y1062">
        <v>49.4</v>
      </c>
      <c r="Z1062">
        <v>46</v>
      </c>
      <c r="AA1062">
        <v>1698421</v>
      </c>
      <c r="AB1062">
        <v>52456.77</v>
      </c>
      <c r="AC1062">
        <v>0</v>
      </c>
      <c r="AD1062" t="s">
        <v>2</v>
      </c>
      <c r="AE1062" t="s">
        <v>94</v>
      </c>
      <c r="AF1062" t="s">
        <v>304</v>
      </c>
      <c r="AG1062" t="s">
        <v>226</v>
      </c>
      <c r="AH1062">
        <v>0</v>
      </c>
      <c r="AI1062" t="s">
        <v>3537</v>
      </c>
      <c r="AJ1062" t="s">
        <v>1976</v>
      </c>
      <c r="AK1062" t="s">
        <v>2426</v>
      </c>
      <c r="AL1062" t="s">
        <v>272</v>
      </c>
    </row>
    <row r="1063" spans="1:38">
      <c r="A1063" t="s">
        <v>4988</v>
      </c>
      <c r="B1063" t="s">
        <v>4989</v>
      </c>
      <c r="C1063" t="s">
        <v>4990</v>
      </c>
      <c r="D1063" t="s">
        <v>4990</v>
      </c>
      <c r="E1063" t="s">
        <v>4991</v>
      </c>
      <c r="F1063" t="s">
        <v>2425</v>
      </c>
      <c r="G1063">
        <v>3</v>
      </c>
      <c r="H1063">
        <v>1</v>
      </c>
      <c r="I1063">
        <v>0.01</v>
      </c>
      <c r="J1063">
        <v>1000</v>
      </c>
      <c r="K1063">
        <v>0</v>
      </c>
      <c r="L1063">
        <v>0</v>
      </c>
      <c r="M1063">
        <v>90.01</v>
      </c>
      <c r="N1063">
        <v>0</v>
      </c>
      <c r="O1063">
        <v>90.01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85.02</v>
      </c>
      <c r="Y1063">
        <v>90</v>
      </c>
      <c r="Z1063">
        <v>0</v>
      </c>
      <c r="AA1063">
        <v>141465</v>
      </c>
      <c r="AB1063">
        <v>0</v>
      </c>
      <c r="AC1063">
        <v>0</v>
      </c>
      <c r="AD1063" t="s">
        <v>94</v>
      </c>
      <c r="AE1063" t="s">
        <v>94</v>
      </c>
      <c r="AF1063" t="s">
        <v>304</v>
      </c>
      <c r="AG1063" t="s">
        <v>226</v>
      </c>
      <c r="AH1063">
        <v>0</v>
      </c>
      <c r="AI1063" t="s">
        <v>3537</v>
      </c>
      <c r="AJ1063" t="s">
        <v>1976</v>
      </c>
      <c r="AK1063" t="s">
        <v>2426</v>
      </c>
      <c r="AL1063" t="s">
        <v>272</v>
      </c>
    </row>
    <row r="1064" spans="1:38">
      <c r="A1064" t="s">
        <v>4992</v>
      </c>
      <c r="B1064" t="s">
        <v>4993</v>
      </c>
      <c r="C1064" t="s">
        <v>4994</v>
      </c>
      <c r="D1064" t="s">
        <v>4994</v>
      </c>
      <c r="E1064" t="s">
        <v>4995</v>
      </c>
      <c r="F1064" t="s">
        <v>2425</v>
      </c>
      <c r="G1064">
        <v>3</v>
      </c>
      <c r="H1064">
        <v>1</v>
      </c>
      <c r="I1064">
        <v>0.01</v>
      </c>
      <c r="J1064">
        <v>1000</v>
      </c>
      <c r="K1064">
        <v>0</v>
      </c>
      <c r="L1064">
        <v>0</v>
      </c>
      <c r="M1064">
        <v>73.819999999999993</v>
      </c>
      <c r="N1064">
        <v>71.06</v>
      </c>
      <c r="O1064">
        <v>73.819999999999993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64.290000000000006</v>
      </c>
      <c r="Y1064">
        <v>73.819999999999993</v>
      </c>
      <c r="Z1064">
        <v>0</v>
      </c>
      <c r="AA1064">
        <v>241221</v>
      </c>
      <c r="AB1064">
        <v>0</v>
      </c>
      <c r="AC1064">
        <v>0</v>
      </c>
      <c r="AD1064" t="s">
        <v>94</v>
      </c>
      <c r="AE1064" t="s">
        <v>94</v>
      </c>
      <c r="AF1064" t="s">
        <v>304</v>
      </c>
      <c r="AG1064" t="s">
        <v>226</v>
      </c>
      <c r="AH1064">
        <v>0</v>
      </c>
      <c r="AI1064" t="s">
        <v>3537</v>
      </c>
      <c r="AJ1064" t="s">
        <v>1976</v>
      </c>
      <c r="AK1064" t="s">
        <v>2426</v>
      </c>
      <c r="AL1064" t="s">
        <v>272</v>
      </c>
    </row>
    <row r="1065" spans="1:38">
      <c r="A1065" t="s">
        <v>4996</v>
      </c>
      <c r="B1065" t="s">
        <v>4997</v>
      </c>
      <c r="C1065" t="s">
        <v>4998</v>
      </c>
      <c r="D1065" t="s">
        <v>4998</v>
      </c>
      <c r="E1065" t="s">
        <v>4999</v>
      </c>
      <c r="F1065" t="s">
        <v>2425</v>
      </c>
      <c r="G1065">
        <v>3</v>
      </c>
      <c r="H1065">
        <v>1</v>
      </c>
      <c r="I1065">
        <v>0.01</v>
      </c>
      <c r="J1065">
        <v>1000</v>
      </c>
      <c r="K1065">
        <v>-1.65</v>
      </c>
      <c r="L1065">
        <v>65.010000000000005</v>
      </c>
      <c r="M1065">
        <v>66.06</v>
      </c>
      <c r="N1065">
        <v>65.56</v>
      </c>
      <c r="O1065">
        <v>65.010000000000005</v>
      </c>
      <c r="P1065">
        <v>0</v>
      </c>
      <c r="Q1065">
        <v>0</v>
      </c>
      <c r="R1065">
        <v>0</v>
      </c>
      <c r="S1065">
        <v>65.010000000000005</v>
      </c>
      <c r="T1065">
        <v>65.02</v>
      </c>
      <c r="U1065">
        <v>65.010000000000005</v>
      </c>
      <c r="V1065">
        <v>65.02</v>
      </c>
      <c r="W1065">
        <v>6501</v>
      </c>
      <c r="X1065">
        <v>65</v>
      </c>
      <c r="Y1065">
        <v>65.5</v>
      </c>
      <c r="Z1065">
        <v>2</v>
      </c>
      <c r="AA1065">
        <v>573231</v>
      </c>
      <c r="AB1065">
        <v>5850.9</v>
      </c>
      <c r="AC1065">
        <v>0</v>
      </c>
      <c r="AD1065" t="s">
        <v>94</v>
      </c>
      <c r="AE1065" t="s">
        <v>94</v>
      </c>
      <c r="AF1065" t="s">
        <v>304</v>
      </c>
      <c r="AG1065" t="s">
        <v>226</v>
      </c>
      <c r="AH1065">
        <v>0</v>
      </c>
      <c r="AI1065" t="s">
        <v>3537</v>
      </c>
      <c r="AJ1065" t="s">
        <v>1976</v>
      </c>
      <c r="AK1065" t="s">
        <v>2426</v>
      </c>
      <c r="AL1065" t="s">
        <v>272</v>
      </c>
    </row>
    <row r="1066" spans="1:38">
      <c r="A1066" t="s">
        <v>5000</v>
      </c>
      <c r="B1066" t="s">
        <v>5001</v>
      </c>
      <c r="C1066" t="s">
        <v>5002</v>
      </c>
      <c r="D1066" t="s">
        <v>5002</v>
      </c>
      <c r="E1066" t="s">
        <v>5003</v>
      </c>
      <c r="F1066" t="s">
        <v>2425</v>
      </c>
      <c r="G1066">
        <v>3</v>
      </c>
      <c r="H1066">
        <v>1</v>
      </c>
      <c r="I1066">
        <v>0.01</v>
      </c>
      <c r="J1066">
        <v>1000</v>
      </c>
      <c r="K1066">
        <v>0</v>
      </c>
      <c r="L1066">
        <v>0</v>
      </c>
      <c r="M1066">
        <v>83.99</v>
      </c>
      <c r="N1066">
        <v>81.55</v>
      </c>
      <c r="O1066">
        <v>83.99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81.03</v>
      </c>
      <c r="Y1066">
        <v>84.3</v>
      </c>
      <c r="Z1066">
        <v>0</v>
      </c>
      <c r="AA1066">
        <v>603899</v>
      </c>
      <c r="AB1066">
        <v>0</v>
      </c>
      <c r="AC1066">
        <v>0</v>
      </c>
      <c r="AD1066" t="s">
        <v>94</v>
      </c>
      <c r="AE1066" t="s">
        <v>94</v>
      </c>
      <c r="AF1066" t="s">
        <v>304</v>
      </c>
      <c r="AG1066" t="s">
        <v>226</v>
      </c>
      <c r="AH1066">
        <v>0</v>
      </c>
      <c r="AI1066" t="s">
        <v>3537</v>
      </c>
      <c r="AJ1066" t="s">
        <v>1976</v>
      </c>
      <c r="AK1066" t="s">
        <v>2426</v>
      </c>
      <c r="AL1066" t="s">
        <v>272</v>
      </c>
    </row>
    <row r="1067" spans="1:38">
      <c r="A1067" t="s">
        <v>5004</v>
      </c>
      <c r="B1067" t="s">
        <v>5005</v>
      </c>
      <c r="C1067" t="s">
        <v>5006</v>
      </c>
      <c r="D1067" t="s">
        <v>5006</v>
      </c>
      <c r="E1067" t="s">
        <v>5007</v>
      </c>
      <c r="F1067" t="s">
        <v>2425</v>
      </c>
      <c r="G1067">
        <v>3</v>
      </c>
      <c r="H1067">
        <v>1</v>
      </c>
      <c r="I1067">
        <v>0.01</v>
      </c>
      <c r="J1067">
        <v>1000</v>
      </c>
      <c r="K1067">
        <v>4.92</v>
      </c>
      <c r="L1067">
        <v>83.95</v>
      </c>
      <c r="M1067">
        <v>80.010000000000005</v>
      </c>
      <c r="N1067">
        <v>80.739999999999995</v>
      </c>
      <c r="O1067">
        <v>83.95</v>
      </c>
      <c r="P1067">
        <v>0</v>
      </c>
      <c r="Q1067">
        <v>0</v>
      </c>
      <c r="R1067">
        <v>0</v>
      </c>
      <c r="S1067">
        <v>83.95</v>
      </c>
      <c r="T1067">
        <v>83.94</v>
      </c>
      <c r="U1067">
        <v>83.94</v>
      </c>
      <c r="V1067">
        <v>83.95</v>
      </c>
      <c r="W1067">
        <v>335800</v>
      </c>
      <c r="X1067">
        <v>76.11</v>
      </c>
      <c r="Y1067">
        <v>84</v>
      </c>
      <c r="Z1067">
        <v>2</v>
      </c>
      <c r="AA1067">
        <v>222510</v>
      </c>
      <c r="AB1067">
        <v>334960.5</v>
      </c>
      <c r="AC1067">
        <v>0</v>
      </c>
      <c r="AD1067" t="s">
        <v>94</v>
      </c>
      <c r="AE1067" t="s">
        <v>94</v>
      </c>
      <c r="AF1067" t="s">
        <v>304</v>
      </c>
      <c r="AG1067" t="s">
        <v>226</v>
      </c>
      <c r="AH1067">
        <v>0</v>
      </c>
      <c r="AI1067" t="s">
        <v>3537</v>
      </c>
      <c r="AJ1067" t="s">
        <v>1976</v>
      </c>
      <c r="AK1067" t="s">
        <v>2426</v>
      </c>
      <c r="AL1067" t="s">
        <v>272</v>
      </c>
    </row>
    <row r="1068" spans="1:38">
      <c r="A1068" t="s">
        <v>5008</v>
      </c>
      <c r="B1068" t="s">
        <v>5009</v>
      </c>
      <c r="C1068" t="s">
        <v>5010</v>
      </c>
      <c r="D1068" t="s">
        <v>5010</v>
      </c>
      <c r="E1068" t="s">
        <v>5011</v>
      </c>
      <c r="F1068" t="s">
        <v>2425</v>
      </c>
      <c r="G1068">
        <v>3</v>
      </c>
      <c r="H1068">
        <v>1</v>
      </c>
      <c r="I1068">
        <v>0.01</v>
      </c>
      <c r="J1068">
        <v>1000</v>
      </c>
      <c r="K1068">
        <v>0</v>
      </c>
      <c r="L1068">
        <v>0</v>
      </c>
      <c r="M1068">
        <v>67</v>
      </c>
      <c r="N1068">
        <v>60.29</v>
      </c>
      <c r="O1068">
        <v>67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59.01</v>
      </c>
      <c r="Y1068">
        <v>65.91</v>
      </c>
      <c r="Z1068">
        <v>0</v>
      </c>
      <c r="AA1068">
        <v>427987</v>
      </c>
      <c r="AB1068">
        <v>0</v>
      </c>
      <c r="AC1068">
        <v>0</v>
      </c>
      <c r="AD1068" t="s">
        <v>94</v>
      </c>
      <c r="AE1068" t="s">
        <v>94</v>
      </c>
      <c r="AF1068" t="s">
        <v>304</v>
      </c>
      <c r="AG1068" t="s">
        <v>226</v>
      </c>
      <c r="AH1068">
        <v>0</v>
      </c>
      <c r="AI1068" t="s">
        <v>3537</v>
      </c>
      <c r="AJ1068" t="s">
        <v>1976</v>
      </c>
      <c r="AK1068" t="s">
        <v>2426</v>
      </c>
      <c r="AL1068" t="s">
        <v>272</v>
      </c>
    </row>
    <row r="1069" spans="1:38">
      <c r="A1069" t="s">
        <v>5012</v>
      </c>
      <c r="B1069" t="s">
        <v>5013</v>
      </c>
      <c r="C1069" t="s">
        <v>5014</v>
      </c>
      <c r="D1069" t="s">
        <v>5014</v>
      </c>
      <c r="E1069" t="s">
        <v>5015</v>
      </c>
      <c r="F1069" t="s">
        <v>2425</v>
      </c>
      <c r="G1069">
        <v>3</v>
      </c>
      <c r="H1069">
        <v>1</v>
      </c>
      <c r="I1069">
        <v>0.01</v>
      </c>
      <c r="J1069">
        <v>1000</v>
      </c>
      <c r="K1069">
        <v>5.09</v>
      </c>
      <c r="L1069">
        <v>81.99</v>
      </c>
      <c r="M1069">
        <v>80.36</v>
      </c>
      <c r="N1069">
        <v>80.89</v>
      </c>
      <c r="O1069">
        <v>81.99</v>
      </c>
      <c r="P1069">
        <v>0</v>
      </c>
      <c r="Q1069">
        <v>0</v>
      </c>
      <c r="R1069">
        <v>0</v>
      </c>
      <c r="S1069">
        <v>81.99</v>
      </c>
      <c r="T1069">
        <v>81.99</v>
      </c>
      <c r="U1069">
        <v>81.99</v>
      </c>
      <c r="V1069">
        <v>81.99</v>
      </c>
      <c r="W1069">
        <v>15578</v>
      </c>
      <c r="X1069">
        <v>78.069999999999993</v>
      </c>
      <c r="Y1069">
        <v>81.99</v>
      </c>
      <c r="Z1069">
        <v>2</v>
      </c>
      <c r="AA1069">
        <v>381656</v>
      </c>
      <c r="AB1069">
        <v>9018.9</v>
      </c>
      <c r="AC1069">
        <v>0</v>
      </c>
      <c r="AD1069" t="s">
        <v>94</v>
      </c>
      <c r="AE1069" t="s">
        <v>94</v>
      </c>
      <c r="AF1069" t="s">
        <v>304</v>
      </c>
      <c r="AG1069" t="s">
        <v>226</v>
      </c>
      <c r="AH1069">
        <v>0</v>
      </c>
      <c r="AI1069" t="s">
        <v>3537</v>
      </c>
      <c r="AJ1069" t="s">
        <v>1976</v>
      </c>
      <c r="AK1069" t="s">
        <v>2426</v>
      </c>
      <c r="AL1069" t="s">
        <v>272</v>
      </c>
    </row>
    <row r="1070" spans="1:38">
      <c r="A1070" t="s">
        <v>5016</v>
      </c>
      <c r="B1070" t="s">
        <v>5017</v>
      </c>
      <c r="C1070" t="s">
        <v>5018</v>
      </c>
      <c r="D1070" t="s">
        <v>5018</v>
      </c>
      <c r="E1070" t="s">
        <v>5019</v>
      </c>
      <c r="F1070" t="s">
        <v>2425</v>
      </c>
      <c r="G1070">
        <v>3</v>
      </c>
      <c r="H1070">
        <v>1</v>
      </c>
      <c r="I1070">
        <v>0.01</v>
      </c>
      <c r="J1070">
        <v>1000</v>
      </c>
      <c r="K1070">
        <v>0</v>
      </c>
      <c r="L1070">
        <v>0</v>
      </c>
      <c r="M1070">
        <v>62.5</v>
      </c>
      <c r="N1070">
        <v>62.55</v>
      </c>
      <c r="O1070">
        <v>62.5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61.21</v>
      </c>
      <c r="Y1070">
        <v>67.64</v>
      </c>
      <c r="Z1070">
        <v>0</v>
      </c>
      <c r="AA1070">
        <v>143255</v>
      </c>
      <c r="AB1070">
        <v>0</v>
      </c>
      <c r="AC1070">
        <v>0</v>
      </c>
      <c r="AD1070" t="s">
        <v>94</v>
      </c>
      <c r="AE1070" t="s">
        <v>94</v>
      </c>
      <c r="AF1070" t="s">
        <v>304</v>
      </c>
      <c r="AG1070" t="s">
        <v>226</v>
      </c>
      <c r="AH1070">
        <v>0</v>
      </c>
      <c r="AI1070" t="s">
        <v>3537</v>
      </c>
      <c r="AJ1070" t="s">
        <v>1976</v>
      </c>
      <c r="AK1070" t="s">
        <v>2426</v>
      </c>
      <c r="AL1070" t="s">
        <v>272</v>
      </c>
    </row>
    <row r="1071" spans="1:38">
      <c r="A1071" t="s">
        <v>5020</v>
      </c>
      <c r="B1071" t="s">
        <v>5021</v>
      </c>
      <c r="C1071" t="s">
        <v>5022</v>
      </c>
      <c r="D1071" t="s">
        <v>5022</v>
      </c>
      <c r="E1071" t="s">
        <v>5023</v>
      </c>
      <c r="F1071" t="s">
        <v>2425</v>
      </c>
      <c r="G1071">
        <v>3</v>
      </c>
      <c r="H1071">
        <v>1</v>
      </c>
      <c r="I1071">
        <v>0.01</v>
      </c>
      <c r="J1071">
        <v>1000</v>
      </c>
      <c r="K1071">
        <v>0</v>
      </c>
      <c r="L1071">
        <v>0</v>
      </c>
      <c r="M1071">
        <v>79.010000000000005</v>
      </c>
      <c r="N1071">
        <v>68.89</v>
      </c>
      <c r="O1071">
        <v>79.010000000000005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74.010000000000005</v>
      </c>
      <c r="Y1071">
        <v>80</v>
      </c>
      <c r="Z1071">
        <v>0</v>
      </c>
      <c r="AA1071">
        <v>275155</v>
      </c>
      <c r="AB1071">
        <v>0</v>
      </c>
      <c r="AC1071">
        <v>0</v>
      </c>
      <c r="AD1071" t="s">
        <v>94</v>
      </c>
      <c r="AE1071" t="s">
        <v>94</v>
      </c>
      <c r="AF1071" t="s">
        <v>304</v>
      </c>
      <c r="AG1071" t="s">
        <v>226</v>
      </c>
      <c r="AH1071">
        <v>0</v>
      </c>
      <c r="AI1071" t="s">
        <v>3537</v>
      </c>
      <c r="AJ1071" t="s">
        <v>1976</v>
      </c>
      <c r="AK1071" t="s">
        <v>2426</v>
      </c>
      <c r="AL1071" t="s">
        <v>272</v>
      </c>
    </row>
    <row r="1072" spans="1:38">
      <c r="A1072" t="s">
        <v>5024</v>
      </c>
      <c r="B1072" t="s">
        <v>5025</v>
      </c>
      <c r="C1072" t="s">
        <v>5026</v>
      </c>
      <c r="D1072" t="s">
        <v>5026</v>
      </c>
      <c r="E1072" t="s">
        <v>5027</v>
      </c>
      <c r="F1072" t="s">
        <v>2425</v>
      </c>
      <c r="G1072">
        <v>3</v>
      </c>
      <c r="H1072">
        <v>1</v>
      </c>
      <c r="I1072">
        <v>0.01</v>
      </c>
      <c r="J1072">
        <v>10000000</v>
      </c>
      <c r="K1072">
        <v>0</v>
      </c>
      <c r="L1072">
        <v>0</v>
      </c>
      <c r="M1072">
        <v>70</v>
      </c>
      <c r="N1072">
        <v>74.180000000000007</v>
      </c>
      <c r="O1072">
        <v>70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67.510000000000005</v>
      </c>
      <c r="Y1072">
        <v>74</v>
      </c>
      <c r="Z1072">
        <v>0</v>
      </c>
      <c r="AA1072">
        <v>2000</v>
      </c>
      <c r="AB1072">
        <v>0</v>
      </c>
      <c r="AC1072">
        <v>0</v>
      </c>
      <c r="AD1072" t="s">
        <v>94</v>
      </c>
      <c r="AE1072" t="s">
        <v>94</v>
      </c>
      <c r="AF1072" t="s">
        <v>304</v>
      </c>
      <c r="AG1072" t="s">
        <v>226</v>
      </c>
      <c r="AH1072">
        <v>0</v>
      </c>
      <c r="AI1072" t="s">
        <v>3537</v>
      </c>
      <c r="AJ1072" t="s">
        <v>1976</v>
      </c>
      <c r="AK1072" t="s">
        <v>2426</v>
      </c>
      <c r="AL1072" t="s">
        <v>272</v>
      </c>
    </row>
    <row r="1073" spans="1:38">
      <c r="A1073" t="s">
        <v>5028</v>
      </c>
      <c r="B1073" t="s">
        <v>5029</v>
      </c>
      <c r="C1073" t="s">
        <v>5030</v>
      </c>
      <c r="D1073" t="s">
        <v>5030</v>
      </c>
      <c r="E1073" t="s">
        <v>5031</v>
      </c>
      <c r="F1073" t="s">
        <v>2413</v>
      </c>
      <c r="G1073">
        <v>3</v>
      </c>
      <c r="H1073">
        <v>1</v>
      </c>
      <c r="I1073">
        <v>0.01</v>
      </c>
      <c r="J1073">
        <v>1000</v>
      </c>
      <c r="K1073">
        <v>-0.38</v>
      </c>
      <c r="L1073">
        <v>96.87</v>
      </c>
      <c r="M1073">
        <v>97.24</v>
      </c>
      <c r="N1073">
        <v>97.37</v>
      </c>
      <c r="O1073">
        <v>96.82</v>
      </c>
      <c r="P1073">
        <v>0</v>
      </c>
      <c r="Q1073">
        <v>0</v>
      </c>
      <c r="R1073">
        <v>0</v>
      </c>
      <c r="S1073">
        <v>96.97</v>
      </c>
      <c r="T1073">
        <v>97.24</v>
      </c>
      <c r="U1073">
        <v>95.26</v>
      </c>
      <c r="V1073">
        <v>98</v>
      </c>
      <c r="W1073">
        <v>668143</v>
      </c>
      <c r="X1073">
        <v>96.53</v>
      </c>
      <c r="Y1073">
        <v>97.31</v>
      </c>
      <c r="Z1073">
        <v>109</v>
      </c>
      <c r="AA1073">
        <v>1000000</v>
      </c>
      <c r="AB1073">
        <v>8718.2999999999993</v>
      </c>
      <c r="AC1073">
        <v>0</v>
      </c>
      <c r="AD1073" t="s">
        <v>94</v>
      </c>
      <c r="AE1073" t="s">
        <v>94</v>
      </c>
      <c r="AF1073" t="s">
        <v>226</v>
      </c>
      <c r="AG1073" t="s">
        <v>226</v>
      </c>
      <c r="AH1073">
        <v>6</v>
      </c>
      <c r="AI1073" t="s">
        <v>3537</v>
      </c>
      <c r="AJ1073" t="s">
        <v>1976</v>
      </c>
      <c r="AK1073" t="s">
        <v>2416</v>
      </c>
      <c r="AL1073" t="s">
        <v>272</v>
      </c>
    </row>
    <row r="1074" spans="1:38">
      <c r="A1074" t="s">
        <v>5032</v>
      </c>
      <c r="B1074" t="s">
        <v>5033</v>
      </c>
      <c r="C1074" t="s">
        <v>5034</v>
      </c>
      <c r="D1074" t="s">
        <v>5034</v>
      </c>
      <c r="E1074" t="s">
        <v>5035</v>
      </c>
      <c r="F1074" t="s">
        <v>2413</v>
      </c>
      <c r="G1074">
        <v>3</v>
      </c>
      <c r="H1074">
        <v>1</v>
      </c>
      <c r="I1074">
        <v>0.01</v>
      </c>
      <c r="J1074">
        <v>1000</v>
      </c>
      <c r="K1074">
        <v>0.05</v>
      </c>
      <c r="L1074">
        <v>100.25</v>
      </c>
      <c r="M1074">
        <v>100.2</v>
      </c>
      <c r="N1074">
        <v>100.17</v>
      </c>
      <c r="O1074">
        <v>100.25</v>
      </c>
      <c r="P1074">
        <v>0</v>
      </c>
      <c r="Q1074">
        <v>0</v>
      </c>
      <c r="R1074">
        <v>0</v>
      </c>
      <c r="S1074">
        <v>100.14</v>
      </c>
      <c r="T1074">
        <v>100.05</v>
      </c>
      <c r="U1074">
        <v>99.99</v>
      </c>
      <c r="V1074">
        <v>100.4</v>
      </c>
      <c r="W1074">
        <v>3276483</v>
      </c>
      <c r="X1074">
        <v>100.24</v>
      </c>
      <c r="Y1074">
        <v>100.25</v>
      </c>
      <c r="Z1074">
        <v>130</v>
      </c>
      <c r="AA1074">
        <v>388175</v>
      </c>
      <c r="AB1074">
        <v>1002.5</v>
      </c>
      <c r="AC1074">
        <v>0</v>
      </c>
      <c r="AD1074" t="s">
        <v>94</v>
      </c>
      <c r="AE1074" t="s">
        <v>94</v>
      </c>
      <c r="AF1074" t="s">
        <v>226</v>
      </c>
      <c r="AG1074" t="s">
        <v>226</v>
      </c>
      <c r="AH1074">
        <v>6</v>
      </c>
      <c r="AI1074" t="s">
        <v>3537</v>
      </c>
      <c r="AJ1074" t="s">
        <v>1976</v>
      </c>
      <c r="AK1074" t="s">
        <v>2416</v>
      </c>
      <c r="AL1074" t="s">
        <v>272</v>
      </c>
    </row>
    <row r="1075" spans="1:38">
      <c r="A1075" t="s">
        <v>5036</v>
      </c>
      <c r="B1075" t="s">
        <v>5037</v>
      </c>
      <c r="C1075" t="s">
        <v>5038</v>
      </c>
      <c r="D1075" t="s">
        <v>5038</v>
      </c>
      <c r="E1075" t="s">
        <v>5039</v>
      </c>
      <c r="F1075" t="s">
        <v>2425</v>
      </c>
      <c r="G1075">
        <v>1</v>
      </c>
      <c r="H1075">
        <v>1</v>
      </c>
      <c r="I1075">
        <v>0.01</v>
      </c>
      <c r="J1075">
        <v>695.61</v>
      </c>
      <c r="K1075">
        <v>-7.0000000000000007E-2</v>
      </c>
      <c r="L1075">
        <v>87.11</v>
      </c>
      <c r="M1075">
        <v>87.17</v>
      </c>
      <c r="N1075">
        <v>87.35</v>
      </c>
      <c r="O1075">
        <v>87.1</v>
      </c>
      <c r="P1075">
        <v>0</v>
      </c>
      <c r="Q1075">
        <v>0</v>
      </c>
      <c r="R1075">
        <v>0</v>
      </c>
      <c r="S1075">
        <v>87.12</v>
      </c>
      <c r="T1075">
        <v>87.17</v>
      </c>
      <c r="U1075">
        <v>87.08</v>
      </c>
      <c r="V1075">
        <v>87.48</v>
      </c>
      <c r="W1075">
        <v>25523882</v>
      </c>
      <c r="X1075">
        <v>87.1</v>
      </c>
      <c r="Y1075">
        <v>87.11</v>
      </c>
      <c r="Z1075">
        <v>637</v>
      </c>
      <c r="AA1075">
        <v>35000000</v>
      </c>
      <c r="AB1075">
        <v>10301.08</v>
      </c>
      <c r="AC1075">
        <v>0</v>
      </c>
      <c r="AD1075" t="s">
        <v>94</v>
      </c>
      <c r="AE1075" t="s">
        <v>94</v>
      </c>
      <c r="AF1075" t="s">
        <v>226</v>
      </c>
      <c r="AG1075" t="s">
        <v>226</v>
      </c>
      <c r="AH1075">
        <v>-100</v>
      </c>
      <c r="AI1075" t="s">
        <v>3537</v>
      </c>
      <c r="AJ1075" t="s">
        <v>1976</v>
      </c>
      <c r="AK1075" t="s">
        <v>2426</v>
      </c>
      <c r="AL1075" t="s">
        <v>272</v>
      </c>
    </row>
    <row r="1076" spans="1:38">
      <c r="A1076" t="s">
        <v>5040</v>
      </c>
      <c r="B1076" t="s">
        <v>5041</v>
      </c>
      <c r="C1076" t="s">
        <v>5042</v>
      </c>
      <c r="D1076" t="s">
        <v>5042</v>
      </c>
      <c r="E1076" t="s">
        <v>5043</v>
      </c>
      <c r="F1076" t="s">
        <v>2425</v>
      </c>
      <c r="G1076">
        <v>3</v>
      </c>
      <c r="H1076">
        <v>1</v>
      </c>
      <c r="I1076">
        <v>0.01</v>
      </c>
      <c r="J1076">
        <v>1000</v>
      </c>
      <c r="K1076">
        <v>0</v>
      </c>
      <c r="L1076">
        <v>55</v>
      </c>
      <c r="M1076">
        <v>0</v>
      </c>
      <c r="N1076">
        <v>0</v>
      </c>
      <c r="O1076">
        <v>55</v>
      </c>
      <c r="P1076">
        <v>0</v>
      </c>
      <c r="Q1076">
        <v>0</v>
      </c>
      <c r="R1076">
        <v>0</v>
      </c>
      <c r="S1076">
        <v>55</v>
      </c>
      <c r="T1076">
        <v>55</v>
      </c>
      <c r="U1076">
        <v>55</v>
      </c>
      <c r="V1076">
        <v>55.01</v>
      </c>
      <c r="W1076">
        <v>179853</v>
      </c>
      <c r="X1076">
        <v>50.6</v>
      </c>
      <c r="Y1076">
        <v>55</v>
      </c>
      <c r="Z1076">
        <v>3</v>
      </c>
      <c r="AA1076">
        <v>5337074</v>
      </c>
      <c r="AB1076">
        <v>110000</v>
      </c>
      <c r="AC1076">
        <v>0</v>
      </c>
      <c r="AD1076" t="s">
        <v>94</v>
      </c>
      <c r="AE1076" t="s">
        <v>94</v>
      </c>
      <c r="AF1076" t="s">
        <v>304</v>
      </c>
      <c r="AG1076" t="s">
        <v>226</v>
      </c>
      <c r="AH1076">
        <v>0</v>
      </c>
      <c r="AI1076" t="s">
        <v>3537</v>
      </c>
      <c r="AJ1076" t="s">
        <v>1976</v>
      </c>
      <c r="AK1076" t="s">
        <v>2426</v>
      </c>
      <c r="AL1076" t="s">
        <v>272</v>
      </c>
    </row>
    <row r="1077" spans="1:38">
      <c r="A1077" t="s">
        <v>5044</v>
      </c>
      <c r="B1077" t="s">
        <v>5045</v>
      </c>
      <c r="C1077" t="s">
        <v>5046</v>
      </c>
      <c r="D1077" t="s">
        <v>5046</v>
      </c>
      <c r="E1077" t="s">
        <v>5047</v>
      </c>
      <c r="F1077" t="s">
        <v>2425</v>
      </c>
      <c r="G1077">
        <v>3</v>
      </c>
      <c r="H1077">
        <v>1</v>
      </c>
      <c r="I1077">
        <v>1E-4</v>
      </c>
      <c r="J1077">
        <v>125000</v>
      </c>
      <c r="K1077">
        <v>0</v>
      </c>
      <c r="L1077">
        <v>0</v>
      </c>
      <c r="M1077">
        <v>96.961399999999998</v>
      </c>
      <c r="N1077">
        <v>0</v>
      </c>
      <c r="O1077">
        <v>96.961399999999998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70</v>
      </c>
      <c r="Z1077">
        <v>0</v>
      </c>
      <c r="AA1077">
        <v>400</v>
      </c>
      <c r="AB1077">
        <v>0</v>
      </c>
      <c r="AC1077">
        <v>0</v>
      </c>
      <c r="AD1077" t="s">
        <v>4</v>
      </c>
      <c r="AE1077" t="s">
        <v>94</v>
      </c>
      <c r="AF1077" t="s">
        <v>304</v>
      </c>
      <c r="AG1077" t="s">
        <v>226</v>
      </c>
      <c r="AH1077">
        <v>0</v>
      </c>
      <c r="AI1077" t="s">
        <v>3537</v>
      </c>
      <c r="AJ1077" t="s">
        <v>1976</v>
      </c>
      <c r="AK1077" t="s">
        <v>2426</v>
      </c>
      <c r="AL1077" t="s">
        <v>272</v>
      </c>
    </row>
    <row r="1078" spans="1:38">
      <c r="A1078" t="s">
        <v>5048</v>
      </c>
      <c r="B1078" t="s">
        <v>5049</v>
      </c>
      <c r="C1078" t="s">
        <v>5050</v>
      </c>
      <c r="D1078" t="s">
        <v>5050</v>
      </c>
      <c r="E1078" t="s">
        <v>5051</v>
      </c>
      <c r="F1078" t="s">
        <v>2425</v>
      </c>
      <c r="G1078">
        <v>3</v>
      </c>
      <c r="H1078">
        <v>1</v>
      </c>
      <c r="I1078">
        <v>0.01</v>
      </c>
      <c r="J1078">
        <v>10000000</v>
      </c>
      <c r="K1078">
        <v>0</v>
      </c>
      <c r="L1078">
        <v>0</v>
      </c>
      <c r="M1078">
        <v>37</v>
      </c>
      <c r="N1078">
        <v>47.54</v>
      </c>
      <c r="O1078">
        <v>37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35.51</v>
      </c>
      <c r="Y1078">
        <v>51.2</v>
      </c>
      <c r="Z1078">
        <v>0</v>
      </c>
      <c r="AA1078">
        <v>1851</v>
      </c>
      <c r="AB1078">
        <v>0</v>
      </c>
      <c r="AC1078">
        <v>0</v>
      </c>
      <c r="AD1078" t="s">
        <v>94</v>
      </c>
      <c r="AE1078" t="s">
        <v>94</v>
      </c>
      <c r="AF1078" t="s">
        <v>304</v>
      </c>
      <c r="AG1078" t="s">
        <v>226</v>
      </c>
      <c r="AH1078">
        <v>0</v>
      </c>
      <c r="AI1078" t="s">
        <v>3537</v>
      </c>
      <c r="AJ1078" t="s">
        <v>1976</v>
      </c>
      <c r="AK1078" t="s">
        <v>2426</v>
      </c>
      <c r="AL1078" t="s">
        <v>272</v>
      </c>
    </row>
    <row r="1079" spans="1:38">
      <c r="A1079" t="s">
        <v>5052</v>
      </c>
      <c r="B1079" t="s">
        <v>5053</v>
      </c>
      <c r="C1079" t="s">
        <v>5054</v>
      </c>
      <c r="D1079" t="s">
        <v>5054</v>
      </c>
      <c r="E1079" t="s">
        <v>5055</v>
      </c>
      <c r="F1079" t="s">
        <v>2425</v>
      </c>
      <c r="G1079">
        <v>3</v>
      </c>
      <c r="H1079">
        <v>1</v>
      </c>
      <c r="I1079">
        <v>0.01</v>
      </c>
      <c r="J1079">
        <v>10000000</v>
      </c>
      <c r="K1079">
        <v>4.84</v>
      </c>
      <c r="L1079">
        <v>65</v>
      </c>
      <c r="M1079">
        <v>62</v>
      </c>
      <c r="N1079">
        <v>66.180000000000007</v>
      </c>
      <c r="O1079">
        <v>65</v>
      </c>
      <c r="P1079">
        <v>0</v>
      </c>
      <c r="Q1079">
        <v>0</v>
      </c>
      <c r="R1079">
        <v>0</v>
      </c>
      <c r="S1079">
        <v>65</v>
      </c>
      <c r="T1079">
        <v>65</v>
      </c>
      <c r="U1079">
        <v>65</v>
      </c>
      <c r="V1079">
        <v>65</v>
      </c>
      <c r="W1079">
        <v>6500000</v>
      </c>
      <c r="X1079">
        <v>61</v>
      </c>
      <c r="Y1079">
        <v>65.47</v>
      </c>
      <c r="Z1079">
        <v>1</v>
      </c>
      <c r="AA1079">
        <v>2900</v>
      </c>
      <c r="AB1079">
        <v>6500000</v>
      </c>
      <c r="AC1079">
        <v>0</v>
      </c>
      <c r="AD1079" t="s">
        <v>94</v>
      </c>
      <c r="AE1079" t="s">
        <v>94</v>
      </c>
      <c r="AF1079" t="s">
        <v>304</v>
      </c>
      <c r="AG1079" t="s">
        <v>226</v>
      </c>
      <c r="AH1079">
        <v>0</v>
      </c>
      <c r="AI1079" t="s">
        <v>3537</v>
      </c>
      <c r="AJ1079" t="s">
        <v>1976</v>
      </c>
      <c r="AK1079" t="s">
        <v>2426</v>
      </c>
      <c r="AL1079" t="s">
        <v>272</v>
      </c>
    </row>
    <row r="1080" spans="1:38">
      <c r="A1080" t="s">
        <v>5056</v>
      </c>
      <c r="B1080" t="s">
        <v>5057</v>
      </c>
      <c r="C1080" t="s">
        <v>5058</v>
      </c>
      <c r="D1080" t="s">
        <v>5058</v>
      </c>
      <c r="E1080" t="s">
        <v>5059</v>
      </c>
      <c r="F1080" t="s">
        <v>2425</v>
      </c>
      <c r="G1080">
        <v>3</v>
      </c>
      <c r="H1080">
        <v>1</v>
      </c>
      <c r="I1080">
        <v>0.01</v>
      </c>
      <c r="J1080">
        <v>10000000</v>
      </c>
      <c r="K1080">
        <v>0</v>
      </c>
      <c r="L1080">
        <v>0</v>
      </c>
      <c r="M1080">
        <v>63</v>
      </c>
      <c r="N1080">
        <v>59.21</v>
      </c>
      <c r="O1080">
        <v>63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50.04</v>
      </c>
      <c r="Y1080">
        <v>68.989999999999995</v>
      </c>
      <c r="Z1080">
        <v>0</v>
      </c>
      <c r="AA1080">
        <v>844</v>
      </c>
      <c r="AB1080">
        <v>0</v>
      </c>
      <c r="AC1080">
        <v>0</v>
      </c>
      <c r="AD1080" t="s">
        <v>94</v>
      </c>
      <c r="AE1080" t="s">
        <v>94</v>
      </c>
      <c r="AF1080" t="s">
        <v>304</v>
      </c>
      <c r="AG1080" t="s">
        <v>226</v>
      </c>
      <c r="AH1080">
        <v>0</v>
      </c>
      <c r="AI1080" t="s">
        <v>3537</v>
      </c>
      <c r="AJ1080" t="s">
        <v>1976</v>
      </c>
      <c r="AK1080" t="s">
        <v>2426</v>
      </c>
      <c r="AL1080" t="s">
        <v>272</v>
      </c>
    </row>
    <row r="1081" spans="1:38">
      <c r="A1081" t="s">
        <v>5060</v>
      </c>
      <c r="B1081" t="s">
        <v>5061</v>
      </c>
      <c r="C1081" t="s">
        <v>5062</v>
      </c>
      <c r="D1081" t="s">
        <v>5062</v>
      </c>
      <c r="E1081" t="s">
        <v>5063</v>
      </c>
      <c r="F1081" t="s">
        <v>2425</v>
      </c>
      <c r="G1081">
        <v>3</v>
      </c>
      <c r="H1081">
        <v>1</v>
      </c>
      <c r="I1081">
        <v>1E-4</v>
      </c>
      <c r="J1081">
        <v>150000</v>
      </c>
      <c r="K1081">
        <v>0</v>
      </c>
      <c r="L1081">
        <v>0</v>
      </c>
      <c r="M1081">
        <v>50</v>
      </c>
      <c r="N1081">
        <v>53.579000000000001</v>
      </c>
      <c r="O1081">
        <v>50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46.000100000000003</v>
      </c>
      <c r="Y1081">
        <v>50</v>
      </c>
      <c r="Z1081">
        <v>0</v>
      </c>
      <c r="AA1081">
        <v>1100</v>
      </c>
      <c r="AB1081">
        <v>0</v>
      </c>
      <c r="AC1081">
        <v>0</v>
      </c>
      <c r="AD1081" t="s">
        <v>2</v>
      </c>
      <c r="AE1081" t="s">
        <v>94</v>
      </c>
      <c r="AF1081" t="s">
        <v>304</v>
      </c>
      <c r="AG1081" t="s">
        <v>226</v>
      </c>
      <c r="AH1081">
        <v>0</v>
      </c>
      <c r="AI1081" t="s">
        <v>3537</v>
      </c>
      <c r="AJ1081" t="s">
        <v>1976</v>
      </c>
      <c r="AK1081" t="s">
        <v>2426</v>
      </c>
      <c r="AL1081" t="s">
        <v>272</v>
      </c>
    </row>
    <row r="1082" spans="1:38">
      <c r="A1082" t="s">
        <v>5064</v>
      </c>
      <c r="B1082" t="s">
        <v>5065</v>
      </c>
      <c r="C1082" t="s">
        <v>5066</v>
      </c>
      <c r="D1082" t="s">
        <v>5066</v>
      </c>
      <c r="E1082" t="s">
        <v>5067</v>
      </c>
      <c r="F1082" t="s">
        <v>2425</v>
      </c>
      <c r="G1082">
        <v>3</v>
      </c>
      <c r="H1082">
        <v>1</v>
      </c>
      <c r="I1082">
        <v>1E-4</v>
      </c>
      <c r="J1082">
        <v>125000</v>
      </c>
      <c r="K1082">
        <v>0</v>
      </c>
      <c r="L1082">
        <v>0</v>
      </c>
      <c r="M1082">
        <v>30.0001</v>
      </c>
      <c r="N1082">
        <v>30.4955</v>
      </c>
      <c r="O1082">
        <v>30.0001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28.5001</v>
      </c>
      <c r="Y1082">
        <v>30.501000000000001</v>
      </c>
      <c r="Z1082">
        <v>0</v>
      </c>
      <c r="AA1082">
        <v>800</v>
      </c>
      <c r="AB1082">
        <v>0</v>
      </c>
      <c r="AC1082">
        <v>0</v>
      </c>
      <c r="AD1082" t="s">
        <v>4</v>
      </c>
      <c r="AE1082" t="s">
        <v>94</v>
      </c>
      <c r="AF1082" t="s">
        <v>304</v>
      </c>
      <c r="AG1082" t="s">
        <v>226</v>
      </c>
      <c r="AH1082">
        <v>0</v>
      </c>
      <c r="AI1082" t="s">
        <v>3537</v>
      </c>
      <c r="AJ1082" t="s">
        <v>1976</v>
      </c>
      <c r="AK1082" t="s">
        <v>2426</v>
      </c>
      <c r="AL1082" t="s">
        <v>272</v>
      </c>
    </row>
    <row r="1083" spans="1:38">
      <c r="A1083" t="s">
        <v>5068</v>
      </c>
      <c r="B1083" t="s">
        <v>5069</v>
      </c>
      <c r="C1083" t="s">
        <v>5070</v>
      </c>
      <c r="D1083" t="s">
        <v>5070</v>
      </c>
      <c r="E1083" t="s">
        <v>5071</v>
      </c>
      <c r="F1083" t="s">
        <v>2425</v>
      </c>
      <c r="G1083">
        <v>3</v>
      </c>
      <c r="H1083">
        <v>1</v>
      </c>
      <c r="I1083">
        <v>1E-4</v>
      </c>
      <c r="J1083">
        <v>150000</v>
      </c>
      <c r="K1083">
        <v>0</v>
      </c>
      <c r="L1083">
        <v>32.5</v>
      </c>
      <c r="M1083">
        <v>32.5</v>
      </c>
      <c r="N1083">
        <v>33.5</v>
      </c>
      <c r="O1083">
        <v>32.5</v>
      </c>
      <c r="P1083">
        <v>0</v>
      </c>
      <c r="Q1083">
        <v>0</v>
      </c>
      <c r="R1083">
        <v>0</v>
      </c>
      <c r="S1083">
        <v>32.5</v>
      </c>
      <c r="T1083">
        <v>32.5</v>
      </c>
      <c r="U1083">
        <v>32.5</v>
      </c>
      <c r="V1083">
        <v>32.5</v>
      </c>
      <c r="W1083">
        <v>5176655</v>
      </c>
      <c r="X1083">
        <v>31.000299999999999</v>
      </c>
      <c r="Y1083">
        <v>35.5</v>
      </c>
      <c r="Z1083">
        <v>1</v>
      </c>
      <c r="AA1083">
        <v>5500</v>
      </c>
      <c r="AB1083">
        <v>5176655.25</v>
      </c>
      <c r="AC1083">
        <v>0</v>
      </c>
      <c r="AD1083" t="s">
        <v>2</v>
      </c>
      <c r="AE1083" t="s">
        <v>94</v>
      </c>
      <c r="AF1083" t="s">
        <v>304</v>
      </c>
      <c r="AG1083" t="s">
        <v>226</v>
      </c>
      <c r="AH1083">
        <v>0</v>
      </c>
      <c r="AI1083" t="s">
        <v>3537</v>
      </c>
      <c r="AJ1083" t="s">
        <v>1976</v>
      </c>
      <c r="AK1083" t="s">
        <v>2426</v>
      </c>
      <c r="AL1083" t="s">
        <v>272</v>
      </c>
    </row>
    <row r="1084" spans="1:38">
      <c r="A1084" t="s">
        <v>5072</v>
      </c>
      <c r="B1084" t="s">
        <v>5073</v>
      </c>
      <c r="C1084" t="s">
        <v>5074</v>
      </c>
      <c r="D1084" t="s">
        <v>5074</v>
      </c>
      <c r="E1084" t="s">
        <v>5075</v>
      </c>
      <c r="F1084" t="s">
        <v>2425</v>
      </c>
      <c r="G1084">
        <v>3</v>
      </c>
      <c r="H1084">
        <v>1</v>
      </c>
      <c r="I1084">
        <v>1E-4</v>
      </c>
      <c r="J1084">
        <v>125000</v>
      </c>
      <c r="K1084">
        <v>0</v>
      </c>
      <c r="L1084">
        <v>0</v>
      </c>
      <c r="M1084">
        <v>30</v>
      </c>
      <c r="N1084">
        <v>32.401800000000001</v>
      </c>
      <c r="O1084">
        <v>30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28</v>
      </c>
      <c r="Y1084">
        <v>35</v>
      </c>
      <c r="Z1084">
        <v>0</v>
      </c>
      <c r="AA1084">
        <v>1520</v>
      </c>
      <c r="AB1084">
        <v>0</v>
      </c>
      <c r="AC1084">
        <v>0</v>
      </c>
      <c r="AD1084" t="s">
        <v>4</v>
      </c>
      <c r="AE1084" t="s">
        <v>94</v>
      </c>
      <c r="AF1084" t="s">
        <v>304</v>
      </c>
      <c r="AG1084" t="s">
        <v>226</v>
      </c>
      <c r="AH1084">
        <v>0</v>
      </c>
      <c r="AI1084" t="s">
        <v>3537</v>
      </c>
      <c r="AJ1084" t="s">
        <v>1976</v>
      </c>
      <c r="AK1084" t="s">
        <v>2426</v>
      </c>
      <c r="AL1084" t="s">
        <v>272</v>
      </c>
    </row>
    <row r="1085" spans="1:38">
      <c r="A1085" t="s">
        <v>5076</v>
      </c>
      <c r="B1085" t="s">
        <v>5077</v>
      </c>
      <c r="C1085" t="s">
        <v>5078</v>
      </c>
      <c r="D1085" t="s">
        <v>5078</v>
      </c>
      <c r="E1085" t="s">
        <v>5079</v>
      </c>
      <c r="F1085" t="s">
        <v>2425</v>
      </c>
      <c r="G1085">
        <v>3</v>
      </c>
      <c r="H1085">
        <v>1</v>
      </c>
      <c r="I1085">
        <v>1E-4</v>
      </c>
      <c r="J1085">
        <v>150000</v>
      </c>
      <c r="K1085">
        <v>0</v>
      </c>
      <c r="L1085">
        <v>0</v>
      </c>
      <c r="M1085">
        <v>43</v>
      </c>
      <c r="N1085">
        <v>54.5364</v>
      </c>
      <c r="O1085">
        <v>43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43</v>
      </c>
      <c r="Y1085">
        <v>48.8</v>
      </c>
      <c r="Z1085">
        <v>0</v>
      </c>
      <c r="AA1085">
        <v>590</v>
      </c>
      <c r="AB1085">
        <v>0</v>
      </c>
      <c r="AC1085">
        <v>0</v>
      </c>
      <c r="AD1085" t="s">
        <v>2</v>
      </c>
      <c r="AE1085" t="s">
        <v>94</v>
      </c>
      <c r="AF1085" t="s">
        <v>304</v>
      </c>
      <c r="AG1085" t="s">
        <v>226</v>
      </c>
      <c r="AH1085">
        <v>0</v>
      </c>
      <c r="AI1085" t="s">
        <v>3537</v>
      </c>
      <c r="AJ1085" t="s">
        <v>1976</v>
      </c>
      <c r="AK1085" t="s">
        <v>2426</v>
      </c>
      <c r="AL1085" t="s">
        <v>272</v>
      </c>
    </row>
    <row r="1086" spans="1:38">
      <c r="A1086" t="s">
        <v>5080</v>
      </c>
      <c r="B1086" t="s">
        <v>5081</v>
      </c>
      <c r="C1086" t="s">
        <v>5082</v>
      </c>
      <c r="D1086" t="s">
        <v>5082</v>
      </c>
      <c r="E1086" t="s">
        <v>5083</v>
      </c>
      <c r="F1086" t="s">
        <v>2425</v>
      </c>
      <c r="G1086">
        <v>3</v>
      </c>
      <c r="H1086">
        <v>1</v>
      </c>
      <c r="I1086">
        <v>1E-4</v>
      </c>
      <c r="J1086">
        <v>125000</v>
      </c>
      <c r="K1086">
        <v>0</v>
      </c>
      <c r="L1086">
        <v>0</v>
      </c>
      <c r="M1086">
        <v>101.1</v>
      </c>
      <c r="N1086">
        <v>0</v>
      </c>
      <c r="O1086">
        <v>101.1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32</v>
      </c>
      <c r="Y1086">
        <v>52.5</v>
      </c>
      <c r="Z1086">
        <v>0</v>
      </c>
      <c r="AA1086">
        <v>155</v>
      </c>
      <c r="AB1086">
        <v>0</v>
      </c>
      <c r="AC1086">
        <v>0</v>
      </c>
      <c r="AD1086" t="s">
        <v>4</v>
      </c>
      <c r="AE1086" t="s">
        <v>94</v>
      </c>
      <c r="AF1086" t="s">
        <v>304</v>
      </c>
      <c r="AG1086" t="s">
        <v>226</v>
      </c>
      <c r="AH1086">
        <v>0</v>
      </c>
      <c r="AI1086" t="s">
        <v>3537</v>
      </c>
      <c r="AJ1086" t="s">
        <v>1976</v>
      </c>
      <c r="AK1086" t="s">
        <v>2426</v>
      </c>
      <c r="AL1086" t="s">
        <v>272</v>
      </c>
    </row>
    <row r="1087" spans="1:38">
      <c r="A1087" t="s">
        <v>5084</v>
      </c>
      <c r="B1087" t="s">
        <v>5085</v>
      </c>
      <c r="C1087" t="s">
        <v>5086</v>
      </c>
      <c r="D1087" t="s">
        <v>5086</v>
      </c>
      <c r="E1087" t="s">
        <v>5087</v>
      </c>
      <c r="F1087" t="s">
        <v>2425</v>
      </c>
      <c r="G1087">
        <v>3</v>
      </c>
      <c r="H1087">
        <v>1</v>
      </c>
      <c r="I1087">
        <v>0.01</v>
      </c>
      <c r="J1087">
        <v>10000000</v>
      </c>
      <c r="K1087">
        <v>0</v>
      </c>
      <c r="L1087">
        <v>41</v>
      </c>
      <c r="M1087">
        <v>41</v>
      </c>
      <c r="N1087">
        <v>41.32</v>
      </c>
      <c r="O1087">
        <v>41</v>
      </c>
      <c r="P1087">
        <v>0</v>
      </c>
      <c r="Q1087">
        <v>0</v>
      </c>
      <c r="R1087">
        <v>0</v>
      </c>
      <c r="S1087">
        <v>40.47</v>
      </c>
      <c r="T1087">
        <v>41.01</v>
      </c>
      <c r="U1087">
        <v>40</v>
      </c>
      <c r="V1087">
        <v>41.01</v>
      </c>
      <c r="W1087">
        <v>48605000</v>
      </c>
      <c r="X1087">
        <v>40.5</v>
      </c>
      <c r="Y1087">
        <v>41</v>
      </c>
      <c r="Z1087">
        <v>12</v>
      </c>
      <c r="AA1087">
        <v>8750</v>
      </c>
      <c r="AB1087">
        <v>4100000</v>
      </c>
      <c r="AC1087">
        <v>0</v>
      </c>
      <c r="AD1087" t="s">
        <v>94</v>
      </c>
      <c r="AE1087" t="s">
        <v>94</v>
      </c>
      <c r="AF1087" t="s">
        <v>304</v>
      </c>
      <c r="AG1087" t="s">
        <v>226</v>
      </c>
      <c r="AH1087">
        <v>0</v>
      </c>
      <c r="AI1087" t="s">
        <v>3537</v>
      </c>
      <c r="AJ1087" t="s">
        <v>1976</v>
      </c>
      <c r="AK1087" t="s">
        <v>2426</v>
      </c>
      <c r="AL1087" t="s">
        <v>272</v>
      </c>
    </row>
    <row r="1088" spans="1:38">
      <c r="A1088" t="s">
        <v>5088</v>
      </c>
      <c r="B1088" t="s">
        <v>5089</v>
      </c>
      <c r="C1088" t="s">
        <v>5090</v>
      </c>
      <c r="D1088" t="s">
        <v>5090</v>
      </c>
      <c r="E1088" t="s">
        <v>5091</v>
      </c>
      <c r="F1088" t="s">
        <v>2425</v>
      </c>
      <c r="G1088">
        <v>3</v>
      </c>
      <c r="H1088">
        <v>1</v>
      </c>
      <c r="I1088">
        <v>0.01</v>
      </c>
      <c r="J1088">
        <v>10000000</v>
      </c>
      <c r="K1088">
        <v>-1.23</v>
      </c>
      <c r="L1088">
        <v>64.2</v>
      </c>
      <c r="M1088">
        <v>65</v>
      </c>
      <c r="N1088">
        <v>74.05</v>
      </c>
      <c r="O1088">
        <v>64.099999999999994</v>
      </c>
      <c r="P1088">
        <v>0</v>
      </c>
      <c r="Q1088">
        <v>0</v>
      </c>
      <c r="R1088">
        <v>0</v>
      </c>
      <c r="S1088">
        <v>64.06</v>
      </c>
      <c r="T1088">
        <v>63.99</v>
      </c>
      <c r="U1088">
        <v>63.99</v>
      </c>
      <c r="V1088">
        <v>64.2</v>
      </c>
      <c r="W1088">
        <v>19219000</v>
      </c>
      <c r="X1088">
        <v>62.61</v>
      </c>
      <c r="Y1088">
        <v>71.989999999999995</v>
      </c>
      <c r="Z1088">
        <v>3</v>
      </c>
      <c r="AA1088">
        <v>750</v>
      </c>
      <c r="AB1088">
        <v>6420000</v>
      </c>
      <c r="AC1088">
        <v>0</v>
      </c>
      <c r="AD1088" t="s">
        <v>94</v>
      </c>
      <c r="AE1088" t="s">
        <v>94</v>
      </c>
      <c r="AF1088" t="s">
        <v>304</v>
      </c>
      <c r="AG1088" t="s">
        <v>226</v>
      </c>
      <c r="AH1088">
        <v>0</v>
      </c>
      <c r="AI1088" t="s">
        <v>3537</v>
      </c>
      <c r="AJ1088" t="s">
        <v>1976</v>
      </c>
      <c r="AK1088" t="s">
        <v>2426</v>
      </c>
      <c r="AL1088" t="s">
        <v>272</v>
      </c>
    </row>
    <row r="1089" spans="1:38">
      <c r="A1089" t="s">
        <v>5092</v>
      </c>
      <c r="B1089" t="s">
        <v>5093</v>
      </c>
      <c r="C1089" t="s">
        <v>5094</v>
      </c>
      <c r="D1089" t="s">
        <v>5094</v>
      </c>
      <c r="E1089" t="s">
        <v>5095</v>
      </c>
      <c r="F1089" t="s">
        <v>2425</v>
      </c>
      <c r="G1089">
        <v>3</v>
      </c>
      <c r="H1089">
        <v>1</v>
      </c>
      <c r="I1089">
        <v>0.01</v>
      </c>
      <c r="J1089">
        <v>10000000</v>
      </c>
      <c r="K1089">
        <v>0</v>
      </c>
      <c r="L1089">
        <v>0</v>
      </c>
      <c r="M1089">
        <v>55.7</v>
      </c>
      <c r="N1089">
        <v>55.33</v>
      </c>
      <c r="O1089">
        <v>55.7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55.25</v>
      </c>
      <c r="Y1089">
        <v>55.9</v>
      </c>
      <c r="Z1089">
        <v>0</v>
      </c>
      <c r="AA1089">
        <v>7000</v>
      </c>
      <c r="AB1089">
        <v>0</v>
      </c>
      <c r="AC1089">
        <v>0</v>
      </c>
      <c r="AD1089" t="s">
        <v>94</v>
      </c>
      <c r="AE1089" t="s">
        <v>94</v>
      </c>
      <c r="AF1089" t="s">
        <v>304</v>
      </c>
      <c r="AG1089" t="s">
        <v>226</v>
      </c>
      <c r="AH1089">
        <v>0</v>
      </c>
      <c r="AI1089" t="s">
        <v>3537</v>
      </c>
      <c r="AJ1089" t="s">
        <v>1976</v>
      </c>
      <c r="AK1089" t="s">
        <v>2426</v>
      </c>
      <c r="AL1089" t="s">
        <v>272</v>
      </c>
    </row>
    <row r="1090" spans="1:38">
      <c r="A1090" t="s">
        <v>5096</v>
      </c>
      <c r="B1090" t="s">
        <v>5097</v>
      </c>
      <c r="C1090" t="s">
        <v>5098</v>
      </c>
      <c r="D1090" t="s">
        <v>5098</v>
      </c>
      <c r="E1090" t="s">
        <v>5099</v>
      </c>
      <c r="F1090" t="s">
        <v>2425</v>
      </c>
      <c r="G1090">
        <v>3</v>
      </c>
      <c r="H1090">
        <v>1</v>
      </c>
      <c r="I1090">
        <v>0.01</v>
      </c>
      <c r="J1090">
        <v>10000000</v>
      </c>
      <c r="K1090">
        <v>0</v>
      </c>
      <c r="L1090">
        <v>0</v>
      </c>
      <c r="M1090">
        <v>80</v>
      </c>
      <c r="N1090">
        <v>0</v>
      </c>
      <c r="O1090">
        <v>80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80</v>
      </c>
      <c r="Y1090">
        <v>0</v>
      </c>
      <c r="Z1090">
        <v>0</v>
      </c>
      <c r="AA1090">
        <v>2000</v>
      </c>
      <c r="AB1090">
        <v>0</v>
      </c>
      <c r="AC1090">
        <v>0</v>
      </c>
      <c r="AD1090" t="s">
        <v>94</v>
      </c>
      <c r="AE1090" t="s">
        <v>94</v>
      </c>
      <c r="AF1090" t="s">
        <v>304</v>
      </c>
      <c r="AG1090" t="s">
        <v>226</v>
      </c>
      <c r="AH1090">
        <v>0</v>
      </c>
      <c r="AI1090" t="s">
        <v>3537</v>
      </c>
      <c r="AJ1090" t="s">
        <v>1976</v>
      </c>
      <c r="AK1090" t="s">
        <v>2426</v>
      </c>
      <c r="AL1090" t="s">
        <v>272</v>
      </c>
    </row>
    <row r="1091" spans="1:38">
      <c r="A1091" t="s">
        <v>5100</v>
      </c>
      <c r="B1091" t="s">
        <v>5101</v>
      </c>
      <c r="C1091" t="s">
        <v>5102</v>
      </c>
      <c r="D1091" t="s">
        <v>5102</v>
      </c>
      <c r="E1091" t="s">
        <v>5103</v>
      </c>
      <c r="F1091" t="s">
        <v>2413</v>
      </c>
      <c r="G1091">
        <v>3</v>
      </c>
      <c r="H1091">
        <v>1</v>
      </c>
      <c r="I1091">
        <v>0.01</v>
      </c>
      <c r="J1091">
        <v>1000</v>
      </c>
      <c r="K1091">
        <v>0</v>
      </c>
      <c r="L1091">
        <v>0</v>
      </c>
      <c r="M1091">
        <v>98.5</v>
      </c>
      <c r="N1091">
        <v>97.72</v>
      </c>
      <c r="O1091">
        <v>98.5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98.8</v>
      </c>
      <c r="Y1091">
        <v>98.99</v>
      </c>
      <c r="Z1091">
        <v>0</v>
      </c>
      <c r="AA1091">
        <v>7600000</v>
      </c>
      <c r="AB1091">
        <v>0</v>
      </c>
      <c r="AC1091">
        <v>0</v>
      </c>
      <c r="AD1091" t="s">
        <v>94</v>
      </c>
      <c r="AE1091" t="s">
        <v>94</v>
      </c>
      <c r="AF1091" t="s">
        <v>226</v>
      </c>
      <c r="AG1091" t="s">
        <v>226</v>
      </c>
      <c r="AH1091">
        <v>6</v>
      </c>
      <c r="AI1091" t="s">
        <v>3537</v>
      </c>
      <c r="AJ1091" t="s">
        <v>1976</v>
      </c>
      <c r="AK1091" t="s">
        <v>2416</v>
      </c>
      <c r="AL1091" t="s">
        <v>272</v>
      </c>
    </row>
    <row r="1092" spans="1:38">
      <c r="A1092" t="s">
        <v>5104</v>
      </c>
      <c r="B1092" t="s">
        <v>5105</v>
      </c>
      <c r="C1092" t="s">
        <v>5106</v>
      </c>
      <c r="D1092" t="s">
        <v>5106</v>
      </c>
      <c r="E1092" t="s">
        <v>5107</v>
      </c>
      <c r="F1092" t="s">
        <v>2413</v>
      </c>
      <c r="G1092">
        <v>1</v>
      </c>
      <c r="H1092">
        <v>1</v>
      </c>
      <c r="I1092">
        <v>0.01</v>
      </c>
      <c r="J1092">
        <v>1000</v>
      </c>
      <c r="K1092">
        <v>0.01</v>
      </c>
      <c r="L1092">
        <v>70.099999999999994</v>
      </c>
      <c r="M1092">
        <v>70.11</v>
      </c>
      <c r="N1092">
        <v>70.5</v>
      </c>
      <c r="O1092">
        <v>70.099999999999994</v>
      </c>
      <c r="P1092">
        <v>0</v>
      </c>
      <c r="Q1092">
        <v>0</v>
      </c>
      <c r="R1092">
        <v>0</v>
      </c>
      <c r="S1092">
        <v>70.05</v>
      </c>
      <c r="T1092">
        <v>70.59</v>
      </c>
      <c r="U1092">
        <v>70.040000000000006</v>
      </c>
      <c r="V1092">
        <v>70.59</v>
      </c>
      <c r="W1092">
        <v>5083804</v>
      </c>
      <c r="X1092">
        <v>70.05</v>
      </c>
      <c r="Y1092">
        <v>70.099999999999994</v>
      </c>
      <c r="Z1092">
        <v>66</v>
      </c>
      <c r="AA1092">
        <v>15000000</v>
      </c>
      <c r="AB1092">
        <v>701</v>
      </c>
      <c r="AC1092">
        <v>0</v>
      </c>
      <c r="AD1092" t="s">
        <v>94</v>
      </c>
      <c r="AE1092" t="s">
        <v>94</v>
      </c>
      <c r="AF1092" t="s">
        <v>226</v>
      </c>
      <c r="AG1092" t="s">
        <v>226</v>
      </c>
      <c r="AH1092">
        <v>-100</v>
      </c>
      <c r="AI1092" t="s">
        <v>3537</v>
      </c>
      <c r="AJ1092" t="s">
        <v>1976</v>
      </c>
      <c r="AK1092" t="s">
        <v>2416</v>
      </c>
      <c r="AL1092" t="s">
        <v>272</v>
      </c>
    </row>
    <row r="1093" spans="1:38">
      <c r="A1093" t="s">
        <v>5108</v>
      </c>
      <c r="B1093" t="s">
        <v>5109</v>
      </c>
      <c r="C1093" t="s">
        <v>5110</v>
      </c>
      <c r="D1093" t="s">
        <v>5110</v>
      </c>
      <c r="E1093" t="s">
        <v>5111</v>
      </c>
      <c r="F1093" t="s">
        <v>2413</v>
      </c>
      <c r="G1093">
        <v>1</v>
      </c>
      <c r="H1093">
        <v>1</v>
      </c>
      <c r="I1093">
        <v>0.01</v>
      </c>
      <c r="J1093">
        <v>1000</v>
      </c>
      <c r="K1093">
        <v>0</v>
      </c>
      <c r="L1093">
        <v>0</v>
      </c>
      <c r="M1093">
        <v>100</v>
      </c>
      <c r="N1093">
        <v>0</v>
      </c>
      <c r="O1093">
        <v>100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94.02</v>
      </c>
      <c r="Y1093">
        <v>0</v>
      </c>
      <c r="Z1093">
        <v>0</v>
      </c>
      <c r="AA1093">
        <v>19575000</v>
      </c>
      <c r="AB1093">
        <v>0</v>
      </c>
      <c r="AC1093">
        <v>0</v>
      </c>
      <c r="AD1093" t="s">
        <v>94</v>
      </c>
      <c r="AE1093" t="s">
        <v>94</v>
      </c>
      <c r="AF1093" t="s">
        <v>226</v>
      </c>
      <c r="AG1093" t="s">
        <v>226</v>
      </c>
      <c r="AH1093">
        <v>-100</v>
      </c>
      <c r="AI1093" t="s">
        <v>3537</v>
      </c>
      <c r="AJ1093" t="s">
        <v>1976</v>
      </c>
      <c r="AK1093" t="s">
        <v>2416</v>
      </c>
      <c r="AL1093" t="s">
        <v>272</v>
      </c>
    </row>
    <row r="1094" spans="1:38">
      <c r="A1094" t="s">
        <v>5112</v>
      </c>
      <c r="B1094" t="s">
        <v>5113</v>
      </c>
      <c r="C1094" t="s">
        <v>5114</v>
      </c>
      <c r="D1094" t="s">
        <v>5114</v>
      </c>
      <c r="E1094" t="s">
        <v>5115</v>
      </c>
      <c r="F1094" t="s">
        <v>2425</v>
      </c>
      <c r="G1094">
        <v>1</v>
      </c>
      <c r="H1094">
        <v>1</v>
      </c>
      <c r="I1094">
        <v>0.01</v>
      </c>
      <c r="J1094">
        <v>1000</v>
      </c>
      <c r="K1094">
        <v>0</v>
      </c>
      <c r="L1094">
        <v>102</v>
      </c>
      <c r="M1094">
        <v>102</v>
      </c>
      <c r="N1094">
        <v>100.24</v>
      </c>
      <c r="O1094">
        <v>102</v>
      </c>
      <c r="P1094">
        <v>0</v>
      </c>
      <c r="Q1094">
        <v>0</v>
      </c>
      <c r="R1094">
        <v>0</v>
      </c>
      <c r="S1094">
        <v>101.52</v>
      </c>
      <c r="T1094">
        <v>98.6</v>
      </c>
      <c r="U1094">
        <v>98.6</v>
      </c>
      <c r="V1094">
        <v>102</v>
      </c>
      <c r="W1094">
        <v>14213</v>
      </c>
      <c r="X1094">
        <v>100.01</v>
      </c>
      <c r="Y1094">
        <v>102</v>
      </c>
      <c r="Z1094">
        <v>9</v>
      </c>
      <c r="AA1094">
        <v>10000000</v>
      </c>
      <c r="AB1094">
        <v>1020</v>
      </c>
      <c r="AC1094">
        <v>0</v>
      </c>
      <c r="AD1094" t="s">
        <v>94</v>
      </c>
      <c r="AE1094" t="s">
        <v>94</v>
      </c>
      <c r="AF1094" t="s">
        <v>226</v>
      </c>
      <c r="AG1094" t="s">
        <v>226</v>
      </c>
      <c r="AH1094">
        <v>-100</v>
      </c>
      <c r="AI1094" t="s">
        <v>3537</v>
      </c>
      <c r="AJ1094" t="s">
        <v>1976</v>
      </c>
      <c r="AK1094" t="s">
        <v>2426</v>
      </c>
      <c r="AL1094" t="s">
        <v>272</v>
      </c>
    </row>
    <row r="1095" spans="1:38">
      <c r="A1095" t="s">
        <v>5116</v>
      </c>
      <c r="B1095" t="s">
        <v>5117</v>
      </c>
      <c r="C1095" t="s">
        <v>5118</v>
      </c>
      <c r="D1095" t="s">
        <v>5118</v>
      </c>
      <c r="E1095" t="s">
        <v>5119</v>
      </c>
      <c r="F1095" t="s">
        <v>2425</v>
      </c>
      <c r="G1095">
        <v>1</v>
      </c>
      <c r="H1095">
        <v>1</v>
      </c>
      <c r="I1095">
        <v>0.01</v>
      </c>
      <c r="J1095">
        <v>1000</v>
      </c>
      <c r="K1095">
        <v>-3.35</v>
      </c>
      <c r="L1095">
        <v>95.51</v>
      </c>
      <c r="M1095">
        <v>96.9</v>
      </c>
      <c r="N1095">
        <v>95.81</v>
      </c>
      <c r="O1095">
        <v>95.51</v>
      </c>
      <c r="P1095">
        <v>0</v>
      </c>
      <c r="Q1095">
        <v>0</v>
      </c>
      <c r="R1095">
        <v>0</v>
      </c>
      <c r="S1095">
        <v>92.82</v>
      </c>
      <c r="T1095">
        <v>92.26</v>
      </c>
      <c r="U1095">
        <v>92.1</v>
      </c>
      <c r="V1095">
        <v>96.91</v>
      </c>
      <c r="W1095">
        <v>43625</v>
      </c>
      <c r="X1095">
        <v>95.02</v>
      </c>
      <c r="Y1095">
        <v>96.41</v>
      </c>
      <c r="Z1095">
        <v>16</v>
      </c>
      <c r="AA1095">
        <v>10000000</v>
      </c>
      <c r="AB1095">
        <v>955.1</v>
      </c>
      <c r="AC1095">
        <v>0</v>
      </c>
      <c r="AD1095" t="s">
        <v>94</v>
      </c>
      <c r="AE1095" t="s">
        <v>94</v>
      </c>
      <c r="AF1095" t="s">
        <v>226</v>
      </c>
      <c r="AG1095" t="s">
        <v>226</v>
      </c>
      <c r="AH1095">
        <v>-100</v>
      </c>
      <c r="AI1095" t="s">
        <v>3537</v>
      </c>
      <c r="AJ1095" t="s">
        <v>1976</v>
      </c>
      <c r="AK1095" t="s">
        <v>2426</v>
      </c>
      <c r="AL1095" t="s">
        <v>272</v>
      </c>
    </row>
    <row r="1096" spans="1:38">
      <c r="A1096" t="s">
        <v>5120</v>
      </c>
      <c r="B1096" t="s">
        <v>5121</v>
      </c>
      <c r="C1096" t="s">
        <v>5122</v>
      </c>
      <c r="D1096" t="s">
        <v>5122</v>
      </c>
      <c r="E1096" t="s">
        <v>5123</v>
      </c>
      <c r="F1096" t="s">
        <v>2425</v>
      </c>
      <c r="G1096">
        <v>1</v>
      </c>
      <c r="H1096">
        <v>1</v>
      </c>
      <c r="I1096">
        <v>0.01</v>
      </c>
      <c r="J1096">
        <v>1000</v>
      </c>
      <c r="K1096">
        <v>1.18</v>
      </c>
      <c r="L1096">
        <v>97.55</v>
      </c>
      <c r="M1096">
        <v>96.88</v>
      </c>
      <c r="N1096">
        <v>96.97</v>
      </c>
      <c r="O1096">
        <v>97.55</v>
      </c>
      <c r="P1096">
        <v>0</v>
      </c>
      <c r="Q1096">
        <v>0</v>
      </c>
      <c r="R1096">
        <v>0</v>
      </c>
      <c r="S1096">
        <v>97.55</v>
      </c>
      <c r="T1096">
        <v>97.54</v>
      </c>
      <c r="U1096">
        <v>97.54</v>
      </c>
      <c r="V1096">
        <v>97.55</v>
      </c>
      <c r="W1096">
        <v>136570</v>
      </c>
      <c r="X1096">
        <v>97.2</v>
      </c>
      <c r="Y1096">
        <v>97.5</v>
      </c>
      <c r="Z1096">
        <v>6</v>
      </c>
      <c r="AA1096">
        <v>15000000</v>
      </c>
      <c r="AB1096">
        <v>6828.5</v>
      </c>
      <c r="AC1096">
        <v>0</v>
      </c>
      <c r="AD1096" t="s">
        <v>94</v>
      </c>
      <c r="AE1096" t="s">
        <v>94</v>
      </c>
      <c r="AF1096" t="s">
        <v>226</v>
      </c>
      <c r="AG1096" t="s">
        <v>226</v>
      </c>
      <c r="AH1096">
        <v>-100</v>
      </c>
      <c r="AI1096" t="s">
        <v>3537</v>
      </c>
      <c r="AJ1096" t="s">
        <v>1976</v>
      </c>
      <c r="AK1096" t="s">
        <v>2426</v>
      </c>
      <c r="AL1096" t="s">
        <v>272</v>
      </c>
    </row>
    <row r="1097" spans="1:38">
      <c r="A1097" t="s">
        <v>5124</v>
      </c>
      <c r="B1097" t="s">
        <v>5125</v>
      </c>
      <c r="C1097" t="s">
        <v>5126</v>
      </c>
      <c r="D1097" t="s">
        <v>5126</v>
      </c>
      <c r="E1097" t="s">
        <v>5127</v>
      </c>
      <c r="F1097" t="s">
        <v>2413</v>
      </c>
      <c r="G1097">
        <v>1</v>
      </c>
      <c r="H1097">
        <v>1</v>
      </c>
      <c r="I1097">
        <v>0.01</v>
      </c>
      <c r="J1097">
        <v>1000</v>
      </c>
      <c r="K1097">
        <v>-0.32</v>
      </c>
      <c r="L1097">
        <v>77.22</v>
      </c>
      <c r="M1097">
        <v>77.47</v>
      </c>
      <c r="N1097">
        <v>76.849999999999994</v>
      </c>
      <c r="O1097">
        <v>77.22</v>
      </c>
      <c r="P1097">
        <v>0</v>
      </c>
      <c r="Q1097">
        <v>0</v>
      </c>
      <c r="R1097">
        <v>0</v>
      </c>
      <c r="S1097">
        <v>77.12</v>
      </c>
      <c r="T1097">
        <v>77.489999999999995</v>
      </c>
      <c r="U1097">
        <v>76.56</v>
      </c>
      <c r="V1097">
        <v>77.489999999999995</v>
      </c>
      <c r="W1097">
        <v>213627</v>
      </c>
      <c r="X1097">
        <v>77.150000000000006</v>
      </c>
      <c r="Y1097">
        <v>77.22</v>
      </c>
      <c r="Z1097">
        <v>65</v>
      </c>
      <c r="AA1097">
        <v>10000000</v>
      </c>
      <c r="AB1097">
        <v>772.2</v>
      </c>
      <c r="AC1097">
        <v>0</v>
      </c>
      <c r="AD1097" t="s">
        <v>94</v>
      </c>
      <c r="AE1097" t="s">
        <v>94</v>
      </c>
      <c r="AF1097" t="s">
        <v>226</v>
      </c>
      <c r="AG1097" t="s">
        <v>226</v>
      </c>
      <c r="AH1097">
        <v>-100</v>
      </c>
      <c r="AI1097" t="s">
        <v>3537</v>
      </c>
      <c r="AJ1097" t="s">
        <v>1976</v>
      </c>
      <c r="AK1097" t="s">
        <v>2416</v>
      </c>
      <c r="AL1097" t="s">
        <v>272</v>
      </c>
    </row>
    <row r="1098" spans="1:38">
      <c r="A1098" t="s">
        <v>5128</v>
      </c>
      <c r="B1098" t="s">
        <v>5129</v>
      </c>
      <c r="C1098" t="s">
        <v>5130</v>
      </c>
      <c r="D1098" t="s">
        <v>5130</v>
      </c>
      <c r="E1098" t="s">
        <v>5131</v>
      </c>
      <c r="F1098" t="s">
        <v>2413</v>
      </c>
      <c r="G1098">
        <v>1</v>
      </c>
      <c r="H1098">
        <v>1</v>
      </c>
      <c r="I1098">
        <v>0.01</v>
      </c>
      <c r="J1098">
        <v>1000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90.02</v>
      </c>
      <c r="Y1098">
        <v>0</v>
      </c>
      <c r="Z1098">
        <v>0</v>
      </c>
      <c r="AA1098">
        <v>10000000</v>
      </c>
      <c r="AB1098">
        <v>0</v>
      </c>
      <c r="AC1098">
        <v>0</v>
      </c>
      <c r="AD1098" t="s">
        <v>94</v>
      </c>
      <c r="AE1098" t="s">
        <v>94</v>
      </c>
      <c r="AF1098" t="s">
        <v>226</v>
      </c>
      <c r="AG1098" t="s">
        <v>226</v>
      </c>
      <c r="AH1098">
        <v>-100</v>
      </c>
      <c r="AI1098" t="s">
        <v>3537</v>
      </c>
      <c r="AJ1098" t="s">
        <v>1976</v>
      </c>
      <c r="AK1098" t="s">
        <v>2416</v>
      </c>
      <c r="AL1098" t="s">
        <v>272</v>
      </c>
    </row>
    <row r="1099" spans="1:38">
      <c r="A1099" t="s">
        <v>5132</v>
      </c>
      <c r="B1099" t="s">
        <v>2637</v>
      </c>
      <c r="C1099" t="s">
        <v>2638</v>
      </c>
      <c r="D1099" t="s">
        <v>2638</v>
      </c>
      <c r="E1099" t="s">
        <v>2639</v>
      </c>
      <c r="F1099" t="s">
        <v>2413</v>
      </c>
      <c r="G1099">
        <v>1</v>
      </c>
      <c r="H1099">
        <v>1</v>
      </c>
      <c r="I1099">
        <v>0.01</v>
      </c>
      <c r="J1099">
        <v>1000</v>
      </c>
      <c r="K1099">
        <v>-1.0900000000000001</v>
      </c>
      <c r="L1099">
        <v>90.75</v>
      </c>
      <c r="M1099">
        <v>91.75</v>
      </c>
      <c r="N1099">
        <v>91.33</v>
      </c>
      <c r="O1099">
        <v>90.75</v>
      </c>
      <c r="P1099">
        <v>0</v>
      </c>
      <c r="Q1099">
        <v>0</v>
      </c>
      <c r="R1099">
        <v>0</v>
      </c>
      <c r="S1099">
        <v>90.75</v>
      </c>
      <c r="T1099">
        <v>90.75</v>
      </c>
      <c r="U1099">
        <v>90.75</v>
      </c>
      <c r="V1099">
        <v>90.75</v>
      </c>
      <c r="W1099">
        <v>192731</v>
      </c>
      <c r="X1099">
        <v>90.01</v>
      </c>
      <c r="Y1099">
        <v>90.75</v>
      </c>
      <c r="Z1099">
        <v>2</v>
      </c>
      <c r="AA1099">
        <v>350000</v>
      </c>
      <c r="AB1099">
        <v>96365.43</v>
      </c>
      <c r="AC1099">
        <v>0</v>
      </c>
      <c r="AD1099" t="s">
        <v>2</v>
      </c>
      <c r="AE1099" t="s">
        <v>94</v>
      </c>
      <c r="AF1099" t="s">
        <v>226</v>
      </c>
      <c r="AG1099" t="s">
        <v>226</v>
      </c>
      <c r="AH1099">
        <v>-100</v>
      </c>
      <c r="AI1099" t="s">
        <v>3537</v>
      </c>
      <c r="AJ1099" t="s">
        <v>1976</v>
      </c>
      <c r="AK1099" t="s">
        <v>2416</v>
      </c>
      <c r="AL1099" t="s">
        <v>272</v>
      </c>
    </row>
    <row r="1100" spans="1:38">
      <c r="A1100" t="s">
        <v>5133</v>
      </c>
      <c r="B1100" t="s">
        <v>5134</v>
      </c>
      <c r="C1100" t="s">
        <v>5135</v>
      </c>
      <c r="D1100" t="s">
        <v>5135</v>
      </c>
      <c r="E1100" t="s">
        <v>5136</v>
      </c>
      <c r="F1100" t="s">
        <v>2413</v>
      </c>
      <c r="G1100">
        <v>1</v>
      </c>
      <c r="H1100">
        <v>1</v>
      </c>
      <c r="I1100">
        <v>0.01</v>
      </c>
      <c r="J1100">
        <v>1000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30000000</v>
      </c>
      <c r="AB1100">
        <v>0</v>
      </c>
      <c r="AC1100">
        <v>0</v>
      </c>
      <c r="AD1100" t="s">
        <v>94</v>
      </c>
      <c r="AE1100" t="s">
        <v>94</v>
      </c>
      <c r="AF1100" t="s">
        <v>226</v>
      </c>
      <c r="AG1100" t="s">
        <v>226</v>
      </c>
      <c r="AH1100">
        <v>-100</v>
      </c>
      <c r="AI1100" t="s">
        <v>3537</v>
      </c>
      <c r="AJ1100" t="s">
        <v>1976</v>
      </c>
      <c r="AK1100" t="s">
        <v>2416</v>
      </c>
      <c r="AL1100" t="s">
        <v>272</v>
      </c>
    </row>
    <row r="1101" spans="1:38">
      <c r="A1101" t="s">
        <v>5137</v>
      </c>
      <c r="B1101" t="s">
        <v>5138</v>
      </c>
      <c r="C1101" t="s">
        <v>5139</v>
      </c>
      <c r="D1101" t="s">
        <v>5139</v>
      </c>
      <c r="E1101" t="s">
        <v>5140</v>
      </c>
      <c r="F1101" t="s">
        <v>2413</v>
      </c>
      <c r="G1101">
        <v>1</v>
      </c>
      <c r="H1101">
        <v>1</v>
      </c>
      <c r="I1101">
        <v>0.01</v>
      </c>
      <c r="J1101">
        <v>1000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10000000</v>
      </c>
      <c r="AB1101">
        <v>0</v>
      </c>
      <c r="AC1101">
        <v>0</v>
      </c>
      <c r="AD1101" t="s">
        <v>94</v>
      </c>
      <c r="AE1101" t="s">
        <v>94</v>
      </c>
      <c r="AF1101" t="s">
        <v>226</v>
      </c>
      <c r="AG1101" t="s">
        <v>226</v>
      </c>
      <c r="AH1101">
        <v>-100</v>
      </c>
      <c r="AI1101" t="s">
        <v>3537</v>
      </c>
      <c r="AJ1101" t="s">
        <v>1976</v>
      </c>
      <c r="AK1101" t="s">
        <v>2416</v>
      </c>
      <c r="AL1101" t="s">
        <v>272</v>
      </c>
    </row>
    <row r="1102" spans="1:38">
      <c r="A1102" t="s">
        <v>5141</v>
      </c>
      <c r="B1102" t="s">
        <v>5142</v>
      </c>
      <c r="C1102" t="s">
        <v>5143</v>
      </c>
      <c r="D1102" t="s">
        <v>5143</v>
      </c>
      <c r="E1102" t="s">
        <v>5144</v>
      </c>
      <c r="F1102" t="s">
        <v>2413</v>
      </c>
      <c r="G1102">
        <v>1</v>
      </c>
      <c r="H1102">
        <v>1</v>
      </c>
      <c r="I1102">
        <v>0.01</v>
      </c>
      <c r="J1102">
        <v>1000</v>
      </c>
      <c r="K1102">
        <v>-2.14</v>
      </c>
      <c r="L1102">
        <v>71.34</v>
      </c>
      <c r="M1102">
        <v>72.900000000000006</v>
      </c>
      <c r="N1102">
        <v>74.13</v>
      </c>
      <c r="O1102">
        <v>71.400000000000006</v>
      </c>
      <c r="P1102">
        <v>0</v>
      </c>
      <c r="Q1102">
        <v>0</v>
      </c>
      <c r="R1102">
        <v>0</v>
      </c>
      <c r="S1102">
        <v>71.09</v>
      </c>
      <c r="T1102">
        <v>72.03</v>
      </c>
      <c r="U1102">
        <v>69.2</v>
      </c>
      <c r="V1102">
        <v>72.569999999999993</v>
      </c>
      <c r="W1102">
        <v>26304</v>
      </c>
      <c r="X1102">
        <v>71</v>
      </c>
      <c r="Y1102">
        <v>72.12</v>
      </c>
      <c r="Z1102">
        <v>24</v>
      </c>
      <c r="AA1102">
        <v>10000000</v>
      </c>
      <c r="AB1102">
        <v>713.4</v>
      </c>
      <c r="AC1102">
        <v>0</v>
      </c>
      <c r="AD1102" t="s">
        <v>94</v>
      </c>
      <c r="AE1102" t="s">
        <v>94</v>
      </c>
      <c r="AF1102" t="s">
        <v>226</v>
      </c>
      <c r="AG1102" t="s">
        <v>226</v>
      </c>
      <c r="AH1102">
        <v>-100</v>
      </c>
      <c r="AI1102" t="s">
        <v>3537</v>
      </c>
      <c r="AJ1102" t="s">
        <v>1976</v>
      </c>
      <c r="AK1102" t="s">
        <v>2416</v>
      </c>
      <c r="AL1102" t="s">
        <v>272</v>
      </c>
    </row>
    <row r="1103" spans="1:38">
      <c r="A1103" t="s">
        <v>5145</v>
      </c>
      <c r="B1103" t="s">
        <v>5146</v>
      </c>
      <c r="C1103" t="s">
        <v>5147</v>
      </c>
      <c r="D1103" t="s">
        <v>5147</v>
      </c>
      <c r="E1103" t="s">
        <v>5148</v>
      </c>
      <c r="F1103" t="s">
        <v>2413</v>
      </c>
      <c r="G1103">
        <v>1</v>
      </c>
      <c r="H1103">
        <v>1</v>
      </c>
      <c r="I1103">
        <v>0.01</v>
      </c>
      <c r="J1103">
        <v>1000</v>
      </c>
      <c r="K1103">
        <v>3.08</v>
      </c>
      <c r="L1103">
        <v>89.99</v>
      </c>
      <c r="M1103">
        <v>87.3</v>
      </c>
      <c r="N1103">
        <v>86.63</v>
      </c>
      <c r="O1103">
        <v>89.99</v>
      </c>
      <c r="P1103">
        <v>0</v>
      </c>
      <c r="Q1103">
        <v>0</v>
      </c>
      <c r="R1103">
        <v>0</v>
      </c>
      <c r="S1103">
        <v>88.36</v>
      </c>
      <c r="T1103">
        <v>88.7</v>
      </c>
      <c r="U1103">
        <v>87.3</v>
      </c>
      <c r="V1103">
        <v>90</v>
      </c>
      <c r="W1103">
        <v>60083</v>
      </c>
      <c r="X1103">
        <v>87.62</v>
      </c>
      <c r="Y1103">
        <v>89.98</v>
      </c>
      <c r="Z1103">
        <v>13</v>
      </c>
      <c r="AA1103">
        <v>80000000</v>
      </c>
      <c r="AB1103">
        <v>1799.8</v>
      </c>
      <c r="AC1103">
        <v>0</v>
      </c>
      <c r="AD1103" t="s">
        <v>94</v>
      </c>
      <c r="AE1103" t="s">
        <v>94</v>
      </c>
      <c r="AF1103" t="s">
        <v>226</v>
      </c>
      <c r="AG1103" t="s">
        <v>226</v>
      </c>
      <c r="AH1103">
        <v>-100</v>
      </c>
      <c r="AI1103" t="s">
        <v>3537</v>
      </c>
      <c r="AJ1103" t="s">
        <v>1976</v>
      </c>
      <c r="AK1103" t="s">
        <v>2416</v>
      </c>
      <c r="AL1103" t="s">
        <v>272</v>
      </c>
    </row>
    <row r="1104" spans="1:38">
      <c r="A1104" t="s">
        <v>5149</v>
      </c>
      <c r="B1104" t="s">
        <v>5150</v>
      </c>
      <c r="C1104" t="s">
        <v>5151</v>
      </c>
      <c r="D1104" t="s">
        <v>5151</v>
      </c>
      <c r="E1104" t="s">
        <v>5152</v>
      </c>
      <c r="F1104" t="s">
        <v>2413</v>
      </c>
      <c r="G1104">
        <v>1</v>
      </c>
      <c r="H1104">
        <v>1</v>
      </c>
      <c r="I1104">
        <v>0.01</v>
      </c>
      <c r="J1104">
        <v>1000</v>
      </c>
      <c r="K1104">
        <v>0.62</v>
      </c>
      <c r="L1104">
        <v>87.54</v>
      </c>
      <c r="M1104">
        <v>87.01</v>
      </c>
      <c r="N1104">
        <v>0</v>
      </c>
      <c r="O1104">
        <v>87.53</v>
      </c>
      <c r="P1104">
        <v>0</v>
      </c>
      <c r="Q1104">
        <v>0</v>
      </c>
      <c r="R1104">
        <v>0</v>
      </c>
      <c r="S1104">
        <v>86.94</v>
      </c>
      <c r="T1104">
        <v>86.34</v>
      </c>
      <c r="U1104">
        <v>86.33</v>
      </c>
      <c r="V1104">
        <v>87.54</v>
      </c>
      <c r="W1104">
        <v>3477</v>
      </c>
      <c r="X1104">
        <v>86.33</v>
      </c>
      <c r="Y1104">
        <v>87.98</v>
      </c>
      <c r="Z1104">
        <v>4</v>
      </c>
      <c r="AA1104">
        <v>20000000</v>
      </c>
      <c r="AB1104">
        <v>875.4</v>
      </c>
      <c r="AC1104">
        <v>0</v>
      </c>
      <c r="AD1104" t="s">
        <v>94</v>
      </c>
      <c r="AE1104" t="s">
        <v>94</v>
      </c>
      <c r="AF1104" t="s">
        <v>226</v>
      </c>
      <c r="AG1104" t="s">
        <v>226</v>
      </c>
      <c r="AH1104">
        <v>-100</v>
      </c>
      <c r="AI1104" t="s">
        <v>3537</v>
      </c>
      <c r="AJ1104" t="s">
        <v>1976</v>
      </c>
      <c r="AK1104" t="s">
        <v>2416</v>
      </c>
      <c r="AL1104" t="s">
        <v>272</v>
      </c>
    </row>
    <row r="1105" spans="1:38">
      <c r="A1105" t="s">
        <v>5153</v>
      </c>
      <c r="B1105" t="s">
        <v>2641</v>
      </c>
      <c r="C1105" t="s">
        <v>2642</v>
      </c>
      <c r="D1105" t="s">
        <v>2642</v>
      </c>
      <c r="E1105" t="s">
        <v>2643</v>
      </c>
      <c r="F1105" t="s">
        <v>2413</v>
      </c>
      <c r="G1105">
        <v>1</v>
      </c>
      <c r="H1105">
        <v>1</v>
      </c>
      <c r="I1105">
        <v>1E-4</v>
      </c>
      <c r="J1105">
        <v>1000</v>
      </c>
      <c r="K1105">
        <v>0</v>
      </c>
      <c r="L1105">
        <v>0</v>
      </c>
      <c r="M1105">
        <v>83.812100000000001</v>
      </c>
      <c r="N1105">
        <v>89.590900000000005</v>
      </c>
      <c r="O1105">
        <v>83.812100000000001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82.369100000000003</v>
      </c>
      <c r="Y1105">
        <v>91.999799999999993</v>
      </c>
      <c r="Z1105">
        <v>0</v>
      </c>
      <c r="AA1105">
        <v>550000</v>
      </c>
      <c r="AB1105">
        <v>0</v>
      </c>
      <c r="AC1105">
        <v>0</v>
      </c>
      <c r="AD1105" t="s">
        <v>2</v>
      </c>
      <c r="AE1105" t="s">
        <v>94</v>
      </c>
      <c r="AF1105" t="s">
        <v>226</v>
      </c>
      <c r="AG1105" t="s">
        <v>226</v>
      </c>
      <c r="AH1105">
        <v>-100</v>
      </c>
      <c r="AI1105" t="s">
        <v>3537</v>
      </c>
      <c r="AJ1105" t="s">
        <v>1976</v>
      </c>
      <c r="AK1105" t="s">
        <v>2416</v>
      </c>
      <c r="AL1105" t="s">
        <v>272</v>
      </c>
    </row>
    <row r="1106" spans="1:38">
      <c r="A1106" t="s">
        <v>5154</v>
      </c>
      <c r="B1106" t="s">
        <v>5155</v>
      </c>
      <c r="C1106" t="s">
        <v>5156</v>
      </c>
      <c r="D1106" t="s">
        <v>5156</v>
      </c>
      <c r="E1106" t="s">
        <v>5157</v>
      </c>
      <c r="F1106" t="s">
        <v>2413</v>
      </c>
      <c r="G1106">
        <v>3</v>
      </c>
      <c r="H1106">
        <v>1</v>
      </c>
      <c r="I1106">
        <v>0.01</v>
      </c>
      <c r="J1106">
        <v>1000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10000000</v>
      </c>
      <c r="AB1106">
        <v>0</v>
      </c>
      <c r="AC1106">
        <v>0</v>
      </c>
      <c r="AD1106" t="s">
        <v>94</v>
      </c>
      <c r="AE1106" t="s">
        <v>94</v>
      </c>
      <c r="AF1106" t="s">
        <v>226</v>
      </c>
      <c r="AG1106" t="s">
        <v>226</v>
      </c>
      <c r="AH1106">
        <v>-100</v>
      </c>
      <c r="AI1106" t="s">
        <v>3537</v>
      </c>
      <c r="AJ1106" t="s">
        <v>1976</v>
      </c>
      <c r="AK1106" t="s">
        <v>2416</v>
      </c>
      <c r="AL1106" t="s">
        <v>272</v>
      </c>
    </row>
    <row r="1107" spans="1:38">
      <c r="A1107" t="s">
        <v>5158</v>
      </c>
      <c r="B1107" t="s">
        <v>5159</v>
      </c>
      <c r="C1107" t="s">
        <v>5160</v>
      </c>
      <c r="D1107" t="s">
        <v>5160</v>
      </c>
      <c r="E1107" t="s">
        <v>5161</v>
      </c>
      <c r="F1107" t="s">
        <v>2413</v>
      </c>
      <c r="G1107">
        <v>3</v>
      </c>
      <c r="H1107">
        <v>1</v>
      </c>
      <c r="I1107">
        <v>0.01</v>
      </c>
      <c r="J1107">
        <v>1000</v>
      </c>
      <c r="K1107">
        <v>-0.97</v>
      </c>
      <c r="L1107">
        <v>92.1</v>
      </c>
      <c r="M1107">
        <v>92.99</v>
      </c>
      <c r="N1107">
        <v>92.28</v>
      </c>
      <c r="O1107">
        <v>92.88</v>
      </c>
      <c r="P1107">
        <v>0</v>
      </c>
      <c r="Q1107">
        <v>0</v>
      </c>
      <c r="R1107">
        <v>0</v>
      </c>
      <c r="S1107">
        <v>92.93</v>
      </c>
      <c r="T1107">
        <v>93</v>
      </c>
      <c r="U1107">
        <v>92.1</v>
      </c>
      <c r="V1107">
        <v>93</v>
      </c>
      <c r="W1107">
        <v>55760</v>
      </c>
      <c r="X1107">
        <v>92.09</v>
      </c>
      <c r="Y1107">
        <v>92.1</v>
      </c>
      <c r="Z1107">
        <v>8</v>
      </c>
      <c r="AA1107">
        <v>30000000</v>
      </c>
      <c r="AB1107">
        <v>2763</v>
      </c>
      <c r="AC1107">
        <v>0</v>
      </c>
      <c r="AD1107" t="s">
        <v>94</v>
      </c>
      <c r="AE1107" t="s">
        <v>94</v>
      </c>
      <c r="AF1107" t="s">
        <v>226</v>
      </c>
      <c r="AG1107" t="s">
        <v>226</v>
      </c>
      <c r="AH1107">
        <v>-100</v>
      </c>
      <c r="AI1107" t="s">
        <v>3537</v>
      </c>
      <c r="AJ1107" t="s">
        <v>1976</v>
      </c>
      <c r="AK1107" t="s">
        <v>2416</v>
      </c>
      <c r="AL1107" t="s">
        <v>272</v>
      </c>
    </row>
    <row r="1108" spans="1:38">
      <c r="A1108" t="s">
        <v>5162</v>
      </c>
      <c r="B1108" t="s">
        <v>5163</v>
      </c>
      <c r="C1108" t="s">
        <v>5164</v>
      </c>
      <c r="D1108" t="s">
        <v>5164</v>
      </c>
      <c r="E1108" t="s">
        <v>5165</v>
      </c>
      <c r="F1108" t="s">
        <v>2413</v>
      </c>
      <c r="G1108">
        <v>3</v>
      </c>
      <c r="H1108">
        <v>1</v>
      </c>
      <c r="I1108">
        <v>0.01</v>
      </c>
      <c r="J1108">
        <v>1000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93</v>
      </c>
      <c r="Y1108">
        <v>0</v>
      </c>
      <c r="Z1108">
        <v>0</v>
      </c>
      <c r="AA1108">
        <v>3100000</v>
      </c>
      <c r="AB1108">
        <v>0</v>
      </c>
      <c r="AC1108">
        <v>0</v>
      </c>
      <c r="AD1108" t="s">
        <v>94</v>
      </c>
      <c r="AE1108" t="s">
        <v>94</v>
      </c>
      <c r="AF1108" t="s">
        <v>226</v>
      </c>
      <c r="AG1108" t="s">
        <v>226</v>
      </c>
      <c r="AH1108">
        <v>-100</v>
      </c>
      <c r="AI1108" t="s">
        <v>3537</v>
      </c>
      <c r="AJ1108" t="s">
        <v>1976</v>
      </c>
      <c r="AK1108" t="s">
        <v>2416</v>
      </c>
      <c r="AL1108" t="s">
        <v>272</v>
      </c>
    </row>
    <row r="1109" spans="1:38">
      <c r="A1109" t="s">
        <v>5166</v>
      </c>
      <c r="B1109" t="s">
        <v>5167</v>
      </c>
      <c r="C1109" t="s">
        <v>5168</v>
      </c>
      <c r="D1109" t="s">
        <v>5168</v>
      </c>
      <c r="E1109" t="s">
        <v>5169</v>
      </c>
      <c r="F1109" t="s">
        <v>2413</v>
      </c>
      <c r="G1109">
        <v>3</v>
      </c>
      <c r="H1109">
        <v>1</v>
      </c>
      <c r="I1109">
        <v>0.01</v>
      </c>
      <c r="J1109">
        <v>1000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6000000</v>
      </c>
      <c r="AB1109">
        <v>0</v>
      </c>
      <c r="AC1109">
        <v>0</v>
      </c>
      <c r="AD1109" t="s">
        <v>94</v>
      </c>
      <c r="AE1109" t="s">
        <v>94</v>
      </c>
      <c r="AF1109" t="s">
        <v>226</v>
      </c>
      <c r="AG1109" t="s">
        <v>226</v>
      </c>
      <c r="AH1109">
        <v>-100</v>
      </c>
      <c r="AI1109" t="s">
        <v>3537</v>
      </c>
      <c r="AJ1109" t="s">
        <v>1976</v>
      </c>
      <c r="AK1109" t="s">
        <v>2416</v>
      </c>
      <c r="AL1109" t="s">
        <v>272</v>
      </c>
    </row>
    <row r="1110" spans="1:38">
      <c r="A1110" t="s">
        <v>5170</v>
      </c>
      <c r="B1110" t="s">
        <v>5171</v>
      </c>
      <c r="C1110" t="s">
        <v>5172</v>
      </c>
      <c r="D1110" t="s">
        <v>5172</v>
      </c>
      <c r="E1110" t="s">
        <v>5173</v>
      </c>
      <c r="F1110" t="s">
        <v>2413</v>
      </c>
      <c r="G1110">
        <v>3</v>
      </c>
      <c r="H1110">
        <v>1</v>
      </c>
      <c r="I1110">
        <v>0.01</v>
      </c>
      <c r="J1110">
        <v>1000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99.3</v>
      </c>
      <c r="Y1110">
        <v>0</v>
      </c>
      <c r="Z1110">
        <v>0</v>
      </c>
      <c r="AA1110">
        <v>7500000</v>
      </c>
      <c r="AB1110">
        <v>0</v>
      </c>
      <c r="AC1110">
        <v>0</v>
      </c>
      <c r="AD1110" t="s">
        <v>94</v>
      </c>
      <c r="AE1110" t="s">
        <v>94</v>
      </c>
      <c r="AF1110" t="s">
        <v>226</v>
      </c>
      <c r="AG1110" t="s">
        <v>226</v>
      </c>
      <c r="AH1110">
        <v>-100</v>
      </c>
      <c r="AI1110" t="s">
        <v>3537</v>
      </c>
      <c r="AJ1110" t="s">
        <v>1976</v>
      </c>
      <c r="AK1110" t="s">
        <v>2416</v>
      </c>
      <c r="AL1110" t="s">
        <v>272</v>
      </c>
    </row>
    <row r="1111" spans="1:38">
      <c r="A1111" t="s">
        <v>5174</v>
      </c>
      <c r="B1111" t="s">
        <v>5175</v>
      </c>
      <c r="C1111" t="s">
        <v>5176</v>
      </c>
      <c r="D1111" t="s">
        <v>5176</v>
      </c>
      <c r="E1111" t="s">
        <v>5177</v>
      </c>
      <c r="F1111" t="s">
        <v>2413</v>
      </c>
      <c r="G1111">
        <v>3</v>
      </c>
      <c r="H1111">
        <v>1</v>
      </c>
      <c r="I1111">
        <v>0.01</v>
      </c>
      <c r="J1111">
        <v>1000</v>
      </c>
      <c r="K1111">
        <v>0</v>
      </c>
      <c r="L1111">
        <v>0</v>
      </c>
      <c r="M1111">
        <v>100</v>
      </c>
      <c r="N1111">
        <v>0</v>
      </c>
      <c r="O1111">
        <v>100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104</v>
      </c>
      <c r="Y1111">
        <v>0</v>
      </c>
      <c r="Z1111">
        <v>0</v>
      </c>
      <c r="AA1111">
        <v>400000</v>
      </c>
      <c r="AB1111">
        <v>0</v>
      </c>
      <c r="AC1111">
        <v>0</v>
      </c>
      <c r="AD1111" t="s">
        <v>94</v>
      </c>
      <c r="AE1111" t="s">
        <v>94</v>
      </c>
      <c r="AF1111" t="s">
        <v>226</v>
      </c>
      <c r="AG1111" t="s">
        <v>226</v>
      </c>
      <c r="AH1111">
        <v>-100</v>
      </c>
      <c r="AI1111" t="s">
        <v>3537</v>
      </c>
      <c r="AJ1111" t="s">
        <v>1976</v>
      </c>
      <c r="AK1111" t="s">
        <v>2416</v>
      </c>
      <c r="AL1111" t="s">
        <v>272</v>
      </c>
    </row>
    <row r="1112" spans="1:38">
      <c r="A1112" t="s">
        <v>5178</v>
      </c>
      <c r="B1112" t="s">
        <v>5179</v>
      </c>
      <c r="C1112" t="s">
        <v>5180</v>
      </c>
      <c r="D1112" t="s">
        <v>5180</v>
      </c>
      <c r="E1112" t="s">
        <v>5181</v>
      </c>
      <c r="F1112" t="s">
        <v>2413</v>
      </c>
      <c r="G1112">
        <v>3</v>
      </c>
      <c r="H1112">
        <v>1</v>
      </c>
      <c r="I1112">
        <v>0.01</v>
      </c>
      <c r="J1112">
        <v>1000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85</v>
      </c>
      <c r="Y1112">
        <v>0</v>
      </c>
      <c r="Z1112">
        <v>0</v>
      </c>
      <c r="AA1112">
        <v>5300000</v>
      </c>
      <c r="AB1112">
        <v>0</v>
      </c>
      <c r="AC1112">
        <v>0</v>
      </c>
      <c r="AD1112" t="s">
        <v>94</v>
      </c>
      <c r="AE1112" t="s">
        <v>94</v>
      </c>
      <c r="AF1112" t="s">
        <v>226</v>
      </c>
      <c r="AG1112" t="s">
        <v>226</v>
      </c>
      <c r="AH1112">
        <v>-100</v>
      </c>
      <c r="AI1112" t="s">
        <v>3537</v>
      </c>
      <c r="AJ1112" t="s">
        <v>1976</v>
      </c>
      <c r="AK1112" t="s">
        <v>2416</v>
      </c>
      <c r="AL1112" t="s">
        <v>272</v>
      </c>
    </row>
    <row r="1113" spans="1:38">
      <c r="A1113" t="s">
        <v>5182</v>
      </c>
      <c r="B1113" t="s">
        <v>5183</v>
      </c>
      <c r="C1113" t="s">
        <v>5184</v>
      </c>
      <c r="D1113" t="s">
        <v>5184</v>
      </c>
      <c r="E1113" t="s">
        <v>5185</v>
      </c>
      <c r="F1113" t="s">
        <v>2413</v>
      </c>
      <c r="G1113">
        <v>3</v>
      </c>
      <c r="H1113">
        <v>1</v>
      </c>
      <c r="I1113">
        <v>0.01</v>
      </c>
      <c r="J1113">
        <v>1000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35000000</v>
      </c>
      <c r="AB1113">
        <v>0</v>
      </c>
      <c r="AC1113">
        <v>0</v>
      </c>
      <c r="AD1113" t="s">
        <v>94</v>
      </c>
      <c r="AE1113" t="s">
        <v>94</v>
      </c>
      <c r="AF1113" t="s">
        <v>226</v>
      </c>
      <c r="AG1113" t="s">
        <v>226</v>
      </c>
      <c r="AH1113">
        <v>-100</v>
      </c>
      <c r="AI1113" t="s">
        <v>3537</v>
      </c>
      <c r="AJ1113" t="s">
        <v>1976</v>
      </c>
      <c r="AK1113" t="s">
        <v>2416</v>
      </c>
      <c r="AL1113" t="s">
        <v>1020</v>
      </c>
    </row>
    <row r="1114" spans="1:38">
      <c r="A1114" t="s">
        <v>5186</v>
      </c>
      <c r="B1114" t="s">
        <v>5187</v>
      </c>
      <c r="C1114" t="s">
        <v>5188</v>
      </c>
      <c r="D1114" t="s">
        <v>5188</v>
      </c>
      <c r="E1114" t="s">
        <v>5189</v>
      </c>
      <c r="F1114" t="s">
        <v>2413</v>
      </c>
      <c r="G1114">
        <v>3</v>
      </c>
      <c r="H1114">
        <v>1</v>
      </c>
      <c r="I1114">
        <v>0.01</v>
      </c>
      <c r="J1114">
        <v>1000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85</v>
      </c>
      <c r="Y1114">
        <v>0</v>
      </c>
      <c r="Z1114">
        <v>0</v>
      </c>
      <c r="AA1114">
        <v>40000000</v>
      </c>
      <c r="AB1114">
        <v>0</v>
      </c>
      <c r="AC1114">
        <v>0</v>
      </c>
      <c r="AD1114" t="s">
        <v>94</v>
      </c>
      <c r="AE1114" t="s">
        <v>94</v>
      </c>
      <c r="AF1114" t="s">
        <v>226</v>
      </c>
      <c r="AG1114" t="s">
        <v>226</v>
      </c>
      <c r="AH1114">
        <v>-100</v>
      </c>
      <c r="AI1114" t="s">
        <v>3537</v>
      </c>
      <c r="AJ1114" t="s">
        <v>1976</v>
      </c>
      <c r="AK1114" t="s">
        <v>2416</v>
      </c>
      <c r="AL1114" t="s">
        <v>272</v>
      </c>
    </row>
    <row r="1115" spans="1:38">
      <c r="A1115" t="s">
        <v>5190</v>
      </c>
      <c r="B1115" t="s">
        <v>5191</v>
      </c>
      <c r="C1115" t="s">
        <v>5192</v>
      </c>
      <c r="D1115" t="s">
        <v>5192</v>
      </c>
      <c r="E1115" t="s">
        <v>5193</v>
      </c>
      <c r="F1115" t="s">
        <v>2413</v>
      </c>
      <c r="G1115">
        <v>3</v>
      </c>
      <c r="H1115">
        <v>1</v>
      </c>
      <c r="I1115">
        <v>0.01</v>
      </c>
      <c r="J1115">
        <v>1000</v>
      </c>
      <c r="K1115">
        <v>41.39</v>
      </c>
      <c r="L1115">
        <v>141.38999999999999</v>
      </c>
      <c r="M1115">
        <v>100</v>
      </c>
      <c r="N1115">
        <v>0</v>
      </c>
      <c r="O1115">
        <v>141.38999999999999</v>
      </c>
      <c r="P1115">
        <v>0</v>
      </c>
      <c r="Q1115">
        <v>0</v>
      </c>
      <c r="R1115">
        <v>0</v>
      </c>
      <c r="S1115">
        <v>141.38999999999999</v>
      </c>
      <c r="T1115">
        <v>141.38999999999999</v>
      </c>
      <c r="U1115">
        <v>141.38999999999999</v>
      </c>
      <c r="V1115">
        <v>141.38999999999999</v>
      </c>
      <c r="W1115">
        <v>1414</v>
      </c>
      <c r="X1115">
        <v>90.01</v>
      </c>
      <c r="Y1115">
        <v>0</v>
      </c>
      <c r="Z1115">
        <v>1</v>
      </c>
      <c r="AA1115">
        <v>16176000</v>
      </c>
      <c r="AB1115">
        <v>1413.9</v>
      </c>
      <c r="AC1115">
        <v>0</v>
      </c>
      <c r="AD1115" t="s">
        <v>94</v>
      </c>
      <c r="AE1115" t="s">
        <v>94</v>
      </c>
      <c r="AF1115" t="s">
        <v>226</v>
      </c>
      <c r="AG1115" t="s">
        <v>226</v>
      </c>
      <c r="AH1115">
        <v>-100</v>
      </c>
      <c r="AI1115" t="s">
        <v>3537</v>
      </c>
      <c r="AJ1115" t="s">
        <v>1976</v>
      </c>
      <c r="AK1115" t="s">
        <v>2416</v>
      </c>
      <c r="AL1115" t="s">
        <v>272</v>
      </c>
    </row>
    <row r="1116" spans="1:38">
      <c r="A1116" t="s">
        <v>5194</v>
      </c>
      <c r="B1116" t="s">
        <v>5195</v>
      </c>
      <c r="C1116" t="s">
        <v>5196</v>
      </c>
      <c r="D1116" t="s">
        <v>5196</v>
      </c>
      <c r="E1116" t="s">
        <v>5197</v>
      </c>
      <c r="F1116" t="s">
        <v>2413</v>
      </c>
      <c r="G1116">
        <v>3</v>
      </c>
      <c r="H1116">
        <v>1</v>
      </c>
      <c r="I1116">
        <v>0.01</v>
      </c>
      <c r="J1116">
        <v>1000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85.01</v>
      </c>
      <c r="Y1116">
        <v>0</v>
      </c>
      <c r="Z1116">
        <v>0</v>
      </c>
      <c r="AA1116">
        <v>35000000</v>
      </c>
      <c r="AB1116">
        <v>0</v>
      </c>
      <c r="AC1116">
        <v>0</v>
      </c>
      <c r="AD1116" t="s">
        <v>94</v>
      </c>
      <c r="AE1116" t="s">
        <v>94</v>
      </c>
      <c r="AF1116" t="s">
        <v>226</v>
      </c>
      <c r="AG1116" t="s">
        <v>226</v>
      </c>
      <c r="AH1116">
        <v>-100</v>
      </c>
      <c r="AI1116" t="s">
        <v>3537</v>
      </c>
      <c r="AJ1116" t="s">
        <v>1976</v>
      </c>
      <c r="AK1116" t="s">
        <v>2416</v>
      </c>
      <c r="AL1116" t="s">
        <v>272</v>
      </c>
    </row>
    <row r="1117" spans="1:38">
      <c r="A1117" t="s">
        <v>5198</v>
      </c>
      <c r="B1117" t="s">
        <v>5199</v>
      </c>
      <c r="C1117" t="s">
        <v>5200</v>
      </c>
      <c r="D1117" t="s">
        <v>5200</v>
      </c>
      <c r="E1117" t="s">
        <v>5201</v>
      </c>
      <c r="F1117" t="s">
        <v>2413</v>
      </c>
      <c r="G1117">
        <v>3</v>
      </c>
      <c r="H1117">
        <v>1</v>
      </c>
      <c r="I1117">
        <v>0.01</v>
      </c>
      <c r="J1117">
        <v>1000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40000000</v>
      </c>
      <c r="AB1117">
        <v>0</v>
      </c>
      <c r="AC1117">
        <v>0</v>
      </c>
      <c r="AD1117" t="s">
        <v>94</v>
      </c>
      <c r="AE1117" t="s">
        <v>94</v>
      </c>
      <c r="AF1117" t="s">
        <v>226</v>
      </c>
      <c r="AG1117" t="s">
        <v>226</v>
      </c>
      <c r="AH1117">
        <v>-100</v>
      </c>
      <c r="AI1117" t="s">
        <v>3537</v>
      </c>
      <c r="AJ1117" t="s">
        <v>1976</v>
      </c>
      <c r="AK1117" t="s">
        <v>2416</v>
      </c>
      <c r="AL1117" t="s">
        <v>272</v>
      </c>
    </row>
    <row r="1118" spans="1:38">
      <c r="A1118" t="s">
        <v>5202</v>
      </c>
      <c r="B1118" t="s">
        <v>5203</v>
      </c>
      <c r="C1118" t="s">
        <v>5204</v>
      </c>
      <c r="D1118" t="s">
        <v>5204</v>
      </c>
      <c r="E1118" t="s">
        <v>5205</v>
      </c>
      <c r="F1118" t="s">
        <v>2413</v>
      </c>
      <c r="G1118">
        <v>1</v>
      </c>
      <c r="H1118">
        <v>1</v>
      </c>
      <c r="I1118">
        <v>0.01</v>
      </c>
      <c r="J1118">
        <v>1000</v>
      </c>
      <c r="K1118">
        <v>-0.24</v>
      </c>
      <c r="L1118">
        <v>94.48</v>
      </c>
      <c r="M1118">
        <v>94.71</v>
      </c>
      <c r="N1118">
        <v>94.22</v>
      </c>
      <c r="O1118">
        <v>94.46</v>
      </c>
      <c r="P1118">
        <v>0</v>
      </c>
      <c r="Q1118">
        <v>0</v>
      </c>
      <c r="R1118">
        <v>0</v>
      </c>
      <c r="S1118">
        <v>93.88</v>
      </c>
      <c r="T1118">
        <v>94.57</v>
      </c>
      <c r="U1118">
        <v>93.75</v>
      </c>
      <c r="V1118">
        <v>94.57</v>
      </c>
      <c r="W1118">
        <v>122038</v>
      </c>
      <c r="X1118">
        <v>94.01</v>
      </c>
      <c r="Y1118">
        <v>94.48</v>
      </c>
      <c r="Z1118">
        <v>16</v>
      </c>
      <c r="AA1118">
        <v>50000000</v>
      </c>
      <c r="AB1118">
        <v>5668.8</v>
      </c>
      <c r="AC1118">
        <v>0</v>
      </c>
      <c r="AD1118" t="s">
        <v>94</v>
      </c>
      <c r="AE1118" t="s">
        <v>94</v>
      </c>
      <c r="AF1118" t="s">
        <v>226</v>
      </c>
      <c r="AG1118" t="s">
        <v>226</v>
      </c>
      <c r="AH1118">
        <v>8</v>
      </c>
      <c r="AI1118" t="s">
        <v>3537</v>
      </c>
      <c r="AJ1118" t="s">
        <v>1976</v>
      </c>
      <c r="AK1118" t="s">
        <v>2416</v>
      </c>
      <c r="AL1118" t="s">
        <v>272</v>
      </c>
    </row>
    <row r="1119" spans="1:38">
      <c r="A1119" t="s">
        <v>5206</v>
      </c>
      <c r="B1119" t="s">
        <v>5207</v>
      </c>
      <c r="C1119" t="s">
        <v>5208</v>
      </c>
      <c r="D1119" t="s">
        <v>5208</v>
      </c>
      <c r="E1119" t="s">
        <v>5209</v>
      </c>
      <c r="F1119" t="s">
        <v>2413</v>
      </c>
      <c r="G1119">
        <v>3</v>
      </c>
      <c r="H1119">
        <v>1</v>
      </c>
      <c r="I1119">
        <v>0.01</v>
      </c>
      <c r="J1119">
        <v>1000</v>
      </c>
      <c r="K1119">
        <v>0.53</v>
      </c>
      <c r="L1119">
        <v>94.8</v>
      </c>
      <c r="M1119">
        <v>94.32</v>
      </c>
      <c r="N1119">
        <v>94.27</v>
      </c>
      <c r="O1119">
        <v>94.8</v>
      </c>
      <c r="P1119">
        <v>0</v>
      </c>
      <c r="Q1119">
        <v>0</v>
      </c>
      <c r="R1119">
        <v>0</v>
      </c>
      <c r="S1119">
        <v>95</v>
      </c>
      <c r="T1119">
        <v>95.37</v>
      </c>
      <c r="U1119">
        <v>94.3</v>
      </c>
      <c r="V1119">
        <v>95.8</v>
      </c>
      <c r="W1119">
        <v>251750</v>
      </c>
      <c r="X1119">
        <v>94.4</v>
      </c>
      <c r="Y1119">
        <v>94.7</v>
      </c>
      <c r="Z1119">
        <v>32</v>
      </c>
      <c r="AA1119">
        <v>50000000</v>
      </c>
      <c r="AB1119">
        <v>18012</v>
      </c>
      <c r="AC1119">
        <v>0</v>
      </c>
      <c r="AD1119" t="s">
        <v>94</v>
      </c>
      <c r="AE1119" t="s">
        <v>94</v>
      </c>
      <c r="AF1119" t="s">
        <v>226</v>
      </c>
      <c r="AG1119" t="s">
        <v>226</v>
      </c>
      <c r="AH1119">
        <v>8</v>
      </c>
      <c r="AI1119" t="s">
        <v>3537</v>
      </c>
      <c r="AJ1119" t="s">
        <v>1976</v>
      </c>
      <c r="AK1119" t="s">
        <v>2416</v>
      </c>
      <c r="AL1119" t="s">
        <v>272</v>
      </c>
    </row>
    <row r="1120" spans="1:38">
      <c r="A1120" t="s">
        <v>5210</v>
      </c>
      <c r="B1120" t="s">
        <v>5211</v>
      </c>
      <c r="C1120" t="s">
        <v>5212</v>
      </c>
      <c r="D1120" t="s">
        <v>5212</v>
      </c>
      <c r="E1120" t="s">
        <v>5213</v>
      </c>
      <c r="F1120" t="s">
        <v>2413</v>
      </c>
      <c r="G1120">
        <v>3</v>
      </c>
      <c r="H1120">
        <v>1</v>
      </c>
      <c r="I1120">
        <v>0.01</v>
      </c>
      <c r="J1120">
        <v>1000</v>
      </c>
      <c r="K1120">
        <v>-1.01</v>
      </c>
      <c r="L1120">
        <v>96.66</v>
      </c>
      <c r="M1120">
        <v>97.64</v>
      </c>
      <c r="N1120">
        <v>96.84</v>
      </c>
      <c r="O1120">
        <v>96.76</v>
      </c>
      <c r="P1120">
        <v>0</v>
      </c>
      <c r="Q1120">
        <v>0</v>
      </c>
      <c r="R1120">
        <v>0</v>
      </c>
      <c r="S1120">
        <v>96.79</v>
      </c>
      <c r="T1120">
        <v>97.68</v>
      </c>
      <c r="U1120">
        <v>96.08</v>
      </c>
      <c r="V1120">
        <v>97.68</v>
      </c>
      <c r="W1120">
        <v>301973</v>
      </c>
      <c r="X1120">
        <v>96.51</v>
      </c>
      <c r="Y1120">
        <v>96.76</v>
      </c>
      <c r="Z1120">
        <v>58</v>
      </c>
      <c r="AA1120">
        <v>40000000</v>
      </c>
      <c r="AB1120">
        <v>966.6</v>
      </c>
      <c r="AC1120">
        <v>0</v>
      </c>
      <c r="AD1120" t="s">
        <v>94</v>
      </c>
      <c r="AE1120" t="s">
        <v>94</v>
      </c>
      <c r="AF1120" t="s">
        <v>226</v>
      </c>
      <c r="AG1120" t="s">
        <v>226</v>
      </c>
      <c r="AH1120">
        <v>8</v>
      </c>
      <c r="AI1120" t="s">
        <v>3537</v>
      </c>
      <c r="AJ1120" t="s">
        <v>1976</v>
      </c>
      <c r="AK1120" t="s">
        <v>2416</v>
      </c>
      <c r="AL1120" t="s">
        <v>272</v>
      </c>
    </row>
    <row r="1121" spans="1:38">
      <c r="A1121" t="s">
        <v>5214</v>
      </c>
      <c r="B1121" t="s">
        <v>5215</v>
      </c>
      <c r="C1121" t="s">
        <v>5216</v>
      </c>
      <c r="D1121" t="s">
        <v>5216</v>
      </c>
      <c r="E1121" t="s">
        <v>5217</v>
      </c>
      <c r="F1121" t="s">
        <v>2413</v>
      </c>
      <c r="G1121">
        <v>3</v>
      </c>
      <c r="H1121">
        <v>1</v>
      </c>
      <c r="I1121">
        <v>0.01</v>
      </c>
      <c r="J1121">
        <v>1000</v>
      </c>
      <c r="K1121">
        <v>0</v>
      </c>
      <c r="L1121">
        <v>99.9</v>
      </c>
      <c r="M1121">
        <v>99.9</v>
      </c>
      <c r="N1121">
        <v>99.8</v>
      </c>
      <c r="O1121">
        <v>99.9</v>
      </c>
      <c r="P1121">
        <v>0</v>
      </c>
      <c r="Q1121">
        <v>0</v>
      </c>
      <c r="R1121">
        <v>0</v>
      </c>
      <c r="S1121">
        <v>99.9</v>
      </c>
      <c r="T1121">
        <v>99.9</v>
      </c>
      <c r="U1121">
        <v>99.9</v>
      </c>
      <c r="V1121">
        <v>99.9</v>
      </c>
      <c r="W1121">
        <v>3996</v>
      </c>
      <c r="X1121">
        <v>96.18</v>
      </c>
      <c r="Y1121">
        <v>100.69</v>
      </c>
      <c r="Z1121">
        <v>2</v>
      </c>
      <c r="AA1121">
        <v>40000000</v>
      </c>
      <c r="AB1121">
        <v>999</v>
      </c>
      <c r="AC1121">
        <v>0</v>
      </c>
      <c r="AD1121" t="s">
        <v>94</v>
      </c>
      <c r="AE1121" t="s">
        <v>94</v>
      </c>
      <c r="AF1121" t="s">
        <v>226</v>
      </c>
      <c r="AG1121" t="s">
        <v>226</v>
      </c>
      <c r="AH1121">
        <v>8</v>
      </c>
      <c r="AI1121" t="s">
        <v>3537</v>
      </c>
      <c r="AJ1121" t="s">
        <v>1976</v>
      </c>
      <c r="AK1121" t="s">
        <v>2416</v>
      </c>
      <c r="AL1121" t="s">
        <v>272</v>
      </c>
    </row>
    <row r="1122" spans="1:38">
      <c r="A1122" t="s">
        <v>5218</v>
      </c>
      <c r="B1122" t="s">
        <v>5219</v>
      </c>
      <c r="C1122" t="s">
        <v>5220</v>
      </c>
      <c r="D1122" t="s">
        <v>5220</v>
      </c>
      <c r="E1122" t="s">
        <v>5221</v>
      </c>
      <c r="F1122" t="s">
        <v>2413</v>
      </c>
      <c r="G1122">
        <v>3</v>
      </c>
      <c r="H1122">
        <v>1</v>
      </c>
      <c r="I1122">
        <v>0.01</v>
      </c>
      <c r="J1122">
        <v>1000</v>
      </c>
      <c r="K1122">
        <v>1.1499999999999999</v>
      </c>
      <c r="L1122">
        <v>93.79</v>
      </c>
      <c r="M1122">
        <v>92.72</v>
      </c>
      <c r="N1122">
        <v>94.98</v>
      </c>
      <c r="O1122">
        <v>93.79</v>
      </c>
      <c r="P1122">
        <v>0</v>
      </c>
      <c r="Q1122">
        <v>0</v>
      </c>
      <c r="R1122">
        <v>0</v>
      </c>
      <c r="S1122">
        <v>93.71</v>
      </c>
      <c r="T1122">
        <v>93.7</v>
      </c>
      <c r="U1122">
        <v>93.44</v>
      </c>
      <c r="V1122">
        <v>94.01</v>
      </c>
      <c r="W1122">
        <v>8433</v>
      </c>
      <c r="X1122">
        <v>92.8</v>
      </c>
      <c r="Y1122">
        <v>94.04</v>
      </c>
      <c r="Z1122">
        <v>7</v>
      </c>
      <c r="AA1122">
        <v>85000000</v>
      </c>
      <c r="AB1122">
        <v>937.9</v>
      </c>
      <c r="AC1122">
        <v>0</v>
      </c>
      <c r="AD1122" t="s">
        <v>94</v>
      </c>
      <c r="AE1122" t="s">
        <v>94</v>
      </c>
      <c r="AF1122" t="s">
        <v>226</v>
      </c>
      <c r="AG1122" t="s">
        <v>226</v>
      </c>
      <c r="AH1122">
        <v>8</v>
      </c>
      <c r="AI1122" t="s">
        <v>3537</v>
      </c>
      <c r="AJ1122" t="s">
        <v>1976</v>
      </c>
      <c r="AK1122" t="s">
        <v>2416</v>
      </c>
      <c r="AL1122" t="s">
        <v>272</v>
      </c>
    </row>
    <row r="1123" spans="1:38">
      <c r="A1123" t="s">
        <v>5222</v>
      </c>
      <c r="B1123" t="s">
        <v>5223</v>
      </c>
      <c r="C1123" t="s">
        <v>5224</v>
      </c>
      <c r="D1123" t="s">
        <v>5224</v>
      </c>
      <c r="E1123" t="s">
        <v>5225</v>
      </c>
      <c r="F1123" t="s">
        <v>2413</v>
      </c>
      <c r="G1123">
        <v>3</v>
      </c>
      <c r="H1123">
        <v>1</v>
      </c>
      <c r="I1123">
        <v>0.01</v>
      </c>
      <c r="J1123">
        <v>1000</v>
      </c>
      <c r="K1123">
        <v>0.62</v>
      </c>
      <c r="L1123">
        <v>95.67</v>
      </c>
      <c r="M1123">
        <v>95.08</v>
      </c>
      <c r="N1123">
        <v>94.91</v>
      </c>
      <c r="O1123">
        <v>95.67</v>
      </c>
      <c r="P1123">
        <v>0</v>
      </c>
      <c r="Q1123">
        <v>0</v>
      </c>
      <c r="R1123">
        <v>0</v>
      </c>
      <c r="S1123">
        <v>94.91</v>
      </c>
      <c r="T1123">
        <v>95.03</v>
      </c>
      <c r="U1123">
        <v>93.73</v>
      </c>
      <c r="V1123">
        <v>95.67</v>
      </c>
      <c r="W1123">
        <v>372989</v>
      </c>
      <c r="X1123">
        <v>95.31</v>
      </c>
      <c r="Y1123">
        <v>95.67</v>
      </c>
      <c r="Z1123">
        <v>32</v>
      </c>
      <c r="AA1123">
        <v>65000000</v>
      </c>
      <c r="AB1123">
        <v>956.7</v>
      </c>
      <c r="AC1123">
        <v>0</v>
      </c>
      <c r="AD1123" t="s">
        <v>94</v>
      </c>
      <c r="AE1123" t="s">
        <v>94</v>
      </c>
      <c r="AF1123" t="s">
        <v>226</v>
      </c>
      <c r="AG1123" t="s">
        <v>226</v>
      </c>
      <c r="AH1123">
        <v>8</v>
      </c>
      <c r="AI1123" t="s">
        <v>3537</v>
      </c>
      <c r="AJ1123" t="s">
        <v>1976</v>
      </c>
      <c r="AK1123" t="s">
        <v>2416</v>
      </c>
      <c r="AL1123" t="s">
        <v>272</v>
      </c>
    </row>
    <row r="1124" spans="1:38">
      <c r="A1124" t="s">
        <v>5226</v>
      </c>
      <c r="B1124" t="s">
        <v>5227</v>
      </c>
      <c r="C1124" t="s">
        <v>5228</v>
      </c>
      <c r="D1124" t="s">
        <v>5228</v>
      </c>
      <c r="E1124" t="s">
        <v>5229</v>
      </c>
      <c r="F1124" t="s">
        <v>2413</v>
      </c>
      <c r="G1124">
        <v>3</v>
      </c>
      <c r="H1124">
        <v>1</v>
      </c>
      <c r="I1124">
        <v>0.01</v>
      </c>
      <c r="J1124">
        <v>1000</v>
      </c>
      <c r="K1124">
        <v>0</v>
      </c>
      <c r="L1124">
        <v>0</v>
      </c>
      <c r="M1124">
        <v>100.05</v>
      </c>
      <c r="N1124">
        <v>99.91</v>
      </c>
      <c r="O1124">
        <v>100.05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99.75</v>
      </c>
      <c r="Y1124">
        <v>100.05</v>
      </c>
      <c r="Z1124">
        <v>0</v>
      </c>
      <c r="AA1124">
        <v>50000000</v>
      </c>
      <c r="AB1124">
        <v>0</v>
      </c>
      <c r="AC1124">
        <v>0</v>
      </c>
      <c r="AD1124" t="s">
        <v>94</v>
      </c>
      <c r="AE1124" t="s">
        <v>94</v>
      </c>
      <c r="AF1124" t="s">
        <v>226</v>
      </c>
      <c r="AG1124" t="s">
        <v>226</v>
      </c>
      <c r="AH1124">
        <v>8</v>
      </c>
      <c r="AI1124" t="s">
        <v>3537</v>
      </c>
      <c r="AJ1124" t="s">
        <v>1976</v>
      </c>
      <c r="AK1124" t="s">
        <v>2416</v>
      </c>
      <c r="AL1124" t="s">
        <v>272</v>
      </c>
    </row>
    <row r="1125" spans="1:38">
      <c r="A1125" t="s">
        <v>5230</v>
      </c>
      <c r="B1125" t="s">
        <v>5231</v>
      </c>
      <c r="C1125" t="s">
        <v>5232</v>
      </c>
      <c r="D1125" t="s">
        <v>5232</v>
      </c>
      <c r="E1125" t="s">
        <v>5233</v>
      </c>
      <c r="F1125" t="s">
        <v>2413</v>
      </c>
      <c r="G1125">
        <v>3</v>
      </c>
      <c r="H1125">
        <v>1</v>
      </c>
      <c r="I1125">
        <v>0.01</v>
      </c>
      <c r="J1125">
        <v>1000</v>
      </c>
      <c r="K1125">
        <v>0</v>
      </c>
      <c r="L1125">
        <v>0</v>
      </c>
      <c r="M1125">
        <v>99.75</v>
      </c>
      <c r="N1125">
        <v>100.04</v>
      </c>
      <c r="O1125">
        <v>99.75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99.76</v>
      </c>
      <c r="Y1125">
        <v>100.05</v>
      </c>
      <c r="Z1125">
        <v>0</v>
      </c>
      <c r="AA1125">
        <v>50000000</v>
      </c>
      <c r="AB1125">
        <v>0</v>
      </c>
      <c r="AC1125">
        <v>0</v>
      </c>
      <c r="AD1125" t="s">
        <v>94</v>
      </c>
      <c r="AE1125" t="s">
        <v>94</v>
      </c>
      <c r="AF1125" t="s">
        <v>226</v>
      </c>
      <c r="AG1125" t="s">
        <v>226</v>
      </c>
      <c r="AH1125">
        <v>8</v>
      </c>
      <c r="AI1125" t="s">
        <v>3537</v>
      </c>
      <c r="AJ1125" t="s">
        <v>1976</v>
      </c>
      <c r="AK1125" t="s">
        <v>2416</v>
      </c>
      <c r="AL1125" t="s">
        <v>272</v>
      </c>
    </row>
    <row r="1126" spans="1:38">
      <c r="A1126" t="s">
        <v>5234</v>
      </c>
      <c r="B1126" t="s">
        <v>5235</v>
      </c>
      <c r="C1126" t="s">
        <v>5236</v>
      </c>
      <c r="D1126" t="s">
        <v>5236</v>
      </c>
      <c r="E1126" t="s">
        <v>5237</v>
      </c>
      <c r="F1126" t="s">
        <v>2413</v>
      </c>
      <c r="G1126">
        <v>3</v>
      </c>
      <c r="H1126">
        <v>1</v>
      </c>
      <c r="I1126">
        <v>0.01</v>
      </c>
      <c r="J1126">
        <v>1000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100.13</v>
      </c>
      <c r="Y1126">
        <v>0</v>
      </c>
      <c r="Z1126">
        <v>0</v>
      </c>
      <c r="AA1126">
        <v>25000000</v>
      </c>
      <c r="AB1126">
        <v>0</v>
      </c>
      <c r="AC1126">
        <v>0</v>
      </c>
      <c r="AD1126" t="s">
        <v>94</v>
      </c>
      <c r="AE1126" t="s">
        <v>94</v>
      </c>
      <c r="AF1126" t="s">
        <v>226</v>
      </c>
      <c r="AG1126" t="s">
        <v>226</v>
      </c>
      <c r="AH1126">
        <v>8</v>
      </c>
      <c r="AI1126" t="s">
        <v>3537</v>
      </c>
      <c r="AJ1126" t="s">
        <v>1976</v>
      </c>
      <c r="AK1126" t="s">
        <v>2416</v>
      </c>
      <c r="AL1126" t="s">
        <v>272</v>
      </c>
    </row>
    <row r="1127" spans="1:38">
      <c r="A1127" t="s">
        <v>5238</v>
      </c>
      <c r="B1127" t="s">
        <v>2645</v>
      </c>
      <c r="C1127" t="s">
        <v>2646</v>
      </c>
      <c r="D1127" t="s">
        <v>2646</v>
      </c>
      <c r="E1127" t="s">
        <v>2647</v>
      </c>
      <c r="F1127" t="s">
        <v>2413</v>
      </c>
      <c r="G1127">
        <v>3</v>
      </c>
      <c r="H1127">
        <v>1</v>
      </c>
      <c r="I1127">
        <v>1E-4</v>
      </c>
      <c r="J1127">
        <v>1000</v>
      </c>
      <c r="K1127">
        <v>0</v>
      </c>
      <c r="L1127">
        <v>0</v>
      </c>
      <c r="M1127">
        <v>99.85</v>
      </c>
      <c r="N1127">
        <v>0</v>
      </c>
      <c r="O1127">
        <v>99.85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200000</v>
      </c>
      <c r="AB1127">
        <v>0</v>
      </c>
      <c r="AC1127">
        <v>0</v>
      </c>
      <c r="AD1127" t="s">
        <v>2</v>
      </c>
      <c r="AE1127" t="s">
        <v>94</v>
      </c>
      <c r="AF1127" t="s">
        <v>226</v>
      </c>
      <c r="AG1127" t="s">
        <v>226</v>
      </c>
      <c r="AH1127">
        <v>6</v>
      </c>
      <c r="AI1127" t="s">
        <v>3537</v>
      </c>
      <c r="AJ1127" t="s">
        <v>1976</v>
      </c>
      <c r="AK1127" t="s">
        <v>2416</v>
      </c>
      <c r="AL1127" t="s">
        <v>272</v>
      </c>
    </row>
    <row r="1128" spans="1:38">
      <c r="A1128" t="s">
        <v>5239</v>
      </c>
      <c r="B1128" t="s">
        <v>5240</v>
      </c>
      <c r="C1128" t="s">
        <v>5241</v>
      </c>
      <c r="D1128" t="s">
        <v>5241</v>
      </c>
      <c r="E1128" t="s">
        <v>5242</v>
      </c>
      <c r="F1128" t="s">
        <v>2413</v>
      </c>
      <c r="G1128">
        <v>3</v>
      </c>
      <c r="H1128">
        <v>1</v>
      </c>
      <c r="I1128">
        <v>0.01</v>
      </c>
      <c r="J1128">
        <v>1000</v>
      </c>
      <c r="K1128">
        <v>0.05</v>
      </c>
      <c r="L1128">
        <v>99.95</v>
      </c>
      <c r="M1128">
        <v>99.58</v>
      </c>
      <c r="N1128">
        <v>0</v>
      </c>
      <c r="O1128">
        <v>99.92</v>
      </c>
      <c r="P1128">
        <v>0</v>
      </c>
      <c r="Q1128">
        <v>0</v>
      </c>
      <c r="R1128">
        <v>0</v>
      </c>
      <c r="S1128">
        <v>98.18</v>
      </c>
      <c r="T1128">
        <v>98.01</v>
      </c>
      <c r="U1128">
        <v>97.01</v>
      </c>
      <c r="V1128">
        <v>99.95</v>
      </c>
      <c r="W1128">
        <v>26508</v>
      </c>
      <c r="X1128">
        <v>99.95</v>
      </c>
      <c r="Y1128">
        <v>99.98</v>
      </c>
      <c r="Z1128">
        <v>6</v>
      </c>
      <c r="AA1128">
        <v>4999516</v>
      </c>
      <c r="AB1128">
        <v>999.5</v>
      </c>
      <c r="AC1128">
        <v>0</v>
      </c>
      <c r="AD1128" t="s">
        <v>94</v>
      </c>
      <c r="AE1128" t="s">
        <v>94</v>
      </c>
      <c r="AF1128" t="s">
        <v>226</v>
      </c>
      <c r="AG1128" t="s">
        <v>226</v>
      </c>
      <c r="AH1128">
        <v>6</v>
      </c>
      <c r="AI1128" t="s">
        <v>3537</v>
      </c>
      <c r="AJ1128" t="s">
        <v>1976</v>
      </c>
      <c r="AK1128" t="s">
        <v>2416</v>
      </c>
      <c r="AL1128" t="s">
        <v>272</v>
      </c>
    </row>
    <row r="1129" spans="1:38">
      <c r="A1129" t="s">
        <v>5243</v>
      </c>
      <c r="B1129" t="s">
        <v>5244</v>
      </c>
      <c r="C1129" t="s">
        <v>5245</v>
      </c>
      <c r="D1129" t="s">
        <v>5245</v>
      </c>
      <c r="E1129" t="s">
        <v>5246</v>
      </c>
      <c r="F1129" t="s">
        <v>2413</v>
      </c>
      <c r="G1129">
        <v>3</v>
      </c>
      <c r="H1129">
        <v>1</v>
      </c>
      <c r="I1129">
        <v>0.01</v>
      </c>
      <c r="J1129">
        <v>1000</v>
      </c>
      <c r="K1129">
        <v>1.57</v>
      </c>
      <c r="L1129">
        <v>98.5</v>
      </c>
      <c r="M1129">
        <v>96.98</v>
      </c>
      <c r="N1129">
        <v>0</v>
      </c>
      <c r="O1129">
        <v>98.26</v>
      </c>
      <c r="P1129">
        <v>0</v>
      </c>
      <c r="Q1129">
        <v>0</v>
      </c>
      <c r="R1129">
        <v>0</v>
      </c>
      <c r="S1129">
        <v>98.26</v>
      </c>
      <c r="T1129">
        <v>98.01</v>
      </c>
      <c r="U1129">
        <v>98.01</v>
      </c>
      <c r="V1129">
        <v>98.5</v>
      </c>
      <c r="W1129">
        <v>1965</v>
      </c>
      <c r="X1129">
        <v>94.02</v>
      </c>
      <c r="Y1129">
        <v>99.99</v>
      </c>
      <c r="Z1129">
        <v>2</v>
      </c>
      <c r="AA1129">
        <v>4999415</v>
      </c>
      <c r="AB1129">
        <v>985</v>
      </c>
      <c r="AC1129">
        <v>0</v>
      </c>
      <c r="AD1129" t="s">
        <v>94</v>
      </c>
      <c r="AE1129" t="s">
        <v>94</v>
      </c>
      <c r="AF1129" t="s">
        <v>226</v>
      </c>
      <c r="AG1129" t="s">
        <v>226</v>
      </c>
      <c r="AH1129">
        <v>6</v>
      </c>
      <c r="AI1129" t="s">
        <v>3537</v>
      </c>
      <c r="AJ1129" t="s">
        <v>1976</v>
      </c>
      <c r="AK1129" t="s">
        <v>2416</v>
      </c>
      <c r="AL1129" t="s">
        <v>272</v>
      </c>
    </row>
    <row r="1130" spans="1:38">
      <c r="A1130" t="s">
        <v>5247</v>
      </c>
      <c r="B1130" t="s">
        <v>5248</v>
      </c>
      <c r="C1130" t="s">
        <v>5249</v>
      </c>
      <c r="D1130" t="s">
        <v>5249</v>
      </c>
      <c r="E1130" t="s">
        <v>5250</v>
      </c>
      <c r="F1130" t="s">
        <v>2413</v>
      </c>
      <c r="G1130">
        <v>3</v>
      </c>
      <c r="H1130">
        <v>1</v>
      </c>
      <c r="I1130">
        <v>0.01</v>
      </c>
      <c r="J1130">
        <v>1000</v>
      </c>
      <c r="K1130">
        <v>0</v>
      </c>
      <c r="L1130">
        <v>0</v>
      </c>
      <c r="M1130">
        <v>101.98</v>
      </c>
      <c r="N1130">
        <v>0</v>
      </c>
      <c r="O1130">
        <v>101.98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96.53</v>
      </c>
      <c r="Y1130">
        <v>101.94</v>
      </c>
      <c r="Z1130">
        <v>0</v>
      </c>
      <c r="AA1130">
        <v>4952961</v>
      </c>
      <c r="AB1130">
        <v>0</v>
      </c>
      <c r="AC1130">
        <v>0</v>
      </c>
      <c r="AD1130" t="s">
        <v>94</v>
      </c>
      <c r="AE1130" t="s">
        <v>94</v>
      </c>
      <c r="AF1130" t="s">
        <v>226</v>
      </c>
      <c r="AG1130" t="s">
        <v>226</v>
      </c>
      <c r="AH1130">
        <v>6</v>
      </c>
      <c r="AI1130" t="s">
        <v>3537</v>
      </c>
      <c r="AJ1130" t="s">
        <v>1976</v>
      </c>
      <c r="AK1130" t="s">
        <v>2416</v>
      </c>
      <c r="AL1130" t="s">
        <v>272</v>
      </c>
    </row>
    <row r="1131" spans="1:38">
      <c r="A1131" t="s">
        <v>5251</v>
      </c>
      <c r="B1131" t="s">
        <v>5252</v>
      </c>
      <c r="C1131" t="s">
        <v>5253</v>
      </c>
      <c r="D1131" t="s">
        <v>5253</v>
      </c>
      <c r="E1131" t="s">
        <v>5254</v>
      </c>
      <c r="F1131" t="s">
        <v>2413</v>
      </c>
      <c r="G1131">
        <v>3</v>
      </c>
      <c r="H1131">
        <v>1</v>
      </c>
      <c r="I1131">
        <v>0.01</v>
      </c>
      <c r="J1131">
        <v>1000</v>
      </c>
      <c r="K1131">
        <v>0</v>
      </c>
      <c r="L1131">
        <v>0</v>
      </c>
      <c r="M1131">
        <v>99</v>
      </c>
      <c r="N1131">
        <v>98.36</v>
      </c>
      <c r="O1131">
        <v>99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96.8</v>
      </c>
      <c r="Y1131">
        <v>99</v>
      </c>
      <c r="Z1131">
        <v>0</v>
      </c>
      <c r="AA1131">
        <v>4995623</v>
      </c>
      <c r="AB1131">
        <v>0</v>
      </c>
      <c r="AC1131">
        <v>0</v>
      </c>
      <c r="AD1131" t="s">
        <v>94</v>
      </c>
      <c r="AE1131" t="s">
        <v>94</v>
      </c>
      <c r="AF1131" t="s">
        <v>226</v>
      </c>
      <c r="AG1131" t="s">
        <v>226</v>
      </c>
      <c r="AH1131">
        <v>6</v>
      </c>
      <c r="AI1131" t="s">
        <v>3537</v>
      </c>
      <c r="AJ1131" t="s">
        <v>1976</v>
      </c>
      <c r="AK1131" t="s">
        <v>2416</v>
      </c>
      <c r="AL1131" t="s">
        <v>272</v>
      </c>
    </row>
    <row r="1132" spans="1:38">
      <c r="A1132" t="s">
        <v>5255</v>
      </c>
      <c r="B1132" t="s">
        <v>5256</v>
      </c>
      <c r="C1132" t="s">
        <v>5257</v>
      </c>
      <c r="D1132" t="s">
        <v>5257</v>
      </c>
      <c r="E1132" t="s">
        <v>5258</v>
      </c>
      <c r="F1132" t="s">
        <v>2413</v>
      </c>
      <c r="G1132">
        <v>3</v>
      </c>
      <c r="H1132">
        <v>1</v>
      </c>
      <c r="I1132">
        <v>0.01</v>
      </c>
      <c r="J1132">
        <v>1000</v>
      </c>
      <c r="K1132">
        <v>0</v>
      </c>
      <c r="L1132">
        <v>0</v>
      </c>
      <c r="M1132">
        <v>109.8</v>
      </c>
      <c r="N1132">
        <v>0</v>
      </c>
      <c r="O1132">
        <v>109.8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94.02</v>
      </c>
      <c r="Y1132">
        <v>0</v>
      </c>
      <c r="Z1132">
        <v>0</v>
      </c>
      <c r="AA1132">
        <v>10000000</v>
      </c>
      <c r="AB1132">
        <v>0</v>
      </c>
      <c r="AC1132">
        <v>0</v>
      </c>
      <c r="AD1132" t="s">
        <v>94</v>
      </c>
      <c r="AE1132" t="s">
        <v>94</v>
      </c>
      <c r="AF1132" t="s">
        <v>226</v>
      </c>
      <c r="AG1132" t="s">
        <v>226</v>
      </c>
      <c r="AH1132">
        <v>6</v>
      </c>
      <c r="AI1132" t="s">
        <v>3537</v>
      </c>
      <c r="AJ1132" t="s">
        <v>1976</v>
      </c>
      <c r="AK1132" t="s">
        <v>2416</v>
      </c>
      <c r="AL1132" t="s">
        <v>272</v>
      </c>
    </row>
    <row r="1133" spans="1:38">
      <c r="A1133" t="s">
        <v>5259</v>
      </c>
      <c r="B1133" t="s">
        <v>5260</v>
      </c>
      <c r="C1133" t="s">
        <v>5261</v>
      </c>
      <c r="D1133" t="s">
        <v>5261</v>
      </c>
      <c r="E1133" t="s">
        <v>5262</v>
      </c>
      <c r="F1133" t="s">
        <v>2413</v>
      </c>
      <c r="G1133">
        <v>3</v>
      </c>
      <c r="H1133">
        <v>1</v>
      </c>
      <c r="I1133">
        <v>0.01</v>
      </c>
      <c r="J1133">
        <v>1000</v>
      </c>
      <c r="K1133">
        <v>0</v>
      </c>
      <c r="L1133">
        <v>0</v>
      </c>
      <c r="M1133">
        <v>98.01</v>
      </c>
      <c r="N1133">
        <v>0</v>
      </c>
      <c r="O1133">
        <v>98.01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5000000</v>
      </c>
      <c r="AB1133">
        <v>0</v>
      </c>
      <c r="AC1133">
        <v>0</v>
      </c>
      <c r="AD1133" t="s">
        <v>94</v>
      </c>
      <c r="AE1133" t="s">
        <v>94</v>
      </c>
      <c r="AF1133" t="s">
        <v>226</v>
      </c>
      <c r="AG1133" t="s">
        <v>226</v>
      </c>
      <c r="AH1133">
        <v>6</v>
      </c>
      <c r="AI1133" t="s">
        <v>3537</v>
      </c>
      <c r="AJ1133" t="s">
        <v>1976</v>
      </c>
      <c r="AK1133" t="s">
        <v>2416</v>
      </c>
      <c r="AL1133" t="s">
        <v>272</v>
      </c>
    </row>
    <row r="1134" spans="1:38">
      <c r="A1134" t="s">
        <v>5263</v>
      </c>
      <c r="B1134" t="s">
        <v>5264</v>
      </c>
      <c r="C1134" t="s">
        <v>5265</v>
      </c>
      <c r="D1134" t="s">
        <v>5265</v>
      </c>
      <c r="E1134" t="s">
        <v>5266</v>
      </c>
      <c r="F1134" t="s">
        <v>2413</v>
      </c>
      <c r="G1134">
        <v>3</v>
      </c>
      <c r="H1134">
        <v>1</v>
      </c>
      <c r="I1134">
        <v>0.01</v>
      </c>
      <c r="J1134">
        <v>1000</v>
      </c>
      <c r="K1134">
        <v>0</v>
      </c>
      <c r="L1134">
        <v>0</v>
      </c>
      <c r="M1134">
        <v>105</v>
      </c>
      <c r="N1134">
        <v>0</v>
      </c>
      <c r="O1134">
        <v>105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90.01</v>
      </c>
      <c r="Y1134">
        <v>0</v>
      </c>
      <c r="Z1134">
        <v>0</v>
      </c>
      <c r="AA1134">
        <v>5000000</v>
      </c>
      <c r="AB1134">
        <v>0</v>
      </c>
      <c r="AC1134">
        <v>0</v>
      </c>
      <c r="AD1134" t="s">
        <v>94</v>
      </c>
      <c r="AE1134" t="s">
        <v>94</v>
      </c>
      <c r="AF1134" t="s">
        <v>226</v>
      </c>
      <c r="AG1134" t="s">
        <v>226</v>
      </c>
      <c r="AH1134">
        <v>6</v>
      </c>
      <c r="AI1134" t="s">
        <v>3537</v>
      </c>
      <c r="AJ1134" t="s">
        <v>1976</v>
      </c>
      <c r="AK1134" t="s">
        <v>2416</v>
      </c>
      <c r="AL1134" t="s">
        <v>272</v>
      </c>
    </row>
    <row r="1135" spans="1:38">
      <c r="A1135" t="s">
        <v>5267</v>
      </c>
      <c r="B1135" t="s">
        <v>5268</v>
      </c>
      <c r="C1135" t="s">
        <v>5269</v>
      </c>
      <c r="D1135" t="s">
        <v>5269</v>
      </c>
      <c r="E1135" t="s">
        <v>5270</v>
      </c>
      <c r="F1135" t="s">
        <v>2413</v>
      </c>
      <c r="G1135">
        <v>3</v>
      </c>
      <c r="H1135">
        <v>1</v>
      </c>
      <c r="I1135">
        <v>0.01</v>
      </c>
      <c r="J1135">
        <v>1000</v>
      </c>
      <c r="K1135">
        <v>0</v>
      </c>
      <c r="L1135">
        <v>99.84</v>
      </c>
      <c r="M1135">
        <v>99.84</v>
      </c>
      <c r="N1135">
        <v>99.79</v>
      </c>
      <c r="O1135">
        <v>99.84</v>
      </c>
      <c r="P1135">
        <v>0</v>
      </c>
      <c r="Q1135">
        <v>0</v>
      </c>
      <c r="R1135">
        <v>0</v>
      </c>
      <c r="S1135">
        <v>99.83</v>
      </c>
      <c r="T1135">
        <v>99.89</v>
      </c>
      <c r="U1135">
        <v>99.66</v>
      </c>
      <c r="V1135">
        <v>99.9</v>
      </c>
      <c r="W1135">
        <v>328450</v>
      </c>
      <c r="X1135">
        <v>99.71</v>
      </c>
      <c r="Y1135">
        <v>99.84</v>
      </c>
      <c r="Z1135">
        <v>72</v>
      </c>
      <c r="AA1135">
        <v>60000</v>
      </c>
      <c r="AB1135">
        <v>1996.8</v>
      </c>
      <c r="AC1135">
        <v>0</v>
      </c>
      <c r="AD1135" t="s">
        <v>94</v>
      </c>
      <c r="AE1135" t="s">
        <v>94</v>
      </c>
      <c r="AF1135" t="s">
        <v>226</v>
      </c>
      <c r="AG1135" t="s">
        <v>226</v>
      </c>
      <c r="AH1135">
        <v>6</v>
      </c>
      <c r="AI1135" t="s">
        <v>3537</v>
      </c>
      <c r="AJ1135" t="s">
        <v>1976</v>
      </c>
      <c r="AK1135" t="s">
        <v>2416</v>
      </c>
      <c r="AL1135" t="s">
        <v>272</v>
      </c>
    </row>
    <row r="1136" spans="1:38">
      <c r="A1136" t="s">
        <v>5271</v>
      </c>
      <c r="B1136" t="s">
        <v>5272</v>
      </c>
      <c r="C1136" t="s">
        <v>5273</v>
      </c>
      <c r="D1136" t="s">
        <v>5273</v>
      </c>
      <c r="E1136" t="s">
        <v>5274</v>
      </c>
      <c r="F1136" t="s">
        <v>2413</v>
      </c>
      <c r="G1136">
        <v>3</v>
      </c>
      <c r="H1136">
        <v>1</v>
      </c>
      <c r="I1136">
        <v>0.01</v>
      </c>
      <c r="J1136">
        <v>1000</v>
      </c>
      <c r="K1136">
        <v>0.02</v>
      </c>
      <c r="L1136">
        <v>88.31</v>
      </c>
      <c r="M1136">
        <v>88.31</v>
      </c>
      <c r="N1136">
        <v>87.94</v>
      </c>
      <c r="O1136">
        <v>88.33</v>
      </c>
      <c r="P1136">
        <v>0</v>
      </c>
      <c r="Q1136">
        <v>0</v>
      </c>
      <c r="R1136">
        <v>0</v>
      </c>
      <c r="S1136">
        <v>88.48</v>
      </c>
      <c r="T1136">
        <v>88.48</v>
      </c>
      <c r="U1136">
        <v>88.29</v>
      </c>
      <c r="V1136">
        <v>88.8</v>
      </c>
      <c r="W1136">
        <v>50435</v>
      </c>
      <c r="X1136">
        <v>88.31</v>
      </c>
      <c r="Y1136">
        <v>88.56</v>
      </c>
      <c r="Z1136">
        <v>21</v>
      </c>
      <c r="AA1136">
        <v>500000</v>
      </c>
      <c r="AB1136">
        <v>1766.2</v>
      </c>
      <c r="AC1136">
        <v>0</v>
      </c>
      <c r="AD1136" t="s">
        <v>94</v>
      </c>
      <c r="AE1136" t="s">
        <v>94</v>
      </c>
      <c r="AF1136" t="s">
        <v>226</v>
      </c>
      <c r="AG1136" t="s">
        <v>226</v>
      </c>
      <c r="AH1136">
        <v>6</v>
      </c>
      <c r="AI1136" t="s">
        <v>3537</v>
      </c>
      <c r="AJ1136" t="s">
        <v>1976</v>
      </c>
      <c r="AK1136" t="s">
        <v>2416</v>
      </c>
      <c r="AL1136" t="s">
        <v>272</v>
      </c>
    </row>
    <row r="1137" spans="1:38">
      <c r="A1137" t="s">
        <v>5275</v>
      </c>
      <c r="B1137" t="s">
        <v>5276</v>
      </c>
      <c r="C1137" t="s">
        <v>5277</v>
      </c>
      <c r="D1137" t="s">
        <v>5277</v>
      </c>
      <c r="E1137" t="s">
        <v>5278</v>
      </c>
      <c r="F1137" t="s">
        <v>2413</v>
      </c>
      <c r="G1137">
        <v>3</v>
      </c>
      <c r="H1137">
        <v>1</v>
      </c>
      <c r="I1137">
        <v>0.01</v>
      </c>
      <c r="J1137">
        <v>1000</v>
      </c>
      <c r="K1137">
        <v>-0.61</v>
      </c>
      <c r="L1137">
        <v>94.19</v>
      </c>
      <c r="M1137">
        <v>94.77</v>
      </c>
      <c r="N1137">
        <v>94</v>
      </c>
      <c r="O1137">
        <v>94.19</v>
      </c>
      <c r="P1137">
        <v>0</v>
      </c>
      <c r="Q1137">
        <v>0</v>
      </c>
      <c r="R1137">
        <v>0</v>
      </c>
      <c r="S1137">
        <v>94.52</v>
      </c>
      <c r="T1137">
        <v>96.68</v>
      </c>
      <c r="U1137">
        <v>94.03</v>
      </c>
      <c r="V1137">
        <v>96.69</v>
      </c>
      <c r="W1137">
        <v>259930</v>
      </c>
      <c r="X1137">
        <v>94.14</v>
      </c>
      <c r="Y1137">
        <v>94.19</v>
      </c>
      <c r="Z1137">
        <v>38</v>
      </c>
      <c r="AA1137">
        <v>600000</v>
      </c>
      <c r="AB1137">
        <v>9419</v>
      </c>
      <c r="AC1137">
        <v>0</v>
      </c>
      <c r="AD1137" t="s">
        <v>94</v>
      </c>
      <c r="AE1137" t="s">
        <v>94</v>
      </c>
      <c r="AF1137" t="s">
        <v>226</v>
      </c>
      <c r="AG1137" t="s">
        <v>226</v>
      </c>
      <c r="AH1137">
        <v>6</v>
      </c>
      <c r="AI1137" t="s">
        <v>3537</v>
      </c>
      <c r="AJ1137" t="s">
        <v>1976</v>
      </c>
      <c r="AK1137" t="s">
        <v>2416</v>
      </c>
      <c r="AL1137" t="s">
        <v>272</v>
      </c>
    </row>
    <row r="1138" spans="1:38">
      <c r="A1138" t="s">
        <v>5279</v>
      </c>
      <c r="B1138" t="s">
        <v>5280</v>
      </c>
      <c r="C1138" t="s">
        <v>5281</v>
      </c>
      <c r="D1138" t="s">
        <v>5281</v>
      </c>
      <c r="E1138" t="s">
        <v>5282</v>
      </c>
      <c r="F1138" t="s">
        <v>2413</v>
      </c>
      <c r="G1138">
        <v>3</v>
      </c>
      <c r="H1138">
        <v>1</v>
      </c>
      <c r="I1138">
        <v>0.01</v>
      </c>
      <c r="J1138">
        <v>1000</v>
      </c>
      <c r="K1138">
        <v>-0.34</v>
      </c>
      <c r="L1138">
        <v>97.41</v>
      </c>
      <c r="M1138">
        <v>97.74</v>
      </c>
      <c r="N1138">
        <v>97.62</v>
      </c>
      <c r="O1138">
        <v>97.41</v>
      </c>
      <c r="P1138">
        <v>0</v>
      </c>
      <c r="Q1138">
        <v>0</v>
      </c>
      <c r="R1138">
        <v>0</v>
      </c>
      <c r="S1138">
        <v>97.13</v>
      </c>
      <c r="T1138">
        <v>96.56</v>
      </c>
      <c r="U1138">
        <v>96.5</v>
      </c>
      <c r="V1138">
        <v>97.51</v>
      </c>
      <c r="W1138">
        <v>265163</v>
      </c>
      <c r="X1138">
        <v>97.29</v>
      </c>
      <c r="Y1138">
        <v>97.39</v>
      </c>
      <c r="Z1138">
        <v>48</v>
      </c>
      <c r="AA1138">
        <v>4000000</v>
      </c>
      <c r="AB1138">
        <v>974.1</v>
      </c>
      <c r="AC1138">
        <v>0</v>
      </c>
      <c r="AD1138" t="s">
        <v>94</v>
      </c>
      <c r="AE1138" t="s">
        <v>94</v>
      </c>
      <c r="AF1138" t="s">
        <v>226</v>
      </c>
      <c r="AG1138" t="s">
        <v>226</v>
      </c>
      <c r="AH1138">
        <v>800</v>
      </c>
      <c r="AI1138" t="s">
        <v>3537</v>
      </c>
      <c r="AJ1138" t="s">
        <v>1976</v>
      </c>
      <c r="AK1138" t="s">
        <v>2416</v>
      </c>
      <c r="AL1138" t="s">
        <v>272</v>
      </c>
    </row>
    <row r="1139" spans="1:38">
      <c r="A1139" t="s">
        <v>5283</v>
      </c>
      <c r="B1139" t="s">
        <v>5284</v>
      </c>
      <c r="C1139" t="s">
        <v>5285</v>
      </c>
      <c r="D1139" t="s">
        <v>5285</v>
      </c>
      <c r="E1139" t="s">
        <v>5286</v>
      </c>
      <c r="F1139" t="s">
        <v>2413</v>
      </c>
      <c r="G1139">
        <v>3</v>
      </c>
      <c r="H1139">
        <v>1</v>
      </c>
      <c r="I1139">
        <v>0.01</v>
      </c>
      <c r="J1139">
        <v>1000</v>
      </c>
      <c r="K1139">
        <v>-0.16</v>
      </c>
      <c r="L1139">
        <v>99.03</v>
      </c>
      <c r="M1139">
        <v>99.18</v>
      </c>
      <c r="N1139">
        <v>98.94</v>
      </c>
      <c r="O1139">
        <v>99.03</v>
      </c>
      <c r="P1139">
        <v>0</v>
      </c>
      <c r="Q1139">
        <v>0</v>
      </c>
      <c r="R1139">
        <v>0</v>
      </c>
      <c r="S1139">
        <v>98.77</v>
      </c>
      <c r="T1139">
        <v>99.06</v>
      </c>
      <c r="U1139">
        <v>98.2</v>
      </c>
      <c r="V1139">
        <v>99.19</v>
      </c>
      <c r="W1139">
        <v>814850</v>
      </c>
      <c r="X1139">
        <v>98.78</v>
      </c>
      <c r="Y1139">
        <v>99.03</v>
      </c>
      <c r="Z1139">
        <v>101</v>
      </c>
      <c r="AA1139">
        <v>4500000</v>
      </c>
      <c r="AB1139">
        <v>21786.6</v>
      </c>
      <c r="AC1139">
        <v>0</v>
      </c>
      <c r="AD1139" t="s">
        <v>94</v>
      </c>
      <c r="AE1139" t="s">
        <v>94</v>
      </c>
      <c r="AF1139" t="s">
        <v>226</v>
      </c>
      <c r="AG1139" t="s">
        <v>226</v>
      </c>
      <c r="AH1139">
        <v>800</v>
      </c>
      <c r="AI1139" t="s">
        <v>3537</v>
      </c>
      <c r="AJ1139" t="s">
        <v>1976</v>
      </c>
      <c r="AK1139" t="s">
        <v>2416</v>
      </c>
      <c r="AL1139" t="s">
        <v>272</v>
      </c>
    </row>
    <row r="1140" spans="1:38">
      <c r="A1140" t="s">
        <v>5287</v>
      </c>
      <c r="B1140" t="s">
        <v>5288</v>
      </c>
      <c r="C1140" t="s">
        <v>5289</v>
      </c>
      <c r="D1140" t="s">
        <v>5289</v>
      </c>
      <c r="E1140" t="s">
        <v>5290</v>
      </c>
      <c r="F1140" t="s">
        <v>2413</v>
      </c>
      <c r="G1140">
        <v>3</v>
      </c>
      <c r="H1140">
        <v>1</v>
      </c>
      <c r="I1140">
        <v>0.01</v>
      </c>
      <c r="J1140">
        <v>1000</v>
      </c>
      <c r="K1140">
        <v>0.54</v>
      </c>
      <c r="L1140">
        <v>99.5</v>
      </c>
      <c r="M1140">
        <v>98.97</v>
      </c>
      <c r="N1140">
        <v>98.66</v>
      </c>
      <c r="O1140">
        <v>99.41</v>
      </c>
      <c r="P1140">
        <v>0</v>
      </c>
      <c r="Q1140">
        <v>0</v>
      </c>
      <c r="R1140">
        <v>0</v>
      </c>
      <c r="S1140">
        <v>99.29</v>
      </c>
      <c r="T1140">
        <v>98.97</v>
      </c>
      <c r="U1140">
        <v>98.5</v>
      </c>
      <c r="V1140">
        <v>99.78</v>
      </c>
      <c r="W1140">
        <v>1375154</v>
      </c>
      <c r="X1140">
        <v>99.4</v>
      </c>
      <c r="Y1140">
        <v>99.5</v>
      </c>
      <c r="Z1140">
        <v>143</v>
      </c>
      <c r="AA1140">
        <v>500000</v>
      </c>
      <c r="AB1140">
        <v>2985</v>
      </c>
      <c r="AC1140">
        <v>0</v>
      </c>
      <c r="AD1140" t="s">
        <v>94</v>
      </c>
      <c r="AE1140" t="s">
        <v>94</v>
      </c>
      <c r="AF1140" t="s">
        <v>226</v>
      </c>
      <c r="AG1140" t="s">
        <v>226</v>
      </c>
      <c r="AH1140">
        <v>6</v>
      </c>
      <c r="AI1140" t="s">
        <v>3537</v>
      </c>
      <c r="AJ1140" t="s">
        <v>1976</v>
      </c>
      <c r="AK1140" t="s">
        <v>2416</v>
      </c>
      <c r="AL1140" t="s">
        <v>272</v>
      </c>
    </row>
    <row r="1141" spans="1:38">
      <c r="A1141" t="s">
        <v>5291</v>
      </c>
      <c r="B1141" t="s">
        <v>5292</v>
      </c>
      <c r="C1141" t="s">
        <v>5293</v>
      </c>
      <c r="D1141" t="s">
        <v>5293</v>
      </c>
      <c r="E1141" t="s">
        <v>5294</v>
      </c>
      <c r="F1141" t="s">
        <v>2413</v>
      </c>
      <c r="G1141">
        <v>3</v>
      </c>
      <c r="H1141">
        <v>1</v>
      </c>
      <c r="I1141">
        <v>0.01</v>
      </c>
      <c r="J1141">
        <v>1000</v>
      </c>
      <c r="K1141">
        <v>0.13</v>
      </c>
      <c r="L1141">
        <v>86.95</v>
      </c>
      <c r="M1141">
        <v>86.84</v>
      </c>
      <c r="N1141">
        <v>86.84</v>
      </c>
      <c r="O1141">
        <v>86.95</v>
      </c>
      <c r="P1141">
        <v>0</v>
      </c>
      <c r="Q1141">
        <v>0</v>
      </c>
      <c r="R1141">
        <v>0</v>
      </c>
      <c r="S1141">
        <v>86.97</v>
      </c>
      <c r="T1141">
        <v>87.68</v>
      </c>
      <c r="U1141">
        <v>86.95</v>
      </c>
      <c r="V1141">
        <v>87.68</v>
      </c>
      <c r="W1141">
        <v>33049</v>
      </c>
      <c r="X1141">
        <v>86.69</v>
      </c>
      <c r="Y1141">
        <v>86.95</v>
      </c>
      <c r="Z1141">
        <v>7</v>
      </c>
      <c r="AA1141">
        <v>12000000</v>
      </c>
      <c r="AB1141">
        <v>22607</v>
      </c>
      <c r="AC1141">
        <v>0</v>
      </c>
      <c r="AD1141" t="s">
        <v>94</v>
      </c>
      <c r="AE1141" t="s">
        <v>94</v>
      </c>
      <c r="AF1141" t="s">
        <v>226</v>
      </c>
      <c r="AG1141" t="s">
        <v>226</v>
      </c>
      <c r="AH1141">
        <v>6</v>
      </c>
      <c r="AI1141" t="s">
        <v>3537</v>
      </c>
      <c r="AJ1141" t="s">
        <v>1976</v>
      </c>
      <c r="AK1141" t="s">
        <v>2416</v>
      </c>
      <c r="AL1141" t="s">
        <v>272</v>
      </c>
    </row>
    <row r="1142" spans="1:38">
      <c r="A1142" t="s">
        <v>5295</v>
      </c>
      <c r="B1142" t="s">
        <v>5296</v>
      </c>
      <c r="C1142" t="s">
        <v>5297</v>
      </c>
      <c r="D1142" t="s">
        <v>5297</v>
      </c>
      <c r="E1142" t="s">
        <v>5298</v>
      </c>
      <c r="F1142" t="s">
        <v>2413</v>
      </c>
      <c r="G1142">
        <v>3</v>
      </c>
      <c r="H1142">
        <v>1</v>
      </c>
      <c r="I1142">
        <v>0.01</v>
      </c>
      <c r="J1142">
        <v>1000</v>
      </c>
      <c r="K1142">
        <v>-0.34</v>
      </c>
      <c r="L1142">
        <v>66.77</v>
      </c>
      <c r="M1142">
        <v>67</v>
      </c>
      <c r="N1142">
        <v>71.739999999999995</v>
      </c>
      <c r="O1142">
        <v>66.77</v>
      </c>
      <c r="P1142">
        <v>0</v>
      </c>
      <c r="Q1142">
        <v>0</v>
      </c>
      <c r="R1142">
        <v>0</v>
      </c>
      <c r="S1142">
        <v>66.89</v>
      </c>
      <c r="T1142">
        <v>67</v>
      </c>
      <c r="U1142">
        <v>66.77</v>
      </c>
      <c r="V1142">
        <v>67</v>
      </c>
      <c r="W1142">
        <v>5351</v>
      </c>
      <c r="X1142">
        <v>66.760000000000005</v>
      </c>
      <c r="Y1142">
        <v>67</v>
      </c>
      <c r="Z1142">
        <v>8</v>
      </c>
      <c r="AA1142">
        <v>15000000</v>
      </c>
      <c r="AB1142">
        <v>667.7</v>
      </c>
      <c r="AC1142">
        <v>0</v>
      </c>
      <c r="AD1142" t="s">
        <v>94</v>
      </c>
      <c r="AE1142" t="s">
        <v>94</v>
      </c>
      <c r="AF1142" t="s">
        <v>226</v>
      </c>
      <c r="AG1142" t="s">
        <v>226</v>
      </c>
      <c r="AH1142">
        <v>6</v>
      </c>
      <c r="AI1142" t="s">
        <v>3537</v>
      </c>
      <c r="AJ1142" t="s">
        <v>1976</v>
      </c>
      <c r="AK1142" t="s">
        <v>2416</v>
      </c>
      <c r="AL1142" t="s">
        <v>272</v>
      </c>
    </row>
    <row r="1143" spans="1:38">
      <c r="A1143" t="s">
        <v>5299</v>
      </c>
      <c r="B1143" t="s">
        <v>5300</v>
      </c>
      <c r="C1143" t="s">
        <v>5301</v>
      </c>
      <c r="D1143" t="s">
        <v>5301</v>
      </c>
      <c r="E1143" t="s">
        <v>5302</v>
      </c>
      <c r="F1143" t="s">
        <v>2413</v>
      </c>
      <c r="G1143">
        <v>3</v>
      </c>
      <c r="H1143">
        <v>1</v>
      </c>
      <c r="I1143">
        <v>0.01</v>
      </c>
      <c r="J1143">
        <v>1000</v>
      </c>
      <c r="K1143">
        <v>-1.37</v>
      </c>
      <c r="L1143">
        <v>73.69</v>
      </c>
      <c r="M1143">
        <v>74.709999999999994</v>
      </c>
      <c r="N1143">
        <v>76.84</v>
      </c>
      <c r="O1143">
        <v>73.819999999999993</v>
      </c>
      <c r="P1143">
        <v>0</v>
      </c>
      <c r="Q1143">
        <v>0</v>
      </c>
      <c r="R1143">
        <v>0</v>
      </c>
      <c r="S1143">
        <v>67.650000000000006</v>
      </c>
      <c r="T1143">
        <v>73.88</v>
      </c>
      <c r="U1143">
        <v>55.36</v>
      </c>
      <c r="V1143">
        <v>74.23</v>
      </c>
      <c r="W1143">
        <v>14206</v>
      </c>
      <c r="X1143">
        <v>73.47</v>
      </c>
      <c r="Y1143">
        <v>74.540000000000006</v>
      </c>
      <c r="Z1143">
        <v>12</v>
      </c>
      <c r="AA1143">
        <v>9600000</v>
      </c>
      <c r="AB1143">
        <v>2947.6</v>
      </c>
      <c r="AC1143">
        <v>0</v>
      </c>
      <c r="AD1143" t="s">
        <v>94</v>
      </c>
      <c r="AE1143" t="s">
        <v>94</v>
      </c>
      <c r="AF1143" t="s">
        <v>226</v>
      </c>
      <c r="AG1143" t="s">
        <v>226</v>
      </c>
      <c r="AH1143">
        <v>6</v>
      </c>
      <c r="AI1143" t="s">
        <v>3537</v>
      </c>
      <c r="AJ1143" t="s">
        <v>1976</v>
      </c>
      <c r="AK1143" t="s">
        <v>2416</v>
      </c>
      <c r="AL1143" t="s">
        <v>272</v>
      </c>
    </row>
    <row r="1144" spans="1:38">
      <c r="A1144" t="s">
        <v>5303</v>
      </c>
      <c r="B1144" t="s">
        <v>5304</v>
      </c>
      <c r="C1144" t="s">
        <v>5305</v>
      </c>
      <c r="D1144" t="s">
        <v>5305</v>
      </c>
      <c r="E1144" t="s">
        <v>5306</v>
      </c>
      <c r="F1144" t="s">
        <v>2413</v>
      </c>
      <c r="G1144">
        <v>3</v>
      </c>
      <c r="H1144">
        <v>1</v>
      </c>
      <c r="I1144">
        <v>0.01</v>
      </c>
      <c r="J1144">
        <v>1000</v>
      </c>
      <c r="K1144">
        <v>0</v>
      </c>
      <c r="L1144">
        <v>0</v>
      </c>
      <c r="M1144">
        <v>69.5</v>
      </c>
      <c r="N1144">
        <v>71.400000000000006</v>
      </c>
      <c r="O1144">
        <v>69.5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65.31</v>
      </c>
      <c r="Y1144">
        <v>69.5</v>
      </c>
      <c r="Z1144">
        <v>0</v>
      </c>
      <c r="AA1144">
        <v>6000000</v>
      </c>
      <c r="AB1144">
        <v>0</v>
      </c>
      <c r="AC1144">
        <v>0</v>
      </c>
      <c r="AD1144" t="s">
        <v>94</v>
      </c>
      <c r="AE1144" t="s">
        <v>94</v>
      </c>
      <c r="AF1144" t="s">
        <v>226</v>
      </c>
      <c r="AG1144" t="s">
        <v>226</v>
      </c>
      <c r="AH1144">
        <v>6</v>
      </c>
      <c r="AI1144" t="s">
        <v>3537</v>
      </c>
      <c r="AJ1144" t="s">
        <v>1976</v>
      </c>
      <c r="AK1144" t="s">
        <v>2416</v>
      </c>
      <c r="AL1144" t="s">
        <v>272</v>
      </c>
    </row>
    <row r="1145" spans="1:38">
      <c r="A1145" t="s">
        <v>5307</v>
      </c>
      <c r="B1145" t="s">
        <v>5308</v>
      </c>
      <c r="C1145" t="s">
        <v>5309</v>
      </c>
      <c r="D1145" t="s">
        <v>5309</v>
      </c>
      <c r="E1145" t="s">
        <v>5310</v>
      </c>
      <c r="F1145" t="s">
        <v>2413</v>
      </c>
      <c r="G1145">
        <v>3</v>
      </c>
      <c r="H1145">
        <v>1</v>
      </c>
      <c r="I1145">
        <v>0.01</v>
      </c>
      <c r="J1145">
        <v>1000</v>
      </c>
      <c r="K1145">
        <v>0.72</v>
      </c>
      <c r="L1145">
        <v>78.260000000000005</v>
      </c>
      <c r="M1145">
        <v>77.72</v>
      </c>
      <c r="N1145">
        <v>79.61</v>
      </c>
      <c r="O1145">
        <v>78.25</v>
      </c>
      <c r="P1145">
        <v>0</v>
      </c>
      <c r="Q1145">
        <v>0</v>
      </c>
      <c r="R1145">
        <v>0</v>
      </c>
      <c r="S1145">
        <v>74.459999999999994</v>
      </c>
      <c r="T1145">
        <v>76.69</v>
      </c>
      <c r="U1145">
        <v>71.5</v>
      </c>
      <c r="V1145">
        <v>78.260000000000005</v>
      </c>
      <c r="W1145">
        <v>24573</v>
      </c>
      <c r="X1145">
        <v>76.78</v>
      </c>
      <c r="Y1145">
        <v>79.239999999999995</v>
      </c>
      <c r="Z1145">
        <v>14</v>
      </c>
      <c r="AA1145">
        <v>8300000</v>
      </c>
      <c r="AB1145">
        <v>782.6</v>
      </c>
      <c r="AC1145">
        <v>0</v>
      </c>
      <c r="AD1145" t="s">
        <v>94</v>
      </c>
      <c r="AE1145" t="s">
        <v>94</v>
      </c>
      <c r="AF1145" t="s">
        <v>226</v>
      </c>
      <c r="AG1145" t="s">
        <v>226</v>
      </c>
      <c r="AH1145">
        <v>6</v>
      </c>
      <c r="AI1145" t="s">
        <v>3537</v>
      </c>
      <c r="AJ1145" t="s">
        <v>1976</v>
      </c>
      <c r="AK1145" t="s">
        <v>2416</v>
      </c>
      <c r="AL1145" t="s">
        <v>272</v>
      </c>
    </row>
    <row r="1146" spans="1:38">
      <c r="A1146" t="s">
        <v>5311</v>
      </c>
      <c r="B1146" t="s">
        <v>5312</v>
      </c>
      <c r="C1146" t="s">
        <v>5313</v>
      </c>
      <c r="D1146" t="s">
        <v>5313</v>
      </c>
      <c r="E1146" t="s">
        <v>5314</v>
      </c>
      <c r="F1146" t="s">
        <v>2413</v>
      </c>
      <c r="G1146">
        <v>3</v>
      </c>
      <c r="H1146">
        <v>1</v>
      </c>
      <c r="I1146">
        <v>0.01</v>
      </c>
      <c r="J1146">
        <v>1000</v>
      </c>
      <c r="K1146">
        <v>2.2400000000000002</v>
      </c>
      <c r="L1146">
        <v>73.540000000000006</v>
      </c>
      <c r="M1146">
        <v>71.44</v>
      </c>
      <c r="N1146">
        <v>72.099999999999994</v>
      </c>
      <c r="O1146">
        <v>73.540000000000006</v>
      </c>
      <c r="P1146">
        <v>0</v>
      </c>
      <c r="Q1146">
        <v>0</v>
      </c>
      <c r="R1146">
        <v>0</v>
      </c>
      <c r="S1146">
        <v>72.069999999999993</v>
      </c>
      <c r="T1146">
        <v>71.3</v>
      </c>
      <c r="U1146">
        <v>71.3</v>
      </c>
      <c r="V1146">
        <v>73.540000000000006</v>
      </c>
      <c r="W1146">
        <v>316407</v>
      </c>
      <c r="X1146">
        <v>73.22</v>
      </c>
      <c r="Y1146">
        <v>73.540000000000006</v>
      </c>
      <c r="Z1146">
        <v>83</v>
      </c>
      <c r="AA1146">
        <v>21795314</v>
      </c>
      <c r="AB1146">
        <v>6618.6</v>
      </c>
      <c r="AC1146">
        <v>0</v>
      </c>
      <c r="AD1146" t="s">
        <v>94</v>
      </c>
      <c r="AE1146" t="s">
        <v>94</v>
      </c>
      <c r="AF1146" t="s">
        <v>226</v>
      </c>
      <c r="AG1146" t="s">
        <v>226</v>
      </c>
      <c r="AH1146">
        <v>6</v>
      </c>
      <c r="AI1146" t="s">
        <v>3537</v>
      </c>
      <c r="AJ1146" t="s">
        <v>1976</v>
      </c>
      <c r="AK1146" t="s">
        <v>2416</v>
      </c>
      <c r="AL1146" t="s">
        <v>272</v>
      </c>
    </row>
    <row r="1147" spans="1:38">
      <c r="A1147" t="s">
        <v>5315</v>
      </c>
      <c r="B1147" t="s">
        <v>5316</v>
      </c>
      <c r="C1147" t="s">
        <v>5317</v>
      </c>
      <c r="D1147" t="s">
        <v>5317</v>
      </c>
      <c r="E1147" t="s">
        <v>5318</v>
      </c>
      <c r="F1147" t="s">
        <v>2413</v>
      </c>
      <c r="G1147">
        <v>3</v>
      </c>
      <c r="H1147">
        <v>1</v>
      </c>
      <c r="I1147">
        <v>0.01</v>
      </c>
      <c r="J1147">
        <v>1000</v>
      </c>
      <c r="K1147">
        <v>-1.2</v>
      </c>
      <c r="L1147">
        <v>68.45</v>
      </c>
      <c r="M1147">
        <v>69.28</v>
      </c>
      <c r="N1147">
        <v>69.290000000000006</v>
      </c>
      <c r="O1147">
        <v>68.09</v>
      </c>
      <c r="P1147">
        <v>0</v>
      </c>
      <c r="Q1147">
        <v>0</v>
      </c>
      <c r="R1147">
        <v>0</v>
      </c>
      <c r="S1147">
        <v>68.540000000000006</v>
      </c>
      <c r="T1147">
        <v>69.45</v>
      </c>
      <c r="U1147">
        <v>67.55</v>
      </c>
      <c r="V1147">
        <v>69.45</v>
      </c>
      <c r="W1147">
        <v>339294</v>
      </c>
      <c r="X1147">
        <v>68.05</v>
      </c>
      <c r="Y1147">
        <v>68.510000000000005</v>
      </c>
      <c r="Z1147">
        <v>79</v>
      </c>
      <c r="AA1147">
        <v>14000000</v>
      </c>
      <c r="AB1147">
        <v>1369</v>
      </c>
      <c r="AC1147">
        <v>0</v>
      </c>
      <c r="AD1147" t="s">
        <v>94</v>
      </c>
      <c r="AE1147" t="s">
        <v>94</v>
      </c>
      <c r="AF1147" t="s">
        <v>226</v>
      </c>
      <c r="AG1147" t="s">
        <v>226</v>
      </c>
      <c r="AH1147">
        <v>6</v>
      </c>
      <c r="AI1147" t="s">
        <v>3537</v>
      </c>
      <c r="AJ1147" t="s">
        <v>1976</v>
      </c>
      <c r="AK1147" t="s">
        <v>2416</v>
      </c>
      <c r="AL1147" t="s">
        <v>272</v>
      </c>
    </row>
    <row r="1148" spans="1:38">
      <c r="A1148" t="s">
        <v>5319</v>
      </c>
      <c r="B1148" t="s">
        <v>5320</v>
      </c>
      <c r="C1148" t="s">
        <v>5321</v>
      </c>
      <c r="D1148" t="s">
        <v>5321</v>
      </c>
      <c r="E1148" t="s">
        <v>5322</v>
      </c>
      <c r="F1148" t="s">
        <v>2413</v>
      </c>
      <c r="G1148">
        <v>3</v>
      </c>
      <c r="H1148">
        <v>1</v>
      </c>
      <c r="I1148">
        <v>0.01</v>
      </c>
      <c r="J1148">
        <v>1000</v>
      </c>
      <c r="K1148">
        <v>0.18</v>
      </c>
      <c r="L1148">
        <v>62</v>
      </c>
      <c r="M1148">
        <v>61.89</v>
      </c>
      <c r="N1148">
        <v>61.18</v>
      </c>
      <c r="O1148">
        <v>62</v>
      </c>
      <c r="P1148">
        <v>0</v>
      </c>
      <c r="Q1148">
        <v>0</v>
      </c>
      <c r="R1148">
        <v>0</v>
      </c>
      <c r="S1148">
        <v>62.16</v>
      </c>
      <c r="T1148">
        <v>62.22</v>
      </c>
      <c r="U1148">
        <v>61.47</v>
      </c>
      <c r="V1148">
        <v>62.91</v>
      </c>
      <c r="W1148">
        <v>25484</v>
      </c>
      <c r="X1148">
        <v>61.58</v>
      </c>
      <c r="Y1148">
        <v>62</v>
      </c>
      <c r="Z1148">
        <v>26</v>
      </c>
      <c r="AA1148">
        <v>9500000</v>
      </c>
      <c r="AB1148">
        <v>620</v>
      </c>
      <c r="AC1148">
        <v>0</v>
      </c>
      <c r="AD1148" t="s">
        <v>94</v>
      </c>
      <c r="AE1148" t="s">
        <v>94</v>
      </c>
      <c r="AF1148" t="s">
        <v>226</v>
      </c>
      <c r="AG1148" t="s">
        <v>226</v>
      </c>
      <c r="AH1148">
        <v>6</v>
      </c>
      <c r="AI1148" t="s">
        <v>3537</v>
      </c>
      <c r="AJ1148" t="s">
        <v>1976</v>
      </c>
      <c r="AK1148" t="s">
        <v>2416</v>
      </c>
      <c r="AL1148" t="s">
        <v>272</v>
      </c>
    </row>
    <row r="1149" spans="1:38">
      <c r="A1149" t="s">
        <v>5323</v>
      </c>
      <c r="B1149" t="s">
        <v>5324</v>
      </c>
      <c r="C1149" t="s">
        <v>5325</v>
      </c>
      <c r="D1149" t="s">
        <v>5325</v>
      </c>
      <c r="E1149" t="s">
        <v>5326</v>
      </c>
      <c r="F1149" t="s">
        <v>2413</v>
      </c>
      <c r="G1149">
        <v>3</v>
      </c>
      <c r="H1149">
        <v>1</v>
      </c>
      <c r="I1149">
        <v>0.01</v>
      </c>
      <c r="J1149">
        <v>1000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1600000</v>
      </c>
      <c r="AB1149">
        <v>0</v>
      </c>
      <c r="AC1149">
        <v>0</v>
      </c>
      <c r="AD1149" t="s">
        <v>94</v>
      </c>
      <c r="AE1149" t="s">
        <v>94</v>
      </c>
      <c r="AF1149" t="s">
        <v>226</v>
      </c>
      <c r="AG1149" t="s">
        <v>226</v>
      </c>
      <c r="AH1149">
        <v>6</v>
      </c>
      <c r="AI1149" t="s">
        <v>3537</v>
      </c>
      <c r="AJ1149" t="s">
        <v>1976</v>
      </c>
      <c r="AK1149" t="s">
        <v>2416</v>
      </c>
      <c r="AL1149" t="s">
        <v>272</v>
      </c>
    </row>
    <row r="1150" spans="1:38">
      <c r="A1150" t="s">
        <v>5327</v>
      </c>
      <c r="B1150" t="s">
        <v>5328</v>
      </c>
      <c r="C1150" t="s">
        <v>5329</v>
      </c>
      <c r="D1150" t="s">
        <v>5329</v>
      </c>
      <c r="E1150" t="s">
        <v>5330</v>
      </c>
      <c r="F1150" t="s">
        <v>2413</v>
      </c>
      <c r="G1150">
        <v>3</v>
      </c>
      <c r="H1150">
        <v>1</v>
      </c>
      <c r="I1150">
        <v>0.01</v>
      </c>
      <c r="J1150">
        <v>1000</v>
      </c>
      <c r="K1150">
        <v>0</v>
      </c>
      <c r="L1150">
        <v>0</v>
      </c>
      <c r="M1150">
        <v>104</v>
      </c>
      <c r="N1150">
        <v>0</v>
      </c>
      <c r="O1150">
        <v>104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89.13</v>
      </c>
      <c r="Y1150">
        <v>97.01</v>
      </c>
      <c r="Z1150">
        <v>0</v>
      </c>
      <c r="AA1150">
        <v>7000000</v>
      </c>
      <c r="AB1150">
        <v>0</v>
      </c>
      <c r="AC1150">
        <v>0</v>
      </c>
      <c r="AD1150" t="s">
        <v>94</v>
      </c>
      <c r="AE1150" t="s">
        <v>94</v>
      </c>
      <c r="AF1150" t="s">
        <v>226</v>
      </c>
      <c r="AG1150" t="s">
        <v>226</v>
      </c>
      <c r="AH1150">
        <v>6</v>
      </c>
      <c r="AI1150" t="s">
        <v>3537</v>
      </c>
      <c r="AJ1150" t="s">
        <v>1976</v>
      </c>
      <c r="AK1150" t="s">
        <v>2416</v>
      </c>
      <c r="AL1150" t="s">
        <v>272</v>
      </c>
    </row>
    <row r="1151" spans="1:38">
      <c r="A1151" t="s">
        <v>5331</v>
      </c>
      <c r="B1151" t="s">
        <v>5332</v>
      </c>
      <c r="C1151" t="s">
        <v>5333</v>
      </c>
      <c r="D1151" t="s">
        <v>5333</v>
      </c>
      <c r="E1151" t="s">
        <v>5334</v>
      </c>
      <c r="F1151" t="s">
        <v>2413</v>
      </c>
      <c r="G1151">
        <v>3</v>
      </c>
      <c r="H1151">
        <v>1</v>
      </c>
      <c r="I1151">
        <v>0.01</v>
      </c>
      <c r="J1151">
        <v>1000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6000000</v>
      </c>
      <c r="AB1151">
        <v>0</v>
      </c>
      <c r="AC1151">
        <v>0</v>
      </c>
      <c r="AD1151" t="s">
        <v>94</v>
      </c>
      <c r="AE1151" t="s">
        <v>94</v>
      </c>
      <c r="AF1151" t="s">
        <v>226</v>
      </c>
      <c r="AG1151" t="s">
        <v>226</v>
      </c>
      <c r="AH1151">
        <v>6</v>
      </c>
      <c r="AI1151" t="s">
        <v>3537</v>
      </c>
      <c r="AJ1151" t="s">
        <v>1976</v>
      </c>
      <c r="AK1151" t="s">
        <v>2416</v>
      </c>
      <c r="AL1151" t="s">
        <v>272</v>
      </c>
    </row>
    <row r="1152" spans="1:38">
      <c r="A1152" t="s">
        <v>5335</v>
      </c>
      <c r="B1152" t="s">
        <v>5336</v>
      </c>
      <c r="C1152" t="s">
        <v>5337</v>
      </c>
      <c r="D1152" t="s">
        <v>5337</v>
      </c>
      <c r="E1152" t="s">
        <v>5338</v>
      </c>
      <c r="F1152" t="s">
        <v>2413</v>
      </c>
      <c r="G1152">
        <v>3</v>
      </c>
      <c r="H1152">
        <v>1</v>
      </c>
      <c r="I1152">
        <v>0.01</v>
      </c>
      <c r="J1152">
        <v>1000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1000000</v>
      </c>
      <c r="AB1152">
        <v>0</v>
      </c>
      <c r="AC1152">
        <v>0</v>
      </c>
      <c r="AD1152" t="s">
        <v>94</v>
      </c>
      <c r="AE1152" t="s">
        <v>94</v>
      </c>
      <c r="AF1152" t="s">
        <v>226</v>
      </c>
      <c r="AG1152" t="s">
        <v>226</v>
      </c>
      <c r="AH1152">
        <v>6</v>
      </c>
      <c r="AI1152" t="s">
        <v>3537</v>
      </c>
      <c r="AJ1152" t="s">
        <v>1976</v>
      </c>
      <c r="AK1152" t="s">
        <v>2416</v>
      </c>
      <c r="AL1152" t="s">
        <v>272</v>
      </c>
    </row>
    <row r="1153" spans="1:38">
      <c r="A1153" t="s">
        <v>5339</v>
      </c>
      <c r="B1153" t="s">
        <v>5340</v>
      </c>
      <c r="C1153" t="s">
        <v>5341</v>
      </c>
      <c r="D1153" t="s">
        <v>5341</v>
      </c>
      <c r="E1153" t="s">
        <v>5342</v>
      </c>
      <c r="F1153" t="s">
        <v>2413</v>
      </c>
      <c r="G1153">
        <v>3</v>
      </c>
      <c r="H1153">
        <v>1</v>
      </c>
      <c r="I1153">
        <v>0.01</v>
      </c>
      <c r="J1153">
        <v>1000</v>
      </c>
      <c r="K1153">
        <v>0</v>
      </c>
      <c r="L1153">
        <v>0</v>
      </c>
      <c r="M1153">
        <v>92.23</v>
      </c>
      <c r="N1153">
        <v>0</v>
      </c>
      <c r="O1153">
        <v>92.23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83.75</v>
      </c>
      <c r="Y1153">
        <v>93.25</v>
      </c>
      <c r="Z1153">
        <v>0</v>
      </c>
      <c r="AA1153">
        <v>12000000</v>
      </c>
      <c r="AB1153">
        <v>0</v>
      </c>
      <c r="AC1153">
        <v>0</v>
      </c>
      <c r="AD1153" t="s">
        <v>94</v>
      </c>
      <c r="AE1153" t="s">
        <v>94</v>
      </c>
      <c r="AF1153" t="s">
        <v>226</v>
      </c>
      <c r="AG1153" t="s">
        <v>226</v>
      </c>
      <c r="AH1153">
        <v>6</v>
      </c>
      <c r="AI1153" t="s">
        <v>3537</v>
      </c>
      <c r="AJ1153" t="s">
        <v>1976</v>
      </c>
      <c r="AK1153" t="s">
        <v>2416</v>
      </c>
      <c r="AL1153" t="s">
        <v>272</v>
      </c>
    </row>
    <row r="1154" spans="1:38">
      <c r="A1154" t="s">
        <v>5343</v>
      </c>
      <c r="B1154" t="s">
        <v>5344</v>
      </c>
      <c r="C1154" t="s">
        <v>5345</v>
      </c>
      <c r="D1154" t="s">
        <v>5345</v>
      </c>
      <c r="E1154" t="s">
        <v>5346</v>
      </c>
      <c r="F1154" t="s">
        <v>2413</v>
      </c>
      <c r="G1154">
        <v>3</v>
      </c>
      <c r="H1154">
        <v>1</v>
      </c>
      <c r="I1154">
        <v>0.01</v>
      </c>
      <c r="J1154">
        <v>1000</v>
      </c>
      <c r="K1154">
        <v>0</v>
      </c>
      <c r="L1154">
        <v>0</v>
      </c>
      <c r="M1154">
        <v>62.98</v>
      </c>
      <c r="N1154">
        <v>0</v>
      </c>
      <c r="O1154">
        <v>62.98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56.02</v>
      </c>
      <c r="Y1154">
        <v>62</v>
      </c>
      <c r="Z1154">
        <v>0</v>
      </c>
      <c r="AA1154">
        <v>7000000</v>
      </c>
      <c r="AB1154">
        <v>0</v>
      </c>
      <c r="AC1154">
        <v>0</v>
      </c>
      <c r="AD1154" t="s">
        <v>94</v>
      </c>
      <c r="AE1154" t="s">
        <v>94</v>
      </c>
      <c r="AF1154" t="s">
        <v>226</v>
      </c>
      <c r="AG1154" t="s">
        <v>226</v>
      </c>
      <c r="AH1154">
        <v>6</v>
      </c>
      <c r="AI1154" t="s">
        <v>3537</v>
      </c>
      <c r="AJ1154" t="s">
        <v>1976</v>
      </c>
      <c r="AK1154" t="s">
        <v>2416</v>
      </c>
      <c r="AL1154" t="s">
        <v>272</v>
      </c>
    </row>
    <row r="1155" spans="1:38">
      <c r="A1155" t="s">
        <v>5347</v>
      </c>
      <c r="B1155" t="s">
        <v>5348</v>
      </c>
      <c r="C1155" t="s">
        <v>5349</v>
      </c>
      <c r="D1155" t="s">
        <v>5349</v>
      </c>
      <c r="E1155" t="s">
        <v>5350</v>
      </c>
      <c r="F1155" t="s">
        <v>2413</v>
      </c>
      <c r="G1155">
        <v>3</v>
      </c>
      <c r="H1155">
        <v>1</v>
      </c>
      <c r="I1155">
        <v>0.01</v>
      </c>
      <c r="J1155">
        <v>1000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85.02</v>
      </c>
      <c r="Y1155">
        <v>0</v>
      </c>
      <c r="Z1155">
        <v>0</v>
      </c>
      <c r="AA1155">
        <v>10000000</v>
      </c>
      <c r="AB1155">
        <v>0</v>
      </c>
      <c r="AC1155">
        <v>0</v>
      </c>
      <c r="AD1155" t="s">
        <v>94</v>
      </c>
      <c r="AE1155" t="s">
        <v>94</v>
      </c>
      <c r="AF1155" t="s">
        <v>226</v>
      </c>
      <c r="AG1155" t="s">
        <v>226</v>
      </c>
      <c r="AH1155">
        <v>6</v>
      </c>
      <c r="AI1155" t="s">
        <v>3537</v>
      </c>
      <c r="AJ1155" t="s">
        <v>1976</v>
      </c>
      <c r="AK1155" t="s">
        <v>2416</v>
      </c>
      <c r="AL1155" t="s">
        <v>272</v>
      </c>
    </row>
    <row r="1156" spans="1:38">
      <c r="A1156" t="s">
        <v>5351</v>
      </c>
      <c r="B1156" t="s">
        <v>5352</v>
      </c>
      <c r="C1156" t="s">
        <v>5353</v>
      </c>
      <c r="D1156" t="s">
        <v>5353</v>
      </c>
      <c r="E1156" t="s">
        <v>5354</v>
      </c>
      <c r="F1156" t="s">
        <v>2413</v>
      </c>
      <c r="G1156">
        <v>3</v>
      </c>
      <c r="H1156">
        <v>1</v>
      </c>
      <c r="I1156">
        <v>0.01</v>
      </c>
      <c r="J1156">
        <v>1000</v>
      </c>
      <c r="K1156">
        <v>0</v>
      </c>
      <c r="L1156">
        <v>0</v>
      </c>
      <c r="M1156">
        <v>92</v>
      </c>
      <c r="N1156">
        <v>0</v>
      </c>
      <c r="O1156">
        <v>92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90.51</v>
      </c>
      <c r="Y1156">
        <v>0</v>
      </c>
      <c r="Z1156">
        <v>0</v>
      </c>
      <c r="AA1156">
        <v>15000000</v>
      </c>
      <c r="AB1156">
        <v>0</v>
      </c>
      <c r="AC1156">
        <v>0</v>
      </c>
      <c r="AD1156" t="s">
        <v>94</v>
      </c>
      <c r="AE1156" t="s">
        <v>94</v>
      </c>
      <c r="AF1156" t="s">
        <v>226</v>
      </c>
      <c r="AG1156" t="s">
        <v>226</v>
      </c>
      <c r="AH1156">
        <v>6</v>
      </c>
      <c r="AI1156" t="s">
        <v>3537</v>
      </c>
      <c r="AJ1156" t="s">
        <v>1976</v>
      </c>
      <c r="AK1156" t="s">
        <v>2416</v>
      </c>
      <c r="AL1156" t="s">
        <v>272</v>
      </c>
    </row>
    <row r="1157" spans="1:38">
      <c r="A1157" t="s">
        <v>5355</v>
      </c>
      <c r="B1157" t="s">
        <v>5356</v>
      </c>
      <c r="C1157" t="s">
        <v>5357</v>
      </c>
      <c r="D1157" t="s">
        <v>5357</v>
      </c>
      <c r="E1157" t="s">
        <v>5358</v>
      </c>
      <c r="F1157" t="s">
        <v>2413</v>
      </c>
      <c r="G1157">
        <v>3</v>
      </c>
      <c r="H1157">
        <v>1</v>
      </c>
      <c r="I1157">
        <v>0.01</v>
      </c>
      <c r="J1157">
        <v>428.6</v>
      </c>
      <c r="K1157">
        <v>-0.38</v>
      </c>
      <c r="L1157">
        <v>96.65</v>
      </c>
      <c r="M1157">
        <v>97.02</v>
      </c>
      <c r="N1157">
        <v>96.64</v>
      </c>
      <c r="O1157">
        <v>96.64</v>
      </c>
      <c r="P1157">
        <v>0</v>
      </c>
      <c r="Q1157">
        <v>0</v>
      </c>
      <c r="R1157">
        <v>0</v>
      </c>
      <c r="S1157">
        <v>96.64</v>
      </c>
      <c r="T1157">
        <v>96.65</v>
      </c>
      <c r="U1157">
        <v>96.58</v>
      </c>
      <c r="V1157">
        <v>96.65</v>
      </c>
      <c r="W1157">
        <v>12012</v>
      </c>
      <c r="X1157">
        <v>96.58</v>
      </c>
      <c r="Y1157">
        <v>96.65</v>
      </c>
      <c r="Z1157">
        <v>7</v>
      </c>
      <c r="AA1157">
        <v>145000</v>
      </c>
      <c r="AB1157">
        <v>828.48</v>
      </c>
      <c r="AC1157">
        <v>0</v>
      </c>
      <c r="AD1157" t="s">
        <v>94</v>
      </c>
      <c r="AE1157" t="s">
        <v>94</v>
      </c>
      <c r="AF1157" t="s">
        <v>226</v>
      </c>
      <c r="AG1157" t="s">
        <v>226</v>
      </c>
      <c r="AH1157">
        <v>6</v>
      </c>
      <c r="AI1157" t="s">
        <v>3537</v>
      </c>
      <c r="AJ1157" t="s">
        <v>1976</v>
      </c>
      <c r="AK1157" t="s">
        <v>2416</v>
      </c>
      <c r="AL1157" t="s">
        <v>272</v>
      </c>
    </row>
    <row r="1158" spans="1:38">
      <c r="A1158" t="s">
        <v>5359</v>
      </c>
      <c r="B1158" t="s">
        <v>5360</v>
      </c>
      <c r="C1158" t="s">
        <v>5361</v>
      </c>
      <c r="D1158" t="s">
        <v>5361</v>
      </c>
      <c r="E1158" t="s">
        <v>5362</v>
      </c>
      <c r="F1158" t="s">
        <v>2413</v>
      </c>
      <c r="G1158">
        <v>2</v>
      </c>
      <c r="H1158">
        <v>1</v>
      </c>
      <c r="I1158">
        <v>0.01</v>
      </c>
      <c r="J1158">
        <v>1000</v>
      </c>
      <c r="K1158">
        <v>0.53</v>
      </c>
      <c r="L1158">
        <v>89.69</v>
      </c>
      <c r="M1158">
        <v>89.37</v>
      </c>
      <c r="N1158">
        <v>89.73</v>
      </c>
      <c r="O1158">
        <v>89.69</v>
      </c>
      <c r="P1158">
        <v>0</v>
      </c>
      <c r="Q1158">
        <v>0</v>
      </c>
      <c r="R1158">
        <v>0</v>
      </c>
      <c r="S1158">
        <v>89.6</v>
      </c>
      <c r="T1158">
        <v>89.79</v>
      </c>
      <c r="U1158">
        <v>89.5</v>
      </c>
      <c r="V1158">
        <v>90.2</v>
      </c>
      <c r="W1158">
        <v>177413</v>
      </c>
      <c r="X1158">
        <v>89.51</v>
      </c>
      <c r="Y1158">
        <v>89.55</v>
      </c>
      <c r="Z1158">
        <v>49</v>
      </c>
      <c r="AA1158">
        <v>3000000</v>
      </c>
      <c r="AB1158">
        <v>1793.8</v>
      </c>
      <c r="AC1158">
        <v>0</v>
      </c>
      <c r="AD1158" t="s">
        <v>94</v>
      </c>
      <c r="AE1158" t="s">
        <v>94</v>
      </c>
      <c r="AF1158" t="s">
        <v>226</v>
      </c>
      <c r="AG1158" t="s">
        <v>226</v>
      </c>
      <c r="AH1158">
        <v>6</v>
      </c>
      <c r="AI1158" t="s">
        <v>3537</v>
      </c>
      <c r="AJ1158" t="s">
        <v>1976</v>
      </c>
      <c r="AK1158" t="s">
        <v>2416</v>
      </c>
      <c r="AL1158" t="s">
        <v>272</v>
      </c>
    </row>
    <row r="1159" spans="1:38">
      <c r="A1159" t="s">
        <v>5363</v>
      </c>
      <c r="B1159" t="s">
        <v>5364</v>
      </c>
      <c r="C1159" t="s">
        <v>5365</v>
      </c>
      <c r="D1159" t="s">
        <v>5365</v>
      </c>
      <c r="E1159" t="s">
        <v>5366</v>
      </c>
      <c r="F1159" t="s">
        <v>2413</v>
      </c>
      <c r="G1159">
        <v>2</v>
      </c>
      <c r="H1159">
        <v>1</v>
      </c>
      <c r="I1159">
        <v>0.01</v>
      </c>
      <c r="J1159">
        <v>1000</v>
      </c>
      <c r="K1159">
        <v>0.31</v>
      </c>
      <c r="L1159">
        <v>81.99</v>
      </c>
      <c r="M1159">
        <v>81.81</v>
      </c>
      <c r="N1159">
        <v>81.99</v>
      </c>
      <c r="O1159">
        <v>81.99</v>
      </c>
      <c r="P1159">
        <v>0</v>
      </c>
      <c r="Q1159">
        <v>0</v>
      </c>
      <c r="R1159">
        <v>0</v>
      </c>
      <c r="S1159">
        <v>82.16</v>
      </c>
      <c r="T1159">
        <v>83.81</v>
      </c>
      <c r="U1159">
        <v>81.790000000000006</v>
      </c>
      <c r="V1159">
        <v>83.95</v>
      </c>
      <c r="W1159">
        <v>383705</v>
      </c>
      <c r="X1159">
        <v>81.8</v>
      </c>
      <c r="Y1159">
        <v>81.99</v>
      </c>
      <c r="Z1159">
        <v>46</v>
      </c>
      <c r="AA1159">
        <v>3000000</v>
      </c>
      <c r="AB1159">
        <v>15578.1</v>
      </c>
      <c r="AC1159">
        <v>0</v>
      </c>
      <c r="AD1159" t="s">
        <v>94</v>
      </c>
      <c r="AE1159" t="s">
        <v>94</v>
      </c>
      <c r="AF1159" t="s">
        <v>226</v>
      </c>
      <c r="AG1159" t="s">
        <v>226</v>
      </c>
      <c r="AH1159">
        <v>6</v>
      </c>
      <c r="AI1159" t="s">
        <v>3537</v>
      </c>
      <c r="AJ1159" t="s">
        <v>1976</v>
      </c>
      <c r="AK1159" t="s">
        <v>2416</v>
      </c>
      <c r="AL1159" t="s">
        <v>272</v>
      </c>
    </row>
    <row r="1160" spans="1:38">
      <c r="A1160" t="s">
        <v>5367</v>
      </c>
      <c r="B1160" t="s">
        <v>5368</v>
      </c>
      <c r="C1160" t="s">
        <v>5369</v>
      </c>
      <c r="D1160" t="s">
        <v>5369</v>
      </c>
      <c r="E1160" t="s">
        <v>5370</v>
      </c>
      <c r="F1160" t="s">
        <v>2413</v>
      </c>
      <c r="G1160">
        <v>2</v>
      </c>
      <c r="H1160">
        <v>1</v>
      </c>
      <c r="I1160">
        <v>0.01</v>
      </c>
      <c r="J1160">
        <v>1000</v>
      </c>
      <c r="K1160">
        <v>-0.27</v>
      </c>
      <c r="L1160">
        <v>95.7</v>
      </c>
      <c r="M1160">
        <v>95.96</v>
      </c>
      <c r="N1160">
        <v>96.02</v>
      </c>
      <c r="O1160">
        <v>95.61</v>
      </c>
      <c r="P1160">
        <v>0</v>
      </c>
      <c r="Q1160">
        <v>0</v>
      </c>
      <c r="R1160">
        <v>0</v>
      </c>
      <c r="S1160">
        <v>95.55</v>
      </c>
      <c r="T1160">
        <v>95.94</v>
      </c>
      <c r="U1160">
        <v>95.49</v>
      </c>
      <c r="V1160">
        <v>96.66</v>
      </c>
      <c r="W1160">
        <v>831250</v>
      </c>
      <c r="X1160">
        <v>95.48</v>
      </c>
      <c r="Y1160">
        <v>95.93</v>
      </c>
      <c r="Z1160">
        <v>47</v>
      </c>
      <c r="AA1160">
        <v>1524573</v>
      </c>
      <c r="AB1160">
        <v>1914</v>
      </c>
      <c r="AC1160">
        <v>0</v>
      </c>
      <c r="AD1160" t="s">
        <v>94</v>
      </c>
      <c r="AE1160" t="s">
        <v>94</v>
      </c>
      <c r="AF1160" t="s">
        <v>226</v>
      </c>
      <c r="AG1160" t="s">
        <v>226</v>
      </c>
      <c r="AH1160">
        <v>6</v>
      </c>
      <c r="AI1160" t="s">
        <v>3537</v>
      </c>
      <c r="AJ1160" t="s">
        <v>1976</v>
      </c>
      <c r="AK1160" t="s">
        <v>2416</v>
      </c>
      <c r="AL1160" t="s">
        <v>272</v>
      </c>
    </row>
    <row r="1161" spans="1:38">
      <c r="A1161" t="s">
        <v>5371</v>
      </c>
      <c r="B1161" t="s">
        <v>5372</v>
      </c>
      <c r="C1161" t="s">
        <v>5373</v>
      </c>
      <c r="D1161" t="s">
        <v>5373</v>
      </c>
      <c r="E1161" t="s">
        <v>5374</v>
      </c>
      <c r="F1161" t="s">
        <v>2413</v>
      </c>
      <c r="G1161">
        <v>3</v>
      </c>
      <c r="H1161">
        <v>1</v>
      </c>
      <c r="I1161">
        <v>0.01</v>
      </c>
      <c r="J1161">
        <v>1000</v>
      </c>
      <c r="K1161">
        <v>0</v>
      </c>
      <c r="L1161">
        <v>99.62</v>
      </c>
      <c r="M1161">
        <v>99.62</v>
      </c>
      <c r="N1161">
        <v>99.6</v>
      </c>
      <c r="O1161">
        <v>99.62</v>
      </c>
      <c r="P1161">
        <v>0</v>
      </c>
      <c r="Q1161">
        <v>0</v>
      </c>
      <c r="R1161">
        <v>0</v>
      </c>
      <c r="S1161">
        <v>99.63</v>
      </c>
      <c r="T1161">
        <v>99.74</v>
      </c>
      <c r="U1161">
        <v>99.42</v>
      </c>
      <c r="V1161">
        <v>99.74</v>
      </c>
      <c r="W1161">
        <v>577849</v>
      </c>
      <c r="X1161">
        <v>99.62</v>
      </c>
      <c r="Y1161">
        <v>99.64</v>
      </c>
      <c r="Z1161">
        <v>38</v>
      </c>
      <c r="AA1161">
        <v>1500000</v>
      </c>
      <c r="AB1161">
        <v>1992.4</v>
      </c>
      <c r="AC1161">
        <v>0</v>
      </c>
      <c r="AD1161" t="s">
        <v>94</v>
      </c>
      <c r="AE1161" t="s">
        <v>94</v>
      </c>
      <c r="AF1161" t="s">
        <v>226</v>
      </c>
      <c r="AG1161" t="s">
        <v>226</v>
      </c>
      <c r="AH1161">
        <v>6</v>
      </c>
      <c r="AI1161" t="s">
        <v>3537</v>
      </c>
      <c r="AJ1161" t="s">
        <v>1976</v>
      </c>
      <c r="AK1161" t="s">
        <v>2416</v>
      </c>
      <c r="AL1161" t="s">
        <v>272</v>
      </c>
    </row>
    <row r="1162" spans="1:38">
      <c r="A1162" t="s">
        <v>5375</v>
      </c>
      <c r="B1162" t="s">
        <v>5376</v>
      </c>
      <c r="C1162" t="s">
        <v>5377</v>
      </c>
      <c r="D1162" t="s">
        <v>5377</v>
      </c>
      <c r="E1162" t="s">
        <v>5378</v>
      </c>
      <c r="F1162" t="s">
        <v>2413</v>
      </c>
      <c r="G1162">
        <v>3</v>
      </c>
      <c r="H1162">
        <v>1</v>
      </c>
      <c r="I1162">
        <v>0.01</v>
      </c>
      <c r="J1162">
        <v>1000</v>
      </c>
      <c r="K1162">
        <v>0.65</v>
      </c>
      <c r="L1162">
        <v>89.76</v>
      </c>
      <c r="M1162">
        <v>89.37</v>
      </c>
      <c r="N1162">
        <v>89.26</v>
      </c>
      <c r="O1162">
        <v>89.76</v>
      </c>
      <c r="P1162">
        <v>0</v>
      </c>
      <c r="Q1162">
        <v>0</v>
      </c>
      <c r="R1162">
        <v>0</v>
      </c>
      <c r="S1162">
        <v>89.59</v>
      </c>
      <c r="T1162">
        <v>89.41</v>
      </c>
      <c r="U1162">
        <v>89.41</v>
      </c>
      <c r="V1162">
        <v>90.4</v>
      </c>
      <c r="W1162">
        <v>1640354</v>
      </c>
      <c r="X1162">
        <v>89.6</v>
      </c>
      <c r="Y1162">
        <v>89.76</v>
      </c>
      <c r="Z1162">
        <v>120</v>
      </c>
      <c r="AA1162">
        <v>1500000</v>
      </c>
      <c r="AB1162">
        <v>5385.6</v>
      </c>
      <c r="AC1162">
        <v>0</v>
      </c>
      <c r="AD1162" t="s">
        <v>94</v>
      </c>
      <c r="AE1162" t="s">
        <v>94</v>
      </c>
      <c r="AF1162" t="s">
        <v>226</v>
      </c>
      <c r="AG1162" t="s">
        <v>226</v>
      </c>
      <c r="AH1162">
        <v>6</v>
      </c>
      <c r="AI1162" t="s">
        <v>3537</v>
      </c>
      <c r="AJ1162" t="s">
        <v>1976</v>
      </c>
      <c r="AK1162" t="s">
        <v>2416</v>
      </c>
      <c r="AL1162" t="s">
        <v>272</v>
      </c>
    </row>
    <row r="1163" spans="1:38">
      <c r="A1163" t="s">
        <v>5379</v>
      </c>
      <c r="B1163" t="s">
        <v>5380</v>
      </c>
      <c r="C1163" t="s">
        <v>5381</v>
      </c>
      <c r="D1163" t="s">
        <v>5381</v>
      </c>
      <c r="E1163" t="s">
        <v>5382</v>
      </c>
      <c r="F1163" t="s">
        <v>2413</v>
      </c>
      <c r="G1163">
        <v>3</v>
      </c>
      <c r="H1163">
        <v>1</v>
      </c>
      <c r="I1163">
        <v>0.01</v>
      </c>
      <c r="J1163">
        <v>1000</v>
      </c>
      <c r="K1163">
        <v>0.76</v>
      </c>
      <c r="L1163">
        <v>97.35</v>
      </c>
      <c r="M1163">
        <v>96.62</v>
      </c>
      <c r="N1163">
        <v>96.75</v>
      </c>
      <c r="O1163">
        <v>97.42</v>
      </c>
      <c r="P1163">
        <v>0</v>
      </c>
      <c r="Q1163">
        <v>0</v>
      </c>
      <c r="R1163">
        <v>0</v>
      </c>
      <c r="S1163">
        <v>97.32</v>
      </c>
      <c r="T1163">
        <v>96.97</v>
      </c>
      <c r="U1163">
        <v>96.97</v>
      </c>
      <c r="V1163">
        <v>97.93</v>
      </c>
      <c r="W1163">
        <v>6242300</v>
      </c>
      <c r="X1163">
        <v>97.36</v>
      </c>
      <c r="Y1163">
        <v>97.48</v>
      </c>
      <c r="Z1163">
        <v>121</v>
      </c>
      <c r="AA1163">
        <v>1000000</v>
      </c>
      <c r="AB1163">
        <v>973.5</v>
      </c>
      <c r="AC1163">
        <v>0</v>
      </c>
      <c r="AD1163" t="s">
        <v>94</v>
      </c>
      <c r="AE1163" t="s">
        <v>94</v>
      </c>
      <c r="AF1163" t="s">
        <v>226</v>
      </c>
      <c r="AG1163" t="s">
        <v>226</v>
      </c>
      <c r="AH1163">
        <v>6</v>
      </c>
      <c r="AI1163" t="s">
        <v>3537</v>
      </c>
      <c r="AJ1163" t="s">
        <v>1976</v>
      </c>
      <c r="AK1163" t="s">
        <v>2416</v>
      </c>
      <c r="AL1163" t="s">
        <v>272</v>
      </c>
    </row>
    <row r="1164" spans="1:38">
      <c r="A1164" t="s">
        <v>5383</v>
      </c>
      <c r="B1164" t="s">
        <v>5384</v>
      </c>
      <c r="C1164" t="s">
        <v>5385</v>
      </c>
      <c r="D1164" t="s">
        <v>5385</v>
      </c>
      <c r="E1164" t="s">
        <v>5386</v>
      </c>
      <c r="F1164" t="s">
        <v>2413</v>
      </c>
      <c r="G1164">
        <v>3</v>
      </c>
      <c r="H1164">
        <v>1</v>
      </c>
      <c r="I1164">
        <v>0.01</v>
      </c>
      <c r="J1164">
        <v>1000</v>
      </c>
      <c r="K1164">
        <v>-0.1</v>
      </c>
      <c r="L1164">
        <v>85.75</v>
      </c>
      <c r="M1164">
        <v>85.84</v>
      </c>
      <c r="N1164">
        <v>85.22</v>
      </c>
      <c r="O1164">
        <v>85.63</v>
      </c>
      <c r="P1164">
        <v>0</v>
      </c>
      <c r="Q1164">
        <v>0</v>
      </c>
      <c r="R1164">
        <v>0</v>
      </c>
      <c r="S1164">
        <v>85.68</v>
      </c>
      <c r="T1164">
        <v>85.85</v>
      </c>
      <c r="U1164">
        <v>84.92</v>
      </c>
      <c r="V1164">
        <v>85.85</v>
      </c>
      <c r="W1164">
        <v>509800</v>
      </c>
      <c r="X1164">
        <v>85.56</v>
      </c>
      <c r="Y1164">
        <v>85.8</v>
      </c>
      <c r="Z1164">
        <v>111</v>
      </c>
      <c r="AA1164">
        <v>1000000</v>
      </c>
      <c r="AB1164">
        <v>1715</v>
      </c>
      <c r="AC1164">
        <v>0</v>
      </c>
      <c r="AD1164" t="s">
        <v>94</v>
      </c>
      <c r="AE1164" t="s">
        <v>94</v>
      </c>
      <c r="AF1164" t="s">
        <v>226</v>
      </c>
      <c r="AG1164" t="s">
        <v>226</v>
      </c>
      <c r="AH1164">
        <v>6</v>
      </c>
      <c r="AI1164" t="s">
        <v>3537</v>
      </c>
      <c r="AJ1164" t="s">
        <v>1976</v>
      </c>
      <c r="AK1164" t="s">
        <v>2416</v>
      </c>
      <c r="AL1164" t="s">
        <v>272</v>
      </c>
    </row>
    <row r="1165" spans="1:38">
      <c r="A1165" t="s">
        <v>5387</v>
      </c>
      <c r="B1165" t="s">
        <v>5388</v>
      </c>
      <c r="C1165" t="s">
        <v>5389</v>
      </c>
      <c r="D1165" t="s">
        <v>5389</v>
      </c>
      <c r="E1165" t="s">
        <v>5390</v>
      </c>
      <c r="F1165" t="s">
        <v>2425</v>
      </c>
      <c r="G1165">
        <v>3</v>
      </c>
      <c r="H1165">
        <v>1</v>
      </c>
      <c r="I1165">
        <v>0.01</v>
      </c>
      <c r="J1165">
        <v>1000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84.01</v>
      </c>
      <c r="Y1165">
        <v>0</v>
      </c>
      <c r="Z1165">
        <v>0</v>
      </c>
      <c r="AA1165">
        <v>20000000</v>
      </c>
      <c r="AB1165">
        <v>0</v>
      </c>
      <c r="AC1165">
        <v>0</v>
      </c>
      <c r="AD1165" t="s">
        <v>94</v>
      </c>
      <c r="AE1165" t="s">
        <v>94</v>
      </c>
      <c r="AF1165" t="s">
        <v>304</v>
      </c>
      <c r="AG1165" t="s">
        <v>226</v>
      </c>
      <c r="AH1165">
        <v>0</v>
      </c>
      <c r="AI1165" t="s">
        <v>3537</v>
      </c>
      <c r="AJ1165" t="s">
        <v>1976</v>
      </c>
      <c r="AK1165" t="s">
        <v>2426</v>
      </c>
      <c r="AL1165" t="s">
        <v>272</v>
      </c>
    </row>
    <row r="1166" spans="1:38">
      <c r="A1166" t="s">
        <v>5391</v>
      </c>
      <c r="B1166" t="s">
        <v>2573</v>
      </c>
      <c r="C1166" t="s">
        <v>2574</v>
      </c>
      <c r="D1166" t="s">
        <v>2574</v>
      </c>
      <c r="E1166" t="s">
        <v>2575</v>
      </c>
      <c r="F1166" t="s">
        <v>2425</v>
      </c>
      <c r="G1166">
        <v>3</v>
      </c>
      <c r="H1166">
        <v>1</v>
      </c>
      <c r="I1166">
        <v>1E-4</v>
      </c>
      <c r="J1166">
        <v>150000</v>
      </c>
      <c r="K1166">
        <v>0</v>
      </c>
      <c r="L1166">
        <v>0</v>
      </c>
      <c r="M1166">
        <v>59.5</v>
      </c>
      <c r="N1166">
        <v>0</v>
      </c>
      <c r="O1166">
        <v>59.5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66.37</v>
      </c>
      <c r="Z1166">
        <v>0</v>
      </c>
      <c r="AA1166">
        <v>396</v>
      </c>
      <c r="AB1166">
        <v>0</v>
      </c>
      <c r="AC1166">
        <v>0</v>
      </c>
      <c r="AD1166" t="s">
        <v>4</v>
      </c>
      <c r="AE1166" t="s">
        <v>94</v>
      </c>
      <c r="AF1166" t="s">
        <v>304</v>
      </c>
      <c r="AG1166" t="s">
        <v>226</v>
      </c>
      <c r="AH1166">
        <v>0</v>
      </c>
      <c r="AI1166" t="s">
        <v>3537</v>
      </c>
      <c r="AJ1166" t="s">
        <v>1976</v>
      </c>
      <c r="AK1166" t="s">
        <v>2426</v>
      </c>
      <c r="AL1166" t="s">
        <v>272</v>
      </c>
    </row>
    <row r="1167" spans="1:38">
      <c r="A1167" t="s">
        <v>5392</v>
      </c>
      <c r="B1167" t="s">
        <v>2649</v>
      </c>
      <c r="C1167" t="s">
        <v>2650</v>
      </c>
      <c r="D1167" t="s">
        <v>2650</v>
      </c>
      <c r="E1167" t="s">
        <v>2651</v>
      </c>
      <c r="F1167" t="s">
        <v>2425</v>
      </c>
      <c r="G1167">
        <v>3</v>
      </c>
      <c r="H1167">
        <v>1</v>
      </c>
      <c r="I1167">
        <v>1E-4</v>
      </c>
      <c r="J1167">
        <v>175000</v>
      </c>
      <c r="K1167">
        <v>0</v>
      </c>
      <c r="L1167">
        <v>0</v>
      </c>
      <c r="M1167">
        <v>65</v>
      </c>
      <c r="N1167">
        <v>0</v>
      </c>
      <c r="O1167">
        <v>65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90.86</v>
      </c>
      <c r="Z1167">
        <v>0</v>
      </c>
      <c r="AA1167">
        <v>1430</v>
      </c>
      <c r="AB1167">
        <v>0</v>
      </c>
      <c r="AC1167">
        <v>0</v>
      </c>
      <c r="AD1167" t="s">
        <v>2</v>
      </c>
      <c r="AE1167" t="s">
        <v>94</v>
      </c>
      <c r="AF1167" t="s">
        <v>304</v>
      </c>
      <c r="AG1167" t="s">
        <v>226</v>
      </c>
      <c r="AH1167">
        <v>0</v>
      </c>
      <c r="AI1167" t="s">
        <v>3537</v>
      </c>
      <c r="AJ1167" t="s">
        <v>1976</v>
      </c>
      <c r="AK1167" t="s">
        <v>2426</v>
      </c>
      <c r="AL1167" t="s">
        <v>272</v>
      </c>
    </row>
    <row r="1168" spans="1:38">
      <c r="A1168" t="s">
        <v>5393</v>
      </c>
      <c r="B1168" t="s">
        <v>2653</v>
      </c>
      <c r="C1168" t="s">
        <v>2654</v>
      </c>
      <c r="D1168" t="s">
        <v>2654</v>
      </c>
      <c r="E1168" t="s">
        <v>2655</v>
      </c>
      <c r="F1168" t="s">
        <v>2425</v>
      </c>
      <c r="G1168">
        <v>3</v>
      </c>
      <c r="H1168">
        <v>1</v>
      </c>
      <c r="I1168">
        <v>1E-4</v>
      </c>
      <c r="J1168">
        <v>150000</v>
      </c>
      <c r="K1168">
        <v>0</v>
      </c>
      <c r="L1168">
        <v>0</v>
      </c>
      <c r="M1168">
        <v>64.5</v>
      </c>
      <c r="N1168">
        <v>0</v>
      </c>
      <c r="O1168">
        <v>64.5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90</v>
      </c>
      <c r="Z1168">
        <v>0</v>
      </c>
      <c r="AA1168">
        <v>1735</v>
      </c>
      <c r="AB1168">
        <v>0</v>
      </c>
      <c r="AC1168">
        <v>0</v>
      </c>
      <c r="AD1168" t="s">
        <v>2</v>
      </c>
      <c r="AE1168" t="s">
        <v>94</v>
      </c>
      <c r="AF1168" t="s">
        <v>304</v>
      </c>
      <c r="AG1168" t="s">
        <v>226</v>
      </c>
      <c r="AH1168">
        <v>0</v>
      </c>
      <c r="AI1168" t="s">
        <v>3537</v>
      </c>
      <c r="AJ1168" t="s">
        <v>1976</v>
      </c>
      <c r="AK1168" t="s">
        <v>2426</v>
      </c>
      <c r="AL1168" t="s">
        <v>272</v>
      </c>
    </row>
    <row r="1169" spans="1:38">
      <c r="A1169" t="s">
        <v>5394</v>
      </c>
      <c r="B1169" t="s">
        <v>5395</v>
      </c>
      <c r="C1169" t="s">
        <v>5396</v>
      </c>
      <c r="D1169" t="s">
        <v>5396</v>
      </c>
      <c r="E1169" t="s">
        <v>5397</v>
      </c>
      <c r="F1169" t="s">
        <v>2425</v>
      </c>
      <c r="G1169">
        <v>3</v>
      </c>
      <c r="H1169">
        <v>1</v>
      </c>
      <c r="I1169">
        <v>0.01</v>
      </c>
      <c r="J1169">
        <v>1000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60.23</v>
      </c>
      <c r="Y1169">
        <v>0</v>
      </c>
      <c r="Z1169">
        <v>0</v>
      </c>
      <c r="AA1169">
        <v>171556</v>
      </c>
      <c r="AB1169">
        <v>0</v>
      </c>
      <c r="AC1169">
        <v>0</v>
      </c>
      <c r="AD1169" t="s">
        <v>94</v>
      </c>
      <c r="AE1169" t="s">
        <v>94</v>
      </c>
      <c r="AF1169" t="s">
        <v>304</v>
      </c>
      <c r="AG1169" t="s">
        <v>226</v>
      </c>
      <c r="AH1169">
        <v>0</v>
      </c>
      <c r="AI1169" t="s">
        <v>3537</v>
      </c>
      <c r="AJ1169" t="s">
        <v>1976</v>
      </c>
      <c r="AK1169" t="s">
        <v>2426</v>
      </c>
      <c r="AL1169" t="s">
        <v>272</v>
      </c>
    </row>
    <row r="1170" spans="1:38">
      <c r="A1170" t="s">
        <v>5398</v>
      </c>
      <c r="B1170" t="s">
        <v>5399</v>
      </c>
      <c r="C1170" t="s">
        <v>5400</v>
      </c>
      <c r="D1170" t="s">
        <v>5400</v>
      </c>
      <c r="E1170" t="s">
        <v>5401</v>
      </c>
      <c r="F1170" t="s">
        <v>2425</v>
      </c>
      <c r="G1170">
        <v>3</v>
      </c>
      <c r="H1170">
        <v>1</v>
      </c>
      <c r="I1170">
        <v>0.01</v>
      </c>
      <c r="J1170">
        <v>1000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60.37</v>
      </c>
      <c r="Y1170">
        <v>0</v>
      </c>
      <c r="Z1170">
        <v>0</v>
      </c>
      <c r="AA1170">
        <v>174658</v>
      </c>
      <c r="AB1170">
        <v>0</v>
      </c>
      <c r="AC1170">
        <v>0</v>
      </c>
      <c r="AD1170" t="s">
        <v>94</v>
      </c>
      <c r="AE1170" t="s">
        <v>94</v>
      </c>
      <c r="AF1170" t="s">
        <v>304</v>
      </c>
      <c r="AG1170" t="s">
        <v>226</v>
      </c>
      <c r="AH1170">
        <v>0</v>
      </c>
      <c r="AI1170" t="s">
        <v>3537</v>
      </c>
      <c r="AJ1170" t="s">
        <v>1976</v>
      </c>
      <c r="AK1170" t="s">
        <v>2426</v>
      </c>
      <c r="AL1170" t="s">
        <v>272</v>
      </c>
    </row>
    <row r="1171" spans="1:38">
      <c r="A1171" t="s">
        <v>5402</v>
      </c>
      <c r="B1171" t="s">
        <v>5403</v>
      </c>
      <c r="C1171" t="s">
        <v>5404</v>
      </c>
      <c r="D1171" t="s">
        <v>5404</v>
      </c>
      <c r="E1171" t="s">
        <v>5405</v>
      </c>
      <c r="F1171" t="s">
        <v>2425</v>
      </c>
      <c r="G1171">
        <v>3</v>
      </c>
      <c r="H1171">
        <v>1</v>
      </c>
      <c r="I1171">
        <v>0.01</v>
      </c>
      <c r="J1171">
        <v>1000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60.23</v>
      </c>
      <c r="Y1171">
        <v>0</v>
      </c>
      <c r="Z1171">
        <v>0</v>
      </c>
      <c r="AA1171">
        <v>364929</v>
      </c>
      <c r="AB1171">
        <v>0</v>
      </c>
      <c r="AC1171">
        <v>0</v>
      </c>
      <c r="AD1171" t="s">
        <v>94</v>
      </c>
      <c r="AE1171" t="s">
        <v>94</v>
      </c>
      <c r="AF1171" t="s">
        <v>304</v>
      </c>
      <c r="AG1171" t="s">
        <v>226</v>
      </c>
      <c r="AH1171">
        <v>0</v>
      </c>
      <c r="AI1171" t="s">
        <v>3537</v>
      </c>
      <c r="AJ1171" t="s">
        <v>1976</v>
      </c>
      <c r="AK1171" t="s">
        <v>2426</v>
      </c>
      <c r="AL1171" t="s">
        <v>272</v>
      </c>
    </row>
    <row r="1172" spans="1:38">
      <c r="A1172" t="s">
        <v>5406</v>
      </c>
      <c r="B1172" t="s">
        <v>5407</v>
      </c>
      <c r="C1172" t="s">
        <v>5408</v>
      </c>
      <c r="D1172" t="s">
        <v>5408</v>
      </c>
      <c r="E1172" t="s">
        <v>5409</v>
      </c>
      <c r="F1172" t="s">
        <v>2425</v>
      </c>
      <c r="G1172">
        <v>3</v>
      </c>
      <c r="H1172">
        <v>1</v>
      </c>
      <c r="I1172">
        <v>0.01</v>
      </c>
      <c r="J1172">
        <v>1000</v>
      </c>
      <c r="K1172">
        <v>0</v>
      </c>
      <c r="L1172">
        <v>0</v>
      </c>
      <c r="M1172">
        <v>101.12</v>
      </c>
      <c r="N1172">
        <v>0</v>
      </c>
      <c r="O1172">
        <v>101.12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63.26</v>
      </c>
      <c r="Y1172">
        <v>0</v>
      </c>
      <c r="Z1172">
        <v>0</v>
      </c>
      <c r="AA1172">
        <v>102675</v>
      </c>
      <c r="AB1172">
        <v>0</v>
      </c>
      <c r="AC1172">
        <v>0</v>
      </c>
      <c r="AD1172" t="s">
        <v>94</v>
      </c>
      <c r="AE1172" t="s">
        <v>94</v>
      </c>
      <c r="AF1172" t="s">
        <v>304</v>
      </c>
      <c r="AG1172" t="s">
        <v>226</v>
      </c>
      <c r="AH1172">
        <v>0</v>
      </c>
      <c r="AI1172" t="s">
        <v>3537</v>
      </c>
      <c r="AJ1172" t="s">
        <v>1976</v>
      </c>
      <c r="AK1172" t="s">
        <v>2426</v>
      </c>
      <c r="AL1172" t="s">
        <v>272</v>
      </c>
    </row>
    <row r="1173" spans="1:38">
      <c r="A1173" t="s">
        <v>5410</v>
      </c>
      <c r="B1173" t="s">
        <v>5411</v>
      </c>
      <c r="C1173" t="s">
        <v>5412</v>
      </c>
      <c r="D1173" t="s">
        <v>5412</v>
      </c>
      <c r="E1173" t="s">
        <v>5413</v>
      </c>
      <c r="F1173" t="s">
        <v>2425</v>
      </c>
      <c r="G1173">
        <v>3</v>
      </c>
      <c r="H1173">
        <v>1</v>
      </c>
      <c r="I1173">
        <v>0.01</v>
      </c>
      <c r="J1173">
        <v>1000</v>
      </c>
      <c r="K1173">
        <v>0</v>
      </c>
      <c r="L1173">
        <v>0</v>
      </c>
      <c r="M1173">
        <v>97.64</v>
      </c>
      <c r="N1173">
        <v>0</v>
      </c>
      <c r="O1173">
        <v>97.64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93.02</v>
      </c>
      <c r="Y1173">
        <v>96.39</v>
      </c>
      <c r="Z1173">
        <v>0</v>
      </c>
      <c r="AA1173">
        <v>149720</v>
      </c>
      <c r="AB1173">
        <v>0</v>
      </c>
      <c r="AC1173">
        <v>0</v>
      </c>
      <c r="AD1173" t="s">
        <v>94</v>
      </c>
      <c r="AE1173" t="s">
        <v>94</v>
      </c>
      <c r="AF1173" t="s">
        <v>304</v>
      </c>
      <c r="AG1173" t="s">
        <v>226</v>
      </c>
      <c r="AH1173">
        <v>0</v>
      </c>
      <c r="AI1173" t="s">
        <v>3537</v>
      </c>
      <c r="AJ1173" t="s">
        <v>1976</v>
      </c>
      <c r="AK1173" t="s">
        <v>2426</v>
      </c>
      <c r="AL1173" t="s">
        <v>272</v>
      </c>
    </row>
    <row r="1174" spans="1:38">
      <c r="A1174" t="s">
        <v>5414</v>
      </c>
      <c r="B1174" t="s">
        <v>5415</v>
      </c>
      <c r="C1174" t="s">
        <v>5416</v>
      </c>
      <c r="D1174" t="s">
        <v>5416</v>
      </c>
      <c r="E1174" t="s">
        <v>5417</v>
      </c>
      <c r="F1174" t="s">
        <v>2425</v>
      </c>
      <c r="G1174">
        <v>3</v>
      </c>
      <c r="H1174">
        <v>1</v>
      </c>
      <c r="I1174">
        <v>0.01</v>
      </c>
      <c r="J1174">
        <v>1000</v>
      </c>
      <c r="K1174">
        <v>0</v>
      </c>
      <c r="L1174">
        <v>0</v>
      </c>
      <c r="M1174">
        <v>90</v>
      </c>
      <c r="N1174">
        <v>0</v>
      </c>
      <c r="O1174">
        <v>90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84.01</v>
      </c>
      <c r="Y1174">
        <v>91</v>
      </c>
      <c r="Z1174">
        <v>0</v>
      </c>
      <c r="AA1174">
        <v>143104</v>
      </c>
      <c r="AB1174">
        <v>0</v>
      </c>
      <c r="AC1174">
        <v>0</v>
      </c>
      <c r="AD1174" t="s">
        <v>94</v>
      </c>
      <c r="AE1174" t="s">
        <v>94</v>
      </c>
      <c r="AF1174" t="s">
        <v>304</v>
      </c>
      <c r="AG1174" t="s">
        <v>226</v>
      </c>
      <c r="AH1174">
        <v>0</v>
      </c>
      <c r="AI1174" t="s">
        <v>3537</v>
      </c>
      <c r="AJ1174" t="s">
        <v>1976</v>
      </c>
      <c r="AK1174" t="s">
        <v>2426</v>
      </c>
      <c r="AL1174" t="s">
        <v>272</v>
      </c>
    </row>
    <row r="1175" spans="1:38">
      <c r="A1175" t="s">
        <v>5418</v>
      </c>
      <c r="B1175" t="s">
        <v>5419</v>
      </c>
      <c r="C1175" t="s">
        <v>5420</v>
      </c>
      <c r="D1175" t="s">
        <v>5420</v>
      </c>
      <c r="E1175" t="s">
        <v>5421</v>
      </c>
      <c r="F1175" t="s">
        <v>2425</v>
      </c>
      <c r="G1175">
        <v>3</v>
      </c>
      <c r="H1175">
        <v>1</v>
      </c>
      <c r="I1175">
        <v>0.01</v>
      </c>
      <c r="J1175">
        <v>1000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60.21</v>
      </c>
      <c r="Y1175">
        <v>0</v>
      </c>
      <c r="Z1175">
        <v>0</v>
      </c>
      <c r="AA1175">
        <v>287877</v>
      </c>
      <c r="AB1175">
        <v>0</v>
      </c>
      <c r="AC1175">
        <v>0</v>
      </c>
      <c r="AD1175" t="s">
        <v>94</v>
      </c>
      <c r="AE1175" t="s">
        <v>94</v>
      </c>
      <c r="AF1175" t="s">
        <v>304</v>
      </c>
      <c r="AG1175" t="s">
        <v>226</v>
      </c>
      <c r="AH1175">
        <v>0</v>
      </c>
      <c r="AI1175" t="s">
        <v>3537</v>
      </c>
      <c r="AJ1175" t="s">
        <v>1976</v>
      </c>
      <c r="AK1175" t="s">
        <v>2426</v>
      </c>
      <c r="AL1175" t="s">
        <v>272</v>
      </c>
    </row>
    <row r="1176" spans="1:38">
      <c r="A1176" t="s">
        <v>5422</v>
      </c>
      <c r="B1176" t="s">
        <v>5423</v>
      </c>
      <c r="C1176" t="s">
        <v>5424</v>
      </c>
      <c r="D1176" t="s">
        <v>5424</v>
      </c>
      <c r="E1176" t="s">
        <v>5425</v>
      </c>
      <c r="F1176" t="s">
        <v>2425</v>
      </c>
      <c r="G1176">
        <v>3</v>
      </c>
      <c r="H1176">
        <v>1</v>
      </c>
      <c r="I1176">
        <v>0.01</v>
      </c>
      <c r="J1176">
        <v>10000000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15000</v>
      </c>
      <c r="AB1176">
        <v>0</v>
      </c>
      <c r="AC1176">
        <v>0</v>
      </c>
      <c r="AD1176" t="s">
        <v>94</v>
      </c>
      <c r="AE1176" t="s">
        <v>94</v>
      </c>
      <c r="AF1176" t="s">
        <v>304</v>
      </c>
      <c r="AG1176" t="s">
        <v>226</v>
      </c>
      <c r="AH1176">
        <v>0</v>
      </c>
      <c r="AI1176" t="s">
        <v>3537</v>
      </c>
      <c r="AJ1176" t="s">
        <v>1976</v>
      </c>
      <c r="AK1176" t="s">
        <v>2426</v>
      </c>
      <c r="AL1176" t="s">
        <v>272</v>
      </c>
    </row>
    <row r="1177" spans="1:38">
      <c r="A1177" t="s">
        <v>5426</v>
      </c>
      <c r="B1177" t="s">
        <v>5427</v>
      </c>
      <c r="C1177" t="s">
        <v>5428</v>
      </c>
      <c r="D1177" t="s">
        <v>5428</v>
      </c>
      <c r="E1177" t="s">
        <v>5429</v>
      </c>
      <c r="F1177" t="s">
        <v>2413</v>
      </c>
      <c r="G1177">
        <v>2</v>
      </c>
      <c r="H1177">
        <v>1</v>
      </c>
      <c r="I1177">
        <v>0.01</v>
      </c>
      <c r="J1177">
        <v>1000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98.74</v>
      </c>
      <c r="Y1177">
        <v>0</v>
      </c>
      <c r="Z1177">
        <v>0</v>
      </c>
      <c r="AA1177">
        <v>5000000</v>
      </c>
      <c r="AB1177">
        <v>0</v>
      </c>
      <c r="AC1177">
        <v>0</v>
      </c>
      <c r="AD1177" t="s">
        <v>94</v>
      </c>
      <c r="AE1177" t="s">
        <v>94</v>
      </c>
      <c r="AF1177" t="s">
        <v>226</v>
      </c>
      <c r="AG1177" t="s">
        <v>226</v>
      </c>
      <c r="AH1177">
        <v>6</v>
      </c>
      <c r="AI1177" t="s">
        <v>3537</v>
      </c>
      <c r="AJ1177" t="s">
        <v>1976</v>
      </c>
      <c r="AK1177" t="s">
        <v>2416</v>
      </c>
      <c r="AL1177" t="s">
        <v>272</v>
      </c>
    </row>
    <row r="1178" spans="1:38">
      <c r="A1178" t="s">
        <v>5430</v>
      </c>
      <c r="B1178" t="s">
        <v>5431</v>
      </c>
      <c r="C1178" t="s">
        <v>5432</v>
      </c>
      <c r="D1178" t="s">
        <v>5432</v>
      </c>
      <c r="E1178" t="s">
        <v>5433</v>
      </c>
      <c r="F1178" t="s">
        <v>2413</v>
      </c>
      <c r="G1178">
        <v>1</v>
      </c>
      <c r="H1178">
        <v>1</v>
      </c>
      <c r="I1178">
        <v>0.01</v>
      </c>
      <c r="J1178">
        <v>1000</v>
      </c>
      <c r="K1178">
        <v>-0.53</v>
      </c>
      <c r="L1178">
        <v>81.02</v>
      </c>
      <c r="M1178">
        <v>81.459999999999994</v>
      </c>
      <c r="N1178">
        <v>80.05</v>
      </c>
      <c r="O1178">
        <v>81.02</v>
      </c>
      <c r="P1178">
        <v>0</v>
      </c>
      <c r="Q1178">
        <v>0</v>
      </c>
      <c r="R1178">
        <v>0</v>
      </c>
      <c r="S1178">
        <v>81.11</v>
      </c>
      <c r="T1178">
        <v>81.39</v>
      </c>
      <c r="U1178">
        <v>81.02</v>
      </c>
      <c r="V1178">
        <v>81.400000000000006</v>
      </c>
      <c r="W1178">
        <v>79490</v>
      </c>
      <c r="X1178">
        <v>81.010000000000005</v>
      </c>
      <c r="Y1178">
        <v>81.02</v>
      </c>
      <c r="Z1178">
        <v>16</v>
      </c>
      <c r="AA1178">
        <v>10630210</v>
      </c>
      <c r="AB1178">
        <v>8102</v>
      </c>
      <c r="AC1178">
        <v>0</v>
      </c>
      <c r="AD1178" t="s">
        <v>94</v>
      </c>
      <c r="AE1178" t="s">
        <v>94</v>
      </c>
      <c r="AF1178" t="s">
        <v>226</v>
      </c>
      <c r="AG1178" t="s">
        <v>226</v>
      </c>
      <c r="AH1178">
        <v>6</v>
      </c>
      <c r="AI1178" t="s">
        <v>3537</v>
      </c>
      <c r="AJ1178" t="s">
        <v>1976</v>
      </c>
      <c r="AK1178" t="s">
        <v>2416</v>
      </c>
      <c r="AL1178" t="s">
        <v>272</v>
      </c>
    </row>
    <row r="1179" spans="1:38">
      <c r="A1179" t="s">
        <v>5434</v>
      </c>
      <c r="B1179" t="s">
        <v>5435</v>
      </c>
      <c r="C1179" t="s">
        <v>5436</v>
      </c>
      <c r="D1179" t="s">
        <v>5436</v>
      </c>
      <c r="E1179" t="s">
        <v>5437</v>
      </c>
      <c r="F1179" t="s">
        <v>2413</v>
      </c>
      <c r="G1179">
        <v>1</v>
      </c>
      <c r="H1179">
        <v>1</v>
      </c>
      <c r="I1179">
        <v>0.01</v>
      </c>
      <c r="J1179">
        <v>1000</v>
      </c>
      <c r="K1179">
        <v>-0.1</v>
      </c>
      <c r="L1179">
        <v>99.9</v>
      </c>
      <c r="M1179">
        <v>100</v>
      </c>
      <c r="N1179">
        <v>99.99</v>
      </c>
      <c r="O1179">
        <v>99.95</v>
      </c>
      <c r="P1179">
        <v>0</v>
      </c>
      <c r="Q1179">
        <v>0</v>
      </c>
      <c r="R1179">
        <v>0</v>
      </c>
      <c r="S1179">
        <v>99.96</v>
      </c>
      <c r="T1179">
        <v>100</v>
      </c>
      <c r="U1179">
        <v>99.89</v>
      </c>
      <c r="V1179">
        <v>100</v>
      </c>
      <c r="W1179">
        <v>331852</v>
      </c>
      <c r="X1179">
        <v>99.9</v>
      </c>
      <c r="Y1179">
        <v>99.99</v>
      </c>
      <c r="Z1179">
        <v>33</v>
      </c>
      <c r="AA1179">
        <v>20000000</v>
      </c>
      <c r="AB1179">
        <v>999</v>
      </c>
      <c r="AC1179">
        <v>0</v>
      </c>
      <c r="AD1179" t="s">
        <v>94</v>
      </c>
      <c r="AE1179" t="s">
        <v>94</v>
      </c>
      <c r="AF1179" t="s">
        <v>226</v>
      </c>
      <c r="AG1179" t="s">
        <v>226</v>
      </c>
      <c r="AH1179">
        <v>6</v>
      </c>
      <c r="AI1179" t="s">
        <v>3537</v>
      </c>
      <c r="AJ1179" t="s">
        <v>1976</v>
      </c>
      <c r="AK1179" t="s">
        <v>2416</v>
      </c>
      <c r="AL1179" t="s">
        <v>272</v>
      </c>
    </row>
    <row r="1180" spans="1:38">
      <c r="A1180" t="s">
        <v>5438</v>
      </c>
      <c r="B1180" t="s">
        <v>5439</v>
      </c>
      <c r="C1180" t="s">
        <v>5440</v>
      </c>
      <c r="D1180" t="s">
        <v>5440</v>
      </c>
      <c r="E1180" t="s">
        <v>5441</v>
      </c>
      <c r="F1180" t="s">
        <v>2413</v>
      </c>
      <c r="G1180">
        <v>1</v>
      </c>
      <c r="H1180">
        <v>1</v>
      </c>
      <c r="I1180">
        <v>0.01</v>
      </c>
      <c r="J1180">
        <v>1000</v>
      </c>
      <c r="K1180">
        <v>1.78</v>
      </c>
      <c r="L1180">
        <v>82.72</v>
      </c>
      <c r="M1180">
        <v>81.2</v>
      </c>
      <c r="N1180">
        <v>80.349999999999994</v>
      </c>
      <c r="O1180">
        <v>82.72</v>
      </c>
      <c r="P1180">
        <v>0</v>
      </c>
      <c r="Q1180">
        <v>0</v>
      </c>
      <c r="R1180">
        <v>0</v>
      </c>
      <c r="S1180">
        <v>83.85</v>
      </c>
      <c r="T1180">
        <v>81.34</v>
      </c>
      <c r="U1180">
        <v>81.33</v>
      </c>
      <c r="V1180">
        <v>84.7</v>
      </c>
      <c r="W1180">
        <v>3042989</v>
      </c>
      <c r="X1180">
        <v>82.51</v>
      </c>
      <c r="Y1180">
        <v>82.72</v>
      </c>
      <c r="Z1180">
        <v>55</v>
      </c>
      <c r="AA1180">
        <v>15000000</v>
      </c>
      <c r="AB1180">
        <v>827.2</v>
      </c>
      <c r="AC1180">
        <v>0</v>
      </c>
      <c r="AD1180" t="s">
        <v>94</v>
      </c>
      <c r="AE1180" t="s">
        <v>94</v>
      </c>
      <c r="AF1180" t="s">
        <v>226</v>
      </c>
      <c r="AG1180" t="s">
        <v>226</v>
      </c>
      <c r="AH1180">
        <v>6</v>
      </c>
      <c r="AI1180" t="s">
        <v>3537</v>
      </c>
      <c r="AJ1180" t="s">
        <v>1976</v>
      </c>
      <c r="AK1180" t="s">
        <v>2416</v>
      </c>
      <c r="AL1180" t="s">
        <v>272</v>
      </c>
    </row>
    <row r="1181" spans="1:38">
      <c r="A1181" t="s">
        <v>5442</v>
      </c>
      <c r="B1181" t="s">
        <v>5443</v>
      </c>
      <c r="C1181" t="s">
        <v>5444</v>
      </c>
      <c r="D1181" t="s">
        <v>5444</v>
      </c>
      <c r="E1181" t="s">
        <v>5445</v>
      </c>
      <c r="F1181" t="s">
        <v>2413</v>
      </c>
      <c r="G1181">
        <v>1</v>
      </c>
      <c r="H1181">
        <v>1</v>
      </c>
      <c r="I1181">
        <v>0.01</v>
      </c>
      <c r="J1181">
        <v>1000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81.010000000000005</v>
      </c>
      <c r="Y1181">
        <v>0</v>
      </c>
      <c r="Z1181">
        <v>0</v>
      </c>
      <c r="AA1181">
        <v>2000000</v>
      </c>
      <c r="AB1181">
        <v>0</v>
      </c>
      <c r="AC1181">
        <v>0</v>
      </c>
      <c r="AD1181" t="s">
        <v>94</v>
      </c>
      <c r="AE1181" t="s">
        <v>94</v>
      </c>
      <c r="AF1181" t="s">
        <v>226</v>
      </c>
      <c r="AG1181" t="s">
        <v>226</v>
      </c>
      <c r="AH1181">
        <v>6</v>
      </c>
      <c r="AI1181" t="s">
        <v>3537</v>
      </c>
      <c r="AJ1181" t="s">
        <v>1976</v>
      </c>
      <c r="AK1181" t="s">
        <v>2416</v>
      </c>
      <c r="AL1181" t="s">
        <v>272</v>
      </c>
    </row>
    <row r="1182" spans="1:38">
      <c r="A1182" t="s">
        <v>5446</v>
      </c>
      <c r="B1182" t="s">
        <v>5447</v>
      </c>
      <c r="C1182" t="s">
        <v>5448</v>
      </c>
      <c r="D1182" t="s">
        <v>5448</v>
      </c>
      <c r="E1182" t="s">
        <v>5449</v>
      </c>
      <c r="F1182" t="s">
        <v>2413</v>
      </c>
      <c r="G1182">
        <v>1</v>
      </c>
      <c r="H1182">
        <v>1</v>
      </c>
      <c r="I1182">
        <v>0.01</v>
      </c>
      <c r="J1182">
        <v>1000</v>
      </c>
      <c r="K1182">
        <v>0.01</v>
      </c>
      <c r="L1182">
        <v>93</v>
      </c>
      <c r="M1182">
        <v>92.99</v>
      </c>
      <c r="N1182">
        <v>92.92</v>
      </c>
      <c r="O1182">
        <v>93</v>
      </c>
      <c r="P1182">
        <v>0</v>
      </c>
      <c r="Q1182">
        <v>0</v>
      </c>
      <c r="R1182">
        <v>0</v>
      </c>
      <c r="S1182">
        <v>93</v>
      </c>
      <c r="T1182">
        <v>93</v>
      </c>
      <c r="U1182">
        <v>93</v>
      </c>
      <c r="V1182">
        <v>93</v>
      </c>
      <c r="W1182">
        <v>11713350</v>
      </c>
      <c r="X1182">
        <v>92.91</v>
      </c>
      <c r="Y1182">
        <v>93</v>
      </c>
      <c r="Z1182">
        <v>6</v>
      </c>
      <c r="AA1182">
        <v>30000000</v>
      </c>
      <c r="AB1182">
        <v>16740</v>
      </c>
      <c r="AC1182">
        <v>0</v>
      </c>
      <c r="AD1182" t="s">
        <v>94</v>
      </c>
      <c r="AE1182" t="s">
        <v>94</v>
      </c>
      <c r="AF1182" t="s">
        <v>226</v>
      </c>
      <c r="AG1182" t="s">
        <v>226</v>
      </c>
      <c r="AH1182">
        <v>6</v>
      </c>
      <c r="AI1182" t="s">
        <v>3537</v>
      </c>
      <c r="AJ1182" t="s">
        <v>1976</v>
      </c>
      <c r="AK1182" t="s">
        <v>2416</v>
      </c>
      <c r="AL1182" t="s">
        <v>272</v>
      </c>
    </row>
    <row r="1183" spans="1:38">
      <c r="A1183" t="s">
        <v>5450</v>
      </c>
      <c r="B1183" t="s">
        <v>5451</v>
      </c>
      <c r="C1183" t="s">
        <v>5452</v>
      </c>
      <c r="D1183" t="s">
        <v>5452</v>
      </c>
      <c r="E1183" t="s">
        <v>5453</v>
      </c>
      <c r="F1183" t="s">
        <v>2413</v>
      </c>
      <c r="G1183">
        <v>1</v>
      </c>
      <c r="H1183">
        <v>1</v>
      </c>
      <c r="I1183">
        <v>0.01</v>
      </c>
      <c r="J1183">
        <v>1000</v>
      </c>
      <c r="K1183">
        <v>1.27</v>
      </c>
      <c r="L1183">
        <v>94.84</v>
      </c>
      <c r="M1183">
        <v>93.65</v>
      </c>
      <c r="N1183">
        <v>93.56</v>
      </c>
      <c r="O1183">
        <v>94.42</v>
      </c>
      <c r="P1183">
        <v>0</v>
      </c>
      <c r="Q1183">
        <v>0</v>
      </c>
      <c r="R1183">
        <v>0</v>
      </c>
      <c r="S1183">
        <v>94.42</v>
      </c>
      <c r="T1183">
        <v>93.65</v>
      </c>
      <c r="U1183">
        <v>93.64</v>
      </c>
      <c r="V1183">
        <v>94.98</v>
      </c>
      <c r="W1183">
        <v>963051</v>
      </c>
      <c r="X1183">
        <v>94.15</v>
      </c>
      <c r="Y1183">
        <v>94.72</v>
      </c>
      <c r="Z1183">
        <v>47</v>
      </c>
      <c r="AA1183">
        <v>20000000</v>
      </c>
      <c r="AB1183">
        <v>1896.8</v>
      </c>
      <c r="AC1183">
        <v>0</v>
      </c>
      <c r="AD1183" t="s">
        <v>94</v>
      </c>
      <c r="AE1183" t="s">
        <v>94</v>
      </c>
      <c r="AF1183" t="s">
        <v>226</v>
      </c>
      <c r="AG1183" t="s">
        <v>226</v>
      </c>
      <c r="AH1183">
        <v>6</v>
      </c>
      <c r="AI1183" t="s">
        <v>3537</v>
      </c>
      <c r="AJ1183" t="s">
        <v>1976</v>
      </c>
      <c r="AK1183" t="s">
        <v>2416</v>
      </c>
      <c r="AL1183" t="s">
        <v>272</v>
      </c>
    </row>
    <row r="1184" spans="1:38">
      <c r="A1184" t="s">
        <v>5454</v>
      </c>
      <c r="B1184" t="s">
        <v>5455</v>
      </c>
      <c r="C1184" t="s">
        <v>5456</v>
      </c>
      <c r="D1184" t="s">
        <v>5456</v>
      </c>
      <c r="E1184" t="s">
        <v>5457</v>
      </c>
      <c r="F1184" t="s">
        <v>2413</v>
      </c>
      <c r="G1184">
        <v>1</v>
      </c>
      <c r="H1184">
        <v>1</v>
      </c>
      <c r="I1184">
        <v>0.01</v>
      </c>
      <c r="J1184">
        <v>1000</v>
      </c>
      <c r="K1184">
        <v>-0.39</v>
      </c>
      <c r="L1184">
        <v>82.03</v>
      </c>
      <c r="M1184">
        <v>82.34</v>
      </c>
      <c r="N1184">
        <v>81.650000000000006</v>
      </c>
      <c r="O1184">
        <v>82.03</v>
      </c>
      <c r="P1184">
        <v>0</v>
      </c>
      <c r="Q1184">
        <v>0</v>
      </c>
      <c r="R1184">
        <v>0</v>
      </c>
      <c r="S1184">
        <v>81.59</v>
      </c>
      <c r="T1184">
        <v>81.23</v>
      </c>
      <c r="U1184">
        <v>80.66</v>
      </c>
      <c r="V1184">
        <v>82.08</v>
      </c>
      <c r="W1184">
        <v>84850</v>
      </c>
      <c r="X1184">
        <v>82.03</v>
      </c>
      <c r="Y1184">
        <v>82.08</v>
      </c>
      <c r="Z1184">
        <v>32</v>
      </c>
      <c r="AA1184">
        <v>10427011</v>
      </c>
      <c r="AB1184">
        <v>820.3</v>
      </c>
      <c r="AC1184">
        <v>0</v>
      </c>
      <c r="AD1184" t="s">
        <v>94</v>
      </c>
      <c r="AE1184" t="s">
        <v>94</v>
      </c>
      <c r="AF1184" t="s">
        <v>226</v>
      </c>
      <c r="AG1184" t="s">
        <v>226</v>
      </c>
      <c r="AH1184">
        <v>6</v>
      </c>
      <c r="AI1184" t="s">
        <v>3537</v>
      </c>
      <c r="AJ1184" t="s">
        <v>1976</v>
      </c>
      <c r="AK1184" t="s">
        <v>2416</v>
      </c>
      <c r="AL1184" t="s">
        <v>272</v>
      </c>
    </row>
    <row r="1185" spans="1:38">
      <c r="A1185" t="s">
        <v>5458</v>
      </c>
      <c r="B1185" t="s">
        <v>5459</v>
      </c>
      <c r="C1185" t="s">
        <v>5460</v>
      </c>
      <c r="D1185" t="s">
        <v>5460</v>
      </c>
      <c r="E1185" t="s">
        <v>5461</v>
      </c>
      <c r="F1185" t="s">
        <v>2413</v>
      </c>
      <c r="G1185">
        <v>3</v>
      </c>
      <c r="H1185">
        <v>1</v>
      </c>
      <c r="I1185">
        <v>0.01</v>
      </c>
      <c r="J1185">
        <v>1000</v>
      </c>
      <c r="K1185">
        <v>0.11</v>
      </c>
      <c r="L1185">
        <v>81</v>
      </c>
      <c r="M1185">
        <v>80.91</v>
      </c>
      <c r="N1185">
        <v>81</v>
      </c>
      <c r="O1185">
        <v>81</v>
      </c>
      <c r="P1185">
        <v>0</v>
      </c>
      <c r="Q1185">
        <v>0</v>
      </c>
      <c r="R1185">
        <v>0</v>
      </c>
      <c r="S1185">
        <v>81.02</v>
      </c>
      <c r="T1185">
        <v>80.59</v>
      </c>
      <c r="U1185">
        <v>80.58</v>
      </c>
      <c r="V1185">
        <v>81.77</v>
      </c>
      <c r="W1185">
        <v>1050796</v>
      </c>
      <c r="X1185">
        <v>80.78</v>
      </c>
      <c r="Y1185">
        <v>81.260000000000005</v>
      </c>
      <c r="Z1185">
        <v>45</v>
      </c>
      <c r="AA1185">
        <v>3402112</v>
      </c>
      <c r="AB1185">
        <v>201690</v>
      </c>
      <c r="AC1185">
        <v>0</v>
      </c>
      <c r="AD1185" t="s">
        <v>94</v>
      </c>
      <c r="AE1185" t="s">
        <v>94</v>
      </c>
      <c r="AF1185" t="s">
        <v>226</v>
      </c>
      <c r="AG1185" t="s">
        <v>226</v>
      </c>
      <c r="AH1185">
        <v>6</v>
      </c>
      <c r="AI1185" t="s">
        <v>3537</v>
      </c>
      <c r="AJ1185" t="s">
        <v>1976</v>
      </c>
      <c r="AK1185" t="s">
        <v>2416</v>
      </c>
      <c r="AL1185" t="s">
        <v>272</v>
      </c>
    </row>
    <row r="1186" spans="1:38">
      <c r="A1186" t="s">
        <v>5462</v>
      </c>
      <c r="B1186" t="s">
        <v>5463</v>
      </c>
      <c r="C1186" t="s">
        <v>5464</v>
      </c>
      <c r="D1186" t="s">
        <v>5464</v>
      </c>
      <c r="E1186" t="s">
        <v>5465</v>
      </c>
      <c r="F1186" t="s">
        <v>2413</v>
      </c>
      <c r="G1186">
        <v>3</v>
      </c>
      <c r="H1186">
        <v>1</v>
      </c>
      <c r="I1186">
        <v>0.01</v>
      </c>
      <c r="J1186">
        <v>1000</v>
      </c>
      <c r="K1186">
        <v>0</v>
      </c>
      <c r="L1186">
        <v>0</v>
      </c>
      <c r="M1186">
        <v>64</v>
      </c>
      <c r="N1186">
        <v>61.02</v>
      </c>
      <c r="O1186">
        <v>64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62.02</v>
      </c>
      <c r="Y1186">
        <v>64</v>
      </c>
      <c r="Z1186">
        <v>0</v>
      </c>
      <c r="AA1186">
        <v>240691</v>
      </c>
      <c r="AB1186">
        <v>0</v>
      </c>
      <c r="AC1186">
        <v>0</v>
      </c>
      <c r="AD1186" t="s">
        <v>94</v>
      </c>
      <c r="AE1186" t="s">
        <v>94</v>
      </c>
      <c r="AF1186" t="s">
        <v>226</v>
      </c>
      <c r="AG1186" t="s">
        <v>226</v>
      </c>
      <c r="AH1186">
        <v>8</v>
      </c>
      <c r="AI1186" t="s">
        <v>3537</v>
      </c>
      <c r="AJ1186" t="s">
        <v>1976</v>
      </c>
      <c r="AK1186" t="s">
        <v>2416</v>
      </c>
      <c r="AL1186" t="s">
        <v>272</v>
      </c>
    </row>
    <row r="1187" spans="1:38">
      <c r="A1187" t="s">
        <v>5466</v>
      </c>
      <c r="B1187" t="s">
        <v>5467</v>
      </c>
      <c r="C1187" t="s">
        <v>5468</v>
      </c>
      <c r="D1187" t="s">
        <v>5468</v>
      </c>
      <c r="E1187" t="s">
        <v>5469</v>
      </c>
      <c r="F1187" t="s">
        <v>2413</v>
      </c>
      <c r="G1187">
        <v>3</v>
      </c>
      <c r="H1187">
        <v>1</v>
      </c>
      <c r="I1187">
        <v>0.01</v>
      </c>
      <c r="J1187">
        <v>1000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86768</v>
      </c>
      <c r="AB1187">
        <v>0</v>
      </c>
      <c r="AC1187">
        <v>0</v>
      </c>
      <c r="AD1187" t="s">
        <v>94</v>
      </c>
      <c r="AE1187" t="s">
        <v>94</v>
      </c>
      <c r="AF1187" t="s">
        <v>226</v>
      </c>
      <c r="AG1187" t="s">
        <v>226</v>
      </c>
      <c r="AH1187">
        <v>8</v>
      </c>
      <c r="AI1187" t="s">
        <v>3537</v>
      </c>
      <c r="AJ1187" t="s">
        <v>1976</v>
      </c>
      <c r="AK1187" t="s">
        <v>2416</v>
      </c>
      <c r="AL1187" t="s">
        <v>272</v>
      </c>
    </row>
    <row r="1188" spans="1:38">
      <c r="A1188" t="s">
        <v>5470</v>
      </c>
      <c r="B1188" t="s">
        <v>5471</v>
      </c>
      <c r="C1188" t="s">
        <v>5472</v>
      </c>
      <c r="D1188" t="s">
        <v>5472</v>
      </c>
      <c r="E1188" t="s">
        <v>5473</v>
      </c>
      <c r="F1188" t="s">
        <v>2413</v>
      </c>
      <c r="G1188">
        <v>3</v>
      </c>
      <c r="H1188">
        <v>1</v>
      </c>
      <c r="I1188">
        <v>0.01</v>
      </c>
      <c r="J1188">
        <v>1000</v>
      </c>
      <c r="K1188">
        <v>0</v>
      </c>
      <c r="L1188">
        <v>0</v>
      </c>
      <c r="M1188">
        <v>73.010000000000005</v>
      </c>
      <c r="N1188">
        <v>0</v>
      </c>
      <c r="O1188">
        <v>73.010000000000005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68.010000000000005</v>
      </c>
      <c r="Y1188">
        <v>78.010000000000005</v>
      </c>
      <c r="Z1188">
        <v>0</v>
      </c>
      <c r="AA1188">
        <v>130646</v>
      </c>
      <c r="AB1188">
        <v>0</v>
      </c>
      <c r="AC1188">
        <v>0</v>
      </c>
      <c r="AD1188" t="s">
        <v>94</v>
      </c>
      <c r="AE1188" t="s">
        <v>94</v>
      </c>
      <c r="AF1188" t="s">
        <v>226</v>
      </c>
      <c r="AG1188" t="s">
        <v>226</v>
      </c>
      <c r="AH1188">
        <v>8</v>
      </c>
      <c r="AI1188" t="s">
        <v>3537</v>
      </c>
      <c r="AJ1188" t="s">
        <v>1976</v>
      </c>
      <c r="AK1188" t="s">
        <v>2416</v>
      </c>
      <c r="AL1188" t="s">
        <v>272</v>
      </c>
    </row>
    <row r="1189" spans="1:38">
      <c r="A1189" t="s">
        <v>5474</v>
      </c>
      <c r="B1189" t="s">
        <v>5475</v>
      </c>
      <c r="C1189" t="s">
        <v>5476</v>
      </c>
      <c r="D1189" t="s">
        <v>5476</v>
      </c>
      <c r="E1189" t="s">
        <v>5477</v>
      </c>
      <c r="F1189" t="s">
        <v>2413</v>
      </c>
      <c r="G1189">
        <v>3</v>
      </c>
      <c r="H1189">
        <v>1</v>
      </c>
      <c r="I1189">
        <v>0.01</v>
      </c>
      <c r="J1189">
        <v>1000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240354</v>
      </c>
      <c r="AB1189">
        <v>0</v>
      </c>
      <c r="AC1189">
        <v>0</v>
      </c>
      <c r="AD1189" t="s">
        <v>94</v>
      </c>
      <c r="AE1189" t="s">
        <v>94</v>
      </c>
      <c r="AF1189" t="s">
        <v>226</v>
      </c>
      <c r="AG1189" t="s">
        <v>226</v>
      </c>
      <c r="AH1189">
        <v>8</v>
      </c>
      <c r="AI1189" t="s">
        <v>3537</v>
      </c>
      <c r="AJ1189" t="s">
        <v>1976</v>
      </c>
      <c r="AK1189" t="s">
        <v>2416</v>
      </c>
      <c r="AL1189" t="s">
        <v>272</v>
      </c>
    </row>
    <row r="1190" spans="1:38">
      <c r="A1190" t="s">
        <v>5478</v>
      </c>
      <c r="B1190" t="s">
        <v>5479</v>
      </c>
      <c r="C1190" t="s">
        <v>5480</v>
      </c>
      <c r="D1190" t="s">
        <v>5480</v>
      </c>
      <c r="E1190" t="s">
        <v>5481</v>
      </c>
      <c r="F1190" t="s">
        <v>2413</v>
      </c>
      <c r="G1190">
        <v>3</v>
      </c>
      <c r="H1190">
        <v>1</v>
      </c>
      <c r="I1190">
        <v>0.01</v>
      </c>
      <c r="J1190">
        <v>1000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167261</v>
      </c>
      <c r="AB1190">
        <v>0</v>
      </c>
      <c r="AC1190">
        <v>0</v>
      </c>
      <c r="AD1190" t="s">
        <v>94</v>
      </c>
      <c r="AE1190" t="s">
        <v>94</v>
      </c>
      <c r="AF1190" t="s">
        <v>226</v>
      </c>
      <c r="AG1190" t="s">
        <v>226</v>
      </c>
      <c r="AH1190">
        <v>8</v>
      </c>
      <c r="AI1190" t="s">
        <v>3537</v>
      </c>
      <c r="AJ1190" t="s">
        <v>1976</v>
      </c>
      <c r="AK1190" t="s">
        <v>2416</v>
      </c>
      <c r="AL1190" t="s">
        <v>272</v>
      </c>
    </row>
    <row r="1191" spans="1:38">
      <c r="A1191" t="s">
        <v>5482</v>
      </c>
      <c r="B1191" t="s">
        <v>5483</v>
      </c>
      <c r="C1191" t="s">
        <v>5484</v>
      </c>
      <c r="D1191" t="s">
        <v>5484</v>
      </c>
      <c r="E1191" t="s">
        <v>5485</v>
      </c>
      <c r="F1191" t="s">
        <v>2413</v>
      </c>
      <c r="G1191">
        <v>3</v>
      </c>
      <c r="H1191">
        <v>1</v>
      </c>
      <c r="I1191">
        <v>0.01</v>
      </c>
      <c r="J1191">
        <v>1000</v>
      </c>
      <c r="K1191">
        <v>0</v>
      </c>
      <c r="L1191">
        <v>0</v>
      </c>
      <c r="M1191">
        <v>82.01</v>
      </c>
      <c r="N1191">
        <v>0</v>
      </c>
      <c r="O1191">
        <v>82.01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71.010000000000005</v>
      </c>
      <c r="Y1191">
        <v>0</v>
      </c>
      <c r="Z1191">
        <v>0</v>
      </c>
      <c r="AA1191">
        <v>178105</v>
      </c>
      <c r="AB1191">
        <v>0</v>
      </c>
      <c r="AC1191">
        <v>0</v>
      </c>
      <c r="AD1191" t="s">
        <v>94</v>
      </c>
      <c r="AE1191" t="s">
        <v>94</v>
      </c>
      <c r="AF1191" t="s">
        <v>226</v>
      </c>
      <c r="AG1191" t="s">
        <v>226</v>
      </c>
      <c r="AH1191">
        <v>8</v>
      </c>
      <c r="AI1191" t="s">
        <v>3537</v>
      </c>
      <c r="AJ1191" t="s">
        <v>1976</v>
      </c>
      <c r="AK1191" t="s">
        <v>2416</v>
      </c>
      <c r="AL1191" t="s">
        <v>272</v>
      </c>
    </row>
    <row r="1192" spans="1:38">
      <c r="A1192" t="s">
        <v>5486</v>
      </c>
      <c r="B1192" t="s">
        <v>5487</v>
      </c>
      <c r="C1192" t="s">
        <v>5488</v>
      </c>
      <c r="D1192" t="s">
        <v>5488</v>
      </c>
      <c r="E1192" t="s">
        <v>5489</v>
      </c>
      <c r="F1192" t="s">
        <v>2413</v>
      </c>
      <c r="G1192">
        <v>3</v>
      </c>
      <c r="H1192">
        <v>1</v>
      </c>
      <c r="I1192">
        <v>0.01</v>
      </c>
      <c r="J1192">
        <v>1000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144808</v>
      </c>
      <c r="AB1192">
        <v>0</v>
      </c>
      <c r="AC1192">
        <v>0</v>
      </c>
      <c r="AD1192" t="s">
        <v>94</v>
      </c>
      <c r="AE1192" t="s">
        <v>94</v>
      </c>
      <c r="AF1192" t="s">
        <v>226</v>
      </c>
      <c r="AG1192" t="s">
        <v>226</v>
      </c>
      <c r="AH1192">
        <v>8</v>
      </c>
      <c r="AI1192" t="s">
        <v>3537</v>
      </c>
      <c r="AJ1192" t="s">
        <v>1976</v>
      </c>
      <c r="AK1192" t="s">
        <v>2416</v>
      </c>
      <c r="AL1192" t="s">
        <v>272</v>
      </c>
    </row>
    <row r="1193" spans="1:38">
      <c r="A1193" t="s">
        <v>5490</v>
      </c>
      <c r="B1193" t="s">
        <v>5491</v>
      </c>
      <c r="C1193" t="s">
        <v>5492</v>
      </c>
      <c r="D1193" t="s">
        <v>5492</v>
      </c>
      <c r="E1193" t="s">
        <v>5493</v>
      </c>
      <c r="F1193" t="s">
        <v>2413</v>
      </c>
      <c r="G1193">
        <v>3</v>
      </c>
      <c r="H1193">
        <v>1</v>
      </c>
      <c r="I1193">
        <v>0.01</v>
      </c>
      <c r="J1193">
        <v>1000</v>
      </c>
      <c r="K1193">
        <v>0</v>
      </c>
      <c r="L1193">
        <v>0</v>
      </c>
      <c r="M1193">
        <v>82.01</v>
      </c>
      <c r="N1193">
        <v>0</v>
      </c>
      <c r="O1193">
        <v>82.01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70.02</v>
      </c>
      <c r="Y1193">
        <v>80.010000000000005</v>
      </c>
      <c r="Z1193">
        <v>0</v>
      </c>
      <c r="AA1193">
        <v>281381</v>
      </c>
      <c r="AB1193">
        <v>0</v>
      </c>
      <c r="AC1193">
        <v>0</v>
      </c>
      <c r="AD1193" t="s">
        <v>94</v>
      </c>
      <c r="AE1193" t="s">
        <v>94</v>
      </c>
      <c r="AF1193" t="s">
        <v>226</v>
      </c>
      <c r="AG1193" t="s">
        <v>226</v>
      </c>
      <c r="AH1193">
        <v>8</v>
      </c>
      <c r="AI1193" t="s">
        <v>3537</v>
      </c>
      <c r="AJ1193" t="s">
        <v>1976</v>
      </c>
      <c r="AK1193" t="s">
        <v>2416</v>
      </c>
      <c r="AL1193" t="s">
        <v>272</v>
      </c>
    </row>
    <row r="1194" spans="1:38">
      <c r="A1194" t="s">
        <v>5494</v>
      </c>
      <c r="B1194" t="s">
        <v>5495</v>
      </c>
      <c r="C1194" t="s">
        <v>5496</v>
      </c>
      <c r="D1194" t="s">
        <v>5496</v>
      </c>
      <c r="E1194" t="s">
        <v>5497</v>
      </c>
      <c r="F1194" t="s">
        <v>2413</v>
      </c>
      <c r="G1194">
        <v>3</v>
      </c>
      <c r="H1194">
        <v>1</v>
      </c>
      <c r="I1194">
        <v>0.01</v>
      </c>
      <c r="J1194">
        <v>1000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168989</v>
      </c>
      <c r="AB1194">
        <v>0</v>
      </c>
      <c r="AC1194">
        <v>0</v>
      </c>
      <c r="AD1194" t="s">
        <v>94</v>
      </c>
      <c r="AE1194" t="s">
        <v>94</v>
      </c>
      <c r="AF1194" t="s">
        <v>226</v>
      </c>
      <c r="AG1194" t="s">
        <v>226</v>
      </c>
      <c r="AH1194">
        <v>8</v>
      </c>
      <c r="AI1194" t="s">
        <v>3537</v>
      </c>
      <c r="AJ1194" t="s">
        <v>1976</v>
      </c>
      <c r="AK1194" t="s">
        <v>2416</v>
      </c>
      <c r="AL1194" t="s">
        <v>272</v>
      </c>
    </row>
    <row r="1195" spans="1:38">
      <c r="A1195" t="s">
        <v>5498</v>
      </c>
      <c r="B1195" t="s">
        <v>5499</v>
      </c>
      <c r="C1195" t="s">
        <v>5500</v>
      </c>
      <c r="D1195" t="s">
        <v>5500</v>
      </c>
      <c r="E1195" t="s">
        <v>5501</v>
      </c>
      <c r="F1195" t="s">
        <v>2413</v>
      </c>
      <c r="G1195">
        <v>3</v>
      </c>
      <c r="H1195">
        <v>1</v>
      </c>
      <c r="I1195">
        <v>0.01</v>
      </c>
      <c r="J1195">
        <v>1000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348720</v>
      </c>
      <c r="AB1195">
        <v>0</v>
      </c>
      <c r="AC1195">
        <v>0</v>
      </c>
      <c r="AD1195" t="s">
        <v>94</v>
      </c>
      <c r="AE1195" t="s">
        <v>94</v>
      </c>
      <c r="AF1195" t="s">
        <v>226</v>
      </c>
      <c r="AG1195" t="s">
        <v>226</v>
      </c>
      <c r="AH1195">
        <v>8</v>
      </c>
      <c r="AI1195" t="s">
        <v>3537</v>
      </c>
      <c r="AJ1195" t="s">
        <v>1976</v>
      </c>
      <c r="AK1195" t="s">
        <v>2416</v>
      </c>
      <c r="AL1195" t="s">
        <v>272</v>
      </c>
    </row>
    <row r="1196" spans="1:38">
      <c r="A1196" t="s">
        <v>5502</v>
      </c>
      <c r="B1196" t="s">
        <v>5503</v>
      </c>
      <c r="C1196" t="s">
        <v>5504</v>
      </c>
      <c r="D1196" t="s">
        <v>5504</v>
      </c>
      <c r="E1196" t="s">
        <v>5505</v>
      </c>
      <c r="F1196" t="s">
        <v>2413</v>
      </c>
      <c r="G1196">
        <v>3</v>
      </c>
      <c r="H1196">
        <v>1</v>
      </c>
      <c r="I1196">
        <v>0.01</v>
      </c>
      <c r="J1196">
        <v>1000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353297</v>
      </c>
      <c r="AB1196">
        <v>0</v>
      </c>
      <c r="AC1196">
        <v>0</v>
      </c>
      <c r="AD1196" t="s">
        <v>94</v>
      </c>
      <c r="AE1196" t="s">
        <v>94</v>
      </c>
      <c r="AF1196" t="s">
        <v>226</v>
      </c>
      <c r="AG1196" t="s">
        <v>226</v>
      </c>
      <c r="AH1196">
        <v>8</v>
      </c>
      <c r="AI1196" t="s">
        <v>3537</v>
      </c>
      <c r="AJ1196" t="s">
        <v>1976</v>
      </c>
      <c r="AK1196" t="s">
        <v>2416</v>
      </c>
      <c r="AL1196" t="s">
        <v>272</v>
      </c>
    </row>
    <row r="1197" spans="1:38">
      <c r="A1197" t="s">
        <v>5506</v>
      </c>
      <c r="B1197" t="s">
        <v>5507</v>
      </c>
      <c r="C1197" t="s">
        <v>5508</v>
      </c>
      <c r="D1197" t="s">
        <v>5508</v>
      </c>
      <c r="E1197" t="s">
        <v>5509</v>
      </c>
      <c r="F1197" t="s">
        <v>2413</v>
      </c>
      <c r="G1197">
        <v>3</v>
      </c>
      <c r="H1197">
        <v>1</v>
      </c>
      <c r="I1197">
        <v>0.01</v>
      </c>
      <c r="J1197">
        <v>1000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395823</v>
      </c>
      <c r="AB1197">
        <v>0</v>
      </c>
      <c r="AC1197">
        <v>0</v>
      </c>
      <c r="AD1197" t="s">
        <v>94</v>
      </c>
      <c r="AE1197" t="s">
        <v>94</v>
      </c>
      <c r="AF1197" t="s">
        <v>226</v>
      </c>
      <c r="AG1197" t="s">
        <v>226</v>
      </c>
      <c r="AH1197">
        <v>8</v>
      </c>
      <c r="AI1197" t="s">
        <v>3537</v>
      </c>
      <c r="AJ1197" t="s">
        <v>1976</v>
      </c>
      <c r="AK1197" t="s">
        <v>2416</v>
      </c>
      <c r="AL1197" t="s">
        <v>272</v>
      </c>
    </row>
    <row r="1198" spans="1:38">
      <c r="A1198" t="s">
        <v>5510</v>
      </c>
      <c r="B1198" t="s">
        <v>5511</v>
      </c>
      <c r="C1198" t="s">
        <v>5512</v>
      </c>
      <c r="D1198" t="s">
        <v>5512</v>
      </c>
      <c r="E1198" t="s">
        <v>5513</v>
      </c>
      <c r="F1198" t="s">
        <v>2413</v>
      </c>
      <c r="G1198">
        <v>3</v>
      </c>
      <c r="H1198">
        <v>1</v>
      </c>
      <c r="I1198">
        <v>0.01</v>
      </c>
      <c r="J1198">
        <v>1000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60.04</v>
      </c>
      <c r="Y1198">
        <v>0</v>
      </c>
      <c r="Z1198">
        <v>0</v>
      </c>
      <c r="AA1198">
        <v>379187</v>
      </c>
      <c r="AB1198">
        <v>0</v>
      </c>
      <c r="AC1198">
        <v>0</v>
      </c>
      <c r="AD1198" t="s">
        <v>94</v>
      </c>
      <c r="AE1198" t="s">
        <v>94</v>
      </c>
      <c r="AF1198" t="s">
        <v>226</v>
      </c>
      <c r="AG1198" t="s">
        <v>226</v>
      </c>
      <c r="AH1198">
        <v>8</v>
      </c>
      <c r="AI1198" t="s">
        <v>3537</v>
      </c>
      <c r="AJ1198" t="s">
        <v>1976</v>
      </c>
      <c r="AK1198" t="s">
        <v>2416</v>
      </c>
      <c r="AL1198" t="s">
        <v>272</v>
      </c>
    </row>
    <row r="1199" spans="1:38">
      <c r="A1199" t="s">
        <v>5514</v>
      </c>
      <c r="B1199" t="s">
        <v>5515</v>
      </c>
      <c r="C1199" t="s">
        <v>5516</v>
      </c>
      <c r="D1199" t="s">
        <v>5516</v>
      </c>
      <c r="E1199" t="s">
        <v>5517</v>
      </c>
      <c r="F1199" t="s">
        <v>2413</v>
      </c>
      <c r="G1199">
        <v>3</v>
      </c>
      <c r="H1199">
        <v>1</v>
      </c>
      <c r="I1199">
        <v>0.01</v>
      </c>
      <c r="J1199">
        <v>1000</v>
      </c>
      <c r="K1199">
        <v>-0.34</v>
      </c>
      <c r="L1199">
        <v>92.76</v>
      </c>
      <c r="M1199">
        <v>93.05</v>
      </c>
      <c r="N1199">
        <v>92.81</v>
      </c>
      <c r="O1199">
        <v>92.76</v>
      </c>
      <c r="P1199">
        <v>0</v>
      </c>
      <c r="Q1199">
        <v>0</v>
      </c>
      <c r="R1199">
        <v>0</v>
      </c>
      <c r="S1199">
        <v>92.41</v>
      </c>
      <c r="T1199">
        <v>92.7</v>
      </c>
      <c r="U1199">
        <v>91.75</v>
      </c>
      <c r="V1199">
        <v>92.99</v>
      </c>
      <c r="W1199">
        <v>3930197</v>
      </c>
      <c r="X1199">
        <v>92.6</v>
      </c>
      <c r="Y1199">
        <v>92.72</v>
      </c>
      <c r="Z1199">
        <v>99</v>
      </c>
      <c r="AA1199">
        <v>12696723</v>
      </c>
      <c r="AB1199">
        <v>927.6</v>
      </c>
      <c r="AC1199">
        <v>0</v>
      </c>
      <c r="AD1199" t="s">
        <v>94</v>
      </c>
      <c r="AE1199" t="s">
        <v>94</v>
      </c>
      <c r="AF1199" t="s">
        <v>226</v>
      </c>
      <c r="AG1199" t="s">
        <v>226</v>
      </c>
      <c r="AH1199">
        <v>800</v>
      </c>
      <c r="AI1199" t="s">
        <v>3537</v>
      </c>
      <c r="AJ1199" t="s">
        <v>1976</v>
      </c>
      <c r="AK1199" t="s">
        <v>2416</v>
      </c>
      <c r="AL1199" t="s">
        <v>272</v>
      </c>
    </row>
    <row r="1200" spans="1:38">
      <c r="A1200" t="s">
        <v>5518</v>
      </c>
      <c r="B1200" t="s">
        <v>5519</v>
      </c>
      <c r="C1200" t="s">
        <v>5520</v>
      </c>
      <c r="D1200" t="s">
        <v>5520</v>
      </c>
      <c r="E1200" t="s">
        <v>5521</v>
      </c>
      <c r="F1200" t="s">
        <v>2413</v>
      </c>
      <c r="G1200">
        <v>3</v>
      </c>
      <c r="H1200">
        <v>1</v>
      </c>
      <c r="I1200">
        <v>0.01</v>
      </c>
      <c r="J1200">
        <v>1000</v>
      </c>
      <c r="K1200">
        <v>1.06</v>
      </c>
      <c r="L1200">
        <v>86.5</v>
      </c>
      <c r="M1200">
        <v>85.57</v>
      </c>
      <c r="N1200">
        <v>84.93</v>
      </c>
      <c r="O1200">
        <v>86.5</v>
      </c>
      <c r="P1200">
        <v>0</v>
      </c>
      <c r="Q1200">
        <v>0</v>
      </c>
      <c r="R1200">
        <v>0</v>
      </c>
      <c r="S1200">
        <v>86.67</v>
      </c>
      <c r="T1200">
        <v>85.59</v>
      </c>
      <c r="U1200">
        <v>85.38</v>
      </c>
      <c r="V1200">
        <v>86.7</v>
      </c>
      <c r="W1200">
        <v>21454080</v>
      </c>
      <c r="X1200">
        <v>86.2</v>
      </c>
      <c r="Y1200">
        <v>86.5</v>
      </c>
      <c r="Z1200">
        <v>1924</v>
      </c>
      <c r="AA1200">
        <v>22208714</v>
      </c>
      <c r="AB1200">
        <v>865</v>
      </c>
      <c r="AC1200">
        <v>0</v>
      </c>
      <c r="AD1200" t="s">
        <v>94</v>
      </c>
      <c r="AE1200" t="s">
        <v>94</v>
      </c>
      <c r="AF1200" t="s">
        <v>226</v>
      </c>
      <c r="AG1200" t="s">
        <v>226</v>
      </c>
      <c r="AH1200">
        <v>6</v>
      </c>
      <c r="AI1200" t="s">
        <v>3537</v>
      </c>
      <c r="AJ1200" t="s">
        <v>1976</v>
      </c>
      <c r="AK1200" t="s">
        <v>2416</v>
      </c>
      <c r="AL1200" t="s">
        <v>272</v>
      </c>
    </row>
    <row r="1201" spans="1:38">
      <c r="A1201" t="s">
        <v>5522</v>
      </c>
      <c r="B1201" t="s">
        <v>5523</v>
      </c>
      <c r="C1201" t="s">
        <v>5524</v>
      </c>
      <c r="D1201" t="s">
        <v>5524</v>
      </c>
      <c r="E1201" t="s">
        <v>5525</v>
      </c>
      <c r="F1201" t="s">
        <v>2413</v>
      </c>
      <c r="G1201">
        <v>3</v>
      </c>
      <c r="H1201">
        <v>1</v>
      </c>
      <c r="I1201">
        <v>0.01</v>
      </c>
      <c r="J1201">
        <v>1000</v>
      </c>
      <c r="K1201">
        <v>-1.1499999999999999</v>
      </c>
      <c r="L1201">
        <v>94.8</v>
      </c>
      <c r="M1201">
        <v>95.9</v>
      </c>
      <c r="N1201">
        <v>95.74</v>
      </c>
      <c r="O1201">
        <v>94.8</v>
      </c>
      <c r="P1201">
        <v>0</v>
      </c>
      <c r="Q1201">
        <v>0</v>
      </c>
      <c r="R1201">
        <v>0</v>
      </c>
      <c r="S1201">
        <v>94.37</v>
      </c>
      <c r="T1201">
        <v>95.99</v>
      </c>
      <c r="U1201">
        <v>94</v>
      </c>
      <c r="V1201">
        <v>96</v>
      </c>
      <c r="W1201">
        <v>1408005</v>
      </c>
      <c r="X1201">
        <v>94.43</v>
      </c>
      <c r="Y1201">
        <v>94.81</v>
      </c>
      <c r="Z1201">
        <v>101</v>
      </c>
      <c r="AA1201">
        <v>3000000</v>
      </c>
      <c r="AB1201">
        <v>245532</v>
      </c>
      <c r="AC1201">
        <v>0</v>
      </c>
      <c r="AD1201" t="s">
        <v>94</v>
      </c>
      <c r="AE1201" t="s">
        <v>94</v>
      </c>
      <c r="AF1201" t="s">
        <v>226</v>
      </c>
      <c r="AG1201" t="s">
        <v>226</v>
      </c>
      <c r="AH1201">
        <v>8</v>
      </c>
      <c r="AI1201" t="s">
        <v>3537</v>
      </c>
      <c r="AJ1201" t="s">
        <v>1976</v>
      </c>
      <c r="AK1201" t="s">
        <v>2416</v>
      </c>
      <c r="AL1201" t="s">
        <v>272</v>
      </c>
    </row>
    <row r="1202" spans="1:38">
      <c r="A1202" t="s">
        <v>5526</v>
      </c>
      <c r="B1202" t="s">
        <v>5527</v>
      </c>
      <c r="C1202" t="s">
        <v>5528</v>
      </c>
      <c r="D1202" t="s">
        <v>5528</v>
      </c>
      <c r="E1202" t="s">
        <v>5529</v>
      </c>
      <c r="F1202" t="s">
        <v>2413</v>
      </c>
      <c r="G1202">
        <v>3</v>
      </c>
      <c r="H1202">
        <v>1</v>
      </c>
      <c r="I1202">
        <v>0.01</v>
      </c>
      <c r="J1202">
        <v>1000</v>
      </c>
      <c r="K1202">
        <v>-1.06</v>
      </c>
      <c r="L1202">
        <v>93</v>
      </c>
      <c r="M1202">
        <v>94</v>
      </c>
      <c r="N1202">
        <v>94.99</v>
      </c>
      <c r="O1202">
        <v>93</v>
      </c>
      <c r="P1202">
        <v>0</v>
      </c>
      <c r="Q1202">
        <v>0</v>
      </c>
      <c r="R1202">
        <v>0</v>
      </c>
      <c r="S1202">
        <v>93.14</v>
      </c>
      <c r="T1202">
        <v>94.77</v>
      </c>
      <c r="U1202">
        <v>92.21</v>
      </c>
      <c r="V1202">
        <v>97.49</v>
      </c>
      <c r="W1202">
        <v>6473416</v>
      </c>
      <c r="X1202">
        <v>92.53</v>
      </c>
      <c r="Y1202">
        <v>94.15</v>
      </c>
      <c r="Z1202">
        <v>126</v>
      </c>
      <c r="AA1202">
        <v>537366</v>
      </c>
      <c r="AB1202">
        <v>930</v>
      </c>
      <c r="AC1202">
        <v>0</v>
      </c>
      <c r="AD1202" t="s">
        <v>94</v>
      </c>
      <c r="AE1202" t="s">
        <v>94</v>
      </c>
      <c r="AF1202" t="s">
        <v>226</v>
      </c>
      <c r="AG1202" t="s">
        <v>226</v>
      </c>
      <c r="AH1202">
        <v>800</v>
      </c>
      <c r="AI1202" t="s">
        <v>3537</v>
      </c>
      <c r="AJ1202" t="s">
        <v>1976</v>
      </c>
      <c r="AK1202" t="s">
        <v>2416</v>
      </c>
      <c r="AL1202" t="s">
        <v>272</v>
      </c>
    </row>
    <row r="1203" spans="1:38">
      <c r="A1203" t="s">
        <v>5530</v>
      </c>
      <c r="B1203" t="s">
        <v>2428</v>
      </c>
      <c r="C1203" t="s">
        <v>2429</v>
      </c>
      <c r="D1203" t="s">
        <v>2429</v>
      </c>
      <c r="E1203" t="s">
        <v>2430</v>
      </c>
      <c r="F1203" t="s">
        <v>2413</v>
      </c>
      <c r="G1203">
        <v>3</v>
      </c>
      <c r="H1203">
        <v>1</v>
      </c>
      <c r="I1203">
        <v>1E-4</v>
      </c>
      <c r="J1203">
        <v>100</v>
      </c>
      <c r="K1203">
        <v>-1.17</v>
      </c>
      <c r="L1203">
        <v>95.707099999999997</v>
      </c>
      <c r="M1203">
        <v>96.131299999999996</v>
      </c>
      <c r="N1203">
        <v>94.565899999999999</v>
      </c>
      <c r="O1203">
        <v>96.988399999999999</v>
      </c>
      <c r="P1203">
        <v>0</v>
      </c>
      <c r="Q1203">
        <v>0</v>
      </c>
      <c r="R1203">
        <v>0</v>
      </c>
      <c r="S1203">
        <v>96.901399999999995</v>
      </c>
      <c r="T1203">
        <v>89.58</v>
      </c>
      <c r="U1203">
        <v>89.58</v>
      </c>
      <c r="V1203">
        <v>96.007000000000005</v>
      </c>
      <c r="W1203">
        <v>8285</v>
      </c>
      <c r="X1203">
        <v>90.000299999999996</v>
      </c>
      <c r="Y1203">
        <v>95.445099999999996</v>
      </c>
      <c r="Z1203">
        <v>6</v>
      </c>
      <c r="AA1203">
        <v>368824</v>
      </c>
      <c r="AB1203">
        <v>1392.97</v>
      </c>
      <c r="AC1203">
        <v>0</v>
      </c>
      <c r="AD1203" t="s">
        <v>1663</v>
      </c>
      <c r="AE1203" t="s">
        <v>94</v>
      </c>
      <c r="AF1203" t="s">
        <v>226</v>
      </c>
      <c r="AG1203" t="s">
        <v>226</v>
      </c>
      <c r="AH1203">
        <v>6</v>
      </c>
      <c r="AI1203" t="s">
        <v>3537</v>
      </c>
      <c r="AJ1203" t="s">
        <v>1976</v>
      </c>
      <c r="AK1203" t="s">
        <v>2416</v>
      </c>
      <c r="AL1203" t="s">
        <v>272</v>
      </c>
    </row>
    <row r="1204" spans="1:38">
      <c r="A1204" t="s">
        <v>5531</v>
      </c>
      <c r="B1204" t="s">
        <v>5532</v>
      </c>
      <c r="C1204" t="s">
        <v>5533</v>
      </c>
      <c r="D1204" t="s">
        <v>5533</v>
      </c>
      <c r="E1204" t="s">
        <v>5534</v>
      </c>
      <c r="F1204" t="s">
        <v>2413</v>
      </c>
      <c r="G1204">
        <v>3</v>
      </c>
      <c r="H1204">
        <v>1</v>
      </c>
      <c r="I1204">
        <v>0.01</v>
      </c>
      <c r="J1204">
        <v>1000</v>
      </c>
      <c r="K1204">
        <v>-0.01</v>
      </c>
      <c r="L1204">
        <v>101.49</v>
      </c>
      <c r="M1204">
        <v>101.5</v>
      </c>
      <c r="N1204">
        <v>99.62</v>
      </c>
      <c r="O1204">
        <v>101.49</v>
      </c>
      <c r="P1204">
        <v>0</v>
      </c>
      <c r="Q1204">
        <v>0</v>
      </c>
      <c r="R1204">
        <v>0</v>
      </c>
      <c r="S1204">
        <v>101.49</v>
      </c>
      <c r="T1204">
        <v>101.49</v>
      </c>
      <c r="U1204">
        <v>101.49</v>
      </c>
      <c r="V1204">
        <v>101.49</v>
      </c>
      <c r="W1204">
        <v>1015</v>
      </c>
      <c r="X1204">
        <v>98.09</v>
      </c>
      <c r="Y1204">
        <v>101.49</v>
      </c>
      <c r="Z1204">
        <v>1</v>
      </c>
      <c r="AA1204">
        <v>10000000</v>
      </c>
      <c r="AB1204">
        <v>1014.9</v>
      </c>
      <c r="AC1204">
        <v>0</v>
      </c>
      <c r="AD1204" t="s">
        <v>94</v>
      </c>
      <c r="AE1204" t="s">
        <v>94</v>
      </c>
      <c r="AF1204" t="s">
        <v>226</v>
      </c>
      <c r="AG1204" t="s">
        <v>226</v>
      </c>
      <c r="AH1204">
        <v>8</v>
      </c>
      <c r="AI1204" t="s">
        <v>3537</v>
      </c>
      <c r="AJ1204" t="s">
        <v>1976</v>
      </c>
      <c r="AK1204" t="s">
        <v>2416</v>
      </c>
      <c r="AL1204" t="s">
        <v>272</v>
      </c>
    </row>
    <row r="1205" spans="1:38">
      <c r="A1205" t="s">
        <v>5535</v>
      </c>
      <c r="B1205" t="s">
        <v>5536</v>
      </c>
      <c r="C1205" t="s">
        <v>5537</v>
      </c>
      <c r="D1205" t="s">
        <v>5537</v>
      </c>
      <c r="E1205" t="s">
        <v>5538</v>
      </c>
      <c r="F1205" t="s">
        <v>2413</v>
      </c>
      <c r="G1205">
        <v>1</v>
      </c>
      <c r="H1205">
        <v>1</v>
      </c>
      <c r="I1205">
        <v>0.01</v>
      </c>
      <c r="J1205">
        <v>348</v>
      </c>
      <c r="K1205">
        <v>0</v>
      </c>
      <c r="L1205">
        <v>0</v>
      </c>
      <c r="M1205">
        <v>137.1</v>
      </c>
      <c r="N1205">
        <v>0</v>
      </c>
      <c r="O1205">
        <v>137.1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94.3</v>
      </c>
      <c r="Y1205">
        <v>0</v>
      </c>
      <c r="Z1205">
        <v>0</v>
      </c>
      <c r="AA1205">
        <v>4259080</v>
      </c>
      <c r="AB1205">
        <v>0</v>
      </c>
      <c r="AC1205">
        <v>0</v>
      </c>
      <c r="AD1205" t="s">
        <v>94</v>
      </c>
      <c r="AE1205" t="s">
        <v>94</v>
      </c>
      <c r="AF1205" t="s">
        <v>226</v>
      </c>
      <c r="AG1205" t="s">
        <v>226</v>
      </c>
      <c r="AH1205">
        <v>8</v>
      </c>
      <c r="AI1205" t="s">
        <v>3537</v>
      </c>
      <c r="AJ1205" t="s">
        <v>1976</v>
      </c>
      <c r="AK1205" t="s">
        <v>2416</v>
      </c>
      <c r="AL1205" t="s">
        <v>272</v>
      </c>
    </row>
    <row r="1206" spans="1:38">
      <c r="A1206" t="s">
        <v>5539</v>
      </c>
      <c r="B1206" t="s">
        <v>5540</v>
      </c>
      <c r="C1206" t="s">
        <v>5541</v>
      </c>
      <c r="D1206" t="s">
        <v>5541</v>
      </c>
      <c r="E1206" t="s">
        <v>5542</v>
      </c>
      <c r="F1206" t="s">
        <v>2413</v>
      </c>
      <c r="G1206">
        <v>1</v>
      </c>
      <c r="H1206">
        <v>1</v>
      </c>
      <c r="I1206">
        <v>0.01</v>
      </c>
      <c r="J1206">
        <v>549</v>
      </c>
      <c r="K1206">
        <v>0</v>
      </c>
      <c r="L1206">
        <v>0</v>
      </c>
      <c r="M1206">
        <v>76.010000000000005</v>
      </c>
      <c r="N1206">
        <v>0</v>
      </c>
      <c r="O1206">
        <v>76.010000000000005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76.010000000000005</v>
      </c>
      <c r="Y1206">
        <v>0</v>
      </c>
      <c r="Z1206">
        <v>0</v>
      </c>
      <c r="AA1206">
        <v>7780000</v>
      </c>
      <c r="AB1206">
        <v>0</v>
      </c>
      <c r="AC1206">
        <v>0</v>
      </c>
      <c r="AD1206" t="s">
        <v>94</v>
      </c>
      <c r="AE1206" t="s">
        <v>94</v>
      </c>
      <c r="AF1206" t="s">
        <v>226</v>
      </c>
      <c r="AG1206" t="s">
        <v>226</v>
      </c>
      <c r="AH1206">
        <v>6</v>
      </c>
      <c r="AI1206" t="s">
        <v>3537</v>
      </c>
      <c r="AJ1206" t="s">
        <v>1976</v>
      </c>
      <c r="AK1206" t="s">
        <v>2416</v>
      </c>
      <c r="AL1206" t="s">
        <v>272</v>
      </c>
    </row>
    <row r="1207" spans="1:38">
      <c r="A1207" t="s">
        <v>5543</v>
      </c>
      <c r="B1207" t="s">
        <v>5544</v>
      </c>
      <c r="C1207" t="s">
        <v>5545</v>
      </c>
      <c r="D1207" t="s">
        <v>5545</v>
      </c>
      <c r="E1207" t="s">
        <v>5546</v>
      </c>
      <c r="F1207" t="s">
        <v>2413</v>
      </c>
      <c r="G1207">
        <v>1</v>
      </c>
      <c r="H1207">
        <v>1</v>
      </c>
      <c r="I1207">
        <v>0.01</v>
      </c>
      <c r="J1207">
        <v>1000</v>
      </c>
      <c r="K1207">
        <v>0.06</v>
      </c>
      <c r="L1207">
        <v>87.41</v>
      </c>
      <c r="M1207">
        <v>87.36</v>
      </c>
      <c r="N1207">
        <v>87.28</v>
      </c>
      <c r="O1207">
        <v>87.39</v>
      </c>
      <c r="P1207">
        <v>0</v>
      </c>
      <c r="Q1207">
        <v>0</v>
      </c>
      <c r="R1207">
        <v>0</v>
      </c>
      <c r="S1207">
        <v>87.36</v>
      </c>
      <c r="T1207">
        <v>87.37</v>
      </c>
      <c r="U1207">
        <v>87.25</v>
      </c>
      <c r="V1207">
        <v>87.51</v>
      </c>
      <c r="W1207">
        <v>22679536</v>
      </c>
      <c r="X1207">
        <v>87.38</v>
      </c>
      <c r="Y1207">
        <v>87.41</v>
      </c>
      <c r="Z1207">
        <v>76</v>
      </c>
      <c r="AA1207">
        <v>10000000</v>
      </c>
      <c r="AB1207">
        <v>874.1</v>
      </c>
      <c r="AC1207">
        <v>0</v>
      </c>
      <c r="AD1207" t="s">
        <v>94</v>
      </c>
      <c r="AE1207" t="s">
        <v>94</v>
      </c>
      <c r="AF1207" t="s">
        <v>226</v>
      </c>
      <c r="AG1207" t="s">
        <v>226</v>
      </c>
      <c r="AH1207">
        <v>800</v>
      </c>
      <c r="AI1207" t="s">
        <v>3537</v>
      </c>
      <c r="AJ1207" t="s">
        <v>1976</v>
      </c>
      <c r="AK1207" t="s">
        <v>2416</v>
      </c>
      <c r="AL1207" t="s">
        <v>272</v>
      </c>
    </row>
    <row r="1208" spans="1:38">
      <c r="A1208" t="s">
        <v>5547</v>
      </c>
      <c r="B1208" t="s">
        <v>5548</v>
      </c>
      <c r="C1208" t="s">
        <v>5549</v>
      </c>
      <c r="D1208" t="s">
        <v>5549</v>
      </c>
      <c r="E1208" t="s">
        <v>5550</v>
      </c>
      <c r="F1208" t="s">
        <v>2413</v>
      </c>
      <c r="G1208">
        <v>1</v>
      </c>
      <c r="H1208">
        <v>1</v>
      </c>
      <c r="I1208">
        <v>0.01</v>
      </c>
      <c r="J1208">
        <v>1000</v>
      </c>
      <c r="K1208">
        <v>-0.5</v>
      </c>
      <c r="L1208">
        <v>81.56</v>
      </c>
      <c r="M1208">
        <v>81.97</v>
      </c>
      <c r="N1208">
        <v>81.93</v>
      </c>
      <c r="O1208">
        <v>81.63</v>
      </c>
      <c r="P1208">
        <v>0</v>
      </c>
      <c r="Q1208">
        <v>0</v>
      </c>
      <c r="R1208">
        <v>0</v>
      </c>
      <c r="S1208">
        <v>81.25</v>
      </c>
      <c r="T1208">
        <v>81.97</v>
      </c>
      <c r="U1208">
        <v>81</v>
      </c>
      <c r="V1208">
        <v>81.97</v>
      </c>
      <c r="W1208">
        <v>1046535</v>
      </c>
      <c r="X1208">
        <v>81.56</v>
      </c>
      <c r="Y1208">
        <v>81.709999999999994</v>
      </c>
      <c r="Z1208">
        <v>80</v>
      </c>
      <c r="AA1208">
        <v>10000000</v>
      </c>
      <c r="AB1208">
        <v>815.6</v>
      </c>
      <c r="AC1208">
        <v>0</v>
      </c>
      <c r="AD1208" t="s">
        <v>94</v>
      </c>
      <c r="AE1208" t="s">
        <v>94</v>
      </c>
      <c r="AF1208" t="s">
        <v>226</v>
      </c>
      <c r="AG1208" t="s">
        <v>226</v>
      </c>
      <c r="AH1208">
        <v>6</v>
      </c>
      <c r="AI1208" t="s">
        <v>3537</v>
      </c>
      <c r="AJ1208" t="s">
        <v>1976</v>
      </c>
      <c r="AK1208" t="s">
        <v>2416</v>
      </c>
      <c r="AL1208" t="s">
        <v>272</v>
      </c>
    </row>
    <row r="1209" spans="1:38">
      <c r="A1209" t="s">
        <v>5551</v>
      </c>
      <c r="B1209" t="s">
        <v>5552</v>
      </c>
      <c r="C1209" t="s">
        <v>5553</v>
      </c>
      <c r="D1209" t="s">
        <v>5553</v>
      </c>
      <c r="E1209" t="s">
        <v>5554</v>
      </c>
      <c r="F1209" t="s">
        <v>2413</v>
      </c>
      <c r="G1209">
        <v>1</v>
      </c>
      <c r="H1209">
        <v>1</v>
      </c>
      <c r="I1209">
        <v>0.01</v>
      </c>
      <c r="J1209">
        <v>640.33000000000004</v>
      </c>
      <c r="K1209">
        <v>-0.74</v>
      </c>
      <c r="L1209">
        <v>89.75</v>
      </c>
      <c r="M1209">
        <v>90.42</v>
      </c>
      <c r="N1209">
        <v>90.5</v>
      </c>
      <c r="O1209">
        <v>89.91</v>
      </c>
      <c r="P1209">
        <v>0</v>
      </c>
      <c r="Q1209">
        <v>0</v>
      </c>
      <c r="R1209">
        <v>0</v>
      </c>
      <c r="S1209">
        <v>90.19</v>
      </c>
      <c r="T1209">
        <v>90.81</v>
      </c>
      <c r="U1209">
        <v>89.75</v>
      </c>
      <c r="V1209">
        <v>90.81</v>
      </c>
      <c r="W1209">
        <v>94140</v>
      </c>
      <c r="X1209">
        <v>89.63</v>
      </c>
      <c r="Y1209">
        <v>89.75</v>
      </c>
      <c r="Z1209">
        <v>16</v>
      </c>
      <c r="AA1209">
        <v>20000000</v>
      </c>
      <c r="AB1209">
        <v>574.70000000000005</v>
      </c>
      <c r="AC1209">
        <v>0</v>
      </c>
      <c r="AD1209" t="s">
        <v>94</v>
      </c>
      <c r="AE1209" t="s">
        <v>94</v>
      </c>
      <c r="AF1209" t="s">
        <v>226</v>
      </c>
      <c r="AG1209" t="s">
        <v>226</v>
      </c>
      <c r="AH1209">
        <v>800</v>
      </c>
      <c r="AI1209" t="s">
        <v>3537</v>
      </c>
      <c r="AJ1209" t="s">
        <v>1976</v>
      </c>
      <c r="AK1209" t="s">
        <v>2416</v>
      </c>
      <c r="AL1209" t="s">
        <v>272</v>
      </c>
    </row>
    <row r="1210" spans="1:38">
      <c r="A1210" t="s">
        <v>5555</v>
      </c>
      <c r="B1210" t="s">
        <v>5556</v>
      </c>
      <c r="C1210" t="s">
        <v>5557</v>
      </c>
      <c r="D1210" t="s">
        <v>5557</v>
      </c>
      <c r="E1210" t="s">
        <v>5558</v>
      </c>
      <c r="F1210" t="s">
        <v>2413</v>
      </c>
      <c r="G1210">
        <v>1</v>
      </c>
      <c r="H1210">
        <v>1</v>
      </c>
      <c r="I1210">
        <v>0.01</v>
      </c>
      <c r="J1210">
        <v>1000</v>
      </c>
      <c r="K1210">
        <v>-0.47</v>
      </c>
      <c r="L1210">
        <v>73.569999999999993</v>
      </c>
      <c r="M1210">
        <v>73.849999999999994</v>
      </c>
      <c r="N1210">
        <v>73.709999999999994</v>
      </c>
      <c r="O1210">
        <v>73.569999999999993</v>
      </c>
      <c r="P1210">
        <v>0</v>
      </c>
      <c r="Q1210">
        <v>0</v>
      </c>
      <c r="R1210">
        <v>0</v>
      </c>
      <c r="S1210">
        <v>73.53</v>
      </c>
      <c r="T1210">
        <v>73.94</v>
      </c>
      <c r="U1210">
        <v>73.48</v>
      </c>
      <c r="V1210">
        <v>73.94</v>
      </c>
      <c r="W1210">
        <v>1427191</v>
      </c>
      <c r="X1210">
        <v>73.67</v>
      </c>
      <c r="Y1210">
        <v>73.89</v>
      </c>
      <c r="Z1210">
        <v>36</v>
      </c>
      <c r="AA1210">
        <v>10000000</v>
      </c>
      <c r="AB1210">
        <v>72834.3</v>
      </c>
      <c r="AC1210">
        <v>0</v>
      </c>
      <c r="AD1210" t="s">
        <v>94</v>
      </c>
      <c r="AE1210" t="s">
        <v>94</v>
      </c>
      <c r="AF1210" t="s">
        <v>226</v>
      </c>
      <c r="AG1210" t="s">
        <v>226</v>
      </c>
      <c r="AH1210">
        <v>800</v>
      </c>
      <c r="AI1210" t="s">
        <v>3537</v>
      </c>
      <c r="AJ1210" t="s">
        <v>1976</v>
      </c>
      <c r="AK1210" t="s">
        <v>2416</v>
      </c>
      <c r="AL1210" t="s">
        <v>272</v>
      </c>
    </row>
    <row r="1211" spans="1:38">
      <c r="A1211" t="s">
        <v>5559</v>
      </c>
      <c r="B1211" t="s">
        <v>5560</v>
      </c>
      <c r="C1211" t="s">
        <v>5561</v>
      </c>
      <c r="D1211" t="s">
        <v>5561</v>
      </c>
      <c r="E1211" t="s">
        <v>5562</v>
      </c>
      <c r="F1211" t="s">
        <v>2413</v>
      </c>
      <c r="G1211">
        <v>1</v>
      </c>
      <c r="H1211">
        <v>1</v>
      </c>
      <c r="I1211">
        <v>0.01</v>
      </c>
      <c r="J1211">
        <v>1000</v>
      </c>
      <c r="K1211">
        <v>0.21</v>
      </c>
      <c r="L1211">
        <v>70.25</v>
      </c>
      <c r="M1211">
        <v>70.099999999999994</v>
      </c>
      <c r="N1211">
        <v>70.430000000000007</v>
      </c>
      <c r="O1211">
        <v>70.25</v>
      </c>
      <c r="P1211">
        <v>0</v>
      </c>
      <c r="Q1211">
        <v>0</v>
      </c>
      <c r="R1211">
        <v>0</v>
      </c>
      <c r="S1211">
        <v>70.25</v>
      </c>
      <c r="T1211">
        <v>70.27</v>
      </c>
      <c r="U1211">
        <v>70.099999999999994</v>
      </c>
      <c r="V1211">
        <v>70.650000000000006</v>
      </c>
      <c r="W1211">
        <v>745330</v>
      </c>
      <c r="X1211">
        <v>70.12</v>
      </c>
      <c r="Y1211">
        <v>70.400000000000006</v>
      </c>
      <c r="Z1211">
        <v>14</v>
      </c>
      <c r="AA1211">
        <v>10000000</v>
      </c>
      <c r="AB1211">
        <v>13347.5</v>
      </c>
      <c r="AC1211">
        <v>0</v>
      </c>
      <c r="AD1211" t="s">
        <v>94</v>
      </c>
      <c r="AE1211" t="s">
        <v>94</v>
      </c>
      <c r="AF1211" t="s">
        <v>226</v>
      </c>
      <c r="AG1211" t="s">
        <v>226</v>
      </c>
      <c r="AH1211">
        <v>800</v>
      </c>
      <c r="AI1211" t="s">
        <v>3537</v>
      </c>
      <c r="AJ1211" t="s">
        <v>1976</v>
      </c>
      <c r="AK1211" t="s">
        <v>2416</v>
      </c>
      <c r="AL1211" t="s">
        <v>272</v>
      </c>
    </row>
    <row r="1212" spans="1:38">
      <c r="A1212" t="s">
        <v>5563</v>
      </c>
      <c r="B1212" t="s">
        <v>5564</v>
      </c>
      <c r="C1212" t="s">
        <v>5565</v>
      </c>
      <c r="D1212" t="s">
        <v>5565</v>
      </c>
      <c r="E1212" t="s">
        <v>5566</v>
      </c>
      <c r="F1212" t="s">
        <v>2413</v>
      </c>
      <c r="G1212">
        <v>1</v>
      </c>
      <c r="H1212">
        <v>1</v>
      </c>
      <c r="I1212">
        <v>0.01</v>
      </c>
      <c r="J1212">
        <v>1000</v>
      </c>
      <c r="K1212">
        <v>-0.04</v>
      </c>
      <c r="L1212">
        <v>93</v>
      </c>
      <c r="M1212">
        <v>93.04</v>
      </c>
      <c r="N1212">
        <v>93.44</v>
      </c>
      <c r="O1212">
        <v>93.04</v>
      </c>
      <c r="P1212">
        <v>0</v>
      </c>
      <c r="Q1212">
        <v>0</v>
      </c>
      <c r="R1212">
        <v>0</v>
      </c>
      <c r="S1212">
        <v>93.07</v>
      </c>
      <c r="T1212">
        <v>93.11</v>
      </c>
      <c r="U1212">
        <v>93</v>
      </c>
      <c r="V1212">
        <v>93.74</v>
      </c>
      <c r="W1212">
        <v>367614</v>
      </c>
      <c r="X1212">
        <v>93.04</v>
      </c>
      <c r="Y1212">
        <v>93.19</v>
      </c>
      <c r="Z1212">
        <v>27</v>
      </c>
      <c r="AA1212">
        <v>10000000</v>
      </c>
      <c r="AB1212">
        <v>179490</v>
      </c>
      <c r="AC1212">
        <v>0</v>
      </c>
      <c r="AD1212" t="s">
        <v>94</v>
      </c>
      <c r="AE1212" t="s">
        <v>94</v>
      </c>
      <c r="AF1212" t="s">
        <v>226</v>
      </c>
      <c r="AG1212" t="s">
        <v>226</v>
      </c>
      <c r="AH1212">
        <v>800</v>
      </c>
      <c r="AI1212" t="s">
        <v>3537</v>
      </c>
      <c r="AJ1212" t="s">
        <v>1976</v>
      </c>
      <c r="AK1212" t="s">
        <v>2416</v>
      </c>
      <c r="AL1212" t="s">
        <v>272</v>
      </c>
    </row>
    <row r="1213" spans="1:38">
      <c r="A1213" t="s">
        <v>5567</v>
      </c>
      <c r="B1213" t="s">
        <v>5568</v>
      </c>
      <c r="C1213" t="s">
        <v>5569</v>
      </c>
      <c r="D1213" t="s">
        <v>5569</v>
      </c>
      <c r="E1213" t="s">
        <v>5570</v>
      </c>
      <c r="F1213" t="s">
        <v>2413</v>
      </c>
      <c r="G1213">
        <v>1</v>
      </c>
      <c r="H1213">
        <v>1</v>
      </c>
      <c r="I1213">
        <v>0.01</v>
      </c>
      <c r="J1213">
        <v>1000</v>
      </c>
      <c r="K1213">
        <v>-0.11</v>
      </c>
      <c r="L1213">
        <v>93.19</v>
      </c>
      <c r="M1213">
        <v>93.29</v>
      </c>
      <c r="N1213">
        <v>93.1</v>
      </c>
      <c r="O1213">
        <v>93.19</v>
      </c>
      <c r="P1213">
        <v>0</v>
      </c>
      <c r="Q1213">
        <v>0</v>
      </c>
      <c r="R1213">
        <v>0</v>
      </c>
      <c r="S1213">
        <v>93.23</v>
      </c>
      <c r="T1213">
        <v>93.3</v>
      </c>
      <c r="U1213">
        <v>93</v>
      </c>
      <c r="V1213">
        <v>93.48</v>
      </c>
      <c r="W1213">
        <v>114672</v>
      </c>
      <c r="X1213">
        <v>93.19</v>
      </c>
      <c r="Y1213">
        <v>93.25</v>
      </c>
      <c r="Z1213">
        <v>16</v>
      </c>
      <c r="AA1213">
        <v>10000000</v>
      </c>
      <c r="AB1213">
        <v>931.9</v>
      </c>
      <c r="AC1213">
        <v>0</v>
      </c>
      <c r="AD1213" t="s">
        <v>94</v>
      </c>
      <c r="AE1213" t="s">
        <v>94</v>
      </c>
      <c r="AF1213" t="s">
        <v>226</v>
      </c>
      <c r="AG1213" t="s">
        <v>226</v>
      </c>
      <c r="AH1213">
        <v>800</v>
      </c>
      <c r="AI1213" t="s">
        <v>3537</v>
      </c>
      <c r="AJ1213" t="s">
        <v>1976</v>
      </c>
      <c r="AK1213" t="s">
        <v>2416</v>
      </c>
      <c r="AL1213" t="s">
        <v>272</v>
      </c>
    </row>
    <row r="1214" spans="1:38">
      <c r="A1214" t="s">
        <v>5571</v>
      </c>
      <c r="B1214" t="s">
        <v>5572</v>
      </c>
      <c r="C1214" t="s">
        <v>5573</v>
      </c>
      <c r="D1214" t="s">
        <v>5573</v>
      </c>
      <c r="E1214" t="s">
        <v>5574</v>
      </c>
      <c r="F1214" t="s">
        <v>2413</v>
      </c>
      <c r="G1214">
        <v>1</v>
      </c>
      <c r="H1214">
        <v>1</v>
      </c>
      <c r="I1214">
        <v>0.01</v>
      </c>
      <c r="J1214">
        <v>1000</v>
      </c>
      <c r="K1214">
        <v>0</v>
      </c>
      <c r="L1214">
        <v>71.849999999999994</v>
      </c>
      <c r="M1214">
        <v>71.849999999999994</v>
      </c>
      <c r="N1214">
        <v>72.290000000000006</v>
      </c>
      <c r="O1214">
        <v>71.849999999999994</v>
      </c>
      <c r="P1214">
        <v>0</v>
      </c>
      <c r="Q1214">
        <v>0</v>
      </c>
      <c r="R1214">
        <v>0</v>
      </c>
      <c r="S1214">
        <v>71.88</v>
      </c>
      <c r="T1214">
        <v>71.459999999999994</v>
      </c>
      <c r="U1214">
        <v>71.45</v>
      </c>
      <c r="V1214">
        <v>72.47</v>
      </c>
      <c r="W1214">
        <v>77632</v>
      </c>
      <c r="X1214">
        <v>71.459999999999994</v>
      </c>
      <c r="Y1214">
        <v>71.849999999999994</v>
      </c>
      <c r="Z1214">
        <v>17</v>
      </c>
      <c r="AA1214">
        <v>5000000</v>
      </c>
      <c r="AB1214">
        <v>718.5</v>
      </c>
      <c r="AC1214">
        <v>0</v>
      </c>
      <c r="AD1214" t="s">
        <v>94</v>
      </c>
      <c r="AE1214" t="s">
        <v>94</v>
      </c>
      <c r="AF1214" t="s">
        <v>226</v>
      </c>
      <c r="AG1214" t="s">
        <v>226</v>
      </c>
      <c r="AH1214">
        <v>6</v>
      </c>
      <c r="AI1214" t="s">
        <v>3537</v>
      </c>
      <c r="AJ1214" t="s">
        <v>1976</v>
      </c>
      <c r="AK1214" t="s">
        <v>2416</v>
      </c>
      <c r="AL1214" t="s">
        <v>272</v>
      </c>
    </row>
    <row r="1215" spans="1:38">
      <c r="A1215" t="s">
        <v>5575</v>
      </c>
      <c r="B1215" t="s">
        <v>5576</v>
      </c>
      <c r="C1215" t="s">
        <v>5577</v>
      </c>
      <c r="D1215" t="s">
        <v>5577</v>
      </c>
      <c r="E1215" t="s">
        <v>5578</v>
      </c>
      <c r="F1215" t="s">
        <v>2413</v>
      </c>
      <c r="G1215">
        <v>1</v>
      </c>
      <c r="H1215">
        <v>1</v>
      </c>
      <c r="I1215">
        <v>0.01</v>
      </c>
      <c r="J1215">
        <v>1000</v>
      </c>
      <c r="K1215">
        <v>-2.21</v>
      </c>
      <c r="L1215">
        <v>69</v>
      </c>
      <c r="M1215">
        <v>70.56</v>
      </c>
      <c r="N1215">
        <v>70.790000000000006</v>
      </c>
      <c r="O1215">
        <v>69</v>
      </c>
      <c r="P1215">
        <v>0</v>
      </c>
      <c r="Q1215">
        <v>0</v>
      </c>
      <c r="R1215">
        <v>0</v>
      </c>
      <c r="S1215">
        <v>68.25</v>
      </c>
      <c r="T1215">
        <v>70.260000000000005</v>
      </c>
      <c r="U1215">
        <v>67.97</v>
      </c>
      <c r="V1215">
        <v>70.83</v>
      </c>
      <c r="W1215">
        <v>9216130</v>
      </c>
      <c r="X1215">
        <v>69.010000000000005</v>
      </c>
      <c r="Y1215">
        <v>69.290000000000006</v>
      </c>
      <c r="Z1215">
        <v>221</v>
      </c>
      <c r="AA1215">
        <v>10000000</v>
      </c>
      <c r="AB1215">
        <v>16560</v>
      </c>
      <c r="AC1215">
        <v>0</v>
      </c>
      <c r="AD1215" t="s">
        <v>94</v>
      </c>
      <c r="AE1215" t="s">
        <v>94</v>
      </c>
      <c r="AF1215" t="s">
        <v>226</v>
      </c>
      <c r="AG1215" t="s">
        <v>226</v>
      </c>
      <c r="AH1215">
        <v>6</v>
      </c>
      <c r="AI1215" t="s">
        <v>3537</v>
      </c>
      <c r="AJ1215" t="s">
        <v>1976</v>
      </c>
      <c r="AK1215" t="s">
        <v>2416</v>
      </c>
      <c r="AL1215" t="s">
        <v>272</v>
      </c>
    </row>
    <row r="1216" spans="1:38">
      <c r="A1216" t="s">
        <v>5579</v>
      </c>
      <c r="B1216" t="s">
        <v>5580</v>
      </c>
      <c r="C1216" t="s">
        <v>5581</v>
      </c>
      <c r="D1216" t="s">
        <v>5581</v>
      </c>
      <c r="E1216" t="s">
        <v>5582</v>
      </c>
      <c r="F1216" t="s">
        <v>2413</v>
      </c>
      <c r="G1216">
        <v>1</v>
      </c>
      <c r="H1216">
        <v>1</v>
      </c>
      <c r="I1216">
        <v>0.01</v>
      </c>
      <c r="J1216">
        <v>1000</v>
      </c>
      <c r="K1216">
        <v>-0.17</v>
      </c>
      <c r="L1216">
        <v>76.400000000000006</v>
      </c>
      <c r="M1216">
        <v>76.59</v>
      </c>
      <c r="N1216">
        <v>76.48</v>
      </c>
      <c r="O1216">
        <v>76.17</v>
      </c>
      <c r="P1216">
        <v>0</v>
      </c>
      <c r="Q1216">
        <v>0</v>
      </c>
      <c r="R1216">
        <v>0</v>
      </c>
      <c r="S1216">
        <v>76.33</v>
      </c>
      <c r="T1216">
        <v>76.69</v>
      </c>
      <c r="U1216">
        <v>76.13</v>
      </c>
      <c r="V1216">
        <v>76.75</v>
      </c>
      <c r="W1216">
        <v>127468</v>
      </c>
      <c r="X1216">
        <v>76.14</v>
      </c>
      <c r="Y1216">
        <v>76.36</v>
      </c>
      <c r="Z1216">
        <v>43</v>
      </c>
      <c r="AA1216">
        <v>10000000</v>
      </c>
      <c r="AB1216">
        <v>764</v>
      </c>
      <c r="AC1216">
        <v>0</v>
      </c>
      <c r="AD1216" t="s">
        <v>94</v>
      </c>
      <c r="AE1216" t="s">
        <v>94</v>
      </c>
      <c r="AF1216" t="s">
        <v>226</v>
      </c>
      <c r="AG1216" t="s">
        <v>226</v>
      </c>
      <c r="AH1216">
        <v>6</v>
      </c>
      <c r="AI1216" t="s">
        <v>3537</v>
      </c>
      <c r="AJ1216" t="s">
        <v>1976</v>
      </c>
      <c r="AK1216" t="s">
        <v>2416</v>
      </c>
      <c r="AL1216" t="s">
        <v>272</v>
      </c>
    </row>
    <row r="1217" spans="1:38">
      <c r="A1217" t="s">
        <v>5583</v>
      </c>
      <c r="B1217" t="s">
        <v>5584</v>
      </c>
      <c r="C1217" t="s">
        <v>5585</v>
      </c>
      <c r="D1217" t="s">
        <v>5585</v>
      </c>
      <c r="E1217" t="s">
        <v>5586</v>
      </c>
      <c r="F1217" t="s">
        <v>2413</v>
      </c>
      <c r="G1217">
        <v>1</v>
      </c>
      <c r="H1217">
        <v>1</v>
      </c>
      <c r="I1217">
        <v>0.01</v>
      </c>
      <c r="J1217">
        <v>200</v>
      </c>
      <c r="K1217">
        <v>1.0900000000000001</v>
      </c>
      <c r="L1217">
        <v>87.37</v>
      </c>
      <c r="M1217">
        <v>86.43</v>
      </c>
      <c r="N1217">
        <v>86.3</v>
      </c>
      <c r="O1217">
        <v>87.37</v>
      </c>
      <c r="P1217">
        <v>0</v>
      </c>
      <c r="Q1217">
        <v>0</v>
      </c>
      <c r="R1217">
        <v>0</v>
      </c>
      <c r="S1217">
        <v>86.77</v>
      </c>
      <c r="T1217">
        <v>86.49</v>
      </c>
      <c r="U1217">
        <v>86.41</v>
      </c>
      <c r="V1217">
        <v>87.39</v>
      </c>
      <c r="W1217">
        <v>985545</v>
      </c>
      <c r="X1217">
        <v>87.15</v>
      </c>
      <c r="Y1217">
        <v>87.37</v>
      </c>
      <c r="Z1217">
        <v>139</v>
      </c>
      <c r="AA1217">
        <v>25000000</v>
      </c>
      <c r="AB1217">
        <v>3844.28</v>
      </c>
      <c r="AC1217">
        <v>0</v>
      </c>
      <c r="AD1217" t="s">
        <v>94</v>
      </c>
      <c r="AE1217" t="s">
        <v>94</v>
      </c>
      <c r="AF1217" t="s">
        <v>226</v>
      </c>
      <c r="AG1217" t="s">
        <v>226</v>
      </c>
      <c r="AH1217">
        <v>6</v>
      </c>
      <c r="AI1217" t="s">
        <v>3537</v>
      </c>
      <c r="AJ1217" t="s">
        <v>1976</v>
      </c>
      <c r="AK1217" t="s">
        <v>2416</v>
      </c>
      <c r="AL1217" t="s">
        <v>272</v>
      </c>
    </row>
    <row r="1218" spans="1:38">
      <c r="A1218" t="s">
        <v>5587</v>
      </c>
      <c r="B1218" t="s">
        <v>5588</v>
      </c>
      <c r="C1218" t="s">
        <v>5589</v>
      </c>
      <c r="D1218" t="s">
        <v>5589</v>
      </c>
      <c r="E1218" t="s">
        <v>5590</v>
      </c>
      <c r="F1218" t="s">
        <v>2413</v>
      </c>
      <c r="G1218">
        <v>1</v>
      </c>
      <c r="H1218">
        <v>1</v>
      </c>
      <c r="I1218">
        <v>0.01</v>
      </c>
      <c r="J1218">
        <v>500</v>
      </c>
      <c r="K1218">
        <v>-0.24</v>
      </c>
      <c r="L1218">
        <v>77.63</v>
      </c>
      <c r="M1218">
        <v>77.819999999999993</v>
      </c>
      <c r="N1218">
        <v>77.72</v>
      </c>
      <c r="O1218">
        <v>77.63</v>
      </c>
      <c r="P1218">
        <v>0</v>
      </c>
      <c r="Q1218">
        <v>0</v>
      </c>
      <c r="R1218">
        <v>0</v>
      </c>
      <c r="S1218">
        <v>77.52</v>
      </c>
      <c r="T1218">
        <v>78.150000000000006</v>
      </c>
      <c r="U1218">
        <v>77.25</v>
      </c>
      <c r="V1218">
        <v>78.150000000000006</v>
      </c>
      <c r="W1218">
        <v>174817</v>
      </c>
      <c r="X1218">
        <v>77.349999999999994</v>
      </c>
      <c r="Y1218">
        <v>77.69</v>
      </c>
      <c r="Z1218">
        <v>43</v>
      </c>
      <c r="AA1218">
        <v>10000000</v>
      </c>
      <c r="AB1218">
        <v>776.3</v>
      </c>
      <c r="AC1218">
        <v>0</v>
      </c>
      <c r="AD1218" t="s">
        <v>94</v>
      </c>
      <c r="AE1218" t="s">
        <v>94</v>
      </c>
      <c r="AF1218" t="s">
        <v>226</v>
      </c>
      <c r="AG1218" t="s">
        <v>226</v>
      </c>
      <c r="AH1218">
        <v>6</v>
      </c>
      <c r="AI1218" t="s">
        <v>3537</v>
      </c>
      <c r="AJ1218" t="s">
        <v>1976</v>
      </c>
      <c r="AK1218" t="s">
        <v>2416</v>
      </c>
      <c r="AL1218" t="s">
        <v>272</v>
      </c>
    </row>
    <row r="1219" spans="1:38">
      <c r="A1219" t="s">
        <v>5591</v>
      </c>
      <c r="B1219" t="s">
        <v>5592</v>
      </c>
      <c r="C1219" t="s">
        <v>5593</v>
      </c>
      <c r="D1219" t="s">
        <v>5593</v>
      </c>
      <c r="E1219" t="s">
        <v>5594</v>
      </c>
      <c r="F1219" t="s">
        <v>2413</v>
      </c>
      <c r="G1219">
        <v>1</v>
      </c>
      <c r="H1219">
        <v>1</v>
      </c>
      <c r="I1219">
        <v>0.01</v>
      </c>
      <c r="J1219">
        <v>1000</v>
      </c>
      <c r="K1219">
        <v>-0.51</v>
      </c>
      <c r="L1219">
        <v>74.48</v>
      </c>
      <c r="M1219">
        <v>74.86</v>
      </c>
      <c r="N1219">
        <v>75.040000000000006</v>
      </c>
      <c r="O1219">
        <v>74.48</v>
      </c>
      <c r="P1219">
        <v>0</v>
      </c>
      <c r="Q1219">
        <v>0</v>
      </c>
      <c r="R1219">
        <v>0</v>
      </c>
      <c r="S1219">
        <v>74.8</v>
      </c>
      <c r="T1219">
        <v>74.87</v>
      </c>
      <c r="U1219">
        <v>74.150000000000006</v>
      </c>
      <c r="V1219">
        <v>75</v>
      </c>
      <c r="W1219">
        <v>643295</v>
      </c>
      <c r="X1219">
        <v>74.349999999999994</v>
      </c>
      <c r="Y1219">
        <v>74.489999999999995</v>
      </c>
      <c r="Z1219">
        <v>89</v>
      </c>
      <c r="AA1219">
        <v>10000000</v>
      </c>
      <c r="AB1219">
        <v>744.8</v>
      </c>
      <c r="AC1219">
        <v>0</v>
      </c>
      <c r="AD1219" t="s">
        <v>94</v>
      </c>
      <c r="AE1219" t="s">
        <v>94</v>
      </c>
      <c r="AF1219" t="s">
        <v>226</v>
      </c>
      <c r="AG1219" t="s">
        <v>226</v>
      </c>
      <c r="AH1219">
        <v>6</v>
      </c>
      <c r="AI1219" t="s">
        <v>3537</v>
      </c>
      <c r="AJ1219" t="s">
        <v>1976</v>
      </c>
      <c r="AK1219" t="s">
        <v>2416</v>
      </c>
      <c r="AL1219" t="s">
        <v>272</v>
      </c>
    </row>
    <row r="1220" spans="1:38">
      <c r="A1220" t="s">
        <v>5595</v>
      </c>
      <c r="B1220" t="s">
        <v>5596</v>
      </c>
      <c r="C1220" t="s">
        <v>5597</v>
      </c>
      <c r="D1220" t="s">
        <v>5597</v>
      </c>
      <c r="E1220" t="s">
        <v>5598</v>
      </c>
      <c r="F1220" t="s">
        <v>2413</v>
      </c>
      <c r="G1220">
        <v>1</v>
      </c>
      <c r="H1220">
        <v>1</v>
      </c>
      <c r="I1220">
        <v>0.01</v>
      </c>
      <c r="J1220">
        <v>1000</v>
      </c>
      <c r="K1220">
        <v>0.65</v>
      </c>
      <c r="L1220">
        <v>66.31</v>
      </c>
      <c r="M1220">
        <v>65.88</v>
      </c>
      <c r="N1220">
        <v>66.44</v>
      </c>
      <c r="O1220">
        <v>66.31</v>
      </c>
      <c r="P1220">
        <v>0</v>
      </c>
      <c r="Q1220">
        <v>0</v>
      </c>
      <c r="R1220">
        <v>0</v>
      </c>
      <c r="S1220">
        <v>66.239999999999995</v>
      </c>
      <c r="T1220">
        <v>65.88</v>
      </c>
      <c r="U1220">
        <v>65.88</v>
      </c>
      <c r="V1220">
        <v>66.349999999999994</v>
      </c>
      <c r="W1220">
        <v>65579</v>
      </c>
      <c r="X1220">
        <v>66.180000000000007</v>
      </c>
      <c r="Y1220">
        <v>66.3</v>
      </c>
      <c r="Z1220">
        <v>23</v>
      </c>
      <c r="AA1220">
        <v>5000000</v>
      </c>
      <c r="AB1220">
        <v>663.1</v>
      </c>
      <c r="AC1220">
        <v>0</v>
      </c>
      <c r="AD1220" t="s">
        <v>94</v>
      </c>
      <c r="AE1220" t="s">
        <v>94</v>
      </c>
      <c r="AF1220" t="s">
        <v>226</v>
      </c>
      <c r="AG1220" t="s">
        <v>226</v>
      </c>
      <c r="AH1220">
        <v>6</v>
      </c>
      <c r="AI1220" t="s">
        <v>3537</v>
      </c>
      <c r="AJ1220" t="s">
        <v>1976</v>
      </c>
      <c r="AK1220" t="s">
        <v>2416</v>
      </c>
      <c r="AL1220" t="s">
        <v>272</v>
      </c>
    </row>
    <row r="1221" spans="1:38">
      <c r="A1221" t="s">
        <v>5599</v>
      </c>
      <c r="B1221" t="s">
        <v>5600</v>
      </c>
      <c r="C1221" t="s">
        <v>5601</v>
      </c>
      <c r="D1221" t="s">
        <v>5601</v>
      </c>
      <c r="E1221" t="s">
        <v>5602</v>
      </c>
      <c r="F1221" t="s">
        <v>2413</v>
      </c>
      <c r="G1221">
        <v>1</v>
      </c>
      <c r="H1221">
        <v>1</v>
      </c>
      <c r="I1221">
        <v>0.01</v>
      </c>
      <c r="J1221">
        <v>1000</v>
      </c>
      <c r="K1221">
        <v>1.64</v>
      </c>
      <c r="L1221">
        <v>66.959999999999994</v>
      </c>
      <c r="M1221">
        <v>65.819999999999993</v>
      </c>
      <c r="N1221">
        <v>65.13</v>
      </c>
      <c r="O1221">
        <v>66.959999999999994</v>
      </c>
      <c r="P1221">
        <v>0</v>
      </c>
      <c r="Q1221">
        <v>0</v>
      </c>
      <c r="R1221">
        <v>0</v>
      </c>
      <c r="S1221">
        <v>66.900000000000006</v>
      </c>
      <c r="T1221">
        <v>65.88</v>
      </c>
      <c r="U1221">
        <v>65.88</v>
      </c>
      <c r="V1221">
        <v>67</v>
      </c>
      <c r="W1221">
        <v>32110</v>
      </c>
      <c r="X1221">
        <v>66.02</v>
      </c>
      <c r="Y1221">
        <v>66.790000000000006</v>
      </c>
      <c r="Z1221">
        <v>20</v>
      </c>
      <c r="AA1221">
        <v>5000000</v>
      </c>
      <c r="AB1221">
        <v>669.6</v>
      </c>
      <c r="AC1221">
        <v>0</v>
      </c>
      <c r="AD1221" t="s">
        <v>94</v>
      </c>
      <c r="AE1221" t="s">
        <v>94</v>
      </c>
      <c r="AF1221" t="s">
        <v>226</v>
      </c>
      <c r="AG1221" t="s">
        <v>226</v>
      </c>
      <c r="AH1221">
        <v>6</v>
      </c>
      <c r="AI1221" t="s">
        <v>3537</v>
      </c>
      <c r="AJ1221" t="s">
        <v>1976</v>
      </c>
      <c r="AK1221" t="s">
        <v>2416</v>
      </c>
      <c r="AL1221" t="s">
        <v>272</v>
      </c>
    </row>
    <row r="1222" spans="1:38">
      <c r="A1222" t="s">
        <v>5603</v>
      </c>
      <c r="B1222" t="s">
        <v>5604</v>
      </c>
      <c r="C1222" t="s">
        <v>5605</v>
      </c>
      <c r="D1222" t="s">
        <v>5605</v>
      </c>
      <c r="E1222" t="s">
        <v>5606</v>
      </c>
      <c r="F1222" t="s">
        <v>2413</v>
      </c>
      <c r="G1222">
        <v>1</v>
      </c>
      <c r="H1222">
        <v>1</v>
      </c>
      <c r="I1222">
        <v>0.01</v>
      </c>
      <c r="J1222">
        <v>1000</v>
      </c>
      <c r="K1222">
        <v>-0.67</v>
      </c>
      <c r="L1222">
        <v>85.96</v>
      </c>
      <c r="M1222">
        <v>86.73</v>
      </c>
      <c r="N1222">
        <v>86.79</v>
      </c>
      <c r="O1222">
        <v>85.99</v>
      </c>
      <c r="P1222">
        <v>0</v>
      </c>
      <c r="Q1222">
        <v>0</v>
      </c>
      <c r="R1222">
        <v>0</v>
      </c>
      <c r="S1222">
        <v>86.27</v>
      </c>
      <c r="T1222">
        <v>87.33</v>
      </c>
      <c r="U1222">
        <v>85.96</v>
      </c>
      <c r="V1222">
        <v>87.33</v>
      </c>
      <c r="W1222">
        <v>634099</v>
      </c>
      <c r="X1222">
        <v>85.97</v>
      </c>
      <c r="Y1222">
        <v>86.45</v>
      </c>
      <c r="Z1222">
        <v>36</v>
      </c>
      <c r="AA1222">
        <v>7000000</v>
      </c>
      <c r="AB1222">
        <v>6017.2</v>
      </c>
      <c r="AC1222">
        <v>0</v>
      </c>
      <c r="AD1222" t="s">
        <v>94</v>
      </c>
      <c r="AE1222" t="s">
        <v>94</v>
      </c>
      <c r="AF1222" t="s">
        <v>226</v>
      </c>
      <c r="AG1222" t="s">
        <v>226</v>
      </c>
      <c r="AH1222">
        <v>800</v>
      </c>
      <c r="AI1222" t="s">
        <v>3537</v>
      </c>
      <c r="AJ1222" t="s">
        <v>1976</v>
      </c>
      <c r="AK1222" t="s">
        <v>2416</v>
      </c>
      <c r="AL1222" t="s">
        <v>272</v>
      </c>
    </row>
    <row r="1223" spans="1:38">
      <c r="A1223" t="s">
        <v>5607</v>
      </c>
      <c r="B1223" t="s">
        <v>5608</v>
      </c>
      <c r="C1223" t="s">
        <v>5609</v>
      </c>
      <c r="D1223" t="s">
        <v>5609</v>
      </c>
      <c r="E1223" t="s">
        <v>5610</v>
      </c>
      <c r="F1223" t="s">
        <v>2413</v>
      </c>
      <c r="G1223">
        <v>1</v>
      </c>
      <c r="H1223">
        <v>1</v>
      </c>
      <c r="I1223">
        <v>0.01</v>
      </c>
      <c r="J1223">
        <v>1000</v>
      </c>
      <c r="K1223">
        <v>0</v>
      </c>
      <c r="L1223">
        <v>87.75</v>
      </c>
      <c r="M1223">
        <v>87.75</v>
      </c>
      <c r="N1223">
        <v>87.74</v>
      </c>
      <c r="O1223">
        <v>87.75</v>
      </c>
      <c r="P1223">
        <v>0</v>
      </c>
      <c r="Q1223">
        <v>0</v>
      </c>
      <c r="R1223">
        <v>0</v>
      </c>
      <c r="S1223">
        <v>87.79</v>
      </c>
      <c r="T1223">
        <v>87.04</v>
      </c>
      <c r="U1223">
        <v>87.04</v>
      </c>
      <c r="V1223">
        <v>88.64</v>
      </c>
      <c r="W1223">
        <v>6428553</v>
      </c>
      <c r="X1223">
        <v>87.75</v>
      </c>
      <c r="Y1223">
        <v>87.97</v>
      </c>
      <c r="Z1223">
        <v>88</v>
      </c>
      <c r="AA1223">
        <v>11000000</v>
      </c>
      <c r="AB1223">
        <v>85995</v>
      </c>
      <c r="AC1223">
        <v>0</v>
      </c>
      <c r="AD1223" t="s">
        <v>94</v>
      </c>
      <c r="AE1223" t="s">
        <v>94</v>
      </c>
      <c r="AF1223" t="s">
        <v>226</v>
      </c>
      <c r="AG1223" t="s">
        <v>226</v>
      </c>
      <c r="AH1223">
        <v>800</v>
      </c>
      <c r="AI1223" t="s">
        <v>3537</v>
      </c>
      <c r="AJ1223" t="s">
        <v>1976</v>
      </c>
      <c r="AK1223" t="s">
        <v>2416</v>
      </c>
      <c r="AL1223" t="s">
        <v>272</v>
      </c>
    </row>
    <row r="1224" spans="1:38">
      <c r="A1224" t="s">
        <v>5611</v>
      </c>
      <c r="B1224" t="s">
        <v>5612</v>
      </c>
      <c r="C1224" t="s">
        <v>5613</v>
      </c>
      <c r="D1224" t="s">
        <v>5613</v>
      </c>
      <c r="E1224" t="s">
        <v>5614</v>
      </c>
      <c r="F1224" t="s">
        <v>2413</v>
      </c>
      <c r="G1224">
        <v>1</v>
      </c>
      <c r="H1224">
        <v>1</v>
      </c>
      <c r="I1224">
        <v>0.01</v>
      </c>
      <c r="J1224">
        <v>1000</v>
      </c>
      <c r="K1224">
        <v>-0.44</v>
      </c>
      <c r="L1224">
        <v>92.92</v>
      </c>
      <c r="M1224">
        <v>93.1</v>
      </c>
      <c r="N1224">
        <v>93.66</v>
      </c>
      <c r="O1224">
        <v>92.92</v>
      </c>
      <c r="P1224">
        <v>0</v>
      </c>
      <c r="Q1224">
        <v>0</v>
      </c>
      <c r="R1224">
        <v>0</v>
      </c>
      <c r="S1224">
        <v>93.08</v>
      </c>
      <c r="T1224">
        <v>93.2</v>
      </c>
      <c r="U1224">
        <v>92.92</v>
      </c>
      <c r="V1224">
        <v>94.09</v>
      </c>
      <c r="W1224">
        <v>30717</v>
      </c>
      <c r="X1224">
        <v>92.93</v>
      </c>
      <c r="Y1224">
        <v>93.48</v>
      </c>
      <c r="Z1224">
        <v>12</v>
      </c>
      <c r="AA1224">
        <v>10000000</v>
      </c>
      <c r="AB1224">
        <v>2787.6</v>
      </c>
      <c r="AC1224">
        <v>0</v>
      </c>
      <c r="AD1224" t="s">
        <v>94</v>
      </c>
      <c r="AE1224" t="s">
        <v>94</v>
      </c>
      <c r="AF1224" t="s">
        <v>226</v>
      </c>
      <c r="AG1224" t="s">
        <v>226</v>
      </c>
      <c r="AH1224">
        <v>800</v>
      </c>
      <c r="AI1224" t="s">
        <v>3537</v>
      </c>
      <c r="AJ1224" t="s">
        <v>1976</v>
      </c>
      <c r="AK1224" t="s">
        <v>2416</v>
      </c>
      <c r="AL1224" t="s">
        <v>272</v>
      </c>
    </row>
    <row r="1225" spans="1:38">
      <c r="A1225" t="s">
        <v>5615</v>
      </c>
      <c r="B1225" t="s">
        <v>5616</v>
      </c>
      <c r="C1225" t="s">
        <v>5617</v>
      </c>
      <c r="D1225" t="s">
        <v>5617</v>
      </c>
      <c r="E1225" t="s">
        <v>5618</v>
      </c>
      <c r="F1225" t="s">
        <v>2413</v>
      </c>
      <c r="G1225">
        <v>3</v>
      </c>
      <c r="H1225">
        <v>1</v>
      </c>
      <c r="I1225">
        <v>0.01</v>
      </c>
      <c r="J1225">
        <v>1000</v>
      </c>
      <c r="K1225">
        <v>-0.35</v>
      </c>
      <c r="L1225">
        <v>75</v>
      </c>
      <c r="M1225">
        <v>75.17</v>
      </c>
      <c r="N1225">
        <v>74.72</v>
      </c>
      <c r="O1225">
        <v>75</v>
      </c>
      <c r="P1225">
        <v>0</v>
      </c>
      <c r="Q1225">
        <v>0</v>
      </c>
      <c r="R1225">
        <v>0</v>
      </c>
      <c r="S1225">
        <v>75.180000000000007</v>
      </c>
      <c r="T1225">
        <v>75.25</v>
      </c>
      <c r="U1225">
        <v>74.91</v>
      </c>
      <c r="V1225">
        <v>75.28</v>
      </c>
      <c r="W1225">
        <v>498427</v>
      </c>
      <c r="X1225">
        <v>75</v>
      </c>
      <c r="Y1225">
        <v>75.19</v>
      </c>
      <c r="Z1225">
        <v>81</v>
      </c>
      <c r="AA1225">
        <v>5000000</v>
      </c>
      <c r="AB1225">
        <v>1500</v>
      </c>
      <c r="AC1225">
        <v>0</v>
      </c>
      <c r="AD1225" t="s">
        <v>94</v>
      </c>
      <c r="AE1225" t="s">
        <v>94</v>
      </c>
      <c r="AF1225" t="s">
        <v>226</v>
      </c>
      <c r="AG1225" t="s">
        <v>226</v>
      </c>
      <c r="AH1225">
        <v>6</v>
      </c>
      <c r="AI1225" t="s">
        <v>3537</v>
      </c>
      <c r="AJ1225" t="s">
        <v>1976</v>
      </c>
      <c r="AK1225" t="s">
        <v>2416</v>
      </c>
      <c r="AL1225" t="s">
        <v>272</v>
      </c>
    </row>
    <row r="1226" spans="1:38">
      <c r="A1226" t="s">
        <v>5619</v>
      </c>
      <c r="B1226" t="s">
        <v>5620</v>
      </c>
      <c r="C1226" t="s">
        <v>5621</v>
      </c>
      <c r="D1226" t="s">
        <v>5621</v>
      </c>
      <c r="E1226" t="s">
        <v>5622</v>
      </c>
      <c r="F1226" t="s">
        <v>2413</v>
      </c>
      <c r="G1226">
        <v>3</v>
      </c>
      <c r="H1226">
        <v>1</v>
      </c>
      <c r="I1226">
        <v>0.01</v>
      </c>
      <c r="J1226">
        <v>1000</v>
      </c>
      <c r="K1226">
        <v>0.25</v>
      </c>
      <c r="L1226">
        <v>88.4</v>
      </c>
      <c r="M1226">
        <v>88.18</v>
      </c>
      <c r="N1226">
        <v>88.08</v>
      </c>
      <c r="O1226">
        <v>88.25</v>
      </c>
      <c r="P1226">
        <v>0</v>
      </c>
      <c r="Q1226">
        <v>0</v>
      </c>
      <c r="R1226">
        <v>0</v>
      </c>
      <c r="S1226">
        <v>88.18</v>
      </c>
      <c r="T1226">
        <v>88.08</v>
      </c>
      <c r="U1226">
        <v>88</v>
      </c>
      <c r="V1226">
        <v>88.48</v>
      </c>
      <c r="W1226">
        <v>4669785</v>
      </c>
      <c r="X1226">
        <v>88.21</v>
      </c>
      <c r="Y1226">
        <v>88.34</v>
      </c>
      <c r="Z1226">
        <v>126</v>
      </c>
      <c r="AA1226">
        <v>7500000</v>
      </c>
      <c r="AB1226">
        <v>884</v>
      </c>
      <c r="AC1226">
        <v>0</v>
      </c>
      <c r="AD1226" t="s">
        <v>94</v>
      </c>
      <c r="AE1226" t="s">
        <v>94</v>
      </c>
      <c r="AF1226" t="s">
        <v>226</v>
      </c>
      <c r="AG1226" t="s">
        <v>226</v>
      </c>
      <c r="AH1226">
        <v>800</v>
      </c>
      <c r="AI1226" t="s">
        <v>3537</v>
      </c>
      <c r="AJ1226" t="s">
        <v>1976</v>
      </c>
      <c r="AK1226" t="s">
        <v>2416</v>
      </c>
      <c r="AL1226" t="s">
        <v>272</v>
      </c>
    </row>
    <row r="1227" spans="1:38">
      <c r="A1227" t="s">
        <v>5623</v>
      </c>
      <c r="B1227" t="s">
        <v>5624</v>
      </c>
      <c r="C1227" t="s">
        <v>5625</v>
      </c>
      <c r="D1227" t="s">
        <v>5625</v>
      </c>
      <c r="E1227" t="s">
        <v>5626</v>
      </c>
      <c r="F1227" t="s">
        <v>2413</v>
      </c>
      <c r="G1227">
        <v>1</v>
      </c>
      <c r="H1227">
        <v>1</v>
      </c>
      <c r="I1227">
        <v>0.01</v>
      </c>
      <c r="J1227">
        <v>1000</v>
      </c>
      <c r="K1227">
        <v>-0.32</v>
      </c>
      <c r="L1227">
        <v>99.67</v>
      </c>
      <c r="M1227">
        <v>99.99</v>
      </c>
      <c r="N1227">
        <v>99.98</v>
      </c>
      <c r="O1227">
        <v>99.65</v>
      </c>
      <c r="P1227">
        <v>0</v>
      </c>
      <c r="Q1227">
        <v>0</v>
      </c>
      <c r="R1227">
        <v>0</v>
      </c>
      <c r="S1227">
        <v>99.4</v>
      </c>
      <c r="T1227">
        <v>99.99</v>
      </c>
      <c r="U1227">
        <v>99.6</v>
      </c>
      <c r="V1227">
        <v>99.99</v>
      </c>
      <c r="W1227">
        <v>39637691</v>
      </c>
      <c r="X1227">
        <v>99.65</v>
      </c>
      <c r="Y1227">
        <v>99.67</v>
      </c>
      <c r="Z1227">
        <v>1320</v>
      </c>
      <c r="AA1227">
        <v>10000000</v>
      </c>
      <c r="AB1227">
        <v>334891.2</v>
      </c>
      <c r="AC1227">
        <v>0</v>
      </c>
      <c r="AD1227" t="s">
        <v>94</v>
      </c>
      <c r="AE1227" t="s">
        <v>94</v>
      </c>
      <c r="AF1227" t="s">
        <v>226</v>
      </c>
      <c r="AG1227" t="s">
        <v>226</v>
      </c>
      <c r="AH1227">
        <v>6</v>
      </c>
      <c r="AI1227" t="s">
        <v>3537</v>
      </c>
      <c r="AJ1227" t="s">
        <v>1976</v>
      </c>
      <c r="AK1227" t="s">
        <v>2416</v>
      </c>
      <c r="AL1227" t="s">
        <v>272</v>
      </c>
    </row>
    <row r="1228" spans="1:38">
      <c r="A1228" t="s">
        <v>5627</v>
      </c>
      <c r="B1228" t="s">
        <v>2432</v>
      </c>
      <c r="C1228" t="s">
        <v>2433</v>
      </c>
      <c r="D1228" t="s">
        <v>2433</v>
      </c>
      <c r="E1228" t="s">
        <v>2434</v>
      </c>
      <c r="F1228" t="s">
        <v>2413</v>
      </c>
      <c r="G1228">
        <v>2</v>
      </c>
      <c r="H1228">
        <v>1</v>
      </c>
      <c r="I1228">
        <v>1E-4</v>
      </c>
      <c r="J1228">
        <v>1000</v>
      </c>
      <c r="K1228">
        <v>-0.43</v>
      </c>
      <c r="L1228">
        <v>90.11</v>
      </c>
      <c r="M1228">
        <v>92.078599999999994</v>
      </c>
      <c r="N1228">
        <v>93.045100000000005</v>
      </c>
      <c r="O1228">
        <v>92.89</v>
      </c>
      <c r="P1228">
        <v>0</v>
      </c>
      <c r="Q1228">
        <v>0</v>
      </c>
      <c r="R1228">
        <v>0</v>
      </c>
      <c r="S1228">
        <v>91.875799999999998</v>
      </c>
      <c r="T1228">
        <v>90.111000000000004</v>
      </c>
      <c r="U1228">
        <v>90.11</v>
      </c>
      <c r="V1228">
        <v>90.63</v>
      </c>
      <c r="W1228">
        <v>118539</v>
      </c>
      <c r="X1228">
        <v>90.11</v>
      </c>
      <c r="Y1228">
        <v>91.009900000000002</v>
      </c>
      <c r="Z1228">
        <v>5</v>
      </c>
      <c r="AA1228">
        <v>200000</v>
      </c>
      <c r="AB1228">
        <v>13115.06</v>
      </c>
      <c r="AC1228">
        <v>0</v>
      </c>
      <c r="AD1228" t="s">
        <v>1663</v>
      </c>
      <c r="AE1228" t="s">
        <v>94</v>
      </c>
      <c r="AF1228" t="s">
        <v>226</v>
      </c>
      <c r="AG1228" t="s">
        <v>226</v>
      </c>
      <c r="AH1228">
        <v>6</v>
      </c>
      <c r="AI1228" t="s">
        <v>3537</v>
      </c>
      <c r="AJ1228" t="s">
        <v>1976</v>
      </c>
      <c r="AK1228" t="s">
        <v>2416</v>
      </c>
      <c r="AL1228" t="s">
        <v>272</v>
      </c>
    </row>
    <row r="1229" spans="1:38">
      <c r="A1229" t="s">
        <v>5628</v>
      </c>
      <c r="B1229" t="s">
        <v>5629</v>
      </c>
      <c r="C1229" t="s">
        <v>5630</v>
      </c>
      <c r="D1229" t="s">
        <v>5630</v>
      </c>
      <c r="E1229" t="s">
        <v>5631</v>
      </c>
      <c r="F1229" t="s">
        <v>2413</v>
      </c>
      <c r="G1229">
        <v>1</v>
      </c>
      <c r="H1229">
        <v>1</v>
      </c>
      <c r="I1229">
        <v>0.01</v>
      </c>
      <c r="J1229">
        <v>1000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100.01</v>
      </c>
      <c r="Y1229">
        <v>0</v>
      </c>
      <c r="Z1229">
        <v>0</v>
      </c>
      <c r="AA1229">
        <v>4000000</v>
      </c>
      <c r="AB1229">
        <v>0</v>
      </c>
      <c r="AC1229">
        <v>0</v>
      </c>
      <c r="AD1229" t="s">
        <v>94</v>
      </c>
      <c r="AE1229" t="s">
        <v>94</v>
      </c>
      <c r="AF1229" t="s">
        <v>226</v>
      </c>
      <c r="AG1229" t="s">
        <v>226</v>
      </c>
      <c r="AH1229">
        <v>8</v>
      </c>
      <c r="AI1229" t="s">
        <v>3537</v>
      </c>
      <c r="AJ1229" t="s">
        <v>1976</v>
      </c>
      <c r="AK1229" t="s">
        <v>2416</v>
      </c>
      <c r="AL1229" t="s">
        <v>272</v>
      </c>
    </row>
    <row r="1230" spans="1:38">
      <c r="A1230" t="s">
        <v>5632</v>
      </c>
      <c r="B1230" t="s">
        <v>5633</v>
      </c>
      <c r="C1230" t="s">
        <v>5634</v>
      </c>
      <c r="D1230" t="s">
        <v>5634</v>
      </c>
      <c r="E1230" t="s">
        <v>5635</v>
      </c>
      <c r="F1230" t="s">
        <v>2413</v>
      </c>
      <c r="G1230">
        <v>2</v>
      </c>
      <c r="H1230">
        <v>1</v>
      </c>
      <c r="I1230">
        <v>0.01</v>
      </c>
      <c r="J1230">
        <v>1000</v>
      </c>
      <c r="K1230">
        <v>0.02</v>
      </c>
      <c r="L1230">
        <v>100</v>
      </c>
      <c r="M1230">
        <v>99.98</v>
      </c>
      <c r="N1230">
        <v>99.97</v>
      </c>
      <c r="O1230">
        <v>99.99</v>
      </c>
      <c r="P1230">
        <v>0</v>
      </c>
      <c r="Q1230">
        <v>0</v>
      </c>
      <c r="R1230">
        <v>0</v>
      </c>
      <c r="S1230">
        <v>99.97</v>
      </c>
      <c r="T1230">
        <v>99.98</v>
      </c>
      <c r="U1230">
        <v>99.95</v>
      </c>
      <c r="V1230">
        <v>100</v>
      </c>
      <c r="W1230">
        <v>5502326</v>
      </c>
      <c r="X1230">
        <v>99.85</v>
      </c>
      <c r="Y1230">
        <v>99.99</v>
      </c>
      <c r="Z1230">
        <v>212</v>
      </c>
      <c r="AA1230">
        <v>1500000</v>
      </c>
      <c r="AB1230">
        <v>1000</v>
      </c>
      <c r="AC1230">
        <v>0</v>
      </c>
      <c r="AD1230" t="s">
        <v>94</v>
      </c>
      <c r="AE1230" t="s">
        <v>94</v>
      </c>
      <c r="AF1230" t="s">
        <v>226</v>
      </c>
      <c r="AG1230" t="s">
        <v>226</v>
      </c>
      <c r="AH1230">
        <v>6</v>
      </c>
      <c r="AI1230" t="s">
        <v>3537</v>
      </c>
      <c r="AJ1230" t="s">
        <v>1976</v>
      </c>
      <c r="AK1230" t="s">
        <v>2416</v>
      </c>
      <c r="AL1230" t="s">
        <v>272</v>
      </c>
    </row>
    <row r="1231" spans="1:38">
      <c r="A1231" t="s">
        <v>5636</v>
      </c>
      <c r="B1231" t="s">
        <v>5637</v>
      </c>
      <c r="C1231" t="s">
        <v>5638</v>
      </c>
      <c r="D1231" t="s">
        <v>5638</v>
      </c>
      <c r="E1231" t="s">
        <v>5639</v>
      </c>
      <c r="F1231" t="s">
        <v>2413</v>
      </c>
      <c r="G1231">
        <v>1</v>
      </c>
      <c r="H1231">
        <v>1</v>
      </c>
      <c r="I1231">
        <v>0.01</v>
      </c>
      <c r="J1231">
        <v>1000</v>
      </c>
      <c r="K1231">
        <v>0.63</v>
      </c>
      <c r="L1231">
        <v>98.99</v>
      </c>
      <c r="M1231">
        <v>98.37</v>
      </c>
      <c r="N1231">
        <v>98.15</v>
      </c>
      <c r="O1231">
        <v>98.91</v>
      </c>
      <c r="P1231">
        <v>0</v>
      </c>
      <c r="Q1231">
        <v>0</v>
      </c>
      <c r="R1231">
        <v>0</v>
      </c>
      <c r="S1231">
        <v>98.83</v>
      </c>
      <c r="T1231">
        <v>99.21</v>
      </c>
      <c r="U1231">
        <v>97.81</v>
      </c>
      <c r="V1231">
        <v>99.22</v>
      </c>
      <c r="W1231">
        <v>629518</v>
      </c>
      <c r="X1231">
        <v>98.91</v>
      </c>
      <c r="Y1231">
        <v>98.99</v>
      </c>
      <c r="Z1231">
        <v>98</v>
      </c>
      <c r="AA1231">
        <v>5000000</v>
      </c>
      <c r="AB1231">
        <v>989.9</v>
      </c>
      <c r="AC1231">
        <v>0</v>
      </c>
      <c r="AD1231" t="s">
        <v>94</v>
      </c>
      <c r="AE1231" t="s">
        <v>94</v>
      </c>
      <c r="AF1231" t="s">
        <v>226</v>
      </c>
      <c r="AG1231" t="s">
        <v>226</v>
      </c>
      <c r="AH1231">
        <v>6</v>
      </c>
      <c r="AI1231" t="s">
        <v>3537</v>
      </c>
      <c r="AJ1231" t="s">
        <v>1976</v>
      </c>
      <c r="AK1231" t="s">
        <v>2416</v>
      </c>
      <c r="AL1231" t="s">
        <v>272</v>
      </c>
    </row>
    <row r="1232" spans="1:38">
      <c r="A1232" t="s">
        <v>5640</v>
      </c>
      <c r="B1232" t="s">
        <v>5641</v>
      </c>
      <c r="C1232" t="s">
        <v>5642</v>
      </c>
      <c r="D1232" t="s">
        <v>5642</v>
      </c>
      <c r="E1232" t="s">
        <v>5643</v>
      </c>
      <c r="F1232" t="s">
        <v>2413</v>
      </c>
      <c r="G1232">
        <v>1</v>
      </c>
      <c r="H1232">
        <v>1</v>
      </c>
      <c r="I1232">
        <v>0.01</v>
      </c>
      <c r="J1232">
        <v>1000</v>
      </c>
      <c r="K1232">
        <v>0.36</v>
      </c>
      <c r="L1232">
        <v>94.08</v>
      </c>
      <c r="M1232">
        <v>93.74</v>
      </c>
      <c r="N1232">
        <v>94.12</v>
      </c>
      <c r="O1232">
        <v>94.08</v>
      </c>
      <c r="P1232">
        <v>0</v>
      </c>
      <c r="Q1232">
        <v>0</v>
      </c>
      <c r="R1232">
        <v>0</v>
      </c>
      <c r="S1232">
        <v>93.61</v>
      </c>
      <c r="T1232">
        <v>93.53</v>
      </c>
      <c r="U1232">
        <v>93.51</v>
      </c>
      <c r="V1232">
        <v>94.08</v>
      </c>
      <c r="W1232">
        <v>5617</v>
      </c>
      <c r="X1232">
        <v>94.11</v>
      </c>
      <c r="Y1232">
        <v>94.38</v>
      </c>
      <c r="Z1232">
        <v>4</v>
      </c>
      <c r="AA1232">
        <v>4000000</v>
      </c>
      <c r="AB1232">
        <v>940.8</v>
      </c>
      <c r="AC1232">
        <v>0</v>
      </c>
      <c r="AD1232" t="s">
        <v>94</v>
      </c>
      <c r="AE1232" t="s">
        <v>94</v>
      </c>
      <c r="AF1232" t="s">
        <v>226</v>
      </c>
      <c r="AG1232" t="s">
        <v>226</v>
      </c>
      <c r="AH1232">
        <v>6</v>
      </c>
      <c r="AI1232" t="s">
        <v>3537</v>
      </c>
      <c r="AJ1232" t="s">
        <v>1976</v>
      </c>
      <c r="AK1232" t="s">
        <v>2416</v>
      </c>
      <c r="AL1232" t="s">
        <v>272</v>
      </c>
    </row>
    <row r="1233" spans="1:38">
      <c r="A1233" t="s">
        <v>5644</v>
      </c>
      <c r="B1233" t="s">
        <v>5645</v>
      </c>
      <c r="C1233" t="s">
        <v>5646</v>
      </c>
      <c r="D1233" t="s">
        <v>5646</v>
      </c>
      <c r="E1233" t="s">
        <v>5647</v>
      </c>
      <c r="F1233" t="s">
        <v>2413</v>
      </c>
      <c r="G1233">
        <v>1</v>
      </c>
      <c r="H1233">
        <v>1</v>
      </c>
      <c r="I1233">
        <v>0.01</v>
      </c>
      <c r="J1233">
        <v>1000</v>
      </c>
      <c r="K1233">
        <v>0</v>
      </c>
      <c r="L1233">
        <v>90.19</v>
      </c>
      <c r="M1233">
        <v>89.98</v>
      </c>
      <c r="N1233">
        <v>90.51</v>
      </c>
      <c r="O1233">
        <v>90.19</v>
      </c>
      <c r="P1233">
        <v>0</v>
      </c>
      <c r="Q1233">
        <v>0</v>
      </c>
      <c r="R1233">
        <v>0</v>
      </c>
      <c r="S1233">
        <v>90.14</v>
      </c>
      <c r="T1233">
        <v>90.95</v>
      </c>
      <c r="U1233">
        <v>90.03</v>
      </c>
      <c r="V1233">
        <v>90.95</v>
      </c>
      <c r="W1233">
        <v>271309</v>
      </c>
      <c r="X1233">
        <v>90.04</v>
      </c>
      <c r="Y1233">
        <v>90.19</v>
      </c>
      <c r="Z1233">
        <v>23</v>
      </c>
      <c r="AA1233">
        <v>4000000</v>
      </c>
      <c r="AB1233">
        <v>4509.5</v>
      </c>
      <c r="AC1233">
        <v>0</v>
      </c>
      <c r="AD1233" t="s">
        <v>94</v>
      </c>
      <c r="AE1233" t="s">
        <v>94</v>
      </c>
      <c r="AF1233" t="s">
        <v>226</v>
      </c>
      <c r="AG1233" t="s">
        <v>226</v>
      </c>
      <c r="AH1233">
        <v>6</v>
      </c>
      <c r="AI1233" t="s">
        <v>3537</v>
      </c>
      <c r="AJ1233" t="s">
        <v>1976</v>
      </c>
      <c r="AK1233" t="s">
        <v>2416</v>
      </c>
      <c r="AL1233" t="s">
        <v>272</v>
      </c>
    </row>
    <row r="1234" spans="1:38">
      <c r="A1234" t="s">
        <v>5648</v>
      </c>
      <c r="B1234" t="s">
        <v>5649</v>
      </c>
      <c r="C1234" t="s">
        <v>5650</v>
      </c>
      <c r="D1234" t="s">
        <v>5650</v>
      </c>
      <c r="E1234" t="s">
        <v>5651</v>
      </c>
      <c r="F1234" t="s">
        <v>2413</v>
      </c>
      <c r="G1234">
        <v>1</v>
      </c>
      <c r="H1234">
        <v>1</v>
      </c>
      <c r="I1234">
        <v>0.01</v>
      </c>
      <c r="J1234">
        <v>1000</v>
      </c>
      <c r="K1234">
        <v>-0.19</v>
      </c>
      <c r="L1234">
        <v>89.81</v>
      </c>
      <c r="M1234">
        <v>89.98</v>
      </c>
      <c r="N1234">
        <v>88.4</v>
      </c>
      <c r="O1234">
        <v>89.81</v>
      </c>
      <c r="P1234">
        <v>0</v>
      </c>
      <c r="Q1234">
        <v>0</v>
      </c>
      <c r="R1234">
        <v>0</v>
      </c>
      <c r="S1234">
        <v>89.06</v>
      </c>
      <c r="T1234">
        <v>88.85</v>
      </c>
      <c r="U1234">
        <v>88.85</v>
      </c>
      <c r="V1234">
        <v>90</v>
      </c>
      <c r="W1234">
        <v>232440</v>
      </c>
      <c r="X1234">
        <v>89.14</v>
      </c>
      <c r="Y1234">
        <v>89.81</v>
      </c>
      <c r="Z1234">
        <v>12</v>
      </c>
      <c r="AA1234">
        <v>4000000</v>
      </c>
      <c r="AB1234">
        <v>1796.2</v>
      </c>
      <c r="AC1234">
        <v>0</v>
      </c>
      <c r="AD1234" t="s">
        <v>94</v>
      </c>
      <c r="AE1234" t="s">
        <v>94</v>
      </c>
      <c r="AF1234" t="s">
        <v>226</v>
      </c>
      <c r="AG1234" t="s">
        <v>226</v>
      </c>
      <c r="AH1234">
        <v>6</v>
      </c>
      <c r="AI1234" t="s">
        <v>3537</v>
      </c>
      <c r="AJ1234" t="s">
        <v>1976</v>
      </c>
      <c r="AK1234" t="s">
        <v>2416</v>
      </c>
      <c r="AL1234" t="s">
        <v>272</v>
      </c>
    </row>
    <row r="1235" spans="1:38">
      <c r="A1235" t="s">
        <v>5652</v>
      </c>
      <c r="B1235" t="s">
        <v>5653</v>
      </c>
      <c r="C1235" t="s">
        <v>5654</v>
      </c>
      <c r="D1235" t="s">
        <v>5654</v>
      </c>
      <c r="E1235" t="s">
        <v>5655</v>
      </c>
      <c r="F1235" t="s">
        <v>2413</v>
      </c>
      <c r="G1235">
        <v>1</v>
      </c>
      <c r="H1235">
        <v>1</v>
      </c>
      <c r="I1235">
        <v>0.01</v>
      </c>
      <c r="J1235">
        <v>1000</v>
      </c>
      <c r="K1235">
        <v>0.4</v>
      </c>
      <c r="L1235">
        <v>96.18</v>
      </c>
      <c r="M1235">
        <v>95.8</v>
      </c>
      <c r="N1235">
        <v>95.71</v>
      </c>
      <c r="O1235">
        <v>96.18</v>
      </c>
      <c r="P1235">
        <v>0</v>
      </c>
      <c r="Q1235">
        <v>0</v>
      </c>
      <c r="R1235">
        <v>0</v>
      </c>
      <c r="S1235">
        <v>96.13</v>
      </c>
      <c r="T1235">
        <v>96.18</v>
      </c>
      <c r="U1235">
        <v>95.64</v>
      </c>
      <c r="V1235">
        <v>96.23</v>
      </c>
      <c r="W1235">
        <v>69213</v>
      </c>
      <c r="X1235">
        <v>96.01</v>
      </c>
      <c r="Y1235">
        <v>96.19</v>
      </c>
      <c r="Z1235">
        <v>14</v>
      </c>
      <c r="AA1235">
        <v>5000000</v>
      </c>
      <c r="AB1235">
        <v>961.8</v>
      </c>
      <c r="AC1235">
        <v>0</v>
      </c>
      <c r="AD1235" t="s">
        <v>94</v>
      </c>
      <c r="AE1235" t="s">
        <v>94</v>
      </c>
      <c r="AF1235" t="s">
        <v>226</v>
      </c>
      <c r="AG1235" t="s">
        <v>226</v>
      </c>
      <c r="AH1235">
        <v>6</v>
      </c>
      <c r="AI1235" t="s">
        <v>3537</v>
      </c>
      <c r="AJ1235" t="s">
        <v>1976</v>
      </c>
      <c r="AK1235" t="s">
        <v>2416</v>
      </c>
      <c r="AL1235" t="s">
        <v>272</v>
      </c>
    </row>
    <row r="1236" spans="1:38">
      <c r="A1236" t="s">
        <v>5656</v>
      </c>
      <c r="B1236" t="s">
        <v>5657</v>
      </c>
      <c r="C1236" t="s">
        <v>5658</v>
      </c>
      <c r="D1236" t="s">
        <v>5658</v>
      </c>
      <c r="E1236" t="s">
        <v>5659</v>
      </c>
      <c r="F1236" t="s">
        <v>2425</v>
      </c>
      <c r="G1236">
        <v>3</v>
      </c>
      <c r="H1236">
        <v>1</v>
      </c>
      <c r="I1236">
        <v>1E-4</v>
      </c>
      <c r="J1236">
        <v>1000</v>
      </c>
      <c r="K1236">
        <v>-0.62</v>
      </c>
      <c r="L1236">
        <v>94</v>
      </c>
      <c r="M1236">
        <v>95.137500000000003</v>
      </c>
      <c r="N1236">
        <v>95.632599999999996</v>
      </c>
      <c r="O1236">
        <v>94</v>
      </c>
      <c r="P1236">
        <v>0</v>
      </c>
      <c r="Q1236">
        <v>0</v>
      </c>
      <c r="R1236">
        <v>0</v>
      </c>
      <c r="S1236">
        <v>94.058800000000005</v>
      </c>
      <c r="T1236">
        <v>94.1066</v>
      </c>
      <c r="U1236">
        <v>93.699700000000007</v>
      </c>
      <c r="V1236">
        <v>94.999600000000001</v>
      </c>
      <c r="W1236">
        <v>17179184</v>
      </c>
      <c r="X1236">
        <v>93.610699999999994</v>
      </c>
      <c r="Y1236">
        <v>94</v>
      </c>
      <c r="Z1236">
        <v>68</v>
      </c>
      <c r="AA1236">
        <v>292090</v>
      </c>
      <c r="AB1236">
        <v>299449.59999999998</v>
      </c>
      <c r="AC1236">
        <v>0</v>
      </c>
      <c r="AD1236" t="s">
        <v>2</v>
      </c>
      <c r="AE1236" t="s">
        <v>94</v>
      </c>
      <c r="AF1236" t="s">
        <v>226</v>
      </c>
      <c r="AG1236" t="s">
        <v>226</v>
      </c>
      <c r="AH1236">
        <v>6</v>
      </c>
      <c r="AI1236" t="s">
        <v>3537</v>
      </c>
      <c r="AJ1236" t="s">
        <v>1976</v>
      </c>
      <c r="AK1236" t="s">
        <v>2426</v>
      </c>
      <c r="AL1236" t="s">
        <v>272</v>
      </c>
    </row>
    <row r="1237" spans="1:38">
      <c r="A1237" t="s">
        <v>5660</v>
      </c>
      <c r="B1237" t="s">
        <v>5661</v>
      </c>
      <c r="C1237" t="s">
        <v>5662</v>
      </c>
      <c r="D1237" t="s">
        <v>5662</v>
      </c>
      <c r="E1237" t="s">
        <v>5663</v>
      </c>
      <c r="F1237" t="s">
        <v>2425</v>
      </c>
      <c r="G1237">
        <v>3</v>
      </c>
      <c r="H1237">
        <v>1</v>
      </c>
      <c r="I1237">
        <v>1E-4</v>
      </c>
      <c r="J1237">
        <v>1000</v>
      </c>
      <c r="K1237">
        <v>-1.92</v>
      </c>
      <c r="L1237">
        <v>84.349900000000005</v>
      </c>
      <c r="M1237">
        <v>86.1083</v>
      </c>
      <c r="N1237">
        <v>87.026600000000002</v>
      </c>
      <c r="O1237">
        <v>84.349900000000005</v>
      </c>
      <c r="P1237">
        <v>0</v>
      </c>
      <c r="Q1237">
        <v>0</v>
      </c>
      <c r="R1237">
        <v>0</v>
      </c>
      <c r="S1237">
        <v>82.918199999999999</v>
      </c>
      <c r="T1237">
        <v>87.4191</v>
      </c>
      <c r="U1237">
        <v>81.000100000000003</v>
      </c>
      <c r="V1237">
        <v>87.4191</v>
      </c>
      <c r="W1237">
        <v>21043715</v>
      </c>
      <c r="X1237">
        <v>83.727000000000004</v>
      </c>
      <c r="Y1237">
        <v>84.35</v>
      </c>
      <c r="Z1237">
        <v>61</v>
      </c>
      <c r="AA1237">
        <v>303644</v>
      </c>
      <c r="AB1237">
        <v>89569.3</v>
      </c>
      <c r="AC1237">
        <v>0</v>
      </c>
      <c r="AD1237" t="s">
        <v>2</v>
      </c>
      <c r="AE1237" t="s">
        <v>94</v>
      </c>
      <c r="AF1237" t="s">
        <v>226</v>
      </c>
      <c r="AG1237" t="s">
        <v>226</v>
      </c>
      <c r="AH1237">
        <v>6</v>
      </c>
      <c r="AI1237" t="s">
        <v>3537</v>
      </c>
      <c r="AJ1237" t="s">
        <v>1976</v>
      </c>
      <c r="AK1237" t="s">
        <v>2426</v>
      </c>
      <c r="AL1237" t="s">
        <v>272</v>
      </c>
    </row>
    <row r="1238" spans="1:38">
      <c r="A1238" t="s">
        <v>5664</v>
      </c>
      <c r="B1238" t="s">
        <v>5665</v>
      </c>
      <c r="C1238" t="s">
        <v>5666</v>
      </c>
      <c r="D1238" t="s">
        <v>5666</v>
      </c>
      <c r="E1238" t="s">
        <v>5667</v>
      </c>
      <c r="F1238" t="s">
        <v>2425</v>
      </c>
      <c r="G1238">
        <v>3</v>
      </c>
      <c r="H1238">
        <v>1</v>
      </c>
      <c r="I1238">
        <v>1E-4</v>
      </c>
      <c r="J1238">
        <v>1000</v>
      </c>
      <c r="K1238">
        <v>0.01</v>
      </c>
      <c r="L1238">
        <v>78.274100000000004</v>
      </c>
      <c r="M1238">
        <v>78.75</v>
      </c>
      <c r="N1238">
        <v>78.634500000000003</v>
      </c>
      <c r="O1238">
        <v>78.274100000000004</v>
      </c>
      <c r="P1238">
        <v>0</v>
      </c>
      <c r="Q1238">
        <v>0</v>
      </c>
      <c r="R1238">
        <v>0</v>
      </c>
      <c r="S1238">
        <v>78.357299999999995</v>
      </c>
      <c r="T1238">
        <v>78.271699999999996</v>
      </c>
      <c r="U1238">
        <v>78.271699999999996</v>
      </c>
      <c r="V1238">
        <v>78.745400000000004</v>
      </c>
      <c r="W1238">
        <v>582441</v>
      </c>
      <c r="X1238">
        <v>78.274100000000004</v>
      </c>
      <c r="Y1238">
        <v>78.3</v>
      </c>
      <c r="Z1238">
        <v>7</v>
      </c>
      <c r="AA1238">
        <v>346639</v>
      </c>
      <c r="AB1238">
        <v>83117.539999999994</v>
      </c>
      <c r="AC1238">
        <v>0</v>
      </c>
      <c r="AD1238" t="s">
        <v>2</v>
      </c>
      <c r="AE1238" t="s">
        <v>94</v>
      </c>
      <c r="AF1238" t="s">
        <v>226</v>
      </c>
      <c r="AG1238" t="s">
        <v>226</v>
      </c>
      <c r="AH1238">
        <v>6</v>
      </c>
      <c r="AI1238" t="s">
        <v>3537</v>
      </c>
      <c r="AJ1238" t="s">
        <v>1976</v>
      </c>
      <c r="AK1238" t="s">
        <v>2426</v>
      </c>
      <c r="AL1238" t="s">
        <v>272</v>
      </c>
    </row>
    <row r="1239" spans="1:38">
      <c r="A1239" t="s">
        <v>5668</v>
      </c>
      <c r="B1239" t="s">
        <v>5669</v>
      </c>
      <c r="C1239" t="s">
        <v>5670</v>
      </c>
      <c r="D1239" t="s">
        <v>5670</v>
      </c>
      <c r="E1239" t="s">
        <v>5671</v>
      </c>
      <c r="F1239" t="s">
        <v>2425</v>
      </c>
      <c r="G1239">
        <v>3</v>
      </c>
      <c r="H1239">
        <v>1</v>
      </c>
      <c r="I1239">
        <v>1E-4</v>
      </c>
      <c r="J1239">
        <v>1000</v>
      </c>
      <c r="K1239">
        <v>-0.4</v>
      </c>
      <c r="L1239">
        <v>74.349900000000005</v>
      </c>
      <c r="M1239">
        <v>74.649500000000003</v>
      </c>
      <c r="N1239">
        <v>74.419300000000007</v>
      </c>
      <c r="O1239">
        <v>74.349900000000005</v>
      </c>
      <c r="P1239">
        <v>0</v>
      </c>
      <c r="Q1239">
        <v>0</v>
      </c>
      <c r="R1239">
        <v>0</v>
      </c>
      <c r="S1239">
        <v>74.282700000000006</v>
      </c>
      <c r="T1239">
        <v>73.925700000000006</v>
      </c>
      <c r="U1239">
        <v>73.602400000000003</v>
      </c>
      <c r="V1239">
        <v>74.6494</v>
      </c>
      <c r="W1239">
        <v>1183188</v>
      </c>
      <c r="X1239">
        <v>74.016800000000003</v>
      </c>
      <c r="Y1239">
        <v>74.349999999999994</v>
      </c>
      <c r="Z1239">
        <v>12</v>
      </c>
      <c r="AA1239">
        <v>167099</v>
      </c>
      <c r="AB1239">
        <v>157901.04999999999</v>
      </c>
      <c r="AC1239">
        <v>0</v>
      </c>
      <c r="AD1239" t="s">
        <v>2</v>
      </c>
      <c r="AE1239" t="s">
        <v>94</v>
      </c>
      <c r="AF1239" t="s">
        <v>226</v>
      </c>
      <c r="AG1239" t="s">
        <v>226</v>
      </c>
      <c r="AH1239">
        <v>6</v>
      </c>
      <c r="AI1239" t="s">
        <v>3537</v>
      </c>
      <c r="AJ1239" t="s">
        <v>1976</v>
      </c>
      <c r="AK1239" t="s">
        <v>2426</v>
      </c>
      <c r="AL1239" t="s">
        <v>272</v>
      </c>
    </row>
    <row r="1240" spans="1:38">
      <c r="A1240" t="s">
        <v>5672</v>
      </c>
      <c r="B1240" t="s">
        <v>5673</v>
      </c>
      <c r="C1240" t="s">
        <v>5674</v>
      </c>
      <c r="D1240" t="s">
        <v>5674</v>
      </c>
      <c r="E1240" t="s">
        <v>5675</v>
      </c>
      <c r="F1240" t="s">
        <v>2425</v>
      </c>
      <c r="G1240">
        <v>3</v>
      </c>
      <c r="H1240">
        <v>1</v>
      </c>
      <c r="I1240">
        <v>1E-4</v>
      </c>
      <c r="J1240">
        <v>1000</v>
      </c>
      <c r="K1240">
        <v>-0.65</v>
      </c>
      <c r="L1240">
        <v>70.7</v>
      </c>
      <c r="M1240">
        <v>72</v>
      </c>
      <c r="N1240">
        <v>72.195499999999996</v>
      </c>
      <c r="O1240">
        <v>70.7</v>
      </c>
      <c r="P1240">
        <v>0</v>
      </c>
      <c r="Q1240">
        <v>0</v>
      </c>
      <c r="R1240">
        <v>0</v>
      </c>
      <c r="S1240">
        <v>70.931799999999996</v>
      </c>
      <c r="T1240">
        <v>71.16</v>
      </c>
      <c r="U1240">
        <v>70.7</v>
      </c>
      <c r="V1240">
        <v>71.16</v>
      </c>
      <c r="W1240">
        <v>602567</v>
      </c>
      <c r="X1240">
        <v>70.469300000000004</v>
      </c>
      <c r="Y1240">
        <v>71.199700000000007</v>
      </c>
      <c r="Z1240">
        <v>5</v>
      </c>
      <c r="AA1240">
        <v>141112</v>
      </c>
      <c r="AB1240">
        <v>75074.77</v>
      </c>
      <c r="AC1240">
        <v>0</v>
      </c>
      <c r="AD1240" t="s">
        <v>2</v>
      </c>
      <c r="AE1240" t="s">
        <v>94</v>
      </c>
      <c r="AF1240" t="s">
        <v>226</v>
      </c>
      <c r="AG1240" t="s">
        <v>226</v>
      </c>
      <c r="AH1240">
        <v>6</v>
      </c>
      <c r="AI1240" t="s">
        <v>3537</v>
      </c>
      <c r="AJ1240" t="s">
        <v>1976</v>
      </c>
      <c r="AK1240" t="s">
        <v>2426</v>
      </c>
      <c r="AL1240" t="s">
        <v>272</v>
      </c>
    </row>
    <row r="1241" spans="1:38">
      <c r="A1241" t="s">
        <v>5676</v>
      </c>
      <c r="B1241" t="s">
        <v>5677</v>
      </c>
      <c r="C1241" t="s">
        <v>5678</v>
      </c>
      <c r="D1241" t="s">
        <v>5678</v>
      </c>
      <c r="E1241" t="s">
        <v>5679</v>
      </c>
      <c r="F1241" t="s">
        <v>2413</v>
      </c>
      <c r="G1241">
        <v>3</v>
      </c>
      <c r="H1241">
        <v>1</v>
      </c>
      <c r="I1241">
        <v>0.01</v>
      </c>
      <c r="J1241">
        <v>525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100.01</v>
      </c>
      <c r="Y1241">
        <v>0</v>
      </c>
      <c r="Z1241">
        <v>0</v>
      </c>
      <c r="AA1241">
        <v>35600000</v>
      </c>
      <c r="AB1241">
        <v>0</v>
      </c>
      <c r="AC1241">
        <v>0</v>
      </c>
      <c r="AD1241" t="s">
        <v>94</v>
      </c>
      <c r="AE1241" t="s">
        <v>94</v>
      </c>
      <c r="AF1241" t="s">
        <v>226</v>
      </c>
      <c r="AG1241" t="s">
        <v>226</v>
      </c>
      <c r="AH1241">
        <v>800</v>
      </c>
      <c r="AI1241" t="s">
        <v>3537</v>
      </c>
      <c r="AJ1241" t="s">
        <v>1976</v>
      </c>
      <c r="AK1241" t="s">
        <v>2416</v>
      </c>
      <c r="AL1241" t="s">
        <v>272</v>
      </c>
    </row>
    <row r="1242" spans="1:38">
      <c r="A1242" t="s">
        <v>5680</v>
      </c>
      <c r="B1242" t="s">
        <v>5681</v>
      </c>
      <c r="C1242" t="s">
        <v>5682</v>
      </c>
      <c r="D1242" t="s">
        <v>5682</v>
      </c>
      <c r="E1242" t="s">
        <v>5683</v>
      </c>
      <c r="F1242" t="s">
        <v>2413</v>
      </c>
      <c r="G1242">
        <v>3</v>
      </c>
      <c r="H1242">
        <v>1</v>
      </c>
      <c r="I1242">
        <v>0.01</v>
      </c>
      <c r="J1242">
        <v>1000</v>
      </c>
      <c r="K1242">
        <v>-1.28</v>
      </c>
      <c r="L1242">
        <v>84.7</v>
      </c>
      <c r="M1242">
        <v>85.8</v>
      </c>
      <c r="N1242">
        <v>85.22</v>
      </c>
      <c r="O1242">
        <v>84.7</v>
      </c>
      <c r="P1242">
        <v>0</v>
      </c>
      <c r="Q1242">
        <v>0</v>
      </c>
      <c r="R1242">
        <v>0</v>
      </c>
      <c r="S1242">
        <v>84.56</v>
      </c>
      <c r="T1242">
        <v>85.02</v>
      </c>
      <c r="U1242">
        <v>82.11</v>
      </c>
      <c r="V1242">
        <v>86.95</v>
      </c>
      <c r="W1242">
        <v>878599</v>
      </c>
      <c r="X1242">
        <v>83.97</v>
      </c>
      <c r="Y1242">
        <v>84.78</v>
      </c>
      <c r="Z1242">
        <v>117</v>
      </c>
      <c r="AA1242">
        <v>112470</v>
      </c>
      <c r="AB1242">
        <v>1694</v>
      </c>
      <c r="AC1242">
        <v>0</v>
      </c>
      <c r="AD1242" t="s">
        <v>94</v>
      </c>
      <c r="AE1242" t="s">
        <v>94</v>
      </c>
      <c r="AF1242" t="s">
        <v>304</v>
      </c>
      <c r="AG1242" t="s">
        <v>226</v>
      </c>
      <c r="AH1242">
        <v>0</v>
      </c>
      <c r="AI1242" t="s">
        <v>3537</v>
      </c>
      <c r="AJ1242" t="s">
        <v>1976</v>
      </c>
      <c r="AK1242" t="s">
        <v>2416</v>
      </c>
      <c r="AL1242" t="s">
        <v>272</v>
      </c>
    </row>
    <row r="1243" spans="1:38">
      <c r="A1243" t="s">
        <v>5684</v>
      </c>
      <c r="B1243" t="s">
        <v>5685</v>
      </c>
      <c r="C1243" t="s">
        <v>5686</v>
      </c>
      <c r="D1243" t="s">
        <v>5686</v>
      </c>
      <c r="E1243" t="s">
        <v>5687</v>
      </c>
      <c r="F1243" t="s">
        <v>2425</v>
      </c>
      <c r="G1243">
        <v>3</v>
      </c>
      <c r="H1243">
        <v>1</v>
      </c>
      <c r="I1243">
        <v>0.01</v>
      </c>
      <c r="J1243">
        <v>5000000</v>
      </c>
      <c r="K1243">
        <v>0</v>
      </c>
      <c r="L1243">
        <v>0</v>
      </c>
      <c r="M1243">
        <v>70.010000000000005</v>
      </c>
      <c r="N1243">
        <v>0</v>
      </c>
      <c r="O1243">
        <v>70.010000000000005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55</v>
      </c>
      <c r="Y1243">
        <v>80</v>
      </c>
      <c r="Z1243">
        <v>0</v>
      </c>
      <c r="AA1243">
        <v>24000</v>
      </c>
      <c r="AB1243">
        <v>0</v>
      </c>
      <c r="AC1243">
        <v>0</v>
      </c>
      <c r="AD1243" t="s">
        <v>94</v>
      </c>
      <c r="AE1243" t="s">
        <v>94</v>
      </c>
      <c r="AF1243" t="s">
        <v>304</v>
      </c>
      <c r="AG1243" t="s">
        <v>226</v>
      </c>
      <c r="AH1243">
        <v>0</v>
      </c>
      <c r="AI1243" t="s">
        <v>3537</v>
      </c>
      <c r="AJ1243" t="s">
        <v>1976</v>
      </c>
      <c r="AK1243" t="s">
        <v>2426</v>
      </c>
      <c r="AL1243" t="s">
        <v>272</v>
      </c>
    </row>
    <row r="1244" spans="1:38">
      <c r="A1244" t="s">
        <v>5688</v>
      </c>
      <c r="B1244" t="s">
        <v>5689</v>
      </c>
      <c r="C1244" t="s">
        <v>5690</v>
      </c>
      <c r="D1244" t="s">
        <v>5690</v>
      </c>
      <c r="E1244" t="s">
        <v>5691</v>
      </c>
      <c r="F1244" t="s">
        <v>2425</v>
      </c>
      <c r="G1244">
        <v>3</v>
      </c>
      <c r="H1244">
        <v>1</v>
      </c>
      <c r="I1244">
        <v>1E-4</v>
      </c>
      <c r="J1244">
        <v>1000</v>
      </c>
      <c r="K1244">
        <v>0.76</v>
      </c>
      <c r="L1244">
        <v>53.305500000000002</v>
      </c>
      <c r="M1244">
        <v>54.504800000000003</v>
      </c>
      <c r="N1244">
        <v>54.553100000000001</v>
      </c>
      <c r="O1244">
        <v>53.353999999999999</v>
      </c>
      <c r="P1244">
        <v>0</v>
      </c>
      <c r="Q1244">
        <v>0</v>
      </c>
      <c r="R1244">
        <v>0</v>
      </c>
      <c r="S1244">
        <v>53.158200000000001</v>
      </c>
      <c r="T1244">
        <v>54</v>
      </c>
      <c r="U1244">
        <v>52.903199999999998</v>
      </c>
      <c r="V1244">
        <v>54</v>
      </c>
      <c r="W1244">
        <v>9088051</v>
      </c>
      <c r="X1244">
        <v>53.303600000000003</v>
      </c>
      <c r="Y1244">
        <v>53.306199999999997</v>
      </c>
      <c r="Z1244">
        <v>42</v>
      </c>
      <c r="AA1244">
        <v>1069041</v>
      </c>
      <c r="AB1244">
        <v>56603.94</v>
      </c>
      <c r="AC1244">
        <v>0</v>
      </c>
      <c r="AD1244" t="s">
        <v>2</v>
      </c>
      <c r="AE1244" t="s">
        <v>94</v>
      </c>
      <c r="AF1244" t="s">
        <v>226</v>
      </c>
      <c r="AG1244" t="s">
        <v>226</v>
      </c>
      <c r="AH1244">
        <v>0</v>
      </c>
      <c r="AI1244" t="s">
        <v>3537</v>
      </c>
      <c r="AJ1244" t="s">
        <v>1976</v>
      </c>
      <c r="AK1244" t="s">
        <v>2426</v>
      </c>
      <c r="AL1244" t="s">
        <v>272</v>
      </c>
    </row>
    <row r="1245" spans="1:38">
      <c r="A1245" t="s">
        <v>5692</v>
      </c>
      <c r="B1245" t="s">
        <v>5693</v>
      </c>
      <c r="C1245" t="s">
        <v>5694</v>
      </c>
      <c r="D1245" t="s">
        <v>5694</v>
      </c>
      <c r="E1245" t="s">
        <v>5695</v>
      </c>
      <c r="F1245" t="s">
        <v>2425</v>
      </c>
      <c r="G1245">
        <v>3</v>
      </c>
      <c r="H1245">
        <v>1</v>
      </c>
      <c r="I1245">
        <v>1E-4</v>
      </c>
      <c r="J1245">
        <v>1000</v>
      </c>
      <c r="K1245">
        <v>1.01</v>
      </c>
      <c r="L1245">
        <v>96.698400000000007</v>
      </c>
      <c r="M1245">
        <v>96.89</v>
      </c>
      <c r="N1245">
        <v>95.703299999999999</v>
      </c>
      <c r="O1245">
        <v>96.698400000000007</v>
      </c>
      <c r="P1245">
        <v>0</v>
      </c>
      <c r="Q1245">
        <v>0</v>
      </c>
      <c r="R1245">
        <v>0</v>
      </c>
      <c r="S1245">
        <v>95.823599999999999</v>
      </c>
      <c r="T1245">
        <v>95.783600000000007</v>
      </c>
      <c r="U1245">
        <v>94.8</v>
      </c>
      <c r="V1245">
        <v>96.7</v>
      </c>
      <c r="W1245">
        <v>21360968</v>
      </c>
      <c r="X1245">
        <v>95.156999999999996</v>
      </c>
      <c r="Y1245">
        <v>96.698400000000007</v>
      </c>
      <c r="Z1245">
        <v>37</v>
      </c>
      <c r="AA1245">
        <v>305326</v>
      </c>
      <c r="AB1245">
        <v>324964.64</v>
      </c>
      <c r="AC1245">
        <v>0</v>
      </c>
      <c r="AD1245" t="s">
        <v>4</v>
      </c>
      <c r="AE1245" t="s">
        <v>94</v>
      </c>
      <c r="AF1245" t="s">
        <v>226</v>
      </c>
      <c r="AG1245" t="s">
        <v>226</v>
      </c>
      <c r="AH1245">
        <v>-100</v>
      </c>
      <c r="AI1245" t="s">
        <v>3537</v>
      </c>
      <c r="AJ1245" t="s">
        <v>1976</v>
      </c>
      <c r="AK1245" t="s">
        <v>2426</v>
      </c>
      <c r="AL1245" t="s">
        <v>272</v>
      </c>
    </row>
    <row r="1246" spans="1:38">
      <c r="A1246" t="s">
        <v>5696</v>
      </c>
      <c r="B1246" t="s">
        <v>5697</v>
      </c>
      <c r="C1246" t="s">
        <v>5698</v>
      </c>
      <c r="D1246" t="s">
        <v>5698</v>
      </c>
      <c r="E1246" t="s">
        <v>5699</v>
      </c>
      <c r="F1246" t="s">
        <v>2425</v>
      </c>
      <c r="G1246">
        <v>3</v>
      </c>
      <c r="H1246">
        <v>1</v>
      </c>
      <c r="I1246">
        <v>1E-4</v>
      </c>
      <c r="J1246">
        <v>1000</v>
      </c>
      <c r="K1246">
        <v>0.17</v>
      </c>
      <c r="L1246">
        <v>94.010099999999994</v>
      </c>
      <c r="M1246">
        <v>95.8</v>
      </c>
      <c r="N1246">
        <v>95.688299999999998</v>
      </c>
      <c r="O1246">
        <v>94.010099999999994</v>
      </c>
      <c r="P1246">
        <v>0</v>
      </c>
      <c r="Q1246">
        <v>0</v>
      </c>
      <c r="R1246">
        <v>0</v>
      </c>
      <c r="S1246">
        <v>94.297399999999996</v>
      </c>
      <c r="T1246">
        <v>95.989000000000004</v>
      </c>
      <c r="U1246">
        <v>94.010099999999994</v>
      </c>
      <c r="V1246">
        <v>95.989000000000004</v>
      </c>
      <c r="W1246">
        <v>8767453</v>
      </c>
      <c r="X1246">
        <v>94.068100000000001</v>
      </c>
      <c r="Y1246">
        <v>95.583600000000004</v>
      </c>
      <c r="Z1246">
        <v>15</v>
      </c>
      <c r="AA1246">
        <v>720525</v>
      </c>
      <c r="AB1246">
        <v>105310.11</v>
      </c>
      <c r="AC1246">
        <v>0</v>
      </c>
      <c r="AD1246" t="s">
        <v>4</v>
      </c>
      <c r="AE1246" t="s">
        <v>94</v>
      </c>
      <c r="AF1246" t="s">
        <v>226</v>
      </c>
      <c r="AG1246" t="s">
        <v>226</v>
      </c>
      <c r="AH1246">
        <v>-100</v>
      </c>
      <c r="AI1246" t="s">
        <v>3537</v>
      </c>
      <c r="AJ1246" t="s">
        <v>1976</v>
      </c>
      <c r="AK1246" t="s">
        <v>2426</v>
      </c>
      <c r="AL1246" t="s">
        <v>272</v>
      </c>
    </row>
    <row r="1247" spans="1:38">
      <c r="A1247" t="s">
        <v>5700</v>
      </c>
      <c r="B1247" t="s">
        <v>5701</v>
      </c>
      <c r="C1247" t="s">
        <v>5702</v>
      </c>
      <c r="D1247" t="s">
        <v>5702</v>
      </c>
      <c r="E1247" t="s">
        <v>5703</v>
      </c>
      <c r="F1247" t="s">
        <v>2425</v>
      </c>
      <c r="G1247">
        <v>3</v>
      </c>
      <c r="H1247">
        <v>1</v>
      </c>
      <c r="I1247">
        <v>1E-4</v>
      </c>
      <c r="J1247">
        <v>1000</v>
      </c>
      <c r="K1247">
        <v>0.21</v>
      </c>
      <c r="L1247">
        <v>92.459299999999999</v>
      </c>
      <c r="M1247">
        <v>93.148899999999998</v>
      </c>
      <c r="N1247">
        <v>93.358599999999996</v>
      </c>
      <c r="O1247">
        <v>92.469499999999996</v>
      </c>
      <c r="P1247">
        <v>0</v>
      </c>
      <c r="Q1247">
        <v>0</v>
      </c>
      <c r="R1247">
        <v>0</v>
      </c>
      <c r="S1247">
        <v>92.738699999999994</v>
      </c>
      <c r="T1247">
        <v>92.325900000000004</v>
      </c>
      <c r="U1247">
        <v>91.821299999999994</v>
      </c>
      <c r="V1247">
        <v>93.417000000000002</v>
      </c>
      <c r="W1247">
        <v>71494434</v>
      </c>
      <c r="X1247">
        <v>92.000299999999996</v>
      </c>
      <c r="Y1247">
        <v>92.438199999999995</v>
      </c>
      <c r="Z1247">
        <v>52</v>
      </c>
      <c r="AA1247">
        <v>892081</v>
      </c>
      <c r="AB1247">
        <v>98180.5</v>
      </c>
      <c r="AC1247">
        <v>0</v>
      </c>
      <c r="AD1247" t="s">
        <v>2</v>
      </c>
      <c r="AE1247" t="s">
        <v>94</v>
      </c>
      <c r="AF1247" t="s">
        <v>226</v>
      </c>
      <c r="AG1247" t="s">
        <v>226</v>
      </c>
      <c r="AH1247">
        <v>-100</v>
      </c>
      <c r="AI1247" t="s">
        <v>3537</v>
      </c>
      <c r="AJ1247" t="s">
        <v>1976</v>
      </c>
      <c r="AK1247" t="s">
        <v>2426</v>
      </c>
      <c r="AL1247" t="s">
        <v>272</v>
      </c>
    </row>
    <row r="1248" spans="1:38">
      <c r="A1248" t="s">
        <v>5704</v>
      </c>
      <c r="B1248" t="s">
        <v>5705</v>
      </c>
      <c r="C1248" t="s">
        <v>5706</v>
      </c>
      <c r="D1248" t="s">
        <v>5706</v>
      </c>
      <c r="E1248" t="s">
        <v>5707</v>
      </c>
      <c r="F1248" t="s">
        <v>2425</v>
      </c>
      <c r="G1248">
        <v>3</v>
      </c>
      <c r="H1248">
        <v>1</v>
      </c>
      <c r="I1248">
        <v>1E-4</v>
      </c>
      <c r="J1248">
        <v>1000</v>
      </c>
      <c r="K1248">
        <v>-0.92</v>
      </c>
      <c r="L1248">
        <v>88.479799999999997</v>
      </c>
      <c r="M1248">
        <v>89.299899999999994</v>
      </c>
      <c r="N1248">
        <v>88.818600000000004</v>
      </c>
      <c r="O1248">
        <v>88.479799999999997</v>
      </c>
      <c r="P1248">
        <v>0</v>
      </c>
      <c r="Q1248">
        <v>0</v>
      </c>
      <c r="R1248">
        <v>0</v>
      </c>
      <c r="S1248">
        <v>88.056899999999999</v>
      </c>
      <c r="T1248">
        <v>88.128</v>
      </c>
      <c r="U1248">
        <v>87.664000000000001</v>
      </c>
      <c r="V1248">
        <v>89.1</v>
      </c>
      <c r="W1248">
        <v>4241577</v>
      </c>
      <c r="X1248">
        <v>87.745199999999997</v>
      </c>
      <c r="Y1248">
        <v>88.438699999999997</v>
      </c>
      <c r="Z1248">
        <v>15</v>
      </c>
      <c r="AA1248">
        <v>457455</v>
      </c>
      <c r="AB1248">
        <v>99115.07</v>
      </c>
      <c r="AC1248">
        <v>0</v>
      </c>
      <c r="AD1248" t="s">
        <v>4</v>
      </c>
      <c r="AE1248" t="s">
        <v>94</v>
      </c>
      <c r="AF1248" t="s">
        <v>226</v>
      </c>
      <c r="AG1248" t="s">
        <v>226</v>
      </c>
      <c r="AH1248">
        <v>-100</v>
      </c>
      <c r="AI1248" t="s">
        <v>3537</v>
      </c>
      <c r="AJ1248" t="s">
        <v>1976</v>
      </c>
      <c r="AK1248" t="s">
        <v>2426</v>
      </c>
      <c r="AL1248" t="s">
        <v>272</v>
      </c>
    </row>
    <row r="1249" spans="1:38">
      <c r="A1249" t="s">
        <v>5708</v>
      </c>
      <c r="B1249" t="s">
        <v>2661</v>
      </c>
      <c r="C1249" t="s">
        <v>2662</v>
      </c>
      <c r="D1249" t="s">
        <v>2662</v>
      </c>
      <c r="E1249" t="s">
        <v>2663</v>
      </c>
      <c r="F1249" t="s">
        <v>2425</v>
      </c>
      <c r="G1249">
        <v>3</v>
      </c>
      <c r="H1249">
        <v>1</v>
      </c>
      <c r="I1249">
        <v>0.01</v>
      </c>
      <c r="J1249">
        <v>1000</v>
      </c>
      <c r="K1249">
        <v>-0.5</v>
      </c>
      <c r="L1249">
        <v>85.56</v>
      </c>
      <c r="M1249">
        <v>86.97</v>
      </c>
      <c r="N1249">
        <v>87.92</v>
      </c>
      <c r="O1249">
        <v>85.16</v>
      </c>
      <c r="P1249">
        <v>0</v>
      </c>
      <c r="Q1249">
        <v>0</v>
      </c>
      <c r="R1249">
        <v>0</v>
      </c>
      <c r="S1249">
        <v>85.31</v>
      </c>
      <c r="T1249">
        <v>86.08</v>
      </c>
      <c r="U1249">
        <v>85.06</v>
      </c>
      <c r="V1249">
        <v>86.08</v>
      </c>
      <c r="W1249">
        <v>7881089</v>
      </c>
      <c r="X1249">
        <v>85.09</v>
      </c>
      <c r="Y1249">
        <v>85.41</v>
      </c>
      <c r="Z1249">
        <v>40</v>
      </c>
      <c r="AA1249">
        <v>402348</v>
      </c>
      <c r="AB1249">
        <v>90854.28</v>
      </c>
      <c r="AC1249">
        <v>0</v>
      </c>
      <c r="AD1249" t="s">
        <v>2</v>
      </c>
      <c r="AE1249" t="s">
        <v>94</v>
      </c>
      <c r="AF1249" t="s">
        <v>226</v>
      </c>
      <c r="AG1249" t="s">
        <v>226</v>
      </c>
      <c r="AH1249">
        <v>-100</v>
      </c>
      <c r="AI1249" t="s">
        <v>3537</v>
      </c>
      <c r="AJ1249" t="s">
        <v>1976</v>
      </c>
      <c r="AK1249" t="s">
        <v>2426</v>
      </c>
      <c r="AL1249" t="s">
        <v>272</v>
      </c>
    </row>
    <row r="1250" spans="1:38">
      <c r="A1250" t="s">
        <v>5709</v>
      </c>
      <c r="B1250" t="s">
        <v>5710</v>
      </c>
      <c r="C1250" t="s">
        <v>150</v>
      </c>
      <c r="D1250" t="s">
        <v>150</v>
      </c>
      <c r="E1250" t="s">
        <v>151</v>
      </c>
      <c r="F1250" t="s">
        <v>2425</v>
      </c>
      <c r="G1250">
        <v>3</v>
      </c>
      <c r="H1250">
        <v>1</v>
      </c>
      <c r="I1250">
        <v>1E-4</v>
      </c>
      <c r="J1250">
        <v>1000</v>
      </c>
      <c r="K1250">
        <v>-0.32</v>
      </c>
      <c r="L1250">
        <v>80.737499999999997</v>
      </c>
      <c r="M1250">
        <v>81.588499999999996</v>
      </c>
      <c r="N1250">
        <v>82.298699999999997</v>
      </c>
      <c r="O1250">
        <v>80.731999999999999</v>
      </c>
      <c r="P1250">
        <v>0</v>
      </c>
      <c r="Q1250">
        <v>0</v>
      </c>
      <c r="R1250">
        <v>0</v>
      </c>
      <c r="S1250">
        <v>80.693600000000004</v>
      </c>
      <c r="T1250">
        <v>81.374300000000005</v>
      </c>
      <c r="U1250">
        <v>80.464500000000001</v>
      </c>
      <c r="V1250">
        <v>81.391599999999997</v>
      </c>
      <c r="W1250">
        <v>6169444</v>
      </c>
      <c r="X1250">
        <v>80.539699999999996</v>
      </c>
      <c r="Y1250">
        <v>80.978499999999997</v>
      </c>
      <c r="Z1250">
        <v>19</v>
      </c>
      <c r="AA1250">
        <v>628751</v>
      </c>
      <c r="AB1250">
        <v>85733.38</v>
      </c>
      <c r="AC1250">
        <v>0</v>
      </c>
      <c r="AD1250" t="s">
        <v>2</v>
      </c>
      <c r="AE1250" t="s">
        <v>94</v>
      </c>
      <c r="AF1250" t="s">
        <v>226</v>
      </c>
      <c r="AG1250" t="s">
        <v>226</v>
      </c>
      <c r="AH1250">
        <v>-100</v>
      </c>
      <c r="AI1250" t="s">
        <v>3537</v>
      </c>
      <c r="AJ1250" t="s">
        <v>1976</v>
      </c>
      <c r="AK1250" t="s">
        <v>2426</v>
      </c>
      <c r="AL1250" t="s">
        <v>272</v>
      </c>
    </row>
    <row r="1251" spans="1:38">
      <c r="A1251" t="s">
        <v>5711</v>
      </c>
      <c r="B1251" t="s">
        <v>5712</v>
      </c>
      <c r="C1251" t="s">
        <v>5713</v>
      </c>
      <c r="D1251" t="s">
        <v>5713</v>
      </c>
      <c r="E1251" t="s">
        <v>5714</v>
      </c>
      <c r="F1251" t="s">
        <v>2425</v>
      </c>
      <c r="G1251">
        <v>3</v>
      </c>
      <c r="H1251">
        <v>1</v>
      </c>
      <c r="I1251">
        <v>1E-4</v>
      </c>
      <c r="J1251">
        <v>1000</v>
      </c>
      <c r="K1251">
        <v>-0.79</v>
      </c>
      <c r="L1251">
        <v>79.143000000000001</v>
      </c>
      <c r="M1251">
        <v>79.799000000000007</v>
      </c>
      <c r="N1251">
        <v>79.094300000000004</v>
      </c>
      <c r="O1251">
        <v>79.143000000000001</v>
      </c>
      <c r="P1251">
        <v>0</v>
      </c>
      <c r="Q1251">
        <v>0</v>
      </c>
      <c r="R1251">
        <v>0</v>
      </c>
      <c r="S1251">
        <v>79.913300000000007</v>
      </c>
      <c r="T1251">
        <v>79.770499999999998</v>
      </c>
      <c r="U1251">
        <v>79.025099999999995</v>
      </c>
      <c r="V1251">
        <v>80</v>
      </c>
      <c r="W1251">
        <v>3938830</v>
      </c>
      <c r="X1251">
        <v>79.204499999999996</v>
      </c>
      <c r="Y1251">
        <v>80.366900000000001</v>
      </c>
      <c r="Z1251">
        <v>8</v>
      </c>
      <c r="AA1251">
        <v>473499</v>
      </c>
      <c r="AB1251">
        <v>177311.98</v>
      </c>
      <c r="AC1251">
        <v>0</v>
      </c>
      <c r="AD1251" t="s">
        <v>4</v>
      </c>
      <c r="AE1251" t="s">
        <v>94</v>
      </c>
      <c r="AF1251" t="s">
        <v>226</v>
      </c>
      <c r="AG1251" t="s">
        <v>226</v>
      </c>
      <c r="AH1251">
        <v>-100</v>
      </c>
      <c r="AI1251" t="s">
        <v>3537</v>
      </c>
      <c r="AJ1251" t="s">
        <v>1976</v>
      </c>
      <c r="AK1251" t="s">
        <v>2426</v>
      </c>
      <c r="AL1251" t="s">
        <v>272</v>
      </c>
    </row>
    <row r="1252" spans="1:38">
      <c r="A1252" t="s">
        <v>5715</v>
      </c>
      <c r="B1252" t="s">
        <v>5716</v>
      </c>
      <c r="C1252" t="s">
        <v>5717</v>
      </c>
      <c r="D1252" t="s">
        <v>5717</v>
      </c>
      <c r="E1252" t="s">
        <v>5718</v>
      </c>
      <c r="F1252" t="s">
        <v>2425</v>
      </c>
      <c r="G1252">
        <v>3</v>
      </c>
      <c r="H1252">
        <v>1</v>
      </c>
      <c r="I1252">
        <v>1E-4</v>
      </c>
      <c r="J1252">
        <v>5000</v>
      </c>
      <c r="K1252">
        <v>0</v>
      </c>
      <c r="L1252">
        <v>0</v>
      </c>
      <c r="M1252">
        <v>80</v>
      </c>
      <c r="N1252">
        <v>79.911100000000005</v>
      </c>
      <c r="O1252">
        <v>80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76.001499999999993</v>
      </c>
      <c r="Y1252">
        <v>78.989999999999995</v>
      </c>
      <c r="Z1252">
        <v>0</v>
      </c>
      <c r="AA1252">
        <v>34637</v>
      </c>
      <c r="AB1252">
        <v>0</v>
      </c>
      <c r="AC1252">
        <v>0</v>
      </c>
      <c r="AD1252" t="s">
        <v>5719</v>
      </c>
      <c r="AE1252" t="s">
        <v>94</v>
      </c>
      <c r="AF1252" t="s">
        <v>226</v>
      </c>
      <c r="AG1252" t="s">
        <v>226</v>
      </c>
      <c r="AH1252">
        <v>-100</v>
      </c>
      <c r="AI1252" t="s">
        <v>3537</v>
      </c>
      <c r="AJ1252" t="s">
        <v>1976</v>
      </c>
      <c r="AK1252" t="s">
        <v>2426</v>
      </c>
      <c r="AL1252" t="s">
        <v>272</v>
      </c>
    </row>
    <row r="1253" spans="1:38">
      <c r="A1253" t="s">
        <v>5720</v>
      </c>
      <c r="B1253" t="s">
        <v>5721</v>
      </c>
      <c r="C1253" t="s">
        <v>5722</v>
      </c>
      <c r="D1253" t="s">
        <v>5722</v>
      </c>
      <c r="E1253" t="s">
        <v>5723</v>
      </c>
      <c r="F1253" t="s">
        <v>2425</v>
      </c>
      <c r="G1253">
        <v>3</v>
      </c>
      <c r="H1253">
        <v>1</v>
      </c>
      <c r="I1253">
        <v>1E-4</v>
      </c>
      <c r="J1253">
        <v>1000</v>
      </c>
      <c r="K1253">
        <v>0.49</v>
      </c>
      <c r="L1253">
        <v>82.2</v>
      </c>
      <c r="M1253">
        <v>82.247</v>
      </c>
      <c r="N1253">
        <v>81.855900000000005</v>
      </c>
      <c r="O1253">
        <v>82.2</v>
      </c>
      <c r="P1253">
        <v>0</v>
      </c>
      <c r="Q1253">
        <v>0</v>
      </c>
      <c r="R1253">
        <v>0</v>
      </c>
      <c r="S1253">
        <v>82.183099999999996</v>
      </c>
      <c r="T1253">
        <v>81.000299999999996</v>
      </c>
      <c r="U1253">
        <v>81.000299999999996</v>
      </c>
      <c r="V1253">
        <v>82.489900000000006</v>
      </c>
      <c r="W1253">
        <v>3490738</v>
      </c>
      <c r="X1253">
        <v>82.15</v>
      </c>
      <c r="Y1253">
        <v>82.2</v>
      </c>
      <c r="Z1253">
        <v>22</v>
      </c>
      <c r="AA1253">
        <v>410083</v>
      </c>
      <c r="AB1253">
        <v>87286.37</v>
      </c>
      <c r="AC1253">
        <v>0</v>
      </c>
      <c r="AD1253" t="s">
        <v>2</v>
      </c>
      <c r="AE1253" t="s">
        <v>94</v>
      </c>
      <c r="AF1253" t="s">
        <v>226</v>
      </c>
      <c r="AG1253" t="s">
        <v>226</v>
      </c>
      <c r="AH1253">
        <v>-100</v>
      </c>
      <c r="AI1253" t="s">
        <v>3537</v>
      </c>
      <c r="AJ1253" t="s">
        <v>1976</v>
      </c>
      <c r="AK1253" t="s">
        <v>2426</v>
      </c>
      <c r="AL1253" t="s">
        <v>272</v>
      </c>
    </row>
    <row r="1254" spans="1:38">
      <c r="A1254" t="s">
        <v>5724</v>
      </c>
      <c r="B1254" t="s">
        <v>2665</v>
      </c>
      <c r="C1254" t="s">
        <v>2666</v>
      </c>
      <c r="D1254" t="s">
        <v>2666</v>
      </c>
      <c r="E1254" t="s">
        <v>2667</v>
      </c>
      <c r="F1254" t="s">
        <v>2425</v>
      </c>
      <c r="G1254">
        <v>3</v>
      </c>
      <c r="H1254">
        <v>1</v>
      </c>
      <c r="I1254">
        <v>1E-4</v>
      </c>
      <c r="J1254">
        <v>1000</v>
      </c>
      <c r="K1254">
        <v>-1.5</v>
      </c>
      <c r="L1254">
        <v>68.946799999999996</v>
      </c>
      <c r="M1254">
        <v>70.489999999999995</v>
      </c>
      <c r="N1254">
        <v>70.200699999999998</v>
      </c>
      <c r="O1254">
        <v>68.946799999999996</v>
      </c>
      <c r="P1254">
        <v>0</v>
      </c>
      <c r="Q1254">
        <v>0</v>
      </c>
      <c r="R1254">
        <v>0</v>
      </c>
      <c r="S1254">
        <v>69.386499999999998</v>
      </c>
      <c r="T1254">
        <v>69.5017</v>
      </c>
      <c r="U1254">
        <v>68.946799999999996</v>
      </c>
      <c r="V1254">
        <v>70.2196</v>
      </c>
      <c r="W1254">
        <v>2642709</v>
      </c>
      <c r="X1254">
        <v>67.789100000000005</v>
      </c>
      <c r="Y1254">
        <v>68.938000000000002</v>
      </c>
      <c r="Z1254">
        <v>23</v>
      </c>
      <c r="AA1254">
        <v>343388</v>
      </c>
      <c r="AB1254">
        <v>77234.210000000006</v>
      </c>
      <c r="AC1254">
        <v>0</v>
      </c>
      <c r="AD1254" t="s">
        <v>4</v>
      </c>
      <c r="AE1254" t="s">
        <v>94</v>
      </c>
      <c r="AF1254" t="s">
        <v>226</v>
      </c>
      <c r="AG1254" t="s">
        <v>226</v>
      </c>
      <c r="AH1254">
        <v>-100</v>
      </c>
      <c r="AI1254" t="s">
        <v>3537</v>
      </c>
      <c r="AJ1254" t="s">
        <v>1976</v>
      </c>
      <c r="AK1254" t="s">
        <v>2426</v>
      </c>
      <c r="AL1254" t="s">
        <v>272</v>
      </c>
    </row>
    <row r="1255" spans="1:38">
      <c r="A1255" t="s">
        <v>5725</v>
      </c>
      <c r="B1255" t="s">
        <v>5726</v>
      </c>
      <c r="C1255" t="s">
        <v>5727</v>
      </c>
      <c r="D1255" t="s">
        <v>5727</v>
      </c>
      <c r="E1255" t="s">
        <v>5728</v>
      </c>
      <c r="F1255" t="s">
        <v>2425</v>
      </c>
      <c r="G1255">
        <v>3</v>
      </c>
      <c r="H1255">
        <v>1</v>
      </c>
      <c r="I1255">
        <v>1E-4</v>
      </c>
      <c r="J1255">
        <v>1000</v>
      </c>
      <c r="K1255">
        <v>-0.82</v>
      </c>
      <c r="L1255">
        <v>69.33</v>
      </c>
      <c r="M1255">
        <v>69.930000000000007</v>
      </c>
      <c r="N1255">
        <v>71.155199999999994</v>
      </c>
      <c r="O1255">
        <v>69.366200000000006</v>
      </c>
      <c r="P1255">
        <v>0</v>
      </c>
      <c r="Q1255">
        <v>0</v>
      </c>
      <c r="R1255">
        <v>0</v>
      </c>
      <c r="S1255">
        <v>69.623999999999995</v>
      </c>
      <c r="T1255">
        <v>70.5</v>
      </c>
      <c r="U1255">
        <v>69.3262</v>
      </c>
      <c r="V1255">
        <v>70.5</v>
      </c>
      <c r="W1255">
        <v>2291898</v>
      </c>
      <c r="X1255">
        <v>69</v>
      </c>
      <c r="Y1255">
        <v>69.498800000000003</v>
      </c>
      <c r="Z1255">
        <v>20</v>
      </c>
      <c r="AA1255">
        <v>1171512</v>
      </c>
      <c r="AB1255">
        <v>73620</v>
      </c>
      <c r="AC1255">
        <v>0</v>
      </c>
      <c r="AD1255" t="s">
        <v>2</v>
      </c>
      <c r="AE1255" t="s">
        <v>94</v>
      </c>
      <c r="AF1255" t="s">
        <v>226</v>
      </c>
      <c r="AG1255" t="s">
        <v>226</v>
      </c>
      <c r="AH1255">
        <v>-100</v>
      </c>
      <c r="AI1255" t="s">
        <v>3537</v>
      </c>
      <c r="AJ1255" t="s">
        <v>1976</v>
      </c>
      <c r="AK1255" t="s">
        <v>2426</v>
      </c>
      <c r="AL1255" t="s">
        <v>272</v>
      </c>
    </row>
    <row r="1256" spans="1:38">
      <c r="A1256" t="s">
        <v>5729</v>
      </c>
      <c r="B1256" t="s">
        <v>5730</v>
      </c>
      <c r="C1256" t="s">
        <v>5731</v>
      </c>
      <c r="D1256" t="s">
        <v>5731</v>
      </c>
      <c r="E1256" t="s">
        <v>5732</v>
      </c>
      <c r="F1256" t="s">
        <v>2425</v>
      </c>
      <c r="G1256">
        <v>3</v>
      </c>
      <c r="H1256">
        <v>1</v>
      </c>
      <c r="I1256">
        <v>1E-4</v>
      </c>
      <c r="J1256">
        <v>1000</v>
      </c>
      <c r="K1256">
        <v>0.27</v>
      </c>
      <c r="L1256">
        <v>64.998599999999996</v>
      </c>
      <c r="M1256">
        <v>65.39</v>
      </c>
      <c r="N1256">
        <v>65.674800000000005</v>
      </c>
      <c r="O1256">
        <v>64.998599999999996</v>
      </c>
      <c r="P1256">
        <v>0</v>
      </c>
      <c r="Q1256">
        <v>0</v>
      </c>
      <c r="R1256">
        <v>0</v>
      </c>
      <c r="S1256">
        <v>64.774199999999993</v>
      </c>
      <c r="T1256">
        <v>64.600700000000003</v>
      </c>
      <c r="U1256">
        <v>64.600099999999998</v>
      </c>
      <c r="V1256">
        <v>65.400000000000006</v>
      </c>
      <c r="W1256">
        <v>21047390</v>
      </c>
      <c r="X1256">
        <v>64.696299999999994</v>
      </c>
      <c r="Y1256">
        <v>64.998599999999996</v>
      </c>
      <c r="Z1256">
        <v>89</v>
      </c>
      <c r="AA1256">
        <v>1463726</v>
      </c>
      <c r="AB1256">
        <v>69020.58</v>
      </c>
      <c r="AC1256">
        <v>0</v>
      </c>
      <c r="AD1256" t="s">
        <v>2</v>
      </c>
      <c r="AE1256" t="s">
        <v>94</v>
      </c>
      <c r="AF1256" t="s">
        <v>226</v>
      </c>
      <c r="AG1256" t="s">
        <v>226</v>
      </c>
      <c r="AH1256">
        <v>-100</v>
      </c>
      <c r="AI1256" t="s">
        <v>3537</v>
      </c>
      <c r="AJ1256" t="s">
        <v>1976</v>
      </c>
      <c r="AK1256" t="s">
        <v>2426</v>
      </c>
      <c r="AL1256" t="s">
        <v>272</v>
      </c>
    </row>
    <row r="1257" spans="1:38">
      <c r="A1257" t="s">
        <v>5733</v>
      </c>
      <c r="B1257" t="s">
        <v>5734</v>
      </c>
      <c r="C1257" t="s">
        <v>5735</v>
      </c>
      <c r="D1257" t="s">
        <v>5735</v>
      </c>
      <c r="E1257" t="s">
        <v>5736</v>
      </c>
      <c r="F1257" t="s">
        <v>2425</v>
      </c>
      <c r="G1257">
        <v>3</v>
      </c>
      <c r="H1257">
        <v>1</v>
      </c>
      <c r="I1257">
        <v>1E-4</v>
      </c>
      <c r="J1257">
        <v>1000</v>
      </c>
      <c r="K1257">
        <v>0.8</v>
      </c>
      <c r="L1257">
        <v>62.6</v>
      </c>
      <c r="M1257">
        <v>62.647799999999997</v>
      </c>
      <c r="N1257">
        <v>62.483800000000002</v>
      </c>
      <c r="O1257">
        <v>62.6</v>
      </c>
      <c r="P1257">
        <v>0</v>
      </c>
      <c r="Q1257">
        <v>0</v>
      </c>
      <c r="R1257">
        <v>0</v>
      </c>
      <c r="S1257">
        <v>62.6297</v>
      </c>
      <c r="T1257">
        <v>63.233800000000002</v>
      </c>
      <c r="U1257">
        <v>62.102600000000002</v>
      </c>
      <c r="V1257">
        <v>63.233800000000002</v>
      </c>
      <c r="W1257">
        <v>3790793</v>
      </c>
      <c r="X1257">
        <v>62.6</v>
      </c>
      <c r="Y1257">
        <v>62.787599999999998</v>
      </c>
      <c r="Z1257">
        <v>51</v>
      </c>
      <c r="AA1257">
        <v>479122</v>
      </c>
      <c r="AB1257">
        <v>66473.56</v>
      </c>
      <c r="AC1257">
        <v>0</v>
      </c>
      <c r="AD1257" t="s">
        <v>2</v>
      </c>
      <c r="AE1257" t="s">
        <v>94</v>
      </c>
      <c r="AF1257" t="s">
        <v>226</v>
      </c>
      <c r="AG1257" t="s">
        <v>226</v>
      </c>
      <c r="AH1257">
        <v>-100</v>
      </c>
      <c r="AI1257" t="s">
        <v>3537</v>
      </c>
      <c r="AJ1257" t="s">
        <v>1976</v>
      </c>
      <c r="AK1257" t="s">
        <v>2426</v>
      </c>
      <c r="AL1257" t="s">
        <v>272</v>
      </c>
    </row>
    <row r="1258" spans="1:38">
      <c r="A1258" t="s">
        <v>5737</v>
      </c>
      <c r="B1258" t="s">
        <v>2669</v>
      </c>
      <c r="C1258" t="s">
        <v>2670</v>
      </c>
      <c r="D1258" t="s">
        <v>2670</v>
      </c>
      <c r="E1258" t="s">
        <v>2671</v>
      </c>
      <c r="F1258" t="s">
        <v>2425</v>
      </c>
      <c r="G1258">
        <v>3</v>
      </c>
      <c r="H1258">
        <v>1</v>
      </c>
      <c r="I1258">
        <v>1E-4</v>
      </c>
      <c r="J1258">
        <v>1000</v>
      </c>
      <c r="K1258">
        <v>1.08</v>
      </c>
      <c r="L1258">
        <v>91.322500000000005</v>
      </c>
      <c r="M1258">
        <v>91.741799999999998</v>
      </c>
      <c r="N1258">
        <v>92.088399999999993</v>
      </c>
      <c r="O1258">
        <v>91.325699999999998</v>
      </c>
      <c r="P1258">
        <v>0</v>
      </c>
      <c r="Q1258">
        <v>0</v>
      </c>
      <c r="R1258">
        <v>0</v>
      </c>
      <c r="S1258">
        <v>90.279700000000005</v>
      </c>
      <c r="T1258">
        <v>90.000699999999995</v>
      </c>
      <c r="U1258">
        <v>90</v>
      </c>
      <c r="V1258">
        <v>92.345100000000002</v>
      </c>
      <c r="W1258">
        <v>39209185</v>
      </c>
      <c r="X1258">
        <v>90.153499999999994</v>
      </c>
      <c r="Y1258">
        <v>90.599900000000005</v>
      </c>
      <c r="Z1258">
        <v>119</v>
      </c>
      <c r="AA1258">
        <v>748626</v>
      </c>
      <c r="AB1258">
        <v>96973.35</v>
      </c>
      <c r="AC1258">
        <v>0</v>
      </c>
      <c r="AD1258" t="s">
        <v>2</v>
      </c>
      <c r="AE1258" t="s">
        <v>94</v>
      </c>
      <c r="AF1258" t="s">
        <v>226</v>
      </c>
      <c r="AG1258" t="s">
        <v>226</v>
      </c>
      <c r="AH1258">
        <v>-100</v>
      </c>
      <c r="AI1258" t="s">
        <v>3537</v>
      </c>
      <c r="AJ1258" t="s">
        <v>1976</v>
      </c>
      <c r="AK1258" t="s">
        <v>2426</v>
      </c>
      <c r="AL1258" t="s">
        <v>272</v>
      </c>
    </row>
    <row r="1259" spans="1:38">
      <c r="A1259" t="s">
        <v>5738</v>
      </c>
      <c r="B1259" t="s">
        <v>5739</v>
      </c>
      <c r="C1259" t="s">
        <v>5740</v>
      </c>
      <c r="D1259" t="s">
        <v>5740</v>
      </c>
      <c r="E1259" t="s">
        <v>5741</v>
      </c>
      <c r="F1259" t="s">
        <v>2425</v>
      </c>
      <c r="G1259">
        <v>3</v>
      </c>
      <c r="H1259">
        <v>1</v>
      </c>
      <c r="I1259">
        <v>1E-4</v>
      </c>
      <c r="J1259">
        <v>1000</v>
      </c>
      <c r="K1259">
        <v>-0.16</v>
      </c>
      <c r="L1259">
        <v>79.399799999999999</v>
      </c>
      <c r="M1259">
        <v>80.478999999999999</v>
      </c>
      <c r="N1259">
        <v>80.818700000000007</v>
      </c>
      <c r="O1259">
        <v>79.399799999999999</v>
      </c>
      <c r="P1259">
        <v>0</v>
      </c>
      <c r="Q1259">
        <v>0</v>
      </c>
      <c r="R1259">
        <v>0</v>
      </c>
      <c r="S1259">
        <v>79.373999999999995</v>
      </c>
      <c r="T1259">
        <v>79.5304</v>
      </c>
      <c r="U1259">
        <v>79.003500000000003</v>
      </c>
      <c r="V1259">
        <v>79.8</v>
      </c>
      <c r="W1259">
        <v>9697095</v>
      </c>
      <c r="X1259">
        <v>79.200199999999995</v>
      </c>
      <c r="Y1259">
        <v>79.400000000000006</v>
      </c>
      <c r="Z1259">
        <v>53</v>
      </c>
      <c r="AA1259">
        <v>903068</v>
      </c>
      <c r="AB1259">
        <v>84312.9</v>
      </c>
      <c r="AC1259">
        <v>0</v>
      </c>
      <c r="AD1259" t="s">
        <v>2</v>
      </c>
      <c r="AE1259" t="s">
        <v>94</v>
      </c>
      <c r="AF1259" t="s">
        <v>226</v>
      </c>
      <c r="AG1259" t="s">
        <v>226</v>
      </c>
      <c r="AH1259">
        <v>-100</v>
      </c>
      <c r="AI1259" t="s">
        <v>3537</v>
      </c>
      <c r="AJ1259" t="s">
        <v>1976</v>
      </c>
      <c r="AK1259" t="s">
        <v>2426</v>
      </c>
      <c r="AL1259" t="s">
        <v>272</v>
      </c>
    </row>
    <row r="1260" spans="1:38">
      <c r="A1260" t="s">
        <v>5742</v>
      </c>
      <c r="B1260" t="s">
        <v>5743</v>
      </c>
      <c r="C1260" t="s">
        <v>5744</v>
      </c>
      <c r="D1260" t="s">
        <v>5744</v>
      </c>
      <c r="E1260" t="s">
        <v>5745</v>
      </c>
      <c r="F1260" t="s">
        <v>2425</v>
      </c>
      <c r="G1260">
        <v>3</v>
      </c>
      <c r="H1260">
        <v>1</v>
      </c>
      <c r="I1260">
        <v>1E-4</v>
      </c>
      <c r="J1260">
        <v>1000</v>
      </c>
      <c r="K1260">
        <v>-0.46</v>
      </c>
      <c r="L1260">
        <v>49.715000000000003</v>
      </c>
      <c r="M1260">
        <v>50.110100000000003</v>
      </c>
      <c r="N1260">
        <v>50.555500000000002</v>
      </c>
      <c r="O1260">
        <v>49.715000000000003</v>
      </c>
      <c r="P1260">
        <v>0</v>
      </c>
      <c r="Q1260">
        <v>0</v>
      </c>
      <c r="R1260">
        <v>0</v>
      </c>
      <c r="S1260">
        <v>49.673900000000003</v>
      </c>
      <c r="T1260">
        <v>49.950099999999999</v>
      </c>
      <c r="U1260">
        <v>49.304699999999997</v>
      </c>
      <c r="V1260">
        <v>50.279899999999998</v>
      </c>
      <c r="W1260">
        <v>52695576</v>
      </c>
      <c r="X1260">
        <v>49.766300000000001</v>
      </c>
      <c r="Y1260">
        <v>49.768700000000003</v>
      </c>
      <c r="Z1260">
        <v>82</v>
      </c>
      <c r="AA1260">
        <v>716276</v>
      </c>
      <c r="AB1260">
        <v>334144.46000000002</v>
      </c>
      <c r="AC1260">
        <v>0</v>
      </c>
      <c r="AD1260" t="s">
        <v>4</v>
      </c>
      <c r="AE1260" t="s">
        <v>94</v>
      </c>
      <c r="AF1260" t="s">
        <v>226</v>
      </c>
      <c r="AG1260" t="s">
        <v>226</v>
      </c>
      <c r="AH1260">
        <v>0</v>
      </c>
      <c r="AI1260" t="s">
        <v>3537</v>
      </c>
      <c r="AJ1260" t="s">
        <v>1976</v>
      </c>
      <c r="AK1260" t="s">
        <v>2426</v>
      </c>
      <c r="AL1260" t="s">
        <v>272</v>
      </c>
    </row>
    <row r="1261" spans="1:38">
      <c r="A1261" t="s">
        <v>5746</v>
      </c>
      <c r="B1261" t="s">
        <v>5747</v>
      </c>
      <c r="C1261" t="s">
        <v>5748</v>
      </c>
      <c r="D1261" t="s">
        <v>5748</v>
      </c>
      <c r="E1261" t="s">
        <v>5749</v>
      </c>
      <c r="F1261" t="s">
        <v>2413</v>
      </c>
      <c r="G1261">
        <v>2</v>
      </c>
      <c r="H1261">
        <v>1</v>
      </c>
      <c r="I1261">
        <v>0.01</v>
      </c>
      <c r="J1261">
        <v>1000</v>
      </c>
      <c r="K1261">
        <v>-0.17</v>
      </c>
      <c r="L1261">
        <v>93.32</v>
      </c>
      <c r="M1261">
        <v>93.48</v>
      </c>
      <c r="N1261">
        <v>93.57</v>
      </c>
      <c r="O1261">
        <v>93.32</v>
      </c>
      <c r="P1261">
        <v>0</v>
      </c>
      <c r="Q1261">
        <v>0</v>
      </c>
      <c r="R1261">
        <v>0</v>
      </c>
      <c r="S1261">
        <v>93.36</v>
      </c>
      <c r="T1261">
        <v>93.47</v>
      </c>
      <c r="U1261">
        <v>93.29</v>
      </c>
      <c r="V1261">
        <v>93.47</v>
      </c>
      <c r="W1261">
        <v>36410</v>
      </c>
      <c r="X1261">
        <v>93.36</v>
      </c>
      <c r="Y1261">
        <v>93.49</v>
      </c>
      <c r="Z1261">
        <v>22</v>
      </c>
      <c r="AA1261">
        <v>30000000</v>
      </c>
      <c r="AB1261">
        <v>3732.8</v>
      </c>
      <c r="AC1261">
        <v>0</v>
      </c>
      <c r="AD1261" t="s">
        <v>94</v>
      </c>
      <c r="AE1261" t="s">
        <v>94</v>
      </c>
      <c r="AF1261" t="s">
        <v>226</v>
      </c>
      <c r="AG1261" t="s">
        <v>226</v>
      </c>
      <c r="AH1261">
        <v>8</v>
      </c>
      <c r="AI1261" t="s">
        <v>3537</v>
      </c>
      <c r="AJ1261" t="s">
        <v>1976</v>
      </c>
      <c r="AK1261" t="s">
        <v>2416</v>
      </c>
      <c r="AL1261" t="s">
        <v>272</v>
      </c>
    </row>
    <row r="1262" spans="1:38">
      <c r="A1262" t="s">
        <v>5750</v>
      </c>
      <c r="B1262" t="s">
        <v>5751</v>
      </c>
      <c r="C1262" t="s">
        <v>5752</v>
      </c>
      <c r="D1262" t="s">
        <v>5752</v>
      </c>
      <c r="E1262" t="s">
        <v>5753</v>
      </c>
      <c r="F1262" t="s">
        <v>2413</v>
      </c>
      <c r="G1262">
        <v>2</v>
      </c>
      <c r="H1262">
        <v>1</v>
      </c>
      <c r="I1262">
        <v>0.01</v>
      </c>
      <c r="J1262">
        <v>1000</v>
      </c>
      <c r="K1262">
        <v>0.18</v>
      </c>
      <c r="L1262">
        <v>93.72</v>
      </c>
      <c r="M1262">
        <v>93.55</v>
      </c>
      <c r="N1262">
        <v>93.6</v>
      </c>
      <c r="O1262">
        <v>93.72</v>
      </c>
      <c r="P1262">
        <v>0</v>
      </c>
      <c r="Q1262">
        <v>0</v>
      </c>
      <c r="R1262">
        <v>0</v>
      </c>
      <c r="S1262">
        <v>93.58</v>
      </c>
      <c r="T1262">
        <v>93.6</v>
      </c>
      <c r="U1262">
        <v>93.54</v>
      </c>
      <c r="V1262">
        <v>93.73</v>
      </c>
      <c r="W1262">
        <v>134751</v>
      </c>
      <c r="X1262">
        <v>93.55</v>
      </c>
      <c r="Y1262">
        <v>93.69</v>
      </c>
      <c r="Z1262">
        <v>28</v>
      </c>
      <c r="AA1262">
        <v>40000000</v>
      </c>
      <c r="AB1262">
        <v>5623.2</v>
      </c>
      <c r="AC1262">
        <v>0</v>
      </c>
      <c r="AD1262" t="s">
        <v>94</v>
      </c>
      <c r="AE1262" t="s">
        <v>94</v>
      </c>
      <c r="AF1262" t="s">
        <v>226</v>
      </c>
      <c r="AG1262" t="s">
        <v>226</v>
      </c>
      <c r="AH1262">
        <v>8</v>
      </c>
      <c r="AI1262" t="s">
        <v>3537</v>
      </c>
      <c r="AJ1262" t="s">
        <v>1976</v>
      </c>
      <c r="AK1262" t="s">
        <v>2416</v>
      </c>
      <c r="AL1262" t="s">
        <v>272</v>
      </c>
    </row>
    <row r="1263" spans="1:38">
      <c r="A1263" t="s">
        <v>5754</v>
      </c>
      <c r="B1263" t="s">
        <v>5755</v>
      </c>
      <c r="C1263" t="s">
        <v>5756</v>
      </c>
      <c r="D1263" t="s">
        <v>5756</v>
      </c>
      <c r="E1263" t="s">
        <v>5757</v>
      </c>
      <c r="F1263" t="s">
        <v>2413</v>
      </c>
      <c r="G1263">
        <v>2</v>
      </c>
      <c r="H1263">
        <v>1</v>
      </c>
      <c r="I1263">
        <v>0.01</v>
      </c>
      <c r="J1263">
        <v>1000</v>
      </c>
      <c r="K1263">
        <v>-0.96</v>
      </c>
      <c r="L1263">
        <v>93.16</v>
      </c>
      <c r="M1263">
        <v>94.06</v>
      </c>
      <c r="N1263">
        <v>93.59</v>
      </c>
      <c r="O1263">
        <v>93.24</v>
      </c>
      <c r="P1263">
        <v>0</v>
      </c>
      <c r="Q1263">
        <v>0</v>
      </c>
      <c r="R1263">
        <v>0</v>
      </c>
      <c r="S1263">
        <v>93.19</v>
      </c>
      <c r="T1263">
        <v>93.17</v>
      </c>
      <c r="U1263">
        <v>93.16</v>
      </c>
      <c r="V1263">
        <v>93.46</v>
      </c>
      <c r="W1263">
        <v>10251</v>
      </c>
      <c r="X1263">
        <v>93.16</v>
      </c>
      <c r="Y1263">
        <v>93.43</v>
      </c>
      <c r="Z1263">
        <v>5</v>
      </c>
      <c r="AA1263">
        <v>25000000</v>
      </c>
      <c r="AB1263">
        <v>2794.8</v>
      </c>
      <c r="AC1263">
        <v>0</v>
      </c>
      <c r="AD1263" t="s">
        <v>94</v>
      </c>
      <c r="AE1263" t="s">
        <v>94</v>
      </c>
      <c r="AF1263" t="s">
        <v>226</v>
      </c>
      <c r="AG1263" t="s">
        <v>226</v>
      </c>
      <c r="AH1263">
        <v>8</v>
      </c>
      <c r="AI1263" t="s">
        <v>3537</v>
      </c>
      <c r="AJ1263" t="s">
        <v>1976</v>
      </c>
      <c r="AK1263" t="s">
        <v>2416</v>
      </c>
      <c r="AL1263" t="s">
        <v>272</v>
      </c>
    </row>
    <row r="1264" spans="1:38">
      <c r="A1264" t="s">
        <v>5758</v>
      </c>
      <c r="B1264" t="s">
        <v>5759</v>
      </c>
      <c r="C1264" t="s">
        <v>5760</v>
      </c>
      <c r="D1264" t="s">
        <v>5760</v>
      </c>
      <c r="E1264" t="s">
        <v>5761</v>
      </c>
      <c r="F1264" t="s">
        <v>2413</v>
      </c>
      <c r="G1264">
        <v>2</v>
      </c>
      <c r="H1264">
        <v>1</v>
      </c>
      <c r="I1264">
        <v>0.01</v>
      </c>
      <c r="J1264">
        <v>1000</v>
      </c>
      <c r="K1264">
        <v>0.59</v>
      </c>
      <c r="L1264">
        <v>96.14</v>
      </c>
      <c r="M1264">
        <v>95.57</v>
      </c>
      <c r="N1264">
        <v>95.31</v>
      </c>
      <c r="O1264">
        <v>96.14</v>
      </c>
      <c r="P1264">
        <v>0</v>
      </c>
      <c r="Q1264">
        <v>0</v>
      </c>
      <c r="R1264">
        <v>0</v>
      </c>
      <c r="S1264">
        <v>95.93</v>
      </c>
      <c r="T1264">
        <v>95.82</v>
      </c>
      <c r="U1264">
        <v>95.06</v>
      </c>
      <c r="V1264">
        <v>96.21</v>
      </c>
      <c r="W1264">
        <v>4559694</v>
      </c>
      <c r="X1264">
        <v>96</v>
      </c>
      <c r="Y1264">
        <v>96.14</v>
      </c>
      <c r="Z1264">
        <v>237</v>
      </c>
      <c r="AA1264">
        <v>20000000</v>
      </c>
      <c r="AB1264">
        <v>4807</v>
      </c>
      <c r="AC1264">
        <v>0</v>
      </c>
      <c r="AD1264" t="s">
        <v>94</v>
      </c>
      <c r="AE1264" t="s">
        <v>94</v>
      </c>
      <c r="AF1264" t="s">
        <v>226</v>
      </c>
      <c r="AG1264" t="s">
        <v>226</v>
      </c>
      <c r="AH1264">
        <v>8</v>
      </c>
      <c r="AI1264" t="s">
        <v>3537</v>
      </c>
      <c r="AJ1264" t="s">
        <v>1976</v>
      </c>
      <c r="AK1264" t="s">
        <v>2416</v>
      </c>
      <c r="AL1264" t="s">
        <v>272</v>
      </c>
    </row>
    <row r="1265" spans="1:38">
      <c r="A1265" t="s">
        <v>5762</v>
      </c>
      <c r="B1265" t="s">
        <v>5763</v>
      </c>
      <c r="C1265" t="s">
        <v>5764</v>
      </c>
      <c r="D1265" t="s">
        <v>5764</v>
      </c>
      <c r="E1265" t="s">
        <v>5765</v>
      </c>
      <c r="F1265" t="s">
        <v>2413</v>
      </c>
      <c r="G1265">
        <v>2</v>
      </c>
      <c r="H1265">
        <v>1</v>
      </c>
      <c r="I1265">
        <v>0.01</v>
      </c>
      <c r="J1265">
        <v>1000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20000000</v>
      </c>
      <c r="AB1265">
        <v>0</v>
      </c>
      <c r="AC1265">
        <v>0</v>
      </c>
      <c r="AD1265" t="s">
        <v>94</v>
      </c>
      <c r="AE1265" t="s">
        <v>94</v>
      </c>
      <c r="AF1265" t="s">
        <v>226</v>
      </c>
      <c r="AG1265" t="s">
        <v>226</v>
      </c>
      <c r="AH1265">
        <v>8</v>
      </c>
      <c r="AI1265" t="s">
        <v>3537</v>
      </c>
      <c r="AJ1265" t="s">
        <v>1976</v>
      </c>
      <c r="AK1265" t="s">
        <v>2416</v>
      </c>
      <c r="AL1265" t="s">
        <v>272</v>
      </c>
    </row>
    <row r="1266" spans="1:38">
      <c r="A1266" t="s">
        <v>5766</v>
      </c>
      <c r="B1266" t="s">
        <v>5767</v>
      </c>
      <c r="C1266" t="s">
        <v>5768</v>
      </c>
      <c r="D1266" t="s">
        <v>5768</v>
      </c>
      <c r="E1266" t="s">
        <v>5769</v>
      </c>
      <c r="F1266" t="s">
        <v>2413</v>
      </c>
      <c r="G1266">
        <v>2</v>
      </c>
      <c r="H1266">
        <v>1</v>
      </c>
      <c r="I1266">
        <v>0.01</v>
      </c>
      <c r="J1266">
        <v>1000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100</v>
      </c>
      <c r="Y1266">
        <v>0</v>
      </c>
      <c r="Z1266">
        <v>0</v>
      </c>
      <c r="AA1266">
        <v>10000000</v>
      </c>
      <c r="AB1266">
        <v>0</v>
      </c>
      <c r="AC1266">
        <v>0</v>
      </c>
      <c r="AD1266" t="s">
        <v>94</v>
      </c>
      <c r="AE1266" t="s">
        <v>94</v>
      </c>
      <c r="AF1266" t="s">
        <v>226</v>
      </c>
      <c r="AG1266" t="s">
        <v>226</v>
      </c>
      <c r="AH1266">
        <v>8</v>
      </c>
      <c r="AI1266" t="s">
        <v>3537</v>
      </c>
      <c r="AJ1266" t="s">
        <v>1976</v>
      </c>
      <c r="AK1266" t="s">
        <v>2416</v>
      </c>
      <c r="AL1266" t="s">
        <v>272</v>
      </c>
    </row>
    <row r="1267" spans="1:38">
      <c r="A1267" t="s">
        <v>5770</v>
      </c>
      <c r="B1267" t="s">
        <v>5771</v>
      </c>
      <c r="C1267" t="s">
        <v>5772</v>
      </c>
      <c r="D1267" t="s">
        <v>5772</v>
      </c>
      <c r="E1267" t="s">
        <v>5773</v>
      </c>
      <c r="F1267" t="s">
        <v>2413</v>
      </c>
      <c r="G1267">
        <v>3</v>
      </c>
      <c r="H1267">
        <v>1</v>
      </c>
      <c r="I1267">
        <v>0.01</v>
      </c>
      <c r="J1267">
        <v>1000</v>
      </c>
      <c r="K1267">
        <v>0.84</v>
      </c>
      <c r="L1267">
        <v>75.63</v>
      </c>
      <c r="M1267">
        <v>75</v>
      </c>
      <c r="N1267">
        <v>73.709999999999994</v>
      </c>
      <c r="O1267">
        <v>75.69</v>
      </c>
      <c r="P1267">
        <v>0</v>
      </c>
      <c r="Q1267">
        <v>0</v>
      </c>
      <c r="R1267">
        <v>0</v>
      </c>
      <c r="S1267">
        <v>75.819999999999993</v>
      </c>
      <c r="T1267">
        <v>73.459999999999994</v>
      </c>
      <c r="U1267">
        <v>73.459999999999994</v>
      </c>
      <c r="V1267">
        <v>78.83</v>
      </c>
      <c r="W1267">
        <v>472387</v>
      </c>
      <c r="X1267">
        <v>75.11</v>
      </c>
      <c r="Y1267">
        <v>75.34</v>
      </c>
      <c r="Z1267">
        <v>81</v>
      </c>
      <c r="AA1267">
        <v>150000</v>
      </c>
      <c r="AB1267">
        <v>1512.6</v>
      </c>
      <c r="AC1267">
        <v>0</v>
      </c>
      <c r="AD1267" t="s">
        <v>94</v>
      </c>
      <c r="AE1267" t="s">
        <v>94</v>
      </c>
      <c r="AF1267" t="s">
        <v>226</v>
      </c>
      <c r="AG1267" t="s">
        <v>226</v>
      </c>
      <c r="AH1267">
        <v>6</v>
      </c>
      <c r="AI1267" t="s">
        <v>3537</v>
      </c>
      <c r="AJ1267" t="s">
        <v>1976</v>
      </c>
      <c r="AK1267" t="s">
        <v>2416</v>
      </c>
      <c r="AL1267" t="s">
        <v>272</v>
      </c>
    </row>
    <row r="1268" spans="1:38">
      <c r="A1268" t="s">
        <v>5774</v>
      </c>
      <c r="B1268" t="s">
        <v>5775</v>
      </c>
      <c r="C1268" t="s">
        <v>5776</v>
      </c>
      <c r="D1268" t="s">
        <v>5776</v>
      </c>
      <c r="E1268" t="s">
        <v>5777</v>
      </c>
      <c r="F1268" t="s">
        <v>2413</v>
      </c>
      <c r="G1268">
        <v>3</v>
      </c>
      <c r="H1268">
        <v>1</v>
      </c>
      <c r="I1268">
        <v>0.01</v>
      </c>
      <c r="J1268">
        <v>1000</v>
      </c>
      <c r="K1268">
        <v>0</v>
      </c>
      <c r="L1268">
        <v>0</v>
      </c>
      <c r="M1268">
        <v>100.01</v>
      </c>
      <c r="N1268">
        <v>0</v>
      </c>
      <c r="O1268">
        <v>100.01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40000000</v>
      </c>
      <c r="AB1268">
        <v>0</v>
      </c>
      <c r="AC1268">
        <v>0</v>
      </c>
      <c r="AD1268" t="s">
        <v>94</v>
      </c>
      <c r="AE1268" t="s">
        <v>94</v>
      </c>
      <c r="AF1268" t="s">
        <v>226</v>
      </c>
      <c r="AG1268" t="s">
        <v>226</v>
      </c>
      <c r="AH1268">
        <v>8</v>
      </c>
      <c r="AI1268" t="s">
        <v>3537</v>
      </c>
      <c r="AJ1268" t="s">
        <v>1976</v>
      </c>
      <c r="AK1268" t="s">
        <v>2416</v>
      </c>
      <c r="AL1268" t="s">
        <v>272</v>
      </c>
    </row>
    <row r="1269" spans="1:38">
      <c r="A1269" t="s">
        <v>5778</v>
      </c>
      <c r="B1269" t="s">
        <v>5779</v>
      </c>
      <c r="C1269" t="s">
        <v>5780</v>
      </c>
      <c r="D1269" t="s">
        <v>5780</v>
      </c>
      <c r="E1269" t="s">
        <v>5781</v>
      </c>
      <c r="F1269" t="s">
        <v>2413</v>
      </c>
      <c r="G1269">
        <v>3</v>
      </c>
      <c r="H1269">
        <v>1</v>
      </c>
      <c r="I1269">
        <v>0.01</v>
      </c>
      <c r="J1269">
        <v>1000</v>
      </c>
      <c r="K1269">
        <v>0</v>
      </c>
      <c r="L1269">
        <v>0</v>
      </c>
      <c r="M1269">
        <v>100</v>
      </c>
      <c r="N1269">
        <v>0</v>
      </c>
      <c r="O1269">
        <v>100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40000000</v>
      </c>
      <c r="AB1269">
        <v>0</v>
      </c>
      <c r="AC1269">
        <v>0</v>
      </c>
      <c r="AD1269" t="s">
        <v>94</v>
      </c>
      <c r="AE1269" t="s">
        <v>94</v>
      </c>
      <c r="AF1269" t="s">
        <v>226</v>
      </c>
      <c r="AG1269" t="s">
        <v>226</v>
      </c>
      <c r="AH1269">
        <v>8</v>
      </c>
      <c r="AI1269" t="s">
        <v>3537</v>
      </c>
      <c r="AJ1269" t="s">
        <v>1976</v>
      </c>
      <c r="AK1269" t="s">
        <v>2416</v>
      </c>
      <c r="AL1269" t="s">
        <v>272</v>
      </c>
    </row>
    <row r="1270" spans="1:38">
      <c r="A1270" t="s">
        <v>5782</v>
      </c>
      <c r="B1270" t="s">
        <v>5783</v>
      </c>
      <c r="C1270" t="s">
        <v>5784</v>
      </c>
      <c r="D1270" t="s">
        <v>5784</v>
      </c>
      <c r="E1270" t="s">
        <v>5785</v>
      </c>
      <c r="F1270" t="s">
        <v>2413</v>
      </c>
      <c r="G1270">
        <v>3</v>
      </c>
      <c r="H1270">
        <v>1</v>
      </c>
      <c r="I1270">
        <v>0.01</v>
      </c>
      <c r="J1270">
        <v>1000</v>
      </c>
      <c r="K1270">
        <v>0</v>
      </c>
      <c r="L1270">
        <v>0</v>
      </c>
      <c r="M1270">
        <v>100</v>
      </c>
      <c r="N1270">
        <v>0</v>
      </c>
      <c r="O1270">
        <v>100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40000000</v>
      </c>
      <c r="AB1270">
        <v>0</v>
      </c>
      <c r="AC1270">
        <v>0</v>
      </c>
      <c r="AD1270" t="s">
        <v>94</v>
      </c>
      <c r="AE1270" t="s">
        <v>94</v>
      </c>
      <c r="AF1270" t="s">
        <v>226</v>
      </c>
      <c r="AG1270" t="s">
        <v>226</v>
      </c>
      <c r="AH1270">
        <v>8</v>
      </c>
      <c r="AI1270" t="s">
        <v>3537</v>
      </c>
      <c r="AJ1270" t="s">
        <v>1976</v>
      </c>
      <c r="AK1270" t="s">
        <v>2416</v>
      </c>
      <c r="AL1270" t="s">
        <v>272</v>
      </c>
    </row>
    <row r="1271" spans="1:38">
      <c r="A1271" t="s">
        <v>5786</v>
      </c>
      <c r="B1271" t="s">
        <v>5787</v>
      </c>
      <c r="C1271" t="s">
        <v>5788</v>
      </c>
      <c r="D1271" t="s">
        <v>5788</v>
      </c>
      <c r="E1271" t="s">
        <v>5789</v>
      </c>
      <c r="F1271" t="s">
        <v>2413</v>
      </c>
      <c r="G1271">
        <v>3</v>
      </c>
      <c r="H1271">
        <v>1</v>
      </c>
      <c r="I1271">
        <v>0.01</v>
      </c>
      <c r="J1271">
        <v>1000</v>
      </c>
      <c r="K1271">
        <v>0</v>
      </c>
      <c r="L1271">
        <v>0</v>
      </c>
      <c r="M1271">
        <v>100</v>
      </c>
      <c r="N1271">
        <v>0</v>
      </c>
      <c r="O1271">
        <v>100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40000000</v>
      </c>
      <c r="AB1271">
        <v>0</v>
      </c>
      <c r="AC1271">
        <v>0</v>
      </c>
      <c r="AD1271" t="s">
        <v>94</v>
      </c>
      <c r="AE1271" t="s">
        <v>94</v>
      </c>
      <c r="AF1271" t="s">
        <v>226</v>
      </c>
      <c r="AG1271" t="s">
        <v>226</v>
      </c>
      <c r="AH1271">
        <v>8</v>
      </c>
      <c r="AI1271" t="s">
        <v>3537</v>
      </c>
      <c r="AJ1271" t="s">
        <v>1976</v>
      </c>
      <c r="AK1271" t="s">
        <v>2416</v>
      </c>
      <c r="AL1271" t="s">
        <v>272</v>
      </c>
    </row>
    <row r="1272" spans="1:38">
      <c r="A1272" t="s">
        <v>5790</v>
      </c>
      <c r="B1272" t="s">
        <v>5791</v>
      </c>
      <c r="C1272" t="s">
        <v>5792</v>
      </c>
      <c r="D1272" t="s">
        <v>5792</v>
      </c>
      <c r="E1272" t="s">
        <v>5793</v>
      </c>
      <c r="F1272" t="s">
        <v>2413</v>
      </c>
      <c r="G1272">
        <v>3</v>
      </c>
      <c r="H1272">
        <v>1</v>
      </c>
      <c r="I1272">
        <v>0.01</v>
      </c>
      <c r="J1272">
        <v>1000</v>
      </c>
      <c r="K1272">
        <v>0</v>
      </c>
      <c r="L1272">
        <v>0</v>
      </c>
      <c r="M1272">
        <v>100</v>
      </c>
      <c r="N1272">
        <v>0</v>
      </c>
      <c r="O1272">
        <v>100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40000000</v>
      </c>
      <c r="AB1272">
        <v>0</v>
      </c>
      <c r="AC1272">
        <v>0</v>
      </c>
      <c r="AD1272" t="s">
        <v>94</v>
      </c>
      <c r="AE1272" t="s">
        <v>94</v>
      </c>
      <c r="AF1272" t="s">
        <v>226</v>
      </c>
      <c r="AG1272" t="s">
        <v>226</v>
      </c>
      <c r="AH1272">
        <v>8</v>
      </c>
      <c r="AI1272" t="s">
        <v>3537</v>
      </c>
      <c r="AJ1272" t="s">
        <v>1976</v>
      </c>
      <c r="AK1272" t="s">
        <v>2416</v>
      </c>
      <c r="AL1272" t="s">
        <v>272</v>
      </c>
    </row>
    <row r="1273" spans="1:38">
      <c r="A1273" t="s">
        <v>5794</v>
      </c>
      <c r="B1273" t="s">
        <v>5795</v>
      </c>
      <c r="C1273" t="s">
        <v>5796</v>
      </c>
      <c r="D1273" t="s">
        <v>5796</v>
      </c>
      <c r="E1273" t="s">
        <v>5797</v>
      </c>
      <c r="F1273" t="s">
        <v>2413</v>
      </c>
      <c r="G1273">
        <v>3</v>
      </c>
      <c r="H1273">
        <v>1</v>
      </c>
      <c r="I1273">
        <v>0.01</v>
      </c>
      <c r="J1273">
        <v>1000</v>
      </c>
      <c r="K1273">
        <v>0</v>
      </c>
      <c r="L1273">
        <v>0</v>
      </c>
      <c r="M1273">
        <v>100</v>
      </c>
      <c r="N1273">
        <v>0</v>
      </c>
      <c r="O1273">
        <v>100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40000000</v>
      </c>
      <c r="AB1273">
        <v>0</v>
      </c>
      <c r="AC1273">
        <v>0</v>
      </c>
      <c r="AD1273" t="s">
        <v>94</v>
      </c>
      <c r="AE1273" t="s">
        <v>94</v>
      </c>
      <c r="AF1273" t="s">
        <v>226</v>
      </c>
      <c r="AG1273" t="s">
        <v>226</v>
      </c>
      <c r="AH1273">
        <v>8</v>
      </c>
      <c r="AI1273" t="s">
        <v>3537</v>
      </c>
      <c r="AJ1273" t="s">
        <v>1976</v>
      </c>
      <c r="AK1273" t="s">
        <v>2416</v>
      </c>
      <c r="AL1273" t="s">
        <v>272</v>
      </c>
    </row>
    <row r="1274" spans="1:38">
      <c r="A1274" t="s">
        <v>5798</v>
      </c>
      <c r="B1274" t="s">
        <v>5799</v>
      </c>
      <c r="C1274" t="s">
        <v>5800</v>
      </c>
      <c r="D1274" t="s">
        <v>5800</v>
      </c>
      <c r="E1274" t="s">
        <v>5801</v>
      </c>
      <c r="F1274" t="s">
        <v>2413</v>
      </c>
      <c r="G1274">
        <v>3</v>
      </c>
      <c r="H1274">
        <v>1</v>
      </c>
      <c r="I1274">
        <v>0.01</v>
      </c>
      <c r="J1274">
        <v>1000</v>
      </c>
      <c r="K1274">
        <v>0</v>
      </c>
      <c r="L1274">
        <v>0</v>
      </c>
      <c r="M1274">
        <v>100</v>
      </c>
      <c r="N1274">
        <v>0</v>
      </c>
      <c r="O1274">
        <v>100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40000000</v>
      </c>
      <c r="AB1274">
        <v>0</v>
      </c>
      <c r="AC1274">
        <v>0</v>
      </c>
      <c r="AD1274" t="s">
        <v>94</v>
      </c>
      <c r="AE1274" t="s">
        <v>94</v>
      </c>
      <c r="AF1274" t="s">
        <v>226</v>
      </c>
      <c r="AG1274" t="s">
        <v>226</v>
      </c>
      <c r="AH1274">
        <v>8</v>
      </c>
      <c r="AI1274" t="s">
        <v>3537</v>
      </c>
      <c r="AJ1274" t="s">
        <v>1976</v>
      </c>
      <c r="AK1274" t="s">
        <v>2416</v>
      </c>
      <c r="AL1274" t="s">
        <v>272</v>
      </c>
    </row>
    <row r="1275" spans="1:38">
      <c r="A1275" t="s">
        <v>5802</v>
      </c>
      <c r="B1275" t="s">
        <v>5803</v>
      </c>
      <c r="C1275" t="s">
        <v>5804</v>
      </c>
      <c r="D1275" t="s">
        <v>5804</v>
      </c>
      <c r="E1275" t="s">
        <v>5805</v>
      </c>
      <c r="F1275" t="s">
        <v>2413</v>
      </c>
      <c r="G1275">
        <v>3</v>
      </c>
      <c r="H1275">
        <v>1</v>
      </c>
      <c r="I1275">
        <v>0.01</v>
      </c>
      <c r="J1275">
        <v>1000</v>
      </c>
      <c r="K1275">
        <v>0</v>
      </c>
      <c r="L1275">
        <v>0</v>
      </c>
      <c r="M1275">
        <v>100</v>
      </c>
      <c r="N1275">
        <v>0</v>
      </c>
      <c r="O1275">
        <v>100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20000000</v>
      </c>
      <c r="AB1275">
        <v>0</v>
      </c>
      <c r="AC1275">
        <v>0</v>
      </c>
      <c r="AD1275" t="s">
        <v>94</v>
      </c>
      <c r="AE1275" t="s">
        <v>94</v>
      </c>
      <c r="AF1275" t="s">
        <v>226</v>
      </c>
      <c r="AG1275" t="s">
        <v>226</v>
      </c>
      <c r="AH1275">
        <v>8</v>
      </c>
      <c r="AI1275" t="s">
        <v>3537</v>
      </c>
      <c r="AJ1275" t="s">
        <v>1976</v>
      </c>
      <c r="AK1275" t="s">
        <v>2416</v>
      </c>
      <c r="AL1275" t="s">
        <v>272</v>
      </c>
    </row>
    <row r="1276" spans="1:38">
      <c r="A1276" t="s">
        <v>5806</v>
      </c>
      <c r="B1276" t="s">
        <v>5807</v>
      </c>
      <c r="C1276" t="s">
        <v>5808</v>
      </c>
      <c r="D1276" t="s">
        <v>5808</v>
      </c>
      <c r="E1276" t="s">
        <v>5809</v>
      </c>
      <c r="F1276" t="s">
        <v>2413</v>
      </c>
      <c r="G1276">
        <v>2</v>
      </c>
      <c r="H1276">
        <v>1</v>
      </c>
      <c r="I1276">
        <v>0.01</v>
      </c>
      <c r="J1276">
        <v>1000</v>
      </c>
      <c r="K1276">
        <v>-0.04</v>
      </c>
      <c r="L1276">
        <v>93.89</v>
      </c>
      <c r="M1276">
        <v>93.93</v>
      </c>
      <c r="N1276">
        <v>94.71</v>
      </c>
      <c r="O1276">
        <v>93.89</v>
      </c>
      <c r="P1276">
        <v>0</v>
      </c>
      <c r="Q1276">
        <v>0</v>
      </c>
      <c r="R1276">
        <v>0</v>
      </c>
      <c r="S1276">
        <v>93.97</v>
      </c>
      <c r="T1276">
        <v>94.7</v>
      </c>
      <c r="U1276">
        <v>93.74</v>
      </c>
      <c r="V1276">
        <v>94.7</v>
      </c>
      <c r="W1276">
        <v>19734</v>
      </c>
      <c r="X1276">
        <v>93.89</v>
      </c>
      <c r="Y1276">
        <v>93.98</v>
      </c>
      <c r="Z1276">
        <v>14</v>
      </c>
      <c r="AA1276">
        <v>30000000</v>
      </c>
      <c r="AB1276">
        <v>938.9</v>
      </c>
      <c r="AC1276">
        <v>0</v>
      </c>
      <c r="AD1276" t="s">
        <v>94</v>
      </c>
      <c r="AE1276" t="s">
        <v>94</v>
      </c>
      <c r="AF1276" t="s">
        <v>226</v>
      </c>
      <c r="AG1276" t="s">
        <v>226</v>
      </c>
      <c r="AH1276">
        <v>8</v>
      </c>
      <c r="AI1276" t="s">
        <v>3537</v>
      </c>
      <c r="AJ1276" t="s">
        <v>1976</v>
      </c>
      <c r="AK1276" t="s">
        <v>2416</v>
      </c>
      <c r="AL1276" t="s">
        <v>272</v>
      </c>
    </row>
    <row r="1277" spans="1:38">
      <c r="A1277" t="s">
        <v>5810</v>
      </c>
      <c r="B1277" t="s">
        <v>5811</v>
      </c>
      <c r="C1277" t="s">
        <v>5812</v>
      </c>
      <c r="D1277" t="s">
        <v>5812</v>
      </c>
      <c r="E1277" t="s">
        <v>5813</v>
      </c>
      <c r="F1277" t="s">
        <v>2413</v>
      </c>
      <c r="G1277">
        <v>2</v>
      </c>
      <c r="H1277">
        <v>1</v>
      </c>
      <c r="I1277">
        <v>0.01</v>
      </c>
      <c r="J1277">
        <v>1000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20000000</v>
      </c>
      <c r="AB1277">
        <v>0</v>
      </c>
      <c r="AC1277">
        <v>0</v>
      </c>
      <c r="AD1277" t="s">
        <v>94</v>
      </c>
      <c r="AE1277" t="s">
        <v>94</v>
      </c>
      <c r="AF1277" t="s">
        <v>226</v>
      </c>
      <c r="AG1277" t="s">
        <v>226</v>
      </c>
      <c r="AH1277">
        <v>8</v>
      </c>
      <c r="AI1277" t="s">
        <v>3537</v>
      </c>
      <c r="AJ1277" t="s">
        <v>1976</v>
      </c>
      <c r="AK1277" t="s">
        <v>2416</v>
      </c>
      <c r="AL1277" t="s">
        <v>272</v>
      </c>
    </row>
    <row r="1278" spans="1:38">
      <c r="A1278" t="s">
        <v>5814</v>
      </c>
      <c r="B1278" t="s">
        <v>5815</v>
      </c>
      <c r="C1278" t="s">
        <v>5816</v>
      </c>
      <c r="D1278" t="s">
        <v>5816</v>
      </c>
      <c r="E1278" t="s">
        <v>5817</v>
      </c>
      <c r="F1278" t="s">
        <v>2413</v>
      </c>
      <c r="G1278">
        <v>2</v>
      </c>
      <c r="H1278">
        <v>1</v>
      </c>
      <c r="I1278">
        <v>0.01</v>
      </c>
      <c r="J1278">
        <v>1000</v>
      </c>
      <c r="K1278">
        <v>-0.1</v>
      </c>
      <c r="L1278">
        <v>96.54</v>
      </c>
      <c r="M1278">
        <v>96.64</v>
      </c>
      <c r="N1278">
        <v>96.56</v>
      </c>
      <c r="O1278">
        <v>96.53</v>
      </c>
      <c r="P1278">
        <v>0</v>
      </c>
      <c r="Q1278">
        <v>0</v>
      </c>
      <c r="R1278">
        <v>0</v>
      </c>
      <c r="S1278">
        <v>96.45</v>
      </c>
      <c r="T1278">
        <v>96.65</v>
      </c>
      <c r="U1278">
        <v>96.01</v>
      </c>
      <c r="V1278">
        <v>96.65</v>
      </c>
      <c r="W1278">
        <v>10619556</v>
      </c>
      <c r="X1278">
        <v>96.46</v>
      </c>
      <c r="Y1278">
        <v>96.57</v>
      </c>
      <c r="Z1278">
        <v>386</v>
      </c>
      <c r="AA1278">
        <v>40000000</v>
      </c>
      <c r="AB1278">
        <v>1930.8</v>
      </c>
      <c r="AC1278">
        <v>0</v>
      </c>
      <c r="AD1278" t="s">
        <v>94</v>
      </c>
      <c r="AE1278" t="s">
        <v>94</v>
      </c>
      <c r="AF1278" t="s">
        <v>226</v>
      </c>
      <c r="AG1278" t="s">
        <v>226</v>
      </c>
      <c r="AH1278">
        <v>8</v>
      </c>
      <c r="AI1278" t="s">
        <v>3537</v>
      </c>
      <c r="AJ1278" t="s">
        <v>1976</v>
      </c>
      <c r="AK1278" t="s">
        <v>2416</v>
      </c>
      <c r="AL1278" t="s">
        <v>272</v>
      </c>
    </row>
    <row r="1279" spans="1:38">
      <c r="A1279" t="s">
        <v>5818</v>
      </c>
      <c r="B1279" t="s">
        <v>5819</v>
      </c>
      <c r="C1279" t="s">
        <v>5820</v>
      </c>
      <c r="D1279" t="s">
        <v>5820</v>
      </c>
      <c r="E1279" t="s">
        <v>5821</v>
      </c>
      <c r="F1279" t="s">
        <v>2413</v>
      </c>
      <c r="G1279">
        <v>2</v>
      </c>
      <c r="H1279">
        <v>1</v>
      </c>
      <c r="I1279">
        <v>0.01</v>
      </c>
      <c r="J1279">
        <v>1000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15000000</v>
      </c>
      <c r="AB1279">
        <v>0</v>
      </c>
      <c r="AC1279">
        <v>0</v>
      </c>
      <c r="AD1279" t="s">
        <v>94</v>
      </c>
      <c r="AE1279" t="s">
        <v>94</v>
      </c>
      <c r="AF1279" t="s">
        <v>226</v>
      </c>
      <c r="AG1279" t="s">
        <v>226</v>
      </c>
      <c r="AH1279">
        <v>8</v>
      </c>
      <c r="AI1279" t="s">
        <v>3537</v>
      </c>
      <c r="AJ1279" t="s">
        <v>1976</v>
      </c>
      <c r="AK1279" t="s">
        <v>2416</v>
      </c>
      <c r="AL1279" t="s">
        <v>272</v>
      </c>
    </row>
    <row r="1280" spans="1:38">
      <c r="A1280" t="s">
        <v>5822</v>
      </c>
      <c r="B1280" t="s">
        <v>5823</v>
      </c>
      <c r="C1280" t="s">
        <v>5824</v>
      </c>
      <c r="D1280" t="s">
        <v>5824</v>
      </c>
      <c r="E1280" t="s">
        <v>5825</v>
      </c>
      <c r="F1280" t="s">
        <v>2413</v>
      </c>
      <c r="G1280">
        <v>2</v>
      </c>
      <c r="H1280">
        <v>1</v>
      </c>
      <c r="I1280">
        <v>0.01</v>
      </c>
      <c r="J1280">
        <v>1000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20000000</v>
      </c>
      <c r="AB1280">
        <v>0</v>
      </c>
      <c r="AC1280">
        <v>0</v>
      </c>
      <c r="AD1280" t="s">
        <v>94</v>
      </c>
      <c r="AE1280" t="s">
        <v>94</v>
      </c>
      <c r="AF1280" t="s">
        <v>226</v>
      </c>
      <c r="AG1280" t="s">
        <v>226</v>
      </c>
      <c r="AH1280">
        <v>8</v>
      </c>
      <c r="AI1280" t="s">
        <v>3537</v>
      </c>
      <c r="AJ1280" t="s">
        <v>1976</v>
      </c>
      <c r="AK1280" t="s">
        <v>2416</v>
      </c>
      <c r="AL1280" t="s">
        <v>272</v>
      </c>
    </row>
    <row r="1281" spans="1:38">
      <c r="A1281" t="s">
        <v>5826</v>
      </c>
      <c r="B1281" t="s">
        <v>5827</v>
      </c>
      <c r="C1281" t="s">
        <v>5828</v>
      </c>
      <c r="D1281" t="s">
        <v>5828</v>
      </c>
      <c r="E1281" t="s">
        <v>5829</v>
      </c>
      <c r="F1281" t="s">
        <v>2413</v>
      </c>
      <c r="G1281">
        <v>2</v>
      </c>
      <c r="H1281">
        <v>1</v>
      </c>
      <c r="I1281">
        <v>0.01</v>
      </c>
      <c r="J1281">
        <v>1000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95</v>
      </c>
      <c r="Y1281">
        <v>0</v>
      </c>
      <c r="Z1281">
        <v>0</v>
      </c>
      <c r="AA1281">
        <v>20000000</v>
      </c>
      <c r="AB1281">
        <v>0</v>
      </c>
      <c r="AC1281">
        <v>0</v>
      </c>
      <c r="AD1281" t="s">
        <v>94</v>
      </c>
      <c r="AE1281" t="s">
        <v>94</v>
      </c>
      <c r="AF1281" t="s">
        <v>226</v>
      </c>
      <c r="AG1281" t="s">
        <v>226</v>
      </c>
      <c r="AH1281">
        <v>8</v>
      </c>
      <c r="AI1281" t="s">
        <v>3537</v>
      </c>
      <c r="AJ1281" t="s">
        <v>1976</v>
      </c>
      <c r="AK1281" t="s">
        <v>2416</v>
      </c>
      <c r="AL1281" t="s">
        <v>272</v>
      </c>
    </row>
    <row r="1282" spans="1:38">
      <c r="A1282" t="s">
        <v>5830</v>
      </c>
      <c r="B1282" t="s">
        <v>5831</v>
      </c>
      <c r="C1282" t="s">
        <v>5832</v>
      </c>
      <c r="D1282" t="s">
        <v>5832</v>
      </c>
      <c r="E1282" t="s">
        <v>5833</v>
      </c>
      <c r="F1282" t="s">
        <v>2413</v>
      </c>
      <c r="G1282">
        <v>2</v>
      </c>
      <c r="H1282">
        <v>1</v>
      </c>
      <c r="I1282">
        <v>0.01</v>
      </c>
      <c r="J1282">
        <v>1000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95</v>
      </c>
      <c r="Y1282">
        <v>0</v>
      </c>
      <c r="Z1282">
        <v>0</v>
      </c>
      <c r="AA1282">
        <v>20000000</v>
      </c>
      <c r="AB1282">
        <v>0</v>
      </c>
      <c r="AC1282">
        <v>0</v>
      </c>
      <c r="AD1282" t="s">
        <v>94</v>
      </c>
      <c r="AE1282" t="s">
        <v>94</v>
      </c>
      <c r="AF1282" t="s">
        <v>226</v>
      </c>
      <c r="AG1282" t="s">
        <v>226</v>
      </c>
      <c r="AH1282">
        <v>8</v>
      </c>
      <c r="AI1282" t="s">
        <v>3537</v>
      </c>
      <c r="AJ1282" t="s">
        <v>1976</v>
      </c>
      <c r="AK1282" t="s">
        <v>2416</v>
      </c>
      <c r="AL1282" t="s">
        <v>272</v>
      </c>
    </row>
    <row r="1283" spans="1:38">
      <c r="A1283" t="s">
        <v>5834</v>
      </c>
      <c r="B1283" t="s">
        <v>5835</v>
      </c>
      <c r="C1283" t="s">
        <v>5836</v>
      </c>
      <c r="D1283" t="s">
        <v>5836</v>
      </c>
      <c r="E1283" t="s">
        <v>5837</v>
      </c>
      <c r="F1283" t="s">
        <v>2425</v>
      </c>
      <c r="G1283">
        <v>3</v>
      </c>
      <c r="H1283">
        <v>1</v>
      </c>
      <c r="I1283">
        <v>0.01</v>
      </c>
      <c r="J1283">
        <v>5000000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30000</v>
      </c>
      <c r="AB1283">
        <v>0</v>
      </c>
      <c r="AC1283">
        <v>0</v>
      </c>
      <c r="AD1283" t="s">
        <v>94</v>
      </c>
      <c r="AE1283" t="s">
        <v>94</v>
      </c>
      <c r="AF1283" t="s">
        <v>304</v>
      </c>
      <c r="AG1283" t="s">
        <v>226</v>
      </c>
      <c r="AH1283">
        <v>0</v>
      </c>
      <c r="AI1283" t="s">
        <v>3537</v>
      </c>
      <c r="AJ1283" t="s">
        <v>1976</v>
      </c>
      <c r="AK1283" t="s">
        <v>2426</v>
      </c>
      <c r="AL1283" t="s">
        <v>272</v>
      </c>
    </row>
    <row r="1284" spans="1:38">
      <c r="A1284" t="s">
        <v>5838</v>
      </c>
      <c r="B1284" t="s">
        <v>5839</v>
      </c>
      <c r="C1284" t="s">
        <v>5840</v>
      </c>
      <c r="D1284" t="s">
        <v>5840</v>
      </c>
      <c r="E1284" t="s">
        <v>5841</v>
      </c>
      <c r="F1284" t="s">
        <v>2425</v>
      </c>
      <c r="G1284">
        <v>3</v>
      </c>
      <c r="H1284">
        <v>1</v>
      </c>
      <c r="I1284">
        <v>0.01</v>
      </c>
      <c r="J1284">
        <v>5000000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22840</v>
      </c>
      <c r="AB1284">
        <v>0</v>
      </c>
      <c r="AC1284">
        <v>0</v>
      </c>
      <c r="AD1284" t="s">
        <v>94</v>
      </c>
      <c r="AE1284" t="s">
        <v>94</v>
      </c>
      <c r="AF1284" t="s">
        <v>304</v>
      </c>
      <c r="AG1284" t="s">
        <v>226</v>
      </c>
      <c r="AH1284">
        <v>0</v>
      </c>
      <c r="AI1284" t="s">
        <v>3537</v>
      </c>
      <c r="AJ1284" t="s">
        <v>1976</v>
      </c>
      <c r="AK1284" t="s">
        <v>2426</v>
      </c>
      <c r="AL1284" t="s">
        <v>272</v>
      </c>
    </row>
    <row r="1285" spans="1:38">
      <c r="A1285" t="s">
        <v>5842</v>
      </c>
      <c r="B1285" t="s">
        <v>5843</v>
      </c>
      <c r="C1285" t="s">
        <v>5844</v>
      </c>
      <c r="D1285" t="s">
        <v>5844</v>
      </c>
      <c r="E1285" t="s">
        <v>5845</v>
      </c>
      <c r="F1285" t="s">
        <v>2413</v>
      </c>
      <c r="G1285">
        <v>3</v>
      </c>
      <c r="H1285">
        <v>1</v>
      </c>
      <c r="I1285">
        <v>0.01</v>
      </c>
      <c r="J1285">
        <v>1000</v>
      </c>
      <c r="K1285">
        <v>-0.23</v>
      </c>
      <c r="L1285">
        <v>98.86</v>
      </c>
      <c r="M1285">
        <v>99.09</v>
      </c>
      <c r="N1285">
        <v>98.84</v>
      </c>
      <c r="O1285">
        <v>98.86</v>
      </c>
      <c r="P1285">
        <v>0</v>
      </c>
      <c r="Q1285">
        <v>0</v>
      </c>
      <c r="R1285">
        <v>0</v>
      </c>
      <c r="S1285">
        <v>98.88</v>
      </c>
      <c r="T1285">
        <v>99.14</v>
      </c>
      <c r="U1285">
        <v>98.72</v>
      </c>
      <c r="V1285">
        <v>99.15</v>
      </c>
      <c r="W1285">
        <v>29515492</v>
      </c>
      <c r="X1285">
        <v>98.8</v>
      </c>
      <c r="Y1285">
        <v>98.86</v>
      </c>
      <c r="Z1285">
        <v>482</v>
      </c>
      <c r="AA1285">
        <v>50000000</v>
      </c>
      <c r="AB1285">
        <v>1977.2</v>
      </c>
      <c r="AC1285">
        <v>0</v>
      </c>
      <c r="AD1285" t="s">
        <v>94</v>
      </c>
      <c r="AE1285" t="s">
        <v>94</v>
      </c>
      <c r="AF1285" t="s">
        <v>226</v>
      </c>
      <c r="AG1285" t="s">
        <v>226</v>
      </c>
      <c r="AH1285">
        <v>8</v>
      </c>
      <c r="AI1285" t="s">
        <v>3537</v>
      </c>
      <c r="AJ1285" t="s">
        <v>1976</v>
      </c>
      <c r="AK1285" t="s">
        <v>2416</v>
      </c>
      <c r="AL1285" t="s">
        <v>272</v>
      </c>
    </row>
    <row r="1286" spans="1:38">
      <c r="A1286" t="s">
        <v>5846</v>
      </c>
      <c r="B1286" t="s">
        <v>5847</v>
      </c>
      <c r="C1286" t="s">
        <v>5848</v>
      </c>
      <c r="D1286" t="s">
        <v>5848</v>
      </c>
      <c r="E1286" t="s">
        <v>5849</v>
      </c>
      <c r="F1286" t="s">
        <v>2413</v>
      </c>
      <c r="G1286">
        <v>3</v>
      </c>
      <c r="H1286">
        <v>1</v>
      </c>
      <c r="I1286">
        <v>0.01</v>
      </c>
      <c r="J1286">
        <v>1000</v>
      </c>
      <c r="K1286">
        <v>-0.56999999999999995</v>
      </c>
      <c r="L1286">
        <v>97.43</v>
      </c>
      <c r="M1286">
        <v>97.99</v>
      </c>
      <c r="N1286">
        <v>97.85</v>
      </c>
      <c r="O1286">
        <v>97.4</v>
      </c>
      <c r="P1286">
        <v>0</v>
      </c>
      <c r="Q1286">
        <v>0</v>
      </c>
      <c r="R1286">
        <v>0</v>
      </c>
      <c r="S1286">
        <v>97.07</v>
      </c>
      <c r="T1286">
        <v>98.17</v>
      </c>
      <c r="U1286">
        <v>97</v>
      </c>
      <c r="V1286">
        <v>98.17</v>
      </c>
      <c r="W1286">
        <v>454283</v>
      </c>
      <c r="X1286">
        <v>97.06</v>
      </c>
      <c r="Y1286">
        <v>97.66</v>
      </c>
      <c r="Z1286">
        <v>33</v>
      </c>
      <c r="AA1286">
        <v>20000000</v>
      </c>
      <c r="AB1286">
        <v>1948.6</v>
      </c>
      <c r="AC1286">
        <v>0</v>
      </c>
      <c r="AD1286" t="s">
        <v>94</v>
      </c>
      <c r="AE1286" t="s">
        <v>94</v>
      </c>
      <c r="AF1286" t="s">
        <v>226</v>
      </c>
      <c r="AG1286" t="s">
        <v>226</v>
      </c>
      <c r="AH1286">
        <v>8</v>
      </c>
      <c r="AI1286" t="s">
        <v>3537</v>
      </c>
      <c r="AJ1286" t="s">
        <v>1976</v>
      </c>
      <c r="AK1286" t="s">
        <v>2416</v>
      </c>
      <c r="AL1286" t="s">
        <v>272</v>
      </c>
    </row>
    <row r="1287" spans="1:38">
      <c r="A1287" t="s">
        <v>5850</v>
      </c>
      <c r="B1287" t="s">
        <v>2436</v>
      </c>
      <c r="C1287" t="s">
        <v>2437</v>
      </c>
      <c r="D1287" t="s">
        <v>2437</v>
      </c>
      <c r="E1287" t="s">
        <v>2438</v>
      </c>
      <c r="F1287" t="s">
        <v>2413</v>
      </c>
      <c r="G1287">
        <v>3</v>
      </c>
      <c r="H1287">
        <v>1</v>
      </c>
      <c r="I1287">
        <v>1E-4</v>
      </c>
      <c r="J1287">
        <v>1000</v>
      </c>
      <c r="K1287">
        <v>-1.1000000000000001</v>
      </c>
      <c r="L1287">
        <v>90.900199999999998</v>
      </c>
      <c r="M1287">
        <v>92.499600000000001</v>
      </c>
      <c r="N1287">
        <v>92.364099999999993</v>
      </c>
      <c r="O1287">
        <v>92.9</v>
      </c>
      <c r="P1287">
        <v>0</v>
      </c>
      <c r="Q1287">
        <v>0</v>
      </c>
      <c r="R1287">
        <v>0</v>
      </c>
      <c r="S1287">
        <v>92.061300000000003</v>
      </c>
      <c r="T1287">
        <v>91.920100000000005</v>
      </c>
      <c r="U1287">
        <v>90.080100000000002</v>
      </c>
      <c r="V1287">
        <v>93.038600000000002</v>
      </c>
      <c r="W1287">
        <v>15900758</v>
      </c>
      <c r="X1287">
        <v>90.142300000000006</v>
      </c>
      <c r="Y1287">
        <v>91.099900000000005</v>
      </c>
      <c r="Z1287">
        <v>97</v>
      </c>
      <c r="AA1287">
        <v>2000000</v>
      </c>
      <c r="AB1287">
        <v>26460.14</v>
      </c>
      <c r="AC1287">
        <v>0</v>
      </c>
      <c r="AD1287" t="s">
        <v>1663</v>
      </c>
      <c r="AE1287" t="s">
        <v>94</v>
      </c>
      <c r="AF1287" t="s">
        <v>226</v>
      </c>
      <c r="AG1287" t="s">
        <v>226</v>
      </c>
      <c r="AH1287">
        <v>-100</v>
      </c>
      <c r="AI1287" t="s">
        <v>3537</v>
      </c>
      <c r="AJ1287" t="s">
        <v>1976</v>
      </c>
      <c r="AK1287" t="s">
        <v>2416</v>
      </c>
      <c r="AL1287" t="s">
        <v>272</v>
      </c>
    </row>
    <row r="1288" spans="1:38">
      <c r="A1288" t="s">
        <v>5851</v>
      </c>
      <c r="B1288" t="s">
        <v>5852</v>
      </c>
      <c r="C1288" t="s">
        <v>5853</v>
      </c>
      <c r="D1288" t="s">
        <v>5853</v>
      </c>
      <c r="E1288" t="s">
        <v>5854</v>
      </c>
      <c r="F1288" t="s">
        <v>2413</v>
      </c>
      <c r="G1288">
        <v>3</v>
      </c>
      <c r="H1288">
        <v>1</v>
      </c>
      <c r="I1288">
        <v>0.01</v>
      </c>
      <c r="J1288">
        <v>1000</v>
      </c>
      <c r="K1288">
        <v>0.18</v>
      </c>
      <c r="L1288">
        <v>98.18</v>
      </c>
      <c r="M1288">
        <v>98</v>
      </c>
      <c r="N1288">
        <v>97.62</v>
      </c>
      <c r="O1288">
        <v>98.18</v>
      </c>
      <c r="P1288">
        <v>0</v>
      </c>
      <c r="Q1288">
        <v>0</v>
      </c>
      <c r="R1288">
        <v>0</v>
      </c>
      <c r="S1288">
        <v>97.99</v>
      </c>
      <c r="T1288">
        <v>98</v>
      </c>
      <c r="U1288">
        <v>97.48</v>
      </c>
      <c r="V1288">
        <v>98.19</v>
      </c>
      <c r="W1288">
        <v>37034637</v>
      </c>
      <c r="X1288">
        <v>98.16</v>
      </c>
      <c r="Y1288">
        <v>98.18</v>
      </c>
      <c r="Z1288">
        <v>536</v>
      </c>
      <c r="AA1288">
        <v>55000000</v>
      </c>
      <c r="AB1288">
        <v>981.8</v>
      </c>
      <c r="AC1288">
        <v>0</v>
      </c>
      <c r="AD1288" t="s">
        <v>94</v>
      </c>
      <c r="AE1288" t="s">
        <v>94</v>
      </c>
      <c r="AF1288" t="s">
        <v>226</v>
      </c>
      <c r="AG1288" t="s">
        <v>226</v>
      </c>
      <c r="AH1288">
        <v>8</v>
      </c>
      <c r="AI1288" t="s">
        <v>3537</v>
      </c>
      <c r="AJ1288" t="s">
        <v>1976</v>
      </c>
      <c r="AK1288" t="s">
        <v>2416</v>
      </c>
      <c r="AL1288" t="s">
        <v>272</v>
      </c>
    </row>
    <row r="1289" spans="1:38">
      <c r="A1289" t="s">
        <v>5855</v>
      </c>
      <c r="B1289" t="s">
        <v>5856</v>
      </c>
      <c r="C1289" t="s">
        <v>5857</v>
      </c>
      <c r="D1289" t="s">
        <v>5857</v>
      </c>
      <c r="E1289" t="s">
        <v>5858</v>
      </c>
      <c r="F1289" t="s">
        <v>2413</v>
      </c>
      <c r="G1289">
        <v>3</v>
      </c>
      <c r="H1289">
        <v>1</v>
      </c>
      <c r="I1289">
        <v>0.01</v>
      </c>
      <c r="J1289">
        <v>1000</v>
      </c>
      <c r="K1289">
        <v>0.02</v>
      </c>
      <c r="L1289">
        <v>100.02</v>
      </c>
      <c r="M1289">
        <v>100</v>
      </c>
      <c r="N1289">
        <v>99.96</v>
      </c>
      <c r="O1289">
        <v>100.02</v>
      </c>
      <c r="P1289">
        <v>0</v>
      </c>
      <c r="Q1289">
        <v>0</v>
      </c>
      <c r="R1289">
        <v>0</v>
      </c>
      <c r="S1289">
        <v>100.65</v>
      </c>
      <c r="T1289">
        <v>100.59</v>
      </c>
      <c r="U1289">
        <v>99.99</v>
      </c>
      <c r="V1289">
        <v>103.02</v>
      </c>
      <c r="W1289">
        <v>4388159</v>
      </c>
      <c r="X1289">
        <v>100</v>
      </c>
      <c r="Y1289">
        <v>100.14</v>
      </c>
      <c r="Z1289">
        <v>134</v>
      </c>
      <c r="AA1289">
        <v>10000000</v>
      </c>
      <c r="AB1289">
        <v>4000.8</v>
      </c>
      <c r="AC1289">
        <v>0</v>
      </c>
      <c r="AD1289" t="s">
        <v>94</v>
      </c>
      <c r="AE1289" t="s">
        <v>94</v>
      </c>
      <c r="AF1289" t="s">
        <v>226</v>
      </c>
      <c r="AG1289" t="s">
        <v>226</v>
      </c>
      <c r="AH1289">
        <v>-100</v>
      </c>
      <c r="AI1289" t="s">
        <v>3537</v>
      </c>
      <c r="AJ1289" t="s">
        <v>1976</v>
      </c>
      <c r="AK1289" t="s">
        <v>2416</v>
      </c>
      <c r="AL1289" t="s">
        <v>272</v>
      </c>
    </row>
    <row r="1290" spans="1:38">
      <c r="A1290" t="s">
        <v>5859</v>
      </c>
      <c r="B1290" t="s">
        <v>5860</v>
      </c>
      <c r="C1290" t="s">
        <v>5861</v>
      </c>
      <c r="D1290" t="s">
        <v>5861</v>
      </c>
      <c r="E1290" t="s">
        <v>5862</v>
      </c>
      <c r="F1290" t="s">
        <v>2413</v>
      </c>
      <c r="G1290">
        <v>3</v>
      </c>
      <c r="H1290">
        <v>1</v>
      </c>
      <c r="I1290">
        <v>0.01</v>
      </c>
      <c r="J1290">
        <v>1000</v>
      </c>
      <c r="K1290">
        <v>0.03</v>
      </c>
      <c r="L1290">
        <v>102</v>
      </c>
      <c r="M1290">
        <v>101.97</v>
      </c>
      <c r="N1290">
        <v>0</v>
      </c>
      <c r="O1290">
        <v>102</v>
      </c>
      <c r="P1290">
        <v>0</v>
      </c>
      <c r="Q1290">
        <v>0</v>
      </c>
      <c r="R1290">
        <v>0</v>
      </c>
      <c r="S1290">
        <v>100.49</v>
      </c>
      <c r="T1290">
        <v>102.22</v>
      </c>
      <c r="U1290">
        <v>99.57</v>
      </c>
      <c r="V1290">
        <v>102.22</v>
      </c>
      <c r="W1290">
        <v>31150</v>
      </c>
      <c r="X1290">
        <v>99.7</v>
      </c>
      <c r="Y1290">
        <v>101.99</v>
      </c>
      <c r="Z1290">
        <v>10</v>
      </c>
      <c r="AA1290">
        <v>5000000</v>
      </c>
      <c r="AB1290">
        <v>6120</v>
      </c>
      <c r="AC1290">
        <v>0</v>
      </c>
      <c r="AD1290" t="s">
        <v>94</v>
      </c>
      <c r="AE1290" t="s">
        <v>94</v>
      </c>
      <c r="AF1290" t="s">
        <v>226</v>
      </c>
      <c r="AG1290" t="s">
        <v>226</v>
      </c>
      <c r="AH1290">
        <v>-100</v>
      </c>
      <c r="AI1290" t="s">
        <v>3537</v>
      </c>
      <c r="AJ1290" t="s">
        <v>1976</v>
      </c>
      <c r="AK1290" t="s">
        <v>2416</v>
      </c>
      <c r="AL1290" t="s">
        <v>272</v>
      </c>
    </row>
    <row r="1291" spans="1:38">
      <c r="A1291" t="s">
        <v>5863</v>
      </c>
      <c r="B1291" t="s">
        <v>5864</v>
      </c>
      <c r="C1291" t="s">
        <v>5865</v>
      </c>
      <c r="D1291" t="s">
        <v>5865</v>
      </c>
      <c r="E1291" t="s">
        <v>5866</v>
      </c>
      <c r="F1291" t="s">
        <v>2413</v>
      </c>
      <c r="G1291">
        <v>3</v>
      </c>
      <c r="H1291">
        <v>1</v>
      </c>
      <c r="I1291">
        <v>0.01</v>
      </c>
      <c r="J1291">
        <v>1000</v>
      </c>
      <c r="K1291">
        <v>0.08</v>
      </c>
      <c r="L1291">
        <v>64.69</v>
      </c>
      <c r="M1291">
        <v>64.680000000000007</v>
      </c>
      <c r="N1291">
        <v>64.78</v>
      </c>
      <c r="O1291">
        <v>64.69</v>
      </c>
      <c r="P1291">
        <v>0</v>
      </c>
      <c r="Q1291">
        <v>0</v>
      </c>
      <c r="R1291">
        <v>0</v>
      </c>
      <c r="S1291">
        <v>64.489999999999995</v>
      </c>
      <c r="T1291">
        <v>64.78</v>
      </c>
      <c r="U1291">
        <v>64</v>
      </c>
      <c r="V1291">
        <v>64.790000000000006</v>
      </c>
      <c r="W1291">
        <v>1137589</v>
      </c>
      <c r="X1291">
        <v>64.489999999999995</v>
      </c>
      <c r="Y1291">
        <v>64.7</v>
      </c>
      <c r="Z1291">
        <v>146</v>
      </c>
      <c r="AA1291">
        <v>20000000</v>
      </c>
      <c r="AB1291">
        <v>646.9</v>
      </c>
      <c r="AC1291">
        <v>0</v>
      </c>
      <c r="AD1291" t="s">
        <v>94</v>
      </c>
      <c r="AE1291" t="s">
        <v>94</v>
      </c>
      <c r="AF1291" t="s">
        <v>226</v>
      </c>
      <c r="AG1291" t="s">
        <v>226</v>
      </c>
      <c r="AH1291">
        <v>-100</v>
      </c>
      <c r="AI1291" t="s">
        <v>3537</v>
      </c>
      <c r="AJ1291" t="s">
        <v>1976</v>
      </c>
      <c r="AK1291" t="s">
        <v>2416</v>
      </c>
      <c r="AL1291" t="s">
        <v>272</v>
      </c>
    </row>
    <row r="1292" spans="1:38">
      <c r="A1292" t="s">
        <v>5867</v>
      </c>
      <c r="B1292" t="s">
        <v>5868</v>
      </c>
      <c r="C1292" t="s">
        <v>5869</v>
      </c>
      <c r="D1292" t="s">
        <v>5869</v>
      </c>
      <c r="E1292" t="s">
        <v>5870</v>
      </c>
      <c r="F1292" t="s">
        <v>2413</v>
      </c>
      <c r="G1292">
        <v>3</v>
      </c>
      <c r="H1292">
        <v>1</v>
      </c>
      <c r="I1292">
        <v>0.01</v>
      </c>
      <c r="J1292">
        <v>1000</v>
      </c>
      <c r="K1292">
        <v>0.2</v>
      </c>
      <c r="L1292">
        <v>98.12</v>
      </c>
      <c r="M1292">
        <v>97.92</v>
      </c>
      <c r="N1292">
        <v>97.87</v>
      </c>
      <c r="O1292">
        <v>98.1</v>
      </c>
      <c r="P1292">
        <v>0</v>
      </c>
      <c r="Q1292">
        <v>0</v>
      </c>
      <c r="R1292">
        <v>0</v>
      </c>
      <c r="S1292">
        <v>98.01</v>
      </c>
      <c r="T1292">
        <v>98.03</v>
      </c>
      <c r="U1292">
        <v>97.79</v>
      </c>
      <c r="V1292">
        <v>98.24</v>
      </c>
      <c r="W1292">
        <v>374397</v>
      </c>
      <c r="X1292">
        <v>98.02</v>
      </c>
      <c r="Y1292">
        <v>98.12</v>
      </c>
      <c r="Z1292">
        <v>60</v>
      </c>
      <c r="AA1292">
        <v>10000000</v>
      </c>
      <c r="AB1292">
        <v>2943.6</v>
      </c>
      <c r="AC1292">
        <v>0</v>
      </c>
      <c r="AD1292" t="s">
        <v>94</v>
      </c>
      <c r="AE1292" t="s">
        <v>94</v>
      </c>
      <c r="AF1292" t="s">
        <v>226</v>
      </c>
      <c r="AG1292" t="s">
        <v>226</v>
      </c>
      <c r="AH1292">
        <v>-100</v>
      </c>
      <c r="AI1292" t="s">
        <v>3537</v>
      </c>
      <c r="AJ1292" t="s">
        <v>1976</v>
      </c>
      <c r="AK1292" t="s">
        <v>2416</v>
      </c>
      <c r="AL1292" t="s">
        <v>272</v>
      </c>
    </row>
    <row r="1293" spans="1:38">
      <c r="A1293" t="s">
        <v>5871</v>
      </c>
      <c r="B1293" t="s">
        <v>5872</v>
      </c>
      <c r="C1293" t="s">
        <v>5873</v>
      </c>
      <c r="D1293" t="s">
        <v>5873</v>
      </c>
      <c r="E1293" t="s">
        <v>5874</v>
      </c>
      <c r="F1293" t="s">
        <v>2413</v>
      </c>
      <c r="G1293">
        <v>3</v>
      </c>
      <c r="H1293">
        <v>1</v>
      </c>
      <c r="I1293">
        <v>0.01</v>
      </c>
      <c r="J1293">
        <v>1000</v>
      </c>
      <c r="K1293">
        <v>-0.2</v>
      </c>
      <c r="L1293">
        <v>90.4</v>
      </c>
      <c r="M1293">
        <v>90.58</v>
      </c>
      <c r="N1293">
        <v>90.6</v>
      </c>
      <c r="O1293">
        <v>90.38</v>
      </c>
      <c r="P1293">
        <v>0</v>
      </c>
      <c r="Q1293">
        <v>0</v>
      </c>
      <c r="R1293">
        <v>0</v>
      </c>
      <c r="S1293">
        <v>90.48</v>
      </c>
      <c r="T1293">
        <v>90.87</v>
      </c>
      <c r="U1293">
        <v>90.12</v>
      </c>
      <c r="V1293">
        <v>90.87</v>
      </c>
      <c r="W1293">
        <v>893030</v>
      </c>
      <c r="X1293">
        <v>90.2</v>
      </c>
      <c r="Y1293">
        <v>90.4</v>
      </c>
      <c r="Z1293">
        <v>138</v>
      </c>
      <c r="AA1293">
        <v>30000000</v>
      </c>
      <c r="AB1293">
        <v>904</v>
      </c>
      <c r="AC1293">
        <v>0</v>
      </c>
      <c r="AD1293" t="s">
        <v>94</v>
      </c>
      <c r="AE1293" t="s">
        <v>94</v>
      </c>
      <c r="AF1293" t="s">
        <v>226</v>
      </c>
      <c r="AG1293" t="s">
        <v>226</v>
      </c>
      <c r="AH1293">
        <v>-100</v>
      </c>
      <c r="AI1293" t="s">
        <v>3537</v>
      </c>
      <c r="AJ1293" t="s">
        <v>1976</v>
      </c>
      <c r="AK1293" t="s">
        <v>2416</v>
      </c>
      <c r="AL1293" t="s">
        <v>272</v>
      </c>
    </row>
    <row r="1294" spans="1:38">
      <c r="A1294" t="s">
        <v>5875</v>
      </c>
      <c r="B1294" t="s">
        <v>5876</v>
      </c>
      <c r="C1294" t="s">
        <v>5877</v>
      </c>
      <c r="D1294" t="s">
        <v>5877</v>
      </c>
      <c r="E1294" t="s">
        <v>5878</v>
      </c>
      <c r="F1294" t="s">
        <v>2413</v>
      </c>
      <c r="G1294">
        <v>3</v>
      </c>
      <c r="H1294">
        <v>1</v>
      </c>
      <c r="I1294">
        <v>0.01</v>
      </c>
      <c r="J1294">
        <v>1000</v>
      </c>
      <c r="K1294">
        <v>-0.09</v>
      </c>
      <c r="L1294">
        <v>94.99</v>
      </c>
      <c r="M1294">
        <v>95.08</v>
      </c>
      <c r="N1294">
        <v>95.21</v>
      </c>
      <c r="O1294">
        <v>94.99</v>
      </c>
      <c r="P1294">
        <v>0</v>
      </c>
      <c r="Q1294">
        <v>0</v>
      </c>
      <c r="R1294">
        <v>0</v>
      </c>
      <c r="S1294">
        <v>94.83</v>
      </c>
      <c r="T1294">
        <v>95.04</v>
      </c>
      <c r="U1294">
        <v>94.5</v>
      </c>
      <c r="V1294">
        <v>95.07</v>
      </c>
      <c r="W1294">
        <v>1345695</v>
      </c>
      <c r="X1294">
        <v>94.9</v>
      </c>
      <c r="Y1294">
        <v>94.99</v>
      </c>
      <c r="Z1294">
        <v>27</v>
      </c>
      <c r="AA1294">
        <v>22000000</v>
      </c>
      <c r="AB1294">
        <v>23747.5</v>
      </c>
      <c r="AC1294">
        <v>0</v>
      </c>
      <c r="AD1294" t="s">
        <v>94</v>
      </c>
      <c r="AE1294" t="s">
        <v>94</v>
      </c>
      <c r="AF1294" t="s">
        <v>304</v>
      </c>
      <c r="AG1294" t="s">
        <v>226</v>
      </c>
      <c r="AH1294">
        <v>800</v>
      </c>
      <c r="AI1294" t="s">
        <v>3537</v>
      </c>
      <c r="AJ1294" t="s">
        <v>1976</v>
      </c>
      <c r="AK1294" t="s">
        <v>2416</v>
      </c>
      <c r="AL1294" t="s">
        <v>272</v>
      </c>
    </row>
    <row r="1295" spans="1:38">
      <c r="A1295" t="s">
        <v>5879</v>
      </c>
      <c r="B1295" t="s">
        <v>5880</v>
      </c>
      <c r="C1295" t="s">
        <v>5881</v>
      </c>
      <c r="D1295" t="s">
        <v>5881</v>
      </c>
      <c r="E1295" t="s">
        <v>5882</v>
      </c>
      <c r="F1295" t="s">
        <v>2413</v>
      </c>
      <c r="G1295">
        <v>3</v>
      </c>
      <c r="H1295">
        <v>1</v>
      </c>
      <c r="I1295">
        <v>0.01</v>
      </c>
      <c r="J1295">
        <v>1000</v>
      </c>
      <c r="K1295">
        <v>-0.01</v>
      </c>
      <c r="L1295">
        <v>95.2</v>
      </c>
      <c r="M1295">
        <v>95.21</v>
      </c>
      <c r="N1295">
        <v>95.38</v>
      </c>
      <c r="O1295">
        <v>95.17</v>
      </c>
      <c r="P1295">
        <v>0</v>
      </c>
      <c r="Q1295">
        <v>0</v>
      </c>
      <c r="R1295">
        <v>0</v>
      </c>
      <c r="S1295">
        <v>95.14</v>
      </c>
      <c r="T1295">
        <v>95.25</v>
      </c>
      <c r="U1295">
        <v>94.96</v>
      </c>
      <c r="V1295">
        <v>95.29</v>
      </c>
      <c r="W1295">
        <v>570806</v>
      </c>
      <c r="X1295">
        <v>95.03</v>
      </c>
      <c r="Y1295">
        <v>95.2</v>
      </c>
      <c r="Z1295">
        <v>52</v>
      </c>
      <c r="AA1295">
        <v>34000000</v>
      </c>
      <c r="AB1295">
        <v>18088</v>
      </c>
      <c r="AC1295">
        <v>0</v>
      </c>
      <c r="AD1295" t="s">
        <v>94</v>
      </c>
      <c r="AE1295" t="s">
        <v>94</v>
      </c>
      <c r="AF1295" t="s">
        <v>226</v>
      </c>
      <c r="AG1295" t="s">
        <v>226</v>
      </c>
      <c r="AH1295">
        <v>8</v>
      </c>
      <c r="AI1295" t="s">
        <v>3537</v>
      </c>
      <c r="AJ1295" t="s">
        <v>1976</v>
      </c>
      <c r="AK1295" t="s">
        <v>2416</v>
      </c>
      <c r="AL1295" t="s">
        <v>272</v>
      </c>
    </row>
    <row r="1296" spans="1:38">
      <c r="A1296" t="s">
        <v>5883</v>
      </c>
      <c r="B1296" t="s">
        <v>5884</v>
      </c>
      <c r="C1296" t="s">
        <v>5885</v>
      </c>
      <c r="D1296" t="s">
        <v>5885</v>
      </c>
      <c r="E1296" t="s">
        <v>5886</v>
      </c>
      <c r="F1296" t="s">
        <v>2413</v>
      </c>
      <c r="G1296">
        <v>3</v>
      </c>
      <c r="H1296">
        <v>1</v>
      </c>
      <c r="I1296">
        <v>0.01</v>
      </c>
      <c r="J1296">
        <v>1000</v>
      </c>
      <c r="K1296">
        <v>0.03</v>
      </c>
      <c r="L1296">
        <v>100.27</v>
      </c>
      <c r="M1296">
        <v>100.2</v>
      </c>
      <c r="N1296">
        <v>99.88</v>
      </c>
      <c r="O1296">
        <v>100.25</v>
      </c>
      <c r="P1296">
        <v>0</v>
      </c>
      <c r="Q1296">
        <v>0</v>
      </c>
      <c r="R1296">
        <v>0</v>
      </c>
      <c r="S1296">
        <v>100.32</v>
      </c>
      <c r="T1296">
        <v>100.28</v>
      </c>
      <c r="U1296">
        <v>100.1</v>
      </c>
      <c r="V1296">
        <v>100.57</v>
      </c>
      <c r="W1296">
        <v>8395046</v>
      </c>
      <c r="X1296">
        <v>100.27</v>
      </c>
      <c r="Y1296">
        <v>100.28</v>
      </c>
      <c r="Z1296">
        <v>254</v>
      </c>
      <c r="AA1296">
        <v>12000000</v>
      </c>
      <c r="AB1296">
        <v>4010.8</v>
      </c>
      <c r="AC1296">
        <v>0</v>
      </c>
      <c r="AD1296" t="s">
        <v>94</v>
      </c>
      <c r="AE1296" t="s">
        <v>94</v>
      </c>
      <c r="AF1296" t="s">
        <v>226</v>
      </c>
      <c r="AG1296" t="s">
        <v>226</v>
      </c>
      <c r="AH1296">
        <v>8</v>
      </c>
      <c r="AI1296" t="s">
        <v>3537</v>
      </c>
      <c r="AJ1296" t="s">
        <v>1976</v>
      </c>
      <c r="AK1296" t="s">
        <v>2416</v>
      </c>
      <c r="AL1296" t="s">
        <v>272</v>
      </c>
    </row>
    <row r="1297" spans="1:38">
      <c r="A1297" t="s">
        <v>5887</v>
      </c>
      <c r="B1297" t="s">
        <v>5888</v>
      </c>
      <c r="C1297" t="s">
        <v>5889</v>
      </c>
      <c r="D1297" t="s">
        <v>5889</v>
      </c>
      <c r="E1297" t="s">
        <v>5890</v>
      </c>
      <c r="F1297" t="s">
        <v>2413</v>
      </c>
      <c r="G1297">
        <v>3</v>
      </c>
      <c r="H1297">
        <v>1</v>
      </c>
      <c r="I1297">
        <v>0.01</v>
      </c>
      <c r="J1297">
        <v>1000</v>
      </c>
      <c r="K1297">
        <v>-0.16</v>
      </c>
      <c r="L1297">
        <v>94.85</v>
      </c>
      <c r="M1297">
        <v>95</v>
      </c>
      <c r="N1297">
        <v>94.92</v>
      </c>
      <c r="O1297">
        <v>94.85</v>
      </c>
      <c r="P1297">
        <v>0</v>
      </c>
      <c r="Q1297">
        <v>0</v>
      </c>
      <c r="R1297">
        <v>0</v>
      </c>
      <c r="S1297">
        <v>94.99</v>
      </c>
      <c r="T1297">
        <v>95.33</v>
      </c>
      <c r="U1297">
        <v>94.84</v>
      </c>
      <c r="V1297">
        <v>95.34</v>
      </c>
      <c r="W1297">
        <v>214673</v>
      </c>
      <c r="X1297">
        <v>94.87</v>
      </c>
      <c r="Y1297">
        <v>95</v>
      </c>
      <c r="Z1297">
        <v>33</v>
      </c>
      <c r="AA1297">
        <v>15000000</v>
      </c>
      <c r="AB1297">
        <v>1897</v>
      </c>
      <c r="AC1297">
        <v>0</v>
      </c>
      <c r="AD1297" t="s">
        <v>94</v>
      </c>
      <c r="AE1297" t="s">
        <v>94</v>
      </c>
      <c r="AF1297" t="s">
        <v>226</v>
      </c>
      <c r="AG1297" t="s">
        <v>226</v>
      </c>
      <c r="AH1297">
        <v>8</v>
      </c>
      <c r="AI1297" t="s">
        <v>3537</v>
      </c>
      <c r="AJ1297" t="s">
        <v>1976</v>
      </c>
      <c r="AK1297" t="s">
        <v>2416</v>
      </c>
      <c r="AL1297" t="s">
        <v>272</v>
      </c>
    </row>
    <row r="1298" spans="1:38">
      <c r="A1298" t="s">
        <v>5891</v>
      </c>
      <c r="B1298" t="s">
        <v>5892</v>
      </c>
      <c r="C1298" t="s">
        <v>5893</v>
      </c>
      <c r="D1298" t="s">
        <v>5893</v>
      </c>
      <c r="E1298" t="s">
        <v>5894</v>
      </c>
      <c r="F1298" t="s">
        <v>2413</v>
      </c>
      <c r="G1298">
        <v>3</v>
      </c>
      <c r="H1298">
        <v>1</v>
      </c>
      <c r="I1298">
        <v>0.01</v>
      </c>
      <c r="J1298">
        <v>1000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37.01</v>
      </c>
      <c r="Y1298">
        <v>0</v>
      </c>
      <c r="Z1298">
        <v>0</v>
      </c>
      <c r="AA1298">
        <v>15000000</v>
      </c>
      <c r="AB1298">
        <v>0</v>
      </c>
      <c r="AC1298">
        <v>0</v>
      </c>
      <c r="AD1298" t="s">
        <v>94</v>
      </c>
      <c r="AE1298" t="s">
        <v>94</v>
      </c>
      <c r="AF1298" t="s">
        <v>226</v>
      </c>
      <c r="AG1298" t="s">
        <v>226</v>
      </c>
      <c r="AH1298">
        <v>8</v>
      </c>
      <c r="AI1298" t="s">
        <v>3537</v>
      </c>
      <c r="AJ1298" t="s">
        <v>1976</v>
      </c>
      <c r="AK1298" t="s">
        <v>2416</v>
      </c>
      <c r="AL1298" t="s">
        <v>272</v>
      </c>
    </row>
    <row r="1299" spans="1:38">
      <c r="A1299" t="s">
        <v>5895</v>
      </c>
      <c r="B1299" t="s">
        <v>5896</v>
      </c>
      <c r="C1299" t="s">
        <v>5897</v>
      </c>
      <c r="D1299" t="s">
        <v>5897</v>
      </c>
      <c r="E1299" t="s">
        <v>5898</v>
      </c>
      <c r="F1299" t="s">
        <v>2413</v>
      </c>
      <c r="G1299">
        <v>3</v>
      </c>
      <c r="H1299">
        <v>1</v>
      </c>
      <c r="I1299">
        <v>0.01</v>
      </c>
      <c r="J1299">
        <v>1000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15000000</v>
      </c>
      <c r="AB1299">
        <v>0</v>
      </c>
      <c r="AC1299">
        <v>0</v>
      </c>
      <c r="AD1299" t="s">
        <v>94</v>
      </c>
      <c r="AE1299" t="s">
        <v>94</v>
      </c>
      <c r="AF1299" t="s">
        <v>226</v>
      </c>
      <c r="AG1299" t="s">
        <v>226</v>
      </c>
      <c r="AH1299">
        <v>8</v>
      </c>
      <c r="AI1299" t="s">
        <v>3537</v>
      </c>
      <c r="AJ1299" t="s">
        <v>1976</v>
      </c>
      <c r="AK1299" t="s">
        <v>2416</v>
      </c>
      <c r="AL1299" t="s">
        <v>272</v>
      </c>
    </row>
    <row r="1300" spans="1:38">
      <c r="A1300" t="s">
        <v>5899</v>
      </c>
      <c r="B1300" t="s">
        <v>5900</v>
      </c>
      <c r="C1300" t="s">
        <v>5901</v>
      </c>
      <c r="D1300" t="s">
        <v>5901</v>
      </c>
      <c r="E1300" t="s">
        <v>5902</v>
      </c>
      <c r="F1300" t="s">
        <v>2413</v>
      </c>
      <c r="G1300">
        <v>1</v>
      </c>
      <c r="H1300">
        <v>1</v>
      </c>
      <c r="I1300">
        <v>0.01</v>
      </c>
      <c r="J1300">
        <v>1000</v>
      </c>
      <c r="K1300">
        <v>-0.23</v>
      </c>
      <c r="L1300">
        <v>91.03</v>
      </c>
      <c r="M1300">
        <v>91.23</v>
      </c>
      <c r="N1300">
        <v>90.82</v>
      </c>
      <c r="O1300">
        <v>91.03</v>
      </c>
      <c r="P1300">
        <v>0</v>
      </c>
      <c r="Q1300">
        <v>0</v>
      </c>
      <c r="R1300">
        <v>0</v>
      </c>
      <c r="S1300">
        <v>90.99</v>
      </c>
      <c r="T1300">
        <v>90.61</v>
      </c>
      <c r="U1300">
        <v>90.45</v>
      </c>
      <c r="V1300">
        <v>91.73</v>
      </c>
      <c r="W1300">
        <v>2436761</v>
      </c>
      <c r="X1300">
        <v>91.05</v>
      </c>
      <c r="Y1300">
        <v>91.06</v>
      </c>
      <c r="Z1300">
        <v>79</v>
      </c>
      <c r="AA1300">
        <v>15000000</v>
      </c>
      <c r="AB1300">
        <v>910.3</v>
      </c>
      <c r="AC1300">
        <v>0</v>
      </c>
      <c r="AD1300" t="s">
        <v>94</v>
      </c>
      <c r="AE1300" t="s">
        <v>94</v>
      </c>
      <c r="AF1300" t="s">
        <v>226</v>
      </c>
      <c r="AG1300" t="s">
        <v>226</v>
      </c>
      <c r="AH1300">
        <v>-100</v>
      </c>
      <c r="AI1300" t="s">
        <v>3537</v>
      </c>
      <c r="AJ1300" t="s">
        <v>1976</v>
      </c>
      <c r="AK1300" t="s">
        <v>2416</v>
      </c>
      <c r="AL1300" t="s">
        <v>272</v>
      </c>
    </row>
    <row r="1301" spans="1:38">
      <c r="A1301" t="s">
        <v>5903</v>
      </c>
      <c r="B1301" t="s">
        <v>5904</v>
      </c>
      <c r="C1301" t="s">
        <v>5905</v>
      </c>
      <c r="D1301" t="s">
        <v>5905</v>
      </c>
      <c r="E1301" t="s">
        <v>5906</v>
      </c>
      <c r="F1301" t="s">
        <v>2413</v>
      </c>
      <c r="G1301">
        <v>1</v>
      </c>
      <c r="H1301">
        <v>1</v>
      </c>
      <c r="I1301">
        <v>0.01</v>
      </c>
      <c r="J1301">
        <v>1000</v>
      </c>
      <c r="K1301">
        <v>-0.1</v>
      </c>
      <c r="L1301">
        <v>91.3</v>
      </c>
      <c r="M1301">
        <v>91.39</v>
      </c>
      <c r="N1301">
        <v>91.44</v>
      </c>
      <c r="O1301">
        <v>91.3</v>
      </c>
      <c r="P1301">
        <v>0</v>
      </c>
      <c r="Q1301">
        <v>0</v>
      </c>
      <c r="R1301">
        <v>0</v>
      </c>
      <c r="S1301">
        <v>91.3</v>
      </c>
      <c r="T1301">
        <v>91.35</v>
      </c>
      <c r="U1301">
        <v>91.29</v>
      </c>
      <c r="V1301">
        <v>91.35</v>
      </c>
      <c r="W1301">
        <v>257467</v>
      </c>
      <c r="X1301">
        <v>91.16</v>
      </c>
      <c r="Y1301">
        <v>91.3</v>
      </c>
      <c r="Z1301">
        <v>14</v>
      </c>
      <c r="AA1301">
        <v>15000000</v>
      </c>
      <c r="AB1301">
        <v>913</v>
      </c>
      <c r="AC1301">
        <v>0</v>
      </c>
      <c r="AD1301" t="s">
        <v>94</v>
      </c>
      <c r="AE1301" t="s">
        <v>94</v>
      </c>
      <c r="AF1301" t="s">
        <v>226</v>
      </c>
      <c r="AG1301" t="s">
        <v>226</v>
      </c>
      <c r="AH1301">
        <v>-100</v>
      </c>
      <c r="AI1301" t="s">
        <v>3537</v>
      </c>
      <c r="AJ1301" t="s">
        <v>1976</v>
      </c>
      <c r="AK1301" t="s">
        <v>2416</v>
      </c>
      <c r="AL1301" t="s">
        <v>272</v>
      </c>
    </row>
    <row r="1302" spans="1:38">
      <c r="A1302" t="s">
        <v>5907</v>
      </c>
      <c r="B1302" t="s">
        <v>5908</v>
      </c>
      <c r="C1302" t="s">
        <v>5909</v>
      </c>
      <c r="D1302" t="s">
        <v>5909</v>
      </c>
      <c r="E1302" t="s">
        <v>5910</v>
      </c>
      <c r="F1302" t="s">
        <v>2413</v>
      </c>
      <c r="G1302">
        <v>1</v>
      </c>
      <c r="H1302">
        <v>1</v>
      </c>
      <c r="I1302">
        <v>0.01</v>
      </c>
      <c r="J1302">
        <v>1000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92.01</v>
      </c>
      <c r="Y1302">
        <v>0</v>
      </c>
      <c r="Z1302">
        <v>0</v>
      </c>
      <c r="AA1302">
        <v>10000000</v>
      </c>
      <c r="AB1302">
        <v>0</v>
      </c>
      <c r="AC1302">
        <v>0</v>
      </c>
      <c r="AD1302" t="s">
        <v>94</v>
      </c>
      <c r="AE1302" t="s">
        <v>94</v>
      </c>
      <c r="AF1302" t="s">
        <v>226</v>
      </c>
      <c r="AG1302" t="s">
        <v>226</v>
      </c>
      <c r="AH1302">
        <v>-100</v>
      </c>
      <c r="AI1302" t="s">
        <v>3537</v>
      </c>
      <c r="AJ1302" t="s">
        <v>1976</v>
      </c>
      <c r="AK1302" t="s">
        <v>2416</v>
      </c>
      <c r="AL1302" t="s">
        <v>272</v>
      </c>
    </row>
    <row r="1303" spans="1:38">
      <c r="A1303" t="s">
        <v>5911</v>
      </c>
      <c r="B1303" t="s">
        <v>5912</v>
      </c>
      <c r="C1303" t="s">
        <v>5913</v>
      </c>
      <c r="D1303" t="s">
        <v>5913</v>
      </c>
      <c r="E1303" t="s">
        <v>5914</v>
      </c>
      <c r="F1303" t="s">
        <v>2425</v>
      </c>
      <c r="G1303">
        <v>3</v>
      </c>
      <c r="H1303">
        <v>1</v>
      </c>
      <c r="I1303">
        <v>0.01</v>
      </c>
      <c r="J1303">
        <v>1000000</v>
      </c>
      <c r="K1303">
        <v>0</v>
      </c>
      <c r="L1303">
        <v>0</v>
      </c>
      <c r="M1303">
        <v>82</v>
      </c>
      <c r="N1303">
        <v>81.88</v>
      </c>
      <c r="O1303">
        <v>82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78.06</v>
      </c>
      <c r="Y1303">
        <v>82</v>
      </c>
      <c r="Z1303">
        <v>0</v>
      </c>
      <c r="AA1303">
        <v>60000</v>
      </c>
      <c r="AB1303">
        <v>0</v>
      </c>
      <c r="AC1303">
        <v>0</v>
      </c>
      <c r="AD1303" t="s">
        <v>94</v>
      </c>
      <c r="AE1303" t="s">
        <v>94</v>
      </c>
      <c r="AF1303" t="s">
        <v>304</v>
      </c>
      <c r="AG1303" t="s">
        <v>226</v>
      </c>
      <c r="AH1303">
        <v>0</v>
      </c>
      <c r="AI1303" t="s">
        <v>3537</v>
      </c>
      <c r="AJ1303" t="s">
        <v>1976</v>
      </c>
      <c r="AK1303" t="s">
        <v>2426</v>
      </c>
      <c r="AL1303" t="s">
        <v>272</v>
      </c>
    </row>
    <row r="1304" spans="1:38">
      <c r="A1304" t="s">
        <v>5915</v>
      </c>
      <c r="B1304" t="s">
        <v>5916</v>
      </c>
      <c r="C1304" t="s">
        <v>5917</v>
      </c>
      <c r="D1304" t="s">
        <v>5917</v>
      </c>
      <c r="E1304" t="s">
        <v>5918</v>
      </c>
      <c r="F1304" t="s">
        <v>2425</v>
      </c>
      <c r="G1304">
        <v>3</v>
      </c>
      <c r="H1304">
        <v>1</v>
      </c>
      <c r="I1304">
        <v>0.01</v>
      </c>
      <c r="J1304">
        <v>5000000</v>
      </c>
      <c r="K1304">
        <v>0</v>
      </c>
      <c r="L1304">
        <v>0</v>
      </c>
      <c r="M1304">
        <v>80</v>
      </c>
      <c r="N1304">
        <v>76.02</v>
      </c>
      <c r="O1304">
        <v>80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85</v>
      </c>
      <c r="Z1304">
        <v>0</v>
      </c>
      <c r="AA1304">
        <v>12000</v>
      </c>
      <c r="AB1304">
        <v>0</v>
      </c>
      <c r="AC1304">
        <v>0</v>
      </c>
      <c r="AD1304" t="s">
        <v>94</v>
      </c>
      <c r="AE1304" t="s">
        <v>94</v>
      </c>
      <c r="AF1304" t="s">
        <v>304</v>
      </c>
      <c r="AG1304" t="s">
        <v>226</v>
      </c>
      <c r="AH1304">
        <v>0</v>
      </c>
      <c r="AI1304" t="s">
        <v>3537</v>
      </c>
      <c r="AJ1304" t="s">
        <v>1976</v>
      </c>
      <c r="AK1304" t="s">
        <v>2426</v>
      </c>
      <c r="AL1304" t="s">
        <v>272</v>
      </c>
    </row>
    <row r="1305" spans="1:38">
      <c r="A1305" t="s">
        <v>5919</v>
      </c>
      <c r="B1305" t="s">
        <v>5920</v>
      </c>
      <c r="C1305" t="s">
        <v>5921</v>
      </c>
      <c r="D1305" t="s">
        <v>5921</v>
      </c>
      <c r="E1305" t="s">
        <v>5922</v>
      </c>
      <c r="F1305" t="s">
        <v>2425</v>
      </c>
      <c r="G1305">
        <v>2</v>
      </c>
      <c r="H1305">
        <v>1</v>
      </c>
      <c r="I1305">
        <v>0.01</v>
      </c>
      <c r="J1305">
        <v>1000</v>
      </c>
      <c r="K1305">
        <v>-0.18</v>
      </c>
      <c r="L1305">
        <v>92.8</v>
      </c>
      <c r="M1305">
        <v>92.97</v>
      </c>
      <c r="N1305">
        <v>93.1</v>
      </c>
      <c r="O1305">
        <v>92.71</v>
      </c>
      <c r="P1305">
        <v>0</v>
      </c>
      <c r="Q1305">
        <v>0</v>
      </c>
      <c r="R1305">
        <v>0</v>
      </c>
      <c r="S1305">
        <v>92.78</v>
      </c>
      <c r="T1305">
        <v>93.26</v>
      </c>
      <c r="U1305">
        <v>92.5</v>
      </c>
      <c r="V1305">
        <v>93.26</v>
      </c>
      <c r="W1305">
        <v>5746832</v>
      </c>
      <c r="X1305">
        <v>92.7</v>
      </c>
      <c r="Y1305">
        <v>92.8</v>
      </c>
      <c r="Z1305">
        <v>153</v>
      </c>
      <c r="AA1305">
        <v>40000000</v>
      </c>
      <c r="AB1305">
        <v>928</v>
      </c>
      <c r="AC1305">
        <v>0</v>
      </c>
      <c r="AD1305" t="s">
        <v>94</v>
      </c>
      <c r="AE1305" t="s">
        <v>94</v>
      </c>
      <c r="AF1305" t="s">
        <v>226</v>
      </c>
      <c r="AG1305" t="s">
        <v>226</v>
      </c>
      <c r="AH1305">
        <v>8</v>
      </c>
      <c r="AI1305" t="s">
        <v>3537</v>
      </c>
      <c r="AJ1305" t="s">
        <v>1976</v>
      </c>
      <c r="AK1305" t="s">
        <v>2426</v>
      </c>
      <c r="AL1305" t="s">
        <v>272</v>
      </c>
    </row>
    <row r="1306" spans="1:38">
      <c r="A1306" t="s">
        <v>5923</v>
      </c>
      <c r="B1306" t="s">
        <v>5924</v>
      </c>
      <c r="C1306" t="s">
        <v>5925</v>
      </c>
      <c r="D1306" t="s">
        <v>5925</v>
      </c>
      <c r="E1306" t="s">
        <v>5926</v>
      </c>
      <c r="F1306" t="s">
        <v>2413</v>
      </c>
      <c r="G1306">
        <v>2</v>
      </c>
      <c r="H1306">
        <v>1</v>
      </c>
      <c r="I1306">
        <v>0.01</v>
      </c>
      <c r="J1306">
        <v>1000</v>
      </c>
      <c r="K1306">
        <v>0.17</v>
      </c>
      <c r="L1306">
        <v>93.54</v>
      </c>
      <c r="M1306">
        <v>93.38</v>
      </c>
      <c r="N1306">
        <v>93.12</v>
      </c>
      <c r="O1306">
        <v>93.54</v>
      </c>
      <c r="P1306">
        <v>0</v>
      </c>
      <c r="Q1306">
        <v>0</v>
      </c>
      <c r="R1306">
        <v>0</v>
      </c>
      <c r="S1306">
        <v>93.57</v>
      </c>
      <c r="T1306">
        <v>93.08</v>
      </c>
      <c r="U1306">
        <v>93.08</v>
      </c>
      <c r="V1306">
        <v>93.98</v>
      </c>
      <c r="W1306">
        <v>666215</v>
      </c>
      <c r="X1306">
        <v>93.39</v>
      </c>
      <c r="Y1306">
        <v>93.55</v>
      </c>
      <c r="Z1306">
        <v>91</v>
      </c>
      <c r="AA1306">
        <v>15000000</v>
      </c>
      <c r="AB1306">
        <v>18708</v>
      </c>
      <c r="AC1306">
        <v>0</v>
      </c>
      <c r="AD1306" t="s">
        <v>94</v>
      </c>
      <c r="AE1306" t="s">
        <v>94</v>
      </c>
      <c r="AF1306" t="s">
        <v>226</v>
      </c>
      <c r="AG1306" t="s">
        <v>226</v>
      </c>
      <c r="AH1306">
        <v>-100</v>
      </c>
      <c r="AI1306" t="s">
        <v>3537</v>
      </c>
      <c r="AJ1306" t="s">
        <v>1976</v>
      </c>
      <c r="AK1306" t="s">
        <v>2416</v>
      </c>
      <c r="AL1306" t="s">
        <v>272</v>
      </c>
    </row>
    <row r="1307" spans="1:38">
      <c r="A1307" t="s">
        <v>5927</v>
      </c>
      <c r="B1307" t="s">
        <v>5928</v>
      </c>
      <c r="C1307" t="s">
        <v>5929</v>
      </c>
      <c r="D1307" t="s">
        <v>5929</v>
      </c>
      <c r="E1307" t="s">
        <v>5930</v>
      </c>
      <c r="F1307" t="s">
        <v>2413</v>
      </c>
      <c r="G1307">
        <v>2</v>
      </c>
      <c r="H1307">
        <v>1</v>
      </c>
      <c r="I1307">
        <v>0.01</v>
      </c>
      <c r="J1307">
        <v>1000</v>
      </c>
      <c r="K1307">
        <v>-0.51</v>
      </c>
      <c r="L1307">
        <v>70.430000000000007</v>
      </c>
      <c r="M1307">
        <v>70.790000000000006</v>
      </c>
      <c r="N1307">
        <v>70.680000000000007</v>
      </c>
      <c r="O1307">
        <v>70.430000000000007</v>
      </c>
      <c r="P1307">
        <v>0</v>
      </c>
      <c r="Q1307">
        <v>0</v>
      </c>
      <c r="R1307">
        <v>0</v>
      </c>
      <c r="S1307">
        <v>70.47</v>
      </c>
      <c r="T1307">
        <v>70.599999999999994</v>
      </c>
      <c r="U1307">
        <v>70</v>
      </c>
      <c r="V1307">
        <v>70.83</v>
      </c>
      <c r="W1307">
        <v>112756</v>
      </c>
      <c r="X1307">
        <v>70.180000000000007</v>
      </c>
      <c r="Y1307">
        <v>70.430000000000007</v>
      </c>
      <c r="Z1307">
        <v>55</v>
      </c>
      <c r="AA1307">
        <v>15000000</v>
      </c>
      <c r="AB1307">
        <v>4930.1000000000004</v>
      </c>
      <c r="AC1307">
        <v>0</v>
      </c>
      <c r="AD1307" t="s">
        <v>94</v>
      </c>
      <c r="AE1307" t="s">
        <v>94</v>
      </c>
      <c r="AF1307" t="s">
        <v>226</v>
      </c>
      <c r="AG1307" t="s">
        <v>226</v>
      </c>
      <c r="AH1307">
        <v>-100</v>
      </c>
      <c r="AI1307" t="s">
        <v>3537</v>
      </c>
      <c r="AJ1307" t="s">
        <v>1976</v>
      </c>
      <c r="AK1307" t="s">
        <v>2416</v>
      </c>
      <c r="AL1307" t="s">
        <v>272</v>
      </c>
    </row>
    <row r="1308" spans="1:38">
      <c r="A1308" t="s">
        <v>5931</v>
      </c>
      <c r="B1308" t="s">
        <v>5932</v>
      </c>
      <c r="C1308" t="s">
        <v>5933</v>
      </c>
      <c r="D1308" t="s">
        <v>5933</v>
      </c>
      <c r="E1308" t="s">
        <v>5934</v>
      </c>
      <c r="F1308" t="s">
        <v>2413</v>
      </c>
      <c r="G1308">
        <v>2</v>
      </c>
      <c r="H1308">
        <v>1</v>
      </c>
      <c r="I1308">
        <v>0.01</v>
      </c>
      <c r="J1308">
        <v>1000</v>
      </c>
      <c r="K1308">
        <v>0</v>
      </c>
      <c r="L1308">
        <v>77.34</v>
      </c>
      <c r="M1308">
        <v>77.34</v>
      </c>
      <c r="N1308">
        <v>77.31</v>
      </c>
      <c r="O1308">
        <v>77.33</v>
      </c>
      <c r="P1308">
        <v>0</v>
      </c>
      <c r="Q1308">
        <v>0</v>
      </c>
      <c r="R1308">
        <v>0</v>
      </c>
      <c r="S1308">
        <v>77.489999999999995</v>
      </c>
      <c r="T1308">
        <v>77.260000000000005</v>
      </c>
      <c r="U1308">
        <v>77.22</v>
      </c>
      <c r="V1308">
        <v>77.95</v>
      </c>
      <c r="W1308">
        <v>406818</v>
      </c>
      <c r="X1308">
        <v>77.23</v>
      </c>
      <c r="Y1308">
        <v>77.34</v>
      </c>
      <c r="Z1308">
        <v>96</v>
      </c>
      <c r="AA1308">
        <v>30000000</v>
      </c>
      <c r="AB1308">
        <v>773.4</v>
      </c>
      <c r="AC1308">
        <v>0</v>
      </c>
      <c r="AD1308" t="s">
        <v>94</v>
      </c>
      <c r="AE1308" t="s">
        <v>94</v>
      </c>
      <c r="AF1308" t="s">
        <v>226</v>
      </c>
      <c r="AG1308" t="s">
        <v>226</v>
      </c>
      <c r="AH1308">
        <v>-100</v>
      </c>
      <c r="AI1308" t="s">
        <v>3537</v>
      </c>
      <c r="AJ1308" t="s">
        <v>1976</v>
      </c>
      <c r="AK1308" t="s">
        <v>2416</v>
      </c>
      <c r="AL1308" t="s">
        <v>272</v>
      </c>
    </row>
    <row r="1309" spans="1:38">
      <c r="A1309" t="s">
        <v>5935</v>
      </c>
      <c r="B1309" t="s">
        <v>5936</v>
      </c>
      <c r="C1309" t="s">
        <v>5937</v>
      </c>
      <c r="D1309" t="s">
        <v>5937</v>
      </c>
      <c r="E1309" t="s">
        <v>5938</v>
      </c>
      <c r="F1309" t="s">
        <v>2413</v>
      </c>
      <c r="G1309">
        <v>2</v>
      </c>
      <c r="H1309">
        <v>1</v>
      </c>
      <c r="I1309">
        <v>0.01</v>
      </c>
      <c r="J1309">
        <v>1000</v>
      </c>
      <c r="K1309">
        <v>0.65</v>
      </c>
      <c r="L1309">
        <v>74.03</v>
      </c>
      <c r="M1309">
        <v>73.55</v>
      </c>
      <c r="N1309">
        <v>73.75</v>
      </c>
      <c r="O1309">
        <v>73.98</v>
      </c>
      <c r="P1309">
        <v>0</v>
      </c>
      <c r="Q1309">
        <v>0</v>
      </c>
      <c r="R1309">
        <v>0</v>
      </c>
      <c r="S1309">
        <v>73.569999999999993</v>
      </c>
      <c r="T1309">
        <v>73.89</v>
      </c>
      <c r="U1309">
        <v>71.72</v>
      </c>
      <c r="V1309">
        <v>74.05</v>
      </c>
      <c r="W1309">
        <v>862943</v>
      </c>
      <c r="X1309">
        <v>73.91</v>
      </c>
      <c r="Y1309">
        <v>74.040000000000006</v>
      </c>
      <c r="Z1309">
        <v>119</v>
      </c>
      <c r="AA1309">
        <v>45000000</v>
      </c>
      <c r="AB1309">
        <v>2961.2</v>
      </c>
      <c r="AC1309">
        <v>0</v>
      </c>
      <c r="AD1309" t="s">
        <v>94</v>
      </c>
      <c r="AE1309" t="s">
        <v>94</v>
      </c>
      <c r="AF1309" t="s">
        <v>226</v>
      </c>
      <c r="AG1309" t="s">
        <v>226</v>
      </c>
      <c r="AH1309">
        <v>-100</v>
      </c>
      <c r="AI1309" t="s">
        <v>3537</v>
      </c>
      <c r="AJ1309" t="s">
        <v>1976</v>
      </c>
      <c r="AK1309" t="s">
        <v>2416</v>
      </c>
      <c r="AL1309" t="s">
        <v>272</v>
      </c>
    </row>
    <row r="1310" spans="1:38">
      <c r="A1310" t="s">
        <v>5939</v>
      </c>
      <c r="B1310" t="s">
        <v>5940</v>
      </c>
      <c r="C1310" t="s">
        <v>5941</v>
      </c>
      <c r="D1310" t="s">
        <v>5941</v>
      </c>
      <c r="E1310" t="s">
        <v>5942</v>
      </c>
      <c r="F1310" t="s">
        <v>2413</v>
      </c>
      <c r="G1310">
        <v>2</v>
      </c>
      <c r="H1310">
        <v>1</v>
      </c>
      <c r="I1310">
        <v>0.01</v>
      </c>
      <c r="J1310">
        <v>1000</v>
      </c>
      <c r="K1310">
        <v>0.25</v>
      </c>
      <c r="L1310">
        <v>89.98</v>
      </c>
      <c r="M1310">
        <v>89.83</v>
      </c>
      <c r="N1310">
        <v>89.8</v>
      </c>
      <c r="O1310">
        <v>89.98</v>
      </c>
      <c r="P1310">
        <v>0</v>
      </c>
      <c r="Q1310">
        <v>0</v>
      </c>
      <c r="R1310">
        <v>0</v>
      </c>
      <c r="S1310">
        <v>89.82</v>
      </c>
      <c r="T1310">
        <v>90.53</v>
      </c>
      <c r="U1310">
        <v>89.32</v>
      </c>
      <c r="V1310">
        <v>90.55</v>
      </c>
      <c r="W1310">
        <v>1486572</v>
      </c>
      <c r="X1310">
        <v>89.81</v>
      </c>
      <c r="Y1310">
        <v>89.97</v>
      </c>
      <c r="Z1310">
        <v>108</v>
      </c>
      <c r="AA1310">
        <v>30000000</v>
      </c>
      <c r="AB1310">
        <v>10797.6</v>
      </c>
      <c r="AC1310">
        <v>0</v>
      </c>
      <c r="AD1310" t="s">
        <v>94</v>
      </c>
      <c r="AE1310" t="s">
        <v>94</v>
      </c>
      <c r="AF1310" t="s">
        <v>226</v>
      </c>
      <c r="AG1310" t="s">
        <v>226</v>
      </c>
      <c r="AH1310">
        <v>-100</v>
      </c>
      <c r="AI1310" t="s">
        <v>3537</v>
      </c>
      <c r="AJ1310" t="s">
        <v>1976</v>
      </c>
      <c r="AK1310" t="s">
        <v>2416</v>
      </c>
      <c r="AL1310" t="s">
        <v>272</v>
      </c>
    </row>
    <row r="1311" spans="1:38">
      <c r="A1311" t="s">
        <v>5943</v>
      </c>
      <c r="B1311" t="s">
        <v>5944</v>
      </c>
      <c r="C1311" t="s">
        <v>5945</v>
      </c>
      <c r="D1311" t="s">
        <v>5945</v>
      </c>
      <c r="E1311" t="s">
        <v>5946</v>
      </c>
      <c r="F1311" t="s">
        <v>2413</v>
      </c>
      <c r="G1311">
        <v>2</v>
      </c>
      <c r="H1311">
        <v>1</v>
      </c>
      <c r="I1311">
        <v>0.01</v>
      </c>
      <c r="J1311">
        <v>1000</v>
      </c>
      <c r="K1311">
        <v>0.47</v>
      </c>
      <c r="L1311">
        <v>88.1</v>
      </c>
      <c r="M1311">
        <v>87.69</v>
      </c>
      <c r="N1311">
        <v>87.89</v>
      </c>
      <c r="O1311">
        <v>88</v>
      </c>
      <c r="P1311">
        <v>0</v>
      </c>
      <c r="Q1311">
        <v>0</v>
      </c>
      <c r="R1311">
        <v>0</v>
      </c>
      <c r="S1311">
        <v>88.16</v>
      </c>
      <c r="T1311">
        <v>87.41</v>
      </c>
      <c r="U1311">
        <v>87.4</v>
      </c>
      <c r="V1311">
        <v>88.49</v>
      </c>
      <c r="W1311">
        <v>1163730</v>
      </c>
      <c r="X1311">
        <v>88.1</v>
      </c>
      <c r="Y1311">
        <v>88.3</v>
      </c>
      <c r="Z1311">
        <v>135</v>
      </c>
      <c r="AA1311">
        <v>30000000</v>
      </c>
      <c r="AB1311">
        <v>881</v>
      </c>
      <c r="AC1311">
        <v>0</v>
      </c>
      <c r="AD1311" t="s">
        <v>94</v>
      </c>
      <c r="AE1311" t="s">
        <v>94</v>
      </c>
      <c r="AF1311" t="s">
        <v>226</v>
      </c>
      <c r="AG1311" t="s">
        <v>226</v>
      </c>
      <c r="AH1311">
        <v>-100</v>
      </c>
      <c r="AI1311" t="s">
        <v>3537</v>
      </c>
      <c r="AJ1311" t="s">
        <v>1976</v>
      </c>
      <c r="AK1311" t="s">
        <v>2416</v>
      </c>
      <c r="AL1311" t="s">
        <v>272</v>
      </c>
    </row>
    <row r="1312" spans="1:38">
      <c r="A1312" t="s">
        <v>5947</v>
      </c>
      <c r="B1312" t="s">
        <v>5948</v>
      </c>
      <c r="C1312" t="s">
        <v>5949</v>
      </c>
      <c r="D1312" t="s">
        <v>5949</v>
      </c>
      <c r="E1312" t="s">
        <v>5950</v>
      </c>
      <c r="F1312" t="s">
        <v>2413</v>
      </c>
      <c r="G1312">
        <v>2</v>
      </c>
      <c r="H1312">
        <v>1</v>
      </c>
      <c r="I1312">
        <v>0.01</v>
      </c>
      <c r="J1312">
        <v>1000</v>
      </c>
      <c r="K1312">
        <v>0.69</v>
      </c>
      <c r="L1312">
        <v>96.94</v>
      </c>
      <c r="M1312">
        <v>96.28</v>
      </c>
      <c r="N1312">
        <v>96.21</v>
      </c>
      <c r="O1312">
        <v>96.94</v>
      </c>
      <c r="P1312">
        <v>0</v>
      </c>
      <c r="Q1312">
        <v>0</v>
      </c>
      <c r="R1312">
        <v>0</v>
      </c>
      <c r="S1312">
        <v>96.81</v>
      </c>
      <c r="T1312">
        <v>96.99</v>
      </c>
      <c r="U1312">
        <v>96.32</v>
      </c>
      <c r="V1312">
        <v>97</v>
      </c>
      <c r="W1312">
        <v>18393</v>
      </c>
      <c r="X1312">
        <v>96.28</v>
      </c>
      <c r="Y1312">
        <v>96.86</v>
      </c>
      <c r="Z1312">
        <v>6</v>
      </c>
      <c r="AA1312">
        <v>5000000</v>
      </c>
      <c r="AB1312">
        <v>3877.6</v>
      </c>
      <c r="AC1312">
        <v>0</v>
      </c>
      <c r="AD1312" t="s">
        <v>94</v>
      </c>
      <c r="AE1312" t="s">
        <v>94</v>
      </c>
      <c r="AF1312" t="s">
        <v>226</v>
      </c>
      <c r="AG1312" t="s">
        <v>226</v>
      </c>
      <c r="AH1312">
        <v>-100</v>
      </c>
      <c r="AI1312" t="s">
        <v>3537</v>
      </c>
      <c r="AJ1312" t="s">
        <v>1976</v>
      </c>
      <c r="AK1312" t="s">
        <v>2416</v>
      </c>
      <c r="AL1312" t="s">
        <v>272</v>
      </c>
    </row>
    <row r="1313" spans="1:38">
      <c r="A1313" t="s">
        <v>5951</v>
      </c>
      <c r="B1313" t="s">
        <v>5952</v>
      </c>
      <c r="C1313" t="s">
        <v>5953</v>
      </c>
      <c r="D1313" t="s">
        <v>5953</v>
      </c>
      <c r="E1313" t="s">
        <v>5954</v>
      </c>
      <c r="F1313" t="s">
        <v>2413</v>
      </c>
      <c r="G1313">
        <v>2</v>
      </c>
      <c r="H1313">
        <v>1</v>
      </c>
      <c r="I1313">
        <v>0.01</v>
      </c>
      <c r="J1313">
        <v>1000</v>
      </c>
      <c r="K1313">
        <v>0.1</v>
      </c>
      <c r="L1313">
        <v>96.9</v>
      </c>
      <c r="M1313">
        <v>96.8</v>
      </c>
      <c r="N1313">
        <v>96.23</v>
      </c>
      <c r="O1313">
        <v>96.9</v>
      </c>
      <c r="P1313">
        <v>0</v>
      </c>
      <c r="Q1313">
        <v>0</v>
      </c>
      <c r="R1313">
        <v>0</v>
      </c>
      <c r="S1313">
        <v>96.85</v>
      </c>
      <c r="T1313">
        <v>96.68</v>
      </c>
      <c r="U1313">
        <v>96.68</v>
      </c>
      <c r="V1313">
        <v>96.9</v>
      </c>
      <c r="W1313">
        <v>914245</v>
      </c>
      <c r="X1313">
        <v>96.29</v>
      </c>
      <c r="Y1313">
        <v>96.88</v>
      </c>
      <c r="Z1313">
        <v>34</v>
      </c>
      <c r="AA1313">
        <v>5000000</v>
      </c>
      <c r="AB1313">
        <v>22287</v>
      </c>
      <c r="AC1313">
        <v>0</v>
      </c>
      <c r="AD1313" t="s">
        <v>94</v>
      </c>
      <c r="AE1313" t="s">
        <v>94</v>
      </c>
      <c r="AF1313" t="s">
        <v>226</v>
      </c>
      <c r="AG1313" t="s">
        <v>226</v>
      </c>
      <c r="AH1313">
        <v>-100</v>
      </c>
      <c r="AI1313" t="s">
        <v>3537</v>
      </c>
      <c r="AJ1313" t="s">
        <v>1976</v>
      </c>
      <c r="AK1313" t="s">
        <v>2416</v>
      </c>
      <c r="AL1313" t="s">
        <v>272</v>
      </c>
    </row>
    <row r="1314" spans="1:38">
      <c r="A1314" t="s">
        <v>5955</v>
      </c>
      <c r="B1314" t="s">
        <v>5956</v>
      </c>
      <c r="C1314" t="s">
        <v>5957</v>
      </c>
      <c r="D1314" t="s">
        <v>5957</v>
      </c>
      <c r="E1314" t="s">
        <v>5958</v>
      </c>
      <c r="F1314" t="s">
        <v>2413</v>
      </c>
      <c r="G1314">
        <v>2</v>
      </c>
      <c r="H1314">
        <v>1</v>
      </c>
      <c r="I1314">
        <v>0.01</v>
      </c>
      <c r="J1314">
        <v>1000</v>
      </c>
      <c r="K1314">
        <v>0</v>
      </c>
      <c r="L1314">
        <v>96.6</v>
      </c>
      <c r="M1314">
        <v>96.6</v>
      </c>
      <c r="N1314">
        <v>96.56</v>
      </c>
      <c r="O1314">
        <v>96.6</v>
      </c>
      <c r="P1314">
        <v>0</v>
      </c>
      <c r="Q1314">
        <v>0</v>
      </c>
      <c r="R1314">
        <v>0</v>
      </c>
      <c r="S1314">
        <v>96.6</v>
      </c>
      <c r="T1314">
        <v>96.61</v>
      </c>
      <c r="U1314">
        <v>96.6</v>
      </c>
      <c r="V1314">
        <v>96.62</v>
      </c>
      <c r="W1314">
        <v>167119</v>
      </c>
      <c r="X1314">
        <v>96.38</v>
      </c>
      <c r="Y1314">
        <v>96.6</v>
      </c>
      <c r="Z1314">
        <v>8</v>
      </c>
      <c r="AA1314">
        <v>10000000</v>
      </c>
      <c r="AB1314">
        <v>97566</v>
      </c>
      <c r="AC1314">
        <v>0</v>
      </c>
      <c r="AD1314" t="s">
        <v>94</v>
      </c>
      <c r="AE1314" t="s">
        <v>94</v>
      </c>
      <c r="AF1314" t="s">
        <v>226</v>
      </c>
      <c r="AG1314" t="s">
        <v>226</v>
      </c>
      <c r="AH1314">
        <v>-100</v>
      </c>
      <c r="AI1314" t="s">
        <v>3537</v>
      </c>
      <c r="AJ1314" t="s">
        <v>1976</v>
      </c>
      <c r="AK1314" t="s">
        <v>2416</v>
      </c>
      <c r="AL1314" t="s">
        <v>272</v>
      </c>
    </row>
    <row r="1315" spans="1:38">
      <c r="A1315" t="s">
        <v>5959</v>
      </c>
      <c r="B1315" t="s">
        <v>5960</v>
      </c>
      <c r="C1315" t="s">
        <v>5961</v>
      </c>
      <c r="D1315" t="s">
        <v>5961</v>
      </c>
      <c r="E1315" t="s">
        <v>5962</v>
      </c>
      <c r="F1315" t="s">
        <v>2413</v>
      </c>
      <c r="G1315">
        <v>2</v>
      </c>
      <c r="H1315">
        <v>1</v>
      </c>
      <c r="I1315">
        <v>0.01</v>
      </c>
      <c r="J1315">
        <v>1000</v>
      </c>
      <c r="K1315">
        <v>0</v>
      </c>
      <c r="L1315">
        <v>96.6</v>
      </c>
      <c r="M1315">
        <v>96.6</v>
      </c>
      <c r="N1315">
        <v>96.39</v>
      </c>
      <c r="O1315">
        <v>96.6</v>
      </c>
      <c r="P1315">
        <v>0</v>
      </c>
      <c r="Q1315">
        <v>0</v>
      </c>
      <c r="R1315">
        <v>0</v>
      </c>
      <c r="S1315">
        <v>96.6</v>
      </c>
      <c r="T1315">
        <v>96.59</v>
      </c>
      <c r="U1315">
        <v>96.37</v>
      </c>
      <c r="V1315">
        <v>96.6</v>
      </c>
      <c r="W1315">
        <v>102393</v>
      </c>
      <c r="X1315">
        <v>96.38</v>
      </c>
      <c r="Y1315">
        <v>96.6</v>
      </c>
      <c r="Z1315">
        <v>5</v>
      </c>
      <c r="AA1315">
        <v>10000000</v>
      </c>
      <c r="AB1315">
        <v>966</v>
      </c>
      <c r="AC1315">
        <v>0</v>
      </c>
      <c r="AD1315" t="s">
        <v>94</v>
      </c>
      <c r="AE1315" t="s">
        <v>94</v>
      </c>
      <c r="AF1315" t="s">
        <v>226</v>
      </c>
      <c r="AG1315" t="s">
        <v>226</v>
      </c>
      <c r="AH1315">
        <v>-100</v>
      </c>
      <c r="AI1315" t="s">
        <v>3537</v>
      </c>
      <c r="AJ1315" t="s">
        <v>1976</v>
      </c>
      <c r="AK1315" t="s">
        <v>2416</v>
      </c>
      <c r="AL1315" t="s">
        <v>272</v>
      </c>
    </row>
    <row r="1316" spans="1:38">
      <c r="A1316" t="s">
        <v>5963</v>
      </c>
      <c r="B1316" t="s">
        <v>5964</v>
      </c>
      <c r="C1316" t="s">
        <v>5965</v>
      </c>
      <c r="D1316" t="s">
        <v>5965</v>
      </c>
      <c r="E1316" t="s">
        <v>5966</v>
      </c>
      <c r="F1316" t="s">
        <v>2413</v>
      </c>
      <c r="G1316">
        <v>3</v>
      </c>
      <c r="H1316">
        <v>1</v>
      </c>
      <c r="I1316">
        <v>0.01</v>
      </c>
      <c r="J1316">
        <v>1000</v>
      </c>
      <c r="K1316">
        <v>-0.57999999999999996</v>
      </c>
      <c r="L1316">
        <v>81.81</v>
      </c>
      <c r="M1316">
        <v>82.29</v>
      </c>
      <c r="N1316">
        <v>82.74</v>
      </c>
      <c r="O1316">
        <v>81.819999999999993</v>
      </c>
      <c r="P1316">
        <v>0</v>
      </c>
      <c r="Q1316">
        <v>0</v>
      </c>
      <c r="R1316">
        <v>0</v>
      </c>
      <c r="S1316">
        <v>81.81</v>
      </c>
      <c r="T1316">
        <v>82.2</v>
      </c>
      <c r="U1316">
        <v>81.38</v>
      </c>
      <c r="V1316">
        <v>82.8</v>
      </c>
      <c r="W1316">
        <v>4665414</v>
      </c>
      <c r="X1316">
        <v>81.7</v>
      </c>
      <c r="Y1316">
        <v>81.81</v>
      </c>
      <c r="Z1316">
        <v>169</v>
      </c>
      <c r="AA1316">
        <v>1500000</v>
      </c>
      <c r="AB1316">
        <v>4090.5</v>
      </c>
      <c r="AC1316">
        <v>0</v>
      </c>
      <c r="AD1316" t="s">
        <v>94</v>
      </c>
      <c r="AE1316" t="s">
        <v>94</v>
      </c>
      <c r="AF1316" t="s">
        <v>226</v>
      </c>
      <c r="AG1316" t="s">
        <v>226</v>
      </c>
      <c r="AH1316">
        <v>6</v>
      </c>
      <c r="AI1316" t="s">
        <v>3537</v>
      </c>
      <c r="AJ1316" t="s">
        <v>1976</v>
      </c>
      <c r="AK1316" t="s">
        <v>2416</v>
      </c>
      <c r="AL1316" t="s">
        <v>272</v>
      </c>
    </row>
    <row r="1317" spans="1:38">
      <c r="A1317" t="s">
        <v>5967</v>
      </c>
      <c r="B1317" t="s">
        <v>5968</v>
      </c>
      <c r="C1317" t="s">
        <v>5969</v>
      </c>
      <c r="D1317" t="s">
        <v>5969</v>
      </c>
      <c r="E1317" t="s">
        <v>5970</v>
      </c>
      <c r="F1317" t="s">
        <v>2413</v>
      </c>
      <c r="G1317">
        <v>3</v>
      </c>
      <c r="H1317">
        <v>1</v>
      </c>
      <c r="I1317">
        <v>0.01</v>
      </c>
      <c r="J1317">
        <v>1000</v>
      </c>
      <c r="K1317">
        <v>0.18</v>
      </c>
      <c r="L1317">
        <v>94.8</v>
      </c>
      <c r="M1317">
        <v>94.63</v>
      </c>
      <c r="N1317">
        <v>93.83</v>
      </c>
      <c r="O1317">
        <v>94.8</v>
      </c>
      <c r="P1317">
        <v>0</v>
      </c>
      <c r="Q1317">
        <v>0</v>
      </c>
      <c r="R1317">
        <v>0</v>
      </c>
      <c r="S1317">
        <v>95.2</v>
      </c>
      <c r="T1317">
        <v>94.24</v>
      </c>
      <c r="U1317">
        <v>93.91</v>
      </c>
      <c r="V1317">
        <v>96.95</v>
      </c>
      <c r="W1317">
        <v>2767451</v>
      </c>
      <c r="X1317">
        <v>94.71</v>
      </c>
      <c r="Y1317">
        <v>94.8</v>
      </c>
      <c r="Z1317">
        <v>204</v>
      </c>
      <c r="AA1317">
        <v>2000000</v>
      </c>
      <c r="AB1317">
        <v>1896</v>
      </c>
      <c r="AC1317">
        <v>0</v>
      </c>
      <c r="AD1317" t="s">
        <v>94</v>
      </c>
      <c r="AE1317" t="s">
        <v>94</v>
      </c>
      <c r="AF1317" t="s">
        <v>226</v>
      </c>
      <c r="AG1317" t="s">
        <v>226</v>
      </c>
      <c r="AH1317">
        <v>6</v>
      </c>
      <c r="AI1317" t="s">
        <v>3537</v>
      </c>
      <c r="AJ1317" t="s">
        <v>1976</v>
      </c>
      <c r="AK1317" t="s">
        <v>2416</v>
      </c>
      <c r="AL1317" t="s">
        <v>272</v>
      </c>
    </row>
    <row r="1318" spans="1:38">
      <c r="A1318" t="s">
        <v>5971</v>
      </c>
      <c r="B1318" t="s">
        <v>5972</v>
      </c>
      <c r="C1318" t="s">
        <v>5973</v>
      </c>
      <c r="D1318" t="s">
        <v>5973</v>
      </c>
      <c r="E1318" t="s">
        <v>5974</v>
      </c>
      <c r="F1318" t="s">
        <v>2413</v>
      </c>
      <c r="G1318">
        <v>3</v>
      </c>
      <c r="H1318">
        <v>1</v>
      </c>
      <c r="I1318">
        <v>0.01</v>
      </c>
      <c r="J1318">
        <v>1000</v>
      </c>
      <c r="K1318">
        <v>0.13</v>
      </c>
      <c r="L1318">
        <v>91.43</v>
      </c>
      <c r="M1318">
        <v>91.31</v>
      </c>
      <c r="N1318">
        <v>91.01</v>
      </c>
      <c r="O1318">
        <v>91.56</v>
      </c>
      <c r="P1318">
        <v>0</v>
      </c>
      <c r="Q1318">
        <v>0</v>
      </c>
      <c r="R1318">
        <v>0</v>
      </c>
      <c r="S1318">
        <v>91.64</v>
      </c>
      <c r="T1318">
        <v>91.61</v>
      </c>
      <c r="U1318">
        <v>91.07</v>
      </c>
      <c r="V1318">
        <v>91.8</v>
      </c>
      <c r="W1318">
        <v>3666584</v>
      </c>
      <c r="X1318">
        <v>91.54</v>
      </c>
      <c r="Y1318">
        <v>91.71</v>
      </c>
      <c r="Z1318">
        <v>136</v>
      </c>
      <c r="AA1318">
        <v>4000000</v>
      </c>
      <c r="AB1318">
        <v>41143.5</v>
      </c>
      <c r="AC1318">
        <v>0</v>
      </c>
      <c r="AD1318" t="s">
        <v>94</v>
      </c>
      <c r="AE1318" t="s">
        <v>94</v>
      </c>
      <c r="AF1318" t="s">
        <v>226</v>
      </c>
      <c r="AG1318" t="s">
        <v>226</v>
      </c>
      <c r="AH1318">
        <v>6</v>
      </c>
      <c r="AI1318" t="s">
        <v>3537</v>
      </c>
      <c r="AJ1318" t="s">
        <v>1976</v>
      </c>
      <c r="AK1318" t="s">
        <v>2416</v>
      </c>
      <c r="AL1318" t="s">
        <v>272</v>
      </c>
    </row>
    <row r="1319" spans="1:38">
      <c r="A1319" t="s">
        <v>5975</v>
      </c>
      <c r="B1319" t="s">
        <v>5976</v>
      </c>
      <c r="C1319" t="s">
        <v>5977</v>
      </c>
      <c r="D1319" t="s">
        <v>5977</v>
      </c>
      <c r="E1319" t="s">
        <v>5978</v>
      </c>
      <c r="F1319" t="s">
        <v>2413</v>
      </c>
      <c r="G1319">
        <v>3</v>
      </c>
      <c r="H1319">
        <v>1</v>
      </c>
      <c r="I1319">
        <v>0.01</v>
      </c>
      <c r="J1319">
        <v>1000</v>
      </c>
      <c r="K1319">
        <v>-0.35</v>
      </c>
      <c r="L1319">
        <v>81.510000000000005</v>
      </c>
      <c r="M1319">
        <v>81.8</v>
      </c>
      <c r="N1319">
        <v>82.32</v>
      </c>
      <c r="O1319">
        <v>81.599999999999994</v>
      </c>
      <c r="P1319">
        <v>0</v>
      </c>
      <c r="Q1319">
        <v>0</v>
      </c>
      <c r="R1319">
        <v>0</v>
      </c>
      <c r="S1319">
        <v>81.739999999999995</v>
      </c>
      <c r="T1319">
        <v>82.95</v>
      </c>
      <c r="U1319">
        <v>81.150000000000006</v>
      </c>
      <c r="V1319">
        <v>82.96</v>
      </c>
      <c r="W1319">
        <v>3241110</v>
      </c>
      <c r="X1319">
        <v>81.48</v>
      </c>
      <c r="Y1319">
        <v>81.66</v>
      </c>
      <c r="Z1319">
        <v>342</v>
      </c>
      <c r="AA1319">
        <v>3000000</v>
      </c>
      <c r="AB1319">
        <v>19562.400000000001</v>
      </c>
      <c r="AC1319">
        <v>0</v>
      </c>
      <c r="AD1319" t="s">
        <v>94</v>
      </c>
      <c r="AE1319" t="s">
        <v>94</v>
      </c>
      <c r="AF1319" t="s">
        <v>226</v>
      </c>
      <c r="AG1319" t="s">
        <v>226</v>
      </c>
      <c r="AH1319">
        <v>6</v>
      </c>
      <c r="AI1319" t="s">
        <v>3537</v>
      </c>
      <c r="AJ1319" t="s">
        <v>1976</v>
      </c>
      <c r="AK1319" t="s">
        <v>2416</v>
      </c>
      <c r="AL1319" t="s">
        <v>272</v>
      </c>
    </row>
    <row r="1320" spans="1:38">
      <c r="A1320" t="s">
        <v>5979</v>
      </c>
      <c r="B1320" t="s">
        <v>5980</v>
      </c>
      <c r="C1320" t="s">
        <v>5981</v>
      </c>
      <c r="D1320" t="s">
        <v>5981</v>
      </c>
      <c r="E1320" t="s">
        <v>5982</v>
      </c>
      <c r="F1320" t="s">
        <v>2413</v>
      </c>
      <c r="G1320">
        <v>3</v>
      </c>
      <c r="H1320">
        <v>1</v>
      </c>
      <c r="I1320">
        <v>0.01</v>
      </c>
      <c r="J1320">
        <v>1000</v>
      </c>
      <c r="K1320">
        <v>-0.94</v>
      </c>
      <c r="L1320">
        <v>75.760000000000005</v>
      </c>
      <c r="M1320">
        <v>76.48</v>
      </c>
      <c r="N1320">
        <v>76.19</v>
      </c>
      <c r="O1320">
        <v>75.86</v>
      </c>
      <c r="P1320">
        <v>0</v>
      </c>
      <c r="Q1320">
        <v>0</v>
      </c>
      <c r="R1320">
        <v>0</v>
      </c>
      <c r="S1320">
        <v>75.959999999999994</v>
      </c>
      <c r="T1320">
        <v>76.5</v>
      </c>
      <c r="U1320">
        <v>75.069999999999993</v>
      </c>
      <c r="V1320">
        <v>76.5</v>
      </c>
      <c r="W1320">
        <v>1027721</v>
      </c>
      <c r="X1320">
        <v>75.7</v>
      </c>
      <c r="Y1320">
        <v>76.27</v>
      </c>
      <c r="Z1320">
        <v>151</v>
      </c>
      <c r="AA1320">
        <v>2471455</v>
      </c>
      <c r="AB1320">
        <v>757.6</v>
      </c>
      <c r="AC1320">
        <v>0</v>
      </c>
      <c r="AD1320" t="s">
        <v>94</v>
      </c>
      <c r="AE1320" t="s">
        <v>94</v>
      </c>
      <c r="AF1320" t="s">
        <v>226</v>
      </c>
      <c r="AG1320" t="s">
        <v>226</v>
      </c>
      <c r="AH1320">
        <v>6</v>
      </c>
      <c r="AI1320" t="s">
        <v>3537</v>
      </c>
      <c r="AJ1320" t="s">
        <v>1976</v>
      </c>
      <c r="AK1320" t="s">
        <v>2416</v>
      </c>
      <c r="AL1320" t="s">
        <v>272</v>
      </c>
    </row>
    <row r="1321" spans="1:38">
      <c r="A1321" t="s">
        <v>5983</v>
      </c>
      <c r="B1321" t="s">
        <v>5984</v>
      </c>
      <c r="C1321" t="s">
        <v>5985</v>
      </c>
      <c r="D1321" t="s">
        <v>5985</v>
      </c>
      <c r="E1321" t="s">
        <v>5986</v>
      </c>
      <c r="F1321" t="s">
        <v>2413</v>
      </c>
      <c r="G1321">
        <v>3</v>
      </c>
      <c r="H1321">
        <v>1</v>
      </c>
      <c r="I1321">
        <v>0.01</v>
      </c>
      <c r="J1321">
        <v>1000</v>
      </c>
      <c r="K1321">
        <v>0.9</v>
      </c>
      <c r="L1321">
        <v>89.8</v>
      </c>
      <c r="M1321">
        <v>89</v>
      </c>
      <c r="N1321">
        <v>88.95</v>
      </c>
      <c r="O1321">
        <v>89.8</v>
      </c>
      <c r="P1321">
        <v>0</v>
      </c>
      <c r="Q1321">
        <v>0</v>
      </c>
      <c r="R1321">
        <v>0</v>
      </c>
      <c r="S1321">
        <v>89.57</v>
      </c>
      <c r="T1321">
        <v>88.68</v>
      </c>
      <c r="U1321">
        <v>88.68</v>
      </c>
      <c r="V1321">
        <v>89.88</v>
      </c>
      <c r="W1321">
        <v>1509324</v>
      </c>
      <c r="X1321">
        <v>89.8</v>
      </c>
      <c r="Y1321">
        <v>89.84</v>
      </c>
      <c r="Z1321">
        <v>65</v>
      </c>
      <c r="AA1321">
        <v>1500000</v>
      </c>
      <c r="AB1321">
        <v>54778</v>
      </c>
      <c r="AC1321">
        <v>0</v>
      </c>
      <c r="AD1321" t="s">
        <v>94</v>
      </c>
      <c r="AE1321" t="s">
        <v>94</v>
      </c>
      <c r="AF1321" t="s">
        <v>226</v>
      </c>
      <c r="AG1321" t="s">
        <v>226</v>
      </c>
      <c r="AH1321">
        <v>800</v>
      </c>
      <c r="AI1321" t="s">
        <v>3537</v>
      </c>
      <c r="AJ1321" t="s">
        <v>1976</v>
      </c>
      <c r="AK1321" t="s">
        <v>2416</v>
      </c>
      <c r="AL1321" t="s">
        <v>272</v>
      </c>
    </row>
    <row r="1322" spans="1:38">
      <c r="A1322" t="s">
        <v>5987</v>
      </c>
      <c r="B1322" t="s">
        <v>5988</v>
      </c>
      <c r="C1322" t="s">
        <v>5989</v>
      </c>
      <c r="D1322" t="s">
        <v>5989</v>
      </c>
      <c r="E1322" t="s">
        <v>5990</v>
      </c>
      <c r="F1322" t="s">
        <v>2425</v>
      </c>
      <c r="G1322">
        <v>2</v>
      </c>
      <c r="H1322">
        <v>1</v>
      </c>
      <c r="I1322">
        <v>0.01</v>
      </c>
      <c r="J1322">
        <v>500</v>
      </c>
      <c r="K1322">
        <v>0</v>
      </c>
      <c r="L1322">
        <v>0</v>
      </c>
      <c r="M1322">
        <v>87.04</v>
      </c>
      <c r="N1322">
        <v>0</v>
      </c>
      <c r="O1322">
        <v>87.04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87.12</v>
      </c>
      <c r="Y1322">
        <v>99.46</v>
      </c>
      <c r="Z1322">
        <v>0</v>
      </c>
      <c r="AA1322">
        <v>8000000</v>
      </c>
      <c r="AB1322">
        <v>0</v>
      </c>
      <c r="AC1322">
        <v>0</v>
      </c>
      <c r="AD1322" t="s">
        <v>94</v>
      </c>
      <c r="AE1322" t="s">
        <v>94</v>
      </c>
      <c r="AF1322" t="s">
        <v>226</v>
      </c>
      <c r="AG1322" t="s">
        <v>226</v>
      </c>
      <c r="AH1322">
        <v>800</v>
      </c>
      <c r="AI1322" t="s">
        <v>3537</v>
      </c>
      <c r="AJ1322" t="s">
        <v>1976</v>
      </c>
      <c r="AK1322" t="s">
        <v>2426</v>
      </c>
      <c r="AL1322" t="s">
        <v>272</v>
      </c>
    </row>
    <row r="1323" spans="1:38">
      <c r="A1323" t="s">
        <v>5991</v>
      </c>
      <c r="B1323" t="s">
        <v>5992</v>
      </c>
      <c r="C1323" t="s">
        <v>5993</v>
      </c>
      <c r="D1323" t="s">
        <v>5993</v>
      </c>
      <c r="E1323" t="s">
        <v>5994</v>
      </c>
      <c r="F1323" t="s">
        <v>2425</v>
      </c>
      <c r="G1323">
        <v>2</v>
      </c>
      <c r="H1323">
        <v>1</v>
      </c>
      <c r="I1323">
        <v>0.01</v>
      </c>
      <c r="J1323">
        <v>500</v>
      </c>
      <c r="K1323">
        <v>0</v>
      </c>
      <c r="L1323">
        <v>0</v>
      </c>
      <c r="M1323">
        <v>104.89</v>
      </c>
      <c r="N1323">
        <v>0</v>
      </c>
      <c r="O1323">
        <v>104.89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81.02</v>
      </c>
      <c r="Y1323">
        <v>96.95</v>
      </c>
      <c r="Z1323">
        <v>0</v>
      </c>
      <c r="AA1323">
        <v>8172920</v>
      </c>
      <c r="AB1323">
        <v>0</v>
      </c>
      <c r="AC1323">
        <v>0</v>
      </c>
      <c r="AD1323" t="s">
        <v>94</v>
      </c>
      <c r="AE1323" t="s">
        <v>94</v>
      </c>
      <c r="AF1323" t="s">
        <v>226</v>
      </c>
      <c r="AG1323" t="s">
        <v>226</v>
      </c>
      <c r="AH1323">
        <v>800</v>
      </c>
      <c r="AI1323" t="s">
        <v>3537</v>
      </c>
      <c r="AJ1323" t="s">
        <v>1976</v>
      </c>
      <c r="AK1323" t="s">
        <v>2426</v>
      </c>
      <c r="AL1323" t="s">
        <v>272</v>
      </c>
    </row>
    <row r="1324" spans="1:38">
      <c r="A1324" t="s">
        <v>5995</v>
      </c>
      <c r="B1324" t="s">
        <v>5996</v>
      </c>
      <c r="C1324" t="s">
        <v>5997</v>
      </c>
      <c r="D1324" t="s">
        <v>5997</v>
      </c>
      <c r="E1324" t="s">
        <v>5998</v>
      </c>
      <c r="F1324" t="s">
        <v>2425</v>
      </c>
      <c r="G1324">
        <v>2</v>
      </c>
      <c r="H1324">
        <v>1</v>
      </c>
      <c r="I1324">
        <v>0.01</v>
      </c>
      <c r="J1324">
        <v>625</v>
      </c>
      <c r="K1324">
        <v>0</v>
      </c>
      <c r="L1324">
        <v>0</v>
      </c>
      <c r="M1324">
        <v>93.29</v>
      </c>
      <c r="N1324">
        <v>0</v>
      </c>
      <c r="O1324">
        <v>93.29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83.51</v>
      </c>
      <c r="Y1324">
        <v>102.16</v>
      </c>
      <c r="Z1324">
        <v>0</v>
      </c>
      <c r="AA1324">
        <v>1400000</v>
      </c>
      <c r="AB1324">
        <v>0</v>
      </c>
      <c r="AC1324">
        <v>0</v>
      </c>
      <c r="AD1324" t="s">
        <v>94</v>
      </c>
      <c r="AE1324" t="s">
        <v>94</v>
      </c>
      <c r="AF1324" t="s">
        <v>226</v>
      </c>
      <c r="AG1324" t="s">
        <v>226</v>
      </c>
      <c r="AH1324">
        <v>800</v>
      </c>
      <c r="AI1324" t="s">
        <v>3537</v>
      </c>
      <c r="AJ1324" t="s">
        <v>1976</v>
      </c>
      <c r="AK1324" t="s">
        <v>2426</v>
      </c>
      <c r="AL1324" t="s">
        <v>272</v>
      </c>
    </row>
    <row r="1325" spans="1:38">
      <c r="A1325" t="s">
        <v>5999</v>
      </c>
      <c r="B1325" t="s">
        <v>6000</v>
      </c>
      <c r="C1325" t="s">
        <v>6001</v>
      </c>
      <c r="D1325" t="s">
        <v>6001</v>
      </c>
      <c r="E1325" t="s">
        <v>6002</v>
      </c>
      <c r="F1325" t="s">
        <v>2413</v>
      </c>
      <c r="G1325">
        <v>3</v>
      </c>
      <c r="H1325">
        <v>1</v>
      </c>
      <c r="I1325">
        <v>0.01</v>
      </c>
      <c r="J1325">
        <v>1000</v>
      </c>
      <c r="K1325">
        <v>0.77</v>
      </c>
      <c r="L1325">
        <v>87.68</v>
      </c>
      <c r="M1325">
        <v>87.01</v>
      </c>
      <c r="N1325">
        <v>86.38</v>
      </c>
      <c r="O1325">
        <v>87.31</v>
      </c>
      <c r="P1325">
        <v>0</v>
      </c>
      <c r="Q1325">
        <v>0</v>
      </c>
      <c r="R1325">
        <v>0</v>
      </c>
      <c r="S1325">
        <v>87.48</v>
      </c>
      <c r="T1325">
        <v>87.14</v>
      </c>
      <c r="U1325">
        <v>86.97</v>
      </c>
      <c r="V1325">
        <v>88.18</v>
      </c>
      <c r="W1325">
        <v>2137124</v>
      </c>
      <c r="X1325">
        <v>87.25</v>
      </c>
      <c r="Y1325">
        <v>87.68</v>
      </c>
      <c r="Z1325">
        <v>124</v>
      </c>
      <c r="AA1325">
        <v>1000000</v>
      </c>
      <c r="AB1325">
        <v>876.8</v>
      </c>
      <c r="AC1325">
        <v>0</v>
      </c>
      <c r="AD1325" t="s">
        <v>94</v>
      </c>
      <c r="AE1325" t="s">
        <v>94</v>
      </c>
      <c r="AF1325" t="s">
        <v>226</v>
      </c>
      <c r="AG1325" t="s">
        <v>226</v>
      </c>
      <c r="AH1325">
        <v>6</v>
      </c>
      <c r="AI1325" t="s">
        <v>3537</v>
      </c>
      <c r="AJ1325" t="s">
        <v>1976</v>
      </c>
      <c r="AK1325" t="s">
        <v>2416</v>
      </c>
      <c r="AL1325" t="s">
        <v>272</v>
      </c>
    </row>
    <row r="1326" spans="1:38">
      <c r="A1326" t="s">
        <v>6003</v>
      </c>
      <c r="B1326" t="s">
        <v>6004</v>
      </c>
      <c r="C1326" t="s">
        <v>6005</v>
      </c>
      <c r="D1326" t="s">
        <v>6005</v>
      </c>
      <c r="E1326" t="s">
        <v>6006</v>
      </c>
      <c r="F1326" t="s">
        <v>2413</v>
      </c>
      <c r="G1326">
        <v>3</v>
      </c>
      <c r="H1326">
        <v>1</v>
      </c>
      <c r="I1326">
        <v>0.01</v>
      </c>
      <c r="J1326">
        <v>1000</v>
      </c>
      <c r="K1326">
        <v>-0.04</v>
      </c>
      <c r="L1326">
        <v>78.86</v>
      </c>
      <c r="M1326">
        <v>78.89</v>
      </c>
      <c r="N1326">
        <v>78.58</v>
      </c>
      <c r="O1326">
        <v>78.77</v>
      </c>
      <c r="P1326">
        <v>0</v>
      </c>
      <c r="Q1326">
        <v>0</v>
      </c>
      <c r="R1326">
        <v>0</v>
      </c>
      <c r="S1326">
        <v>78.319999999999993</v>
      </c>
      <c r="T1326">
        <v>79.02</v>
      </c>
      <c r="U1326">
        <v>77.94</v>
      </c>
      <c r="V1326">
        <v>79.03</v>
      </c>
      <c r="W1326">
        <v>1376931</v>
      </c>
      <c r="X1326">
        <v>78.69</v>
      </c>
      <c r="Y1326">
        <v>78.86</v>
      </c>
      <c r="Z1326">
        <v>97</v>
      </c>
      <c r="AA1326">
        <v>1000000</v>
      </c>
      <c r="AB1326">
        <v>3943</v>
      </c>
      <c r="AC1326">
        <v>0</v>
      </c>
      <c r="AD1326" t="s">
        <v>94</v>
      </c>
      <c r="AE1326" t="s">
        <v>94</v>
      </c>
      <c r="AF1326" t="s">
        <v>226</v>
      </c>
      <c r="AG1326" t="s">
        <v>226</v>
      </c>
      <c r="AH1326">
        <v>6</v>
      </c>
      <c r="AI1326" t="s">
        <v>3537</v>
      </c>
      <c r="AJ1326" t="s">
        <v>1976</v>
      </c>
      <c r="AK1326" t="s">
        <v>2416</v>
      </c>
      <c r="AL1326" t="s">
        <v>272</v>
      </c>
    </row>
    <row r="1327" spans="1:38">
      <c r="A1327" t="s">
        <v>6007</v>
      </c>
      <c r="B1327" t="s">
        <v>6008</v>
      </c>
      <c r="C1327" t="s">
        <v>6009</v>
      </c>
      <c r="D1327" t="s">
        <v>6009</v>
      </c>
      <c r="E1327" t="s">
        <v>6010</v>
      </c>
      <c r="F1327" t="s">
        <v>2413</v>
      </c>
      <c r="G1327">
        <v>1</v>
      </c>
      <c r="H1327">
        <v>1</v>
      </c>
      <c r="I1327">
        <v>0.01</v>
      </c>
      <c r="J1327">
        <v>1000</v>
      </c>
      <c r="K1327">
        <v>0</v>
      </c>
      <c r="L1327">
        <v>93.95</v>
      </c>
      <c r="M1327">
        <v>93.95</v>
      </c>
      <c r="N1327">
        <v>92.31</v>
      </c>
      <c r="O1327">
        <v>93.95</v>
      </c>
      <c r="P1327">
        <v>0</v>
      </c>
      <c r="Q1327">
        <v>0</v>
      </c>
      <c r="R1327">
        <v>0</v>
      </c>
      <c r="S1327">
        <v>93.39</v>
      </c>
      <c r="T1327">
        <v>93.95</v>
      </c>
      <c r="U1327">
        <v>91.51</v>
      </c>
      <c r="V1327">
        <v>93.95</v>
      </c>
      <c r="W1327">
        <v>6537</v>
      </c>
      <c r="X1327">
        <v>92.18</v>
      </c>
      <c r="Y1327">
        <v>93.9</v>
      </c>
      <c r="Z1327">
        <v>7</v>
      </c>
      <c r="AA1327">
        <v>30000000</v>
      </c>
      <c r="AB1327">
        <v>939.5</v>
      </c>
      <c r="AC1327">
        <v>0</v>
      </c>
      <c r="AD1327" t="s">
        <v>94</v>
      </c>
      <c r="AE1327" t="s">
        <v>94</v>
      </c>
      <c r="AF1327" t="s">
        <v>226</v>
      </c>
      <c r="AG1327" t="s">
        <v>226</v>
      </c>
      <c r="AH1327">
        <v>-100</v>
      </c>
      <c r="AI1327" t="s">
        <v>3537</v>
      </c>
      <c r="AJ1327" t="s">
        <v>1976</v>
      </c>
      <c r="AK1327" t="s">
        <v>2416</v>
      </c>
      <c r="AL1327" t="s">
        <v>272</v>
      </c>
    </row>
    <row r="1328" spans="1:38">
      <c r="A1328" t="s">
        <v>6011</v>
      </c>
      <c r="B1328" t="s">
        <v>6012</v>
      </c>
      <c r="C1328" t="s">
        <v>6013</v>
      </c>
      <c r="D1328" t="s">
        <v>6013</v>
      </c>
      <c r="E1328" t="s">
        <v>6014</v>
      </c>
      <c r="F1328" t="s">
        <v>2413</v>
      </c>
      <c r="G1328">
        <v>1</v>
      </c>
      <c r="H1328">
        <v>1</v>
      </c>
      <c r="I1328">
        <v>0.01</v>
      </c>
      <c r="J1328">
        <v>1000</v>
      </c>
      <c r="K1328">
        <v>-0.01</v>
      </c>
      <c r="L1328">
        <v>96.18</v>
      </c>
      <c r="M1328">
        <v>96.19</v>
      </c>
      <c r="N1328">
        <v>94.53</v>
      </c>
      <c r="O1328">
        <v>96.18</v>
      </c>
      <c r="P1328">
        <v>0</v>
      </c>
      <c r="Q1328">
        <v>0</v>
      </c>
      <c r="R1328">
        <v>0</v>
      </c>
      <c r="S1328">
        <v>95.8</v>
      </c>
      <c r="T1328">
        <v>96.49</v>
      </c>
      <c r="U1328">
        <v>94.73</v>
      </c>
      <c r="V1328">
        <v>96.5</v>
      </c>
      <c r="W1328">
        <v>26824</v>
      </c>
      <c r="X1328">
        <v>94.97</v>
      </c>
      <c r="Y1328">
        <v>96.18</v>
      </c>
      <c r="Z1328">
        <v>17</v>
      </c>
      <c r="AA1328">
        <v>20000000</v>
      </c>
      <c r="AB1328">
        <v>961.8</v>
      </c>
      <c r="AC1328">
        <v>0</v>
      </c>
      <c r="AD1328" t="s">
        <v>94</v>
      </c>
      <c r="AE1328" t="s">
        <v>94</v>
      </c>
      <c r="AF1328" t="s">
        <v>226</v>
      </c>
      <c r="AG1328" t="s">
        <v>226</v>
      </c>
      <c r="AH1328">
        <v>-100</v>
      </c>
      <c r="AI1328" t="s">
        <v>3537</v>
      </c>
      <c r="AJ1328" t="s">
        <v>1976</v>
      </c>
      <c r="AK1328" t="s">
        <v>2416</v>
      </c>
      <c r="AL1328" t="s">
        <v>272</v>
      </c>
    </row>
    <row r="1329" spans="1:38">
      <c r="A1329" t="s">
        <v>6015</v>
      </c>
      <c r="B1329" t="s">
        <v>6016</v>
      </c>
      <c r="C1329" t="s">
        <v>6017</v>
      </c>
      <c r="D1329" t="s">
        <v>6017</v>
      </c>
      <c r="E1329" t="s">
        <v>6018</v>
      </c>
      <c r="F1329" t="s">
        <v>2413</v>
      </c>
      <c r="G1329">
        <v>1</v>
      </c>
      <c r="H1329">
        <v>1</v>
      </c>
      <c r="I1329">
        <v>0.01</v>
      </c>
      <c r="J1329">
        <v>1000</v>
      </c>
      <c r="K1329">
        <v>0.11</v>
      </c>
      <c r="L1329">
        <v>96.12</v>
      </c>
      <c r="M1329">
        <v>95.87</v>
      </c>
      <c r="N1329">
        <v>96.05</v>
      </c>
      <c r="O1329">
        <v>96.22</v>
      </c>
      <c r="P1329">
        <v>0</v>
      </c>
      <c r="Q1329">
        <v>0</v>
      </c>
      <c r="R1329">
        <v>0</v>
      </c>
      <c r="S1329">
        <v>96.2</v>
      </c>
      <c r="T1329">
        <v>95.94</v>
      </c>
      <c r="U1329">
        <v>95.77</v>
      </c>
      <c r="V1329">
        <v>96.58</v>
      </c>
      <c r="W1329">
        <v>37519</v>
      </c>
      <c r="X1329">
        <v>96.16</v>
      </c>
      <c r="Y1329">
        <v>96.4</v>
      </c>
      <c r="Z1329">
        <v>18</v>
      </c>
      <c r="AA1329">
        <v>15000000</v>
      </c>
      <c r="AB1329">
        <v>3844.8</v>
      </c>
      <c r="AC1329">
        <v>0</v>
      </c>
      <c r="AD1329" t="s">
        <v>94</v>
      </c>
      <c r="AE1329" t="s">
        <v>94</v>
      </c>
      <c r="AF1329" t="s">
        <v>226</v>
      </c>
      <c r="AG1329" t="s">
        <v>226</v>
      </c>
      <c r="AH1329">
        <v>-100</v>
      </c>
      <c r="AI1329" t="s">
        <v>3537</v>
      </c>
      <c r="AJ1329" t="s">
        <v>1976</v>
      </c>
      <c r="AK1329" t="s">
        <v>2416</v>
      </c>
      <c r="AL1329" t="s">
        <v>272</v>
      </c>
    </row>
    <row r="1330" spans="1:38">
      <c r="A1330" t="s">
        <v>6019</v>
      </c>
      <c r="B1330" t="s">
        <v>6020</v>
      </c>
      <c r="C1330" t="s">
        <v>6021</v>
      </c>
      <c r="D1330" t="s">
        <v>6021</v>
      </c>
      <c r="E1330" t="s">
        <v>6022</v>
      </c>
      <c r="F1330" t="s">
        <v>2413</v>
      </c>
      <c r="G1330">
        <v>1</v>
      </c>
      <c r="H1330">
        <v>1</v>
      </c>
      <c r="I1330">
        <v>0.01</v>
      </c>
      <c r="J1330">
        <v>1000</v>
      </c>
      <c r="K1330">
        <v>-1.01</v>
      </c>
      <c r="L1330">
        <v>95.02</v>
      </c>
      <c r="M1330">
        <v>95.99</v>
      </c>
      <c r="N1330">
        <v>94.02</v>
      </c>
      <c r="O1330">
        <v>95.02</v>
      </c>
      <c r="P1330">
        <v>0</v>
      </c>
      <c r="Q1330">
        <v>0</v>
      </c>
      <c r="R1330">
        <v>0</v>
      </c>
      <c r="S1330">
        <v>95.43</v>
      </c>
      <c r="T1330">
        <v>95.99</v>
      </c>
      <c r="U1330">
        <v>93.92</v>
      </c>
      <c r="V1330">
        <v>95.99</v>
      </c>
      <c r="W1330">
        <v>115472</v>
      </c>
      <c r="X1330">
        <v>95</v>
      </c>
      <c r="Y1330">
        <v>95.99</v>
      </c>
      <c r="Z1330">
        <v>49</v>
      </c>
      <c r="AA1330">
        <v>15000000</v>
      </c>
      <c r="AB1330">
        <v>950.2</v>
      </c>
      <c r="AC1330">
        <v>0</v>
      </c>
      <c r="AD1330" t="s">
        <v>94</v>
      </c>
      <c r="AE1330" t="s">
        <v>94</v>
      </c>
      <c r="AF1330" t="s">
        <v>226</v>
      </c>
      <c r="AG1330" t="s">
        <v>226</v>
      </c>
      <c r="AH1330">
        <v>-100</v>
      </c>
      <c r="AI1330" t="s">
        <v>3537</v>
      </c>
      <c r="AJ1330" t="s">
        <v>1976</v>
      </c>
      <c r="AK1330" t="s">
        <v>2416</v>
      </c>
      <c r="AL1330" t="s">
        <v>272</v>
      </c>
    </row>
    <row r="1331" spans="1:38">
      <c r="A1331" t="s">
        <v>6023</v>
      </c>
      <c r="B1331" t="s">
        <v>6024</v>
      </c>
      <c r="C1331" t="s">
        <v>6025</v>
      </c>
      <c r="D1331" t="s">
        <v>6025</v>
      </c>
      <c r="E1331" t="s">
        <v>6026</v>
      </c>
      <c r="F1331" t="s">
        <v>2413</v>
      </c>
      <c r="G1331">
        <v>1</v>
      </c>
      <c r="H1331">
        <v>1</v>
      </c>
      <c r="I1331">
        <v>0.01</v>
      </c>
      <c r="J1331">
        <v>1000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15000000</v>
      </c>
      <c r="AB1331">
        <v>0</v>
      </c>
      <c r="AC1331">
        <v>0</v>
      </c>
      <c r="AD1331" t="s">
        <v>94</v>
      </c>
      <c r="AE1331" t="s">
        <v>94</v>
      </c>
      <c r="AF1331" t="s">
        <v>226</v>
      </c>
      <c r="AG1331" t="s">
        <v>226</v>
      </c>
      <c r="AH1331">
        <v>-100</v>
      </c>
      <c r="AI1331" t="s">
        <v>3537</v>
      </c>
      <c r="AJ1331" t="s">
        <v>1976</v>
      </c>
      <c r="AK1331" t="s">
        <v>2416</v>
      </c>
      <c r="AL1331" t="s">
        <v>272</v>
      </c>
    </row>
    <row r="1332" spans="1:38">
      <c r="A1332" t="s">
        <v>6027</v>
      </c>
      <c r="B1332" t="s">
        <v>6028</v>
      </c>
      <c r="C1332" t="s">
        <v>6029</v>
      </c>
      <c r="D1332" t="s">
        <v>6029</v>
      </c>
      <c r="E1332" t="s">
        <v>6030</v>
      </c>
      <c r="F1332" t="s">
        <v>2413</v>
      </c>
      <c r="G1332">
        <v>1</v>
      </c>
      <c r="H1332">
        <v>1</v>
      </c>
      <c r="I1332">
        <v>0.01</v>
      </c>
      <c r="J1332">
        <v>1000</v>
      </c>
      <c r="K1332">
        <v>0</v>
      </c>
      <c r="L1332">
        <v>0</v>
      </c>
      <c r="M1332">
        <v>96.02</v>
      </c>
      <c r="N1332">
        <v>98.49</v>
      </c>
      <c r="O1332">
        <v>96.02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96.05</v>
      </c>
      <c r="Y1332">
        <v>99.89</v>
      </c>
      <c r="Z1332">
        <v>0</v>
      </c>
      <c r="AA1332">
        <v>15000000</v>
      </c>
      <c r="AB1332">
        <v>0</v>
      </c>
      <c r="AC1332">
        <v>0</v>
      </c>
      <c r="AD1332" t="s">
        <v>94</v>
      </c>
      <c r="AE1332" t="s">
        <v>94</v>
      </c>
      <c r="AF1332" t="s">
        <v>226</v>
      </c>
      <c r="AG1332" t="s">
        <v>226</v>
      </c>
      <c r="AH1332">
        <v>-100</v>
      </c>
      <c r="AI1332" t="s">
        <v>3537</v>
      </c>
      <c r="AJ1332" t="s">
        <v>1976</v>
      </c>
      <c r="AK1332" t="s">
        <v>2416</v>
      </c>
      <c r="AL1332" t="s">
        <v>272</v>
      </c>
    </row>
    <row r="1333" spans="1:38">
      <c r="A1333" t="s">
        <v>6031</v>
      </c>
      <c r="B1333" t="s">
        <v>6032</v>
      </c>
      <c r="C1333" t="s">
        <v>6033</v>
      </c>
      <c r="D1333" t="s">
        <v>6033</v>
      </c>
      <c r="E1333" t="s">
        <v>6034</v>
      </c>
      <c r="F1333" t="s">
        <v>2413</v>
      </c>
      <c r="G1333">
        <v>1</v>
      </c>
      <c r="H1333">
        <v>1</v>
      </c>
      <c r="I1333">
        <v>0.01</v>
      </c>
      <c r="J1333">
        <v>1000</v>
      </c>
      <c r="K1333">
        <v>0.54</v>
      </c>
      <c r="L1333">
        <v>100.49</v>
      </c>
      <c r="M1333">
        <v>99.94</v>
      </c>
      <c r="N1333">
        <v>99.51</v>
      </c>
      <c r="O1333">
        <v>100.49</v>
      </c>
      <c r="P1333">
        <v>0</v>
      </c>
      <c r="Q1333">
        <v>0</v>
      </c>
      <c r="R1333">
        <v>0</v>
      </c>
      <c r="S1333">
        <v>99.82</v>
      </c>
      <c r="T1333">
        <v>99.95</v>
      </c>
      <c r="U1333">
        <v>99.95</v>
      </c>
      <c r="V1333">
        <v>100.5</v>
      </c>
      <c r="W1333">
        <v>254149</v>
      </c>
      <c r="X1333">
        <v>100.11</v>
      </c>
      <c r="Y1333">
        <v>100.49</v>
      </c>
      <c r="Z1333">
        <v>9</v>
      </c>
      <c r="AA1333">
        <v>25000000</v>
      </c>
      <c r="AB1333">
        <v>1004.9</v>
      </c>
      <c r="AC1333">
        <v>0</v>
      </c>
      <c r="AD1333" t="s">
        <v>94</v>
      </c>
      <c r="AE1333" t="s">
        <v>94</v>
      </c>
      <c r="AF1333" t="s">
        <v>226</v>
      </c>
      <c r="AG1333" t="s">
        <v>226</v>
      </c>
      <c r="AH1333">
        <v>-100</v>
      </c>
      <c r="AI1333" t="s">
        <v>3537</v>
      </c>
      <c r="AJ1333" t="s">
        <v>1976</v>
      </c>
      <c r="AK1333" t="s">
        <v>2416</v>
      </c>
      <c r="AL1333" t="s">
        <v>272</v>
      </c>
    </row>
    <row r="1334" spans="1:38">
      <c r="A1334" t="s">
        <v>6035</v>
      </c>
      <c r="B1334" t="s">
        <v>6036</v>
      </c>
      <c r="C1334" t="s">
        <v>6037</v>
      </c>
      <c r="D1334" t="s">
        <v>6037</v>
      </c>
      <c r="E1334" t="s">
        <v>6038</v>
      </c>
      <c r="F1334" t="s">
        <v>2413</v>
      </c>
      <c r="G1334">
        <v>1</v>
      </c>
      <c r="H1334">
        <v>1</v>
      </c>
      <c r="I1334">
        <v>0.01</v>
      </c>
      <c r="J1334">
        <v>1000</v>
      </c>
      <c r="K1334">
        <v>-0.09</v>
      </c>
      <c r="L1334">
        <v>98.38</v>
      </c>
      <c r="M1334">
        <v>98.47</v>
      </c>
      <c r="N1334">
        <v>97.61</v>
      </c>
      <c r="O1334">
        <v>98.01</v>
      </c>
      <c r="P1334">
        <v>0</v>
      </c>
      <c r="Q1334">
        <v>0</v>
      </c>
      <c r="R1334">
        <v>0</v>
      </c>
      <c r="S1334">
        <v>98.03</v>
      </c>
      <c r="T1334">
        <v>98.39</v>
      </c>
      <c r="U1334">
        <v>97.6</v>
      </c>
      <c r="V1334">
        <v>98.39</v>
      </c>
      <c r="W1334">
        <v>14705</v>
      </c>
      <c r="X1334">
        <v>97.67</v>
      </c>
      <c r="Y1334">
        <v>98.28</v>
      </c>
      <c r="Z1334">
        <v>8</v>
      </c>
      <c r="AA1334">
        <v>10000000</v>
      </c>
      <c r="AB1334">
        <v>983.8</v>
      </c>
      <c r="AC1334">
        <v>0</v>
      </c>
      <c r="AD1334" t="s">
        <v>94</v>
      </c>
      <c r="AE1334" t="s">
        <v>94</v>
      </c>
      <c r="AF1334" t="s">
        <v>226</v>
      </c>
      <c r="AG1334" t="s">
        <v>226</v>
      </c>
      <c r="AH1334">
        <v>-100</v>
      </c>
      <c r="AI1334" t="s">
        <v>3537</v>
      </c>
      <c r="AJ1334" t="s">
        <v>1976</v>
      </c>
      <c r="AK1334" t="s">
        <v>2416</v>
      </c>
      <c r="AL1334" t="s">
        <v>272</v>
      </c>
    </row>
    <row r="1335" spans="1:38">
      <c r="A1335" t="s">
        <v>6039</v>
      </c>
      <c r="B1335" t="s">
        <v>6040</v>
      </c>
      <c r="C1335" t="s">
        <v>6041</v>
      </c>
      <c r="D1335" t="s">
        <v>6041</v>
      </c>
      <c r="E1335" t="s">
        <v>6042</v>
      </c>
      <c r="F1335" t="s">
        <v>2413</v>
      </c>
      <c r="G1335">
        <v>1</v>
      </c>
      <c r="H1335">
        <v>1</v>
      </c>
      <c r="I1335">
        <v>0.01</v>
      </c>
      <c r="J1335">
        <v>1000</v>
      </c>
      <c r="K1335">
        <v>1.23</v>
      </c>
      <c r="L1335">
        <v>101.34</v>
      </c>
      <c r="M1335">
        <v>100.11</v>
      </c>
      <c r="N1335">
        <v>99.84</v>
      </c>
      <c r="O1335">
        <v>101.34</v>
      </c>
      <c r="P1335">
        <v>0</v>
      </c>
      <c r="Q1335">
        <v>0</v>
      </c>
      <c r="R1335">
        <v>0</v>
      </c>
      <c r="S1335">
        <v>100.2</v>
      </c>
      <c r="T1335">
        <v>101.01</v>
      </c>
      <c r="U1335">
        <v>100.13</v>
      </c>
      <c r="V1335">
        <v>101.34</v>
      </c>
      <c r="W1335">
        <v>14142</v>
      </c>
      <c r="X1335">
        <v>100.02</v>
      </c>
      <c r="Y1335">
        <v>101.18</v>
      </c>
      <c r="Z1335">
        <v>7</v>
      </c>
      <c r="AA1335">
        <v>25000000</v>
      </c>
      <c r="AB1335">
        <v>1013.4</v>
      </c>
      <c r="AC1335">
        <v>0</v>
      </c>
      <c r="AD1335" t="s">
        <v>94</v>
      </c>
      <c r="AE1335" t="s">
        <v>94</v>
      </c>
      <c r="AF1335" t="s">
        <v>226</v>
      </c>
      <c r="AG1335" t="s">
        <v>226</v>
      </c>
      <c r="AH1335">
        <v>-100</v>
      </c>
      <c r="AI1335" t="s">
        <v>3537</v>
      </c>
      <c r="AJ1335" t="s">
        <v>1976</v>
      </c>
      <c r="AK1335" t="s">
        <v>2416</v>
      </c>
      <c r="AL1335" t="s">
        <v>272</v>
      </c>
    </row>
    <row r="1336" spans="1:38">
      <c r="A1336" t="s">
        <v>6043</v>
      </c>
      <c r="B1336" t="s">
        <v>6044</v>
      </c>
      <c r="C1336" t="s">
        <v>6045</v>
      </c>
      <c r="D1336" t="s">
        <v>6045</v>
      </c>
      <c r="E1336" t="s">
        <v>6046</v>
      </c>
      <c r="F1336" t="s">
        <v>2413</v>
      </c>
      <c r="G1336">
        <v>1</v>
      </c>
      <c r="H1336">
        <v>1</v>
      </c>
      <c r="I1336">
        <v>0.01</v>
      </c>
      <c r="J1336">
        <v>1000</v>
      </c>
      <c r="K1336">
        <v>0</v>
      </c>
      <c r="L1336">
        <v>0</v>
      </c>
      <c r="M1336">
        <v>101.29</v>
      </c>
      <c r="N1336">
        <v>0</v>
      </c>
      <c r="O1336">
        <v>101.29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98.02</v>
      </c>
      <c r="Y1336">
        <v>0</v>
      </c>
      <c r="Z1336">
        <v>0</v>
      </c>
      <c r="AA1336">
        <v>20000000</v>
      </c>
      <c r="AB1336">
        <v>0</v>
      </c>
      <c r="AC1336">
        <v>0</v>
      </c>
      <c r="AD1336" t="s">
        <v>94</v>
      </c>
      <c r="AE1336" t="s">
        <v>94</v>
      </c>
      <c r="AF1336" t="s">
        <v>226</v>
      </c>
      <c r="AG1336" t="s">
        <v>226</v>
      </c>
      <c r="AH1336">
        <v>-100</v>
      </c>
      <c r="AI1336" t="s">
        <v>3537</v>
      </c>
      <c r="AJ1336" t="s">
        <v>1976</v>
      </c>
      <c r="AK1336" t="s">
        <v>2416</v>
      </c>
      <c r="AL1336" t="s">
        <v>272</v>
      </c>
    </row>
    <row r="1337" spans="1:38">
      <c r="A1337" t="s">
        <v>6047</v>
      </c>
      <c r="B1337" t="s">
        <v>6048</v>
      </c>
      <c r="C1337" t="s">
        <v>6049</v>
      </c>
      <c r="D1337" t="s">
        <v>6049</v>
      </c>
      <c r="E1337" t="s">
        <v>6050</v>
      </c>
      <c r="F1337" t="s">
        <v>2413</v>
      </c>
      <c r="G1337">
        <v>1</v>
      </c>
      <c r="H1337">
        <v>1</v>
      </c>
      <c r="I1337">
        <v>0.01</v>
      </c>
      <c r="J1337">
        <v>1000</v>
      </c>
      <c r="K1337">
        <v>-0.37</v>
      </c>
      <c r="L1337">
        <v>98.98</v>
      </c>
      <c r="M1337">
        <v>99.42</v>
      </c>
      <c r="N1337">
        <v>99.36</v>
      </c>
      <c r="O1337">
        <v>98.74</v>
      </c>
      <c r="P1337">
        <v>0</v>
      </c>
      <c r="Q1337">
        <v>0</v>
      </c>
      <c r="R1337">
        <v>0</v>
      </c>
      <c r="S1337">
        <v>98.85</v>
      </c>
      <c r="T1337">
        <v>98.98</v>
      </c>
      <c r="U1337">
        <v>98.35</v>
      </c>
      <c r="V1337">
        <v>99</v>
      </c>
      <c r="W1337">
        <v>21748</v>
      </c>
      <c r="X1337">
        <v>98.36</v>
      </c>
      <c r="Y1337">
        <v>98.98</v>
      </c>
      <c r="Z1337">
        <v>9</v>
      </c>
      <c r="AA1337">
        <v>30000000</v>
      </c>
      <c r="AB1337">
        <v>1979.6</v>
      </c>
      <c r="AC1337">
        <v>0</v>
      </c>
      <c r="AD1337" t="s">
        <v>94</v>
      </c>
      <c r="AE1337" t="s">
        <v>94</v>
      </c>
      <c r="AF1337" t="s">
        <v>226</v>
      </c>
      <c r="AG1337" t="s">
        <v>226</v>
      </c>
      <c r="AH1337">
        <v>8</v>
      </c>
      <c r="AI1337" t="s">
        <v>3537</v>
      </c>
      <c r="AJ1337" t="s">
        <v>1976</v>
      </c>
      <c r="AK1337" t="s">
        <v>2416</v>
      </c>
      <c r="AL1337" t="s">
        <v>272</v>
      </c>
    </row>
    <row r="1338" spans="1:38">
      <c r="A1338" t="s">
        <v>6051</v>
      </c>
      <c r="B1338" t="s">
        <v>6052</v>
      </c>
      <c r="C1338" t="s">
        <v>6053</v>
      </c>
      <c r="D1338" t="s">
        <v>6053</v>
      </c>
      <c r="E1338" t="s">
        <v>6054</v>
      </c>
      <c r="F1338" t="s">
        <v>2413</v>
      </c>
      <c r="G1338">
        <v>1</v>
      </c>
      <c r="H1338">
        <v>1</v>
      </c>
      <c r="I1338">
        <v>0.01</v>
      </c>
      <c r="J1338">
        <v>1000</v>
      </c>
      <c r="K1338">
        <v>0</v>
      </c>
      <c r="L1338">
        <v>0</v>
      </c>
      <c r="M1338">
        <v>103.77</v>
      </c>
      <c r="N1338">
        <v>102.26</v>
      </c>
      <c r="O1338">
        <v>103.77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98.18</v>
      </c>
      <c r="Y1338">
        <v>105.98</v>
      </c>
      <c r="Z1338">
        <v>0</v>
      </c>
      <c r="AA1338">
        <v>10000000</v>
      </c>
      <c r="AB1338">
        <v>0</v>
      </c>
      <c r="AC1338">
        <v>0</v>
      </c>
      <c r="AD1338" t="s">
        <v>94</v>
      </c>
      <c r="AE1338" t="s">
        <v>94</v>
      </c>
      <c r="AF1338" t="s">
        <v>226</v>
      </c>
      <c r="AG1338" t="s">
        <v>226</v>
      </c>
      <c r="AH1338">
        <v>8</v>
      </c>
      <c r="AI1338" t="s">
        <v>3537</v>
      </c>
      <c r="AJ1338" t="s">
        <v>1976</v>
      </c>
      <c r="AK1338" t="s">
        <v>2416</v>
      </c>
      <c r="AL1338" t="s">
        <v>272</v>
      </c>
    </row>
    <row r="1339" spans="1:38">
      <c r="A1339" t="s">
        <v>6055</v>
      </c>
      <c r="B1339" t="s">
        <v>6056</v>
      </c>
      <c r="C1339" t="s">
        <v>6057</v>
      </c>
      <c r="D1339" t="s">
        <v>6057</v>
      </c>
      <c r="E1339" t="s">
        <v>6058</v>
      </c>
      <c r="F1339" t="s">
        <v>2413</v>
      </c>
      <c r="G1339">
        <v>1</v>
      </c>
      <c r="H1339">
        <v>1</v>
      </c>
      <c r="I1339">
        <v>0.01</v>
      </c>
      <c r="J1339">
        <v>1000</v>
      </c>
      <c r="K1339">
        <v>0</v>
      </c>
      <c r="L1339">
        <v>101.5</v>
      </c>
      <c r="M1339">
        <v>101.5</v>
      </c>
      <c r="N1339">
        <v>100.89</v>
      </c>
      <c r="O1339">
        <v>101.5</v>
      </c>
      <c r="P1339">
        <v>0</v>
      </c>
      <c r="Q1339">
        <v>0</v>
      </c>
      <c r="R1339">
        <v>0</v>
      </c>
      <c r="S1339">
        <v>101.5</v>
      </c>
      <c r="T1339">
        <v>101.5</v>
      </c>
      <c r="U1339">
        <v>101.5</v>
      </c>
      <c r="V1339">
        <v>101.5</v>
      </c>
      <c r="W1339">
        <v>24360</v>
      </c>
      <c r="X1339">
        <v>99.47</v>
      </c>
      <c r="Y1339">
        <v>101.5</v>
      </c>
      <c r="Z1339">
        <v>2</v>
      </c>
      <c r="AA1339">
        <v>40000000</v>
      </c>
      <c r="AB1339">
        <v>5075</v>
      </c>
      <c r="AC1339">
        <v>0</v>
      </c>
      <c r="AD1339" t="s">
        <v>94</v>
      </c>
      <c r="AE1339" t="s">
        <v>94</v>
      </c>
      <c r="AF1339" t="s">
        <v>226</v>
      </c>
      <c r="AG1339" t="s">
        <v>226</v>
      </c>
      <c r="AH1339">
        <v>8</v>
      </c>
      <c r="AI1339" t="s">
        <v>3537</v>
      </c>
      <c r="AJ1339" t="s">
        <v>1976</v>
      </c>
      <c r="AK1339" t="s">
        <v>2416</v>
      </c>
      <c r="AL1339" t="s">
        <v>272</v>
      </c>
    </row>
    <row r="1340" spans="1:38">
      <c r="A1340" t="s">
        <v>6059</v>
      </c>
      <c r="B1340" t="s">
        <v>6060</v>
      </c>
      <c r="C1340" t="s">
        <v>6061</v>
      </c>
      <c r="D1340" t="s">
        <v>6061</v>
      </c>
      <c r="E1340" t="s">
        <v>6062</v>
      </c>
      <c r="F1340" t="s">
        <v>2413</v>
      </c>
      <c r="G1340">
        <v>1</v>
      </c>
      <c r="H1340">
        <v>1</v>
      </c>
      <c r="I1340">
        <v>0.01</v>
      </c>
      <c r="J1340">
        <v>1000</v>
      </c>
      <c r="K1340">
        <v>-1.64</v>
      </c>
      <c r="L1340">
        <v>97.81</v>
      </c>
      <c r="M1340">
        <v>99.44</v>
      </c>
      <c r="N1340">
        <v>98.15</v>
      </c>
      <c r="O1340">
        <v>98.03</v>
      </c>
      <c r="P1340">
        <v>0</v>
      </c>
      <c r="Q1340">
        <v>0</v>
      </c>
      <c r="R1340">
        <v>0</v>
      </c>
      <c r="S1340">
        <v>98.03</v>
      </c>
      <c r="T1340">
        <v>98.15</v>
      </c>
      <c r="U1340">
        <v>97.81</v>
      </c>
      <c r="V1340">
        <v>98.15</v>
      </c>
      <c r="W1340">
        <v>2941</v>
      </c>
      <c r="X1340">
        <v>97.92</v>
      </c>
      <c r="Y1340">
        <v>98.81</v>
      </c>
      <c r="Z1340">
        <v>3</v>
      </c>
      <c r="AA1340">
        <v>90000000</v>
      </c>
      <c r="AB1340">
        <v>978.1</v>
      </c>
      <c r="AC1340">
        <v>0</v>
      </c>
      <c r="AD1340" t="s">
        <v>94</v>
      </c>
      <c r="AE1340" t="s">
        <v>94</v>
      </c>
      <c r="AF1340" t="s">
        <v>226</v>
      </c>
      <c r="AG1340" t="s">
        <v>226</v>
      </c>
      <c r="AH1340">
        <v>8</v>
      </c>
      <c r="AI1340" t="s">
        <v>3537</v>
      </c>
      <c r="AJ1340" t="s">
        <v>1976</v>
      </c>
      <c r="AK1340" t="s">
        <v>2416</v>
      </c>
      <c r="AL1340" t="s">
        <v>272</v>
      </c>
    </row>
    <row r="1341" spans="1:38">
      <c r="A1341" t="s">
        <v>6063</v>
      </c>
      <c r="B1341" t="s">
        <v>6064</v>
      </c>
      <c r="C1341" t="s">
        <v>6065</v>
      </c>
      <c r="D1341" t="s">
        <v>6065</v>
      </c>
      <c r="E1341" t="s">
        <v>6066</v>
      </c>
      <c r="F1341" t="s">
        <v>2413</v>
      </c>
      <c r="G1341">
        <v>1</v>
      </c>
      <c r="H1341">
        <v>1</v>
      </c>
      <c r="I1341">
        <v>0.01</v>
      </c>
      <c r="J1341">
        <v>1000</v>
      </c>
      <c r="K1341">
        <v>-0.37</v>
      </c>
      <c r="L1341">
        <v>100</v>
      </c>
      <c r="M1341">
        <v>100.37</v>
      </c>
      <c r="N1341">
        <v>100.3</v>
      </c>
      <c r="O1341">
        <v>100</v>
      </c>
      <c r="P1341">
        <v>0</v>
      </c>
      <c r="Q1341">
        <v>0</v>
      </c>
      <c r="R1341">
        <v>0</v>
      </c>
      <c r="S1341">
        <v>100.23</v>
      </c>
      <c r="T1341">
        <v>100.37</v>
      </c>
      <c r="U1341">
        <v>100</v>
      </c>
      <c r="V1341">
        <v>100.37</v>
      </c>
      <c r="W1341">
        <v>167378</v>
      </c>
      <c r="X1341">
        <v>100</v>
      </c>
      <c r="Y1341">
        <v>100.37</v>
      </c>
      <c r="Z1341">
        <v>5</v>
      </c>
      <c r="AA1341">
        <v>101000000</v>
      </c>
      <c r="AB1341">
        <v>62000</v>
      </c>
      <c r="AC1341">
        <v>0</v>
      </c>
      <c r="AD1341" t="s">
        <v>94</v>
      </c>
      <c r="AE1341" t="s">
        <v>94</v>
      </c>
      <c r="AF1341" t="s">
        <v>226</v>
      </c>
      <c r="AG1341" t="s">
        <v>226</v>
      </c>
      <c r="AH1341">
        <v>800</v>
      </c>
      <c r="AI1341" t="s">
        <v>3537</v>
      </c>
      <c r="AJ1341" t="s">
        <v>1976</v>
      </c>
      <c r="AK1341" t="s">
        <v>2416</v>
      </c>
      <c r="AL1341" t="s">
        <v>272</v>
      </c>
    </row>
    <row r="1342" spans="1:38">
      <c r="A1342" t="s">
        <v>6067</v>
      </c>
      <c r="B1342" t="s">
        <v>6068</v>
      </c>
      <c r="C1342" t="s">
        <v>6069</v>
      </c>
      <c r="D1342" t="s">
        <v>6069</v>
      </c>
      <c r="E1342" t="s">
        <v>6070</v>
      </c>
      <c r="F1342" t="s">
        <v>2413</v>
      </c>
      <c r="G1342">
        <v>1</v>
      </c>
      <c r="H1342">
        <v>1</v>
      </c>
      <c r="I1342">
        <v>0.01</v>
      </c>
      <c r="J1342">
        <v>1000</v>
      </c>
      <c r="K1342">
        <v>3.17</v>
      </c>
      <c r="L1342">
        <v>102.97</v>
      </c>
      <c r="M1342">
        <v>99.81</v>
      </c>
      <c r="N1342">
        <v>98.53</v>
      </c>
      <c r="O1342">
        <v>102.97</v>
      </c>
      <c r="P1342">
        <v>0</v>
      </c>
      <c r="Q1342">
        <v>0</v>
      </c>
      <c r="R1342">
        <v>0</v>
      </c>
      <c r="S1342">
        <v>102.57</v>
      </c>
      <c r="T1342">
        <v>102.01</v>
      </c>
      <c r="U1342">
        <v>102.01</v>
      </c>
      <c r="V1342">
        <v>102.97</v>
      </c>
      <c r="W1342">
        <v>11283</v>
      </c>
      <c r="X1342">
        <v>98.01</v>
      </c>
      <c r="Y1342">
        <v>102.97</v>
      </c>
      <c r="Z1342">
        <v>7</v>
      </c>
      <c r="AA1342">
        <v>5000000</v>
      </c>
      <c r="AB1342">
        <v>1029.7</v>
      </c>
      <c r="AC1342">
        <v>0</v>
      </c>
      <c r="AD1342" t="s">
        <v>94</v>
      </c>
      <c r="AE1342" t="s">
        <v>94</v>
      </c>
      <c r="AF1342" t="s">
        <v>226</v>
      </c>
      <c r="AG1342" t="s">
        <v>226</v>
      </c>
      <c r="AH1342">
        <v>-100</v>
      </c>
      <c r="AI1342" t="s">
        <v>3537</v>
      </c>
      <c r="AJ1342" t="s">
        <v>1976</v>
      </c>
      <c r="AK1342" t="s">
        <v>2416</v>
      </c>
      <c r="AL1342" t="s">
        <v>272</v>
      </c>
    </row>
    <row r="1343" spans="1:38">
      <c r="A1343" t="s">
        <v>6071</v>
      </c>
      <c r="B1343" t="s">
        <v>6072</v>
      </c>
      <c r="C1343" t="s">
        <v>6073</v>
      </c>
      <c r="D1343" t="s">
        <v>6073</v>
      </c>
      <c r="E1343" t="s">
        <v>6074</v>
      </c>
      <c r="F1343" t="s">
        <v>2413</v>
      </c>
      <c r="G1343">
        <v>1</v>
      </c>
      <c r="H1343">
        <v>1</v>
      </c>
      <c r="I1343">
        <v>0.01</v>
      </c>
      <c r="J1343">
        <v>1000</v>
      </c>
      <c r="K1343">
        <v>0</v>
      </c>
      <c r="L1343">
        <v>99.75</v>
      </c>
      <c r="M1343">
        <v>99.75</v>
      </c>
      <c r="N1343">
        <v>99.82</v>
      </c>
      <c r="O1343">
        <v>99.75</v>
      </c>
      <c r="P1343">
        <v>0</v>
      </c>
      <c r="Q1343">
        <v>0</v>
      </c>
      <c r="R1343">
        <v>0</v>
      </c>
      <c r="S1343">
        <v>100.4</v>
      </c>
      <c r="T1343">
        <v>101.98</v>
      </c>
      <c r="U1343">
        <v>99.74</v>
      </c>
      <c r="V1343">
        <v>101.98</v>
      </c>
      <c r="W1343">
        <v>17068</v>
      </c>
      <c r="X1343">
        <v>99.74</v>
      </c>
      <c r="Y1343">
        <v>99.75</v>
      </c>
      <c r="Z1343">
        <v>6</v>
      </c>
      <c r="AA1343">
        <v>5000000</v>
      </c>
      <c r="AB1343">
        <v>4987.5</v>
      </c>
      <c r="AC1343">
        <v>0</v>
      </c>
      <c r="AD1343" t="s">
        <v>94</v>
      </c>
      <c r="AE1343" t="s">
        <v>94</v>
      </c>
      <c r="AF1343" t="s">
        <v>226</v>
      </c>
      <c r="AG1343" t="s">
        <v>226</v>
      </c>
      <c r="AH1343">
        <v>-100</v>
      </c>
      <c r="AI1343" t="s">
        <v>3537</v>
      </c>
      <c r="AJ1343" t="s">
        <v>1976</v>
      </c>
      <c r="AK1343" t="s">
        <v>2416</v>
      </c>
      <c r="AL1343" t="s">
        <v>272</v>
      </c>
    </row>
    <row r="1344" spans="1:38">
      <c r="A1344" t="s">
        <v>6075</v>
      </c>
      <c r="B1344" t="s">
        <v>6076</v>
      </c>
      <c r="C1344" t="s">
        <v>6077</v>
      </c>
      <c r="D1344" t="s">
        <v>6077</v>
      </c>
      <c r="E1344" t="s">
        <v>6078</v>
      </c>
      <c r="F1344" t="s">
        <v>2413</v>
      </c>
      <c r="G1344">
        <v>1</v>
      </c>
      <c r="H1344">
        <v>1</v>
      </c>
      <c r="I1344">
        <v>0.01</v>
      </c>
      <c r="J1344">
        <v>1000</v>
      </c>
      <c r="K1344">
        <v>0.01</v>
      </c>
      <c r="L1344">
        <v>102.36</v>
      </c>
      <c r="M1344">
        <v>102.35</v>
      </c>
      <c r="N1344">
        <v>99.99</v>
      </c>
      <c r="O1344">
        <v>102.36</v>
      </c>
      <c r="P1344">
        <v>0</v>
      </c>
      <c r="Q1344">
        <v>0</v>
      </c>
      <c r="R1344">
        <v>0</v>
      </c>
      <c r="S1344">
        <v>102.36</v>
      </c>
      <c r="T1344">
        <v>102.36</v>
      </c>
      <c r="U1344">
        <v>102.36</v>
      </c>
      <c r="V1344">
        <v>102.36</v>
      </c>
      <c r="W1344">
        <v>2047</v>
      </c>
      <c r="X1344">
        <v>99.79</v>
      </c>
      <c r="Y1344">
        <v>102.36</v>
      </c>
      <c r="Z1344">
        <v>2</v>
      </c>
      <c r="AA1344">
        <v>5000000</v>
      </c>
      <c r="AB1344">
        <v>1023.6</v>
      </c>
      <c r="AC1344">
        <v>0</v>
      </c>
      <c r="AD1344" t="s">
        <v>94</v>
      </c>
      <c r="AE1344" t="s">
        <v>94</v>
      </c>
      <c r="AF1344" t="s">
        <v>226</v>
      </c>
      <c r="AG1344" t="s">
        <v>226</v>
      </c>
      <c r="AH1344">
        <v>-100</v>
      </c>
      <c r="AI1344" t="s">
        <v>3537</v>
      </c>
      <c r="AJ1344" t="s">
        <v>1976</v>
      </c>
      <c r="AK1344" t="s">
        <v>2416</v>
      </c>
      <c r="AL1344" t="s">
        <v>272</v>
      </c>
    </row>
    <row r="1345" spans="1:38">
      <c r="A1345" t="s">
        <v>6079</v>
      </c>
      <c r="B1345" t="s">
        <v>6080</v>
      </c>
      <c r="C1345" t="s">
        <v>6081</v>
      </c>
      <c r="D1345" t="s">
        <v>6081</v>
      </c>
      <c r="E1345" t="s">
        <v>6082</v>
      </c>
      <c r="F1345" t="s">
        <v>2413</v>
      </c>
      <c r="G1345">
        <v>1</v>
      </c>
      <c r="H1345">
        <v>1</v>
      </c>
      <c r="I1345">
        <v>0.01</v>
      </c>
      <c r="J1345">
        <v>1000</v>
      </c>
      <c r="K1345">
        <v>0.01</v>
      </c>
      <c r="L1345">
        <v>100.21</v>
      </c>
      <c r="M1345">
        <v>100.2</v>
      </c>
      <c r="N1345">
        <v>99.3</v>
      </c>
      <c r="O1345">
        <v>100.21</v>
      </c>
      <c r="P1345">
        <v>0</v>
      </c>
      <c r="Q1345">
        <v>0</v>
      </c>
      <c r="R1345">
        <v>0</v>
      </c>
      <c r="S1345">
        <v>100.21</v>
      </c>
      <c r="T1345">
        <v>100.21</v>
      </c>
      <c r="U1345">
        <v>100.21</v>
      </c>
      <c r="V1345">
        <v>100.21</v>
      </c>
      <c r="W1345">
        <v>1002</v>
      </c>
      <c r="X1345">
        <v>99.01</v>
      </c>
      <c r="Y1345">
        <v>100.21</v>
      </c>
      <c r="Z1345">
        <v>1</v>
      </c>
      <c r="AA1345">
        <v>5000000</v>
      </c>
      <c r="AB1345">
        <v>1002.1</v>
      </c>
      <c r="AC1345">
        <v>0</v>
      </c>
      <c r="AD1345" t="s">
        <v>94</v>
      </c>
      <c r="AE1345" t="s">
        <v>94</v>
      </c>
      <c r="AF1345" t="s">
        <v>226</v>
      </c>
      <c r="AG1345" t="s">
        <v>226</v>
      </c>
      <c r="AH1345">
        <v>-100</v>
      </c>
      <c r="AI1345" t="s">
        <v>3537</v>
      </c>
      <c r="AJ1345" t="s">
        <v>1976</v>
      </c>
      <c r="AK1345" t="s">
        <v>2416</v>
      </c>
      <c r="AL1345" t="s">
        <v>272</v>
      </c>
    </row>
    <row r="1346" spans="1:38">
      <c r="A1346" t="s">
        <v>6083</v>
      </c>
      <c r="B1346" t="s">
        <v>6084</v>
      </c>
      <c r="C1346" t="s">
        <v>6085</v>
      </c>
      <c r="D1346" t="s">
        <v>6085</v>
      </c>
      <c r="E1346" t="s">
        <v>6086</v>
      </c>
      <c r="F1346" t="s">
        <v>2413</v>
      </c>
      <c r="G1346">
        <v>1</v>
      </c>
      <c r="H1346">
        <v>1</v>
      </c>
      <c r="I1346">
        <v>0.01</v>
      </c>
      <c r="J1346">
        <v>1000</v>
      </c>
      <c r="K1346">
        <v>0</v>
      </c>
      <c r="L1346">
        <v>0</v>
      </c>
      <c r="M1346">
        <v>99.55</v>
      </c>
      <c r="N1346">
        <v>0</v>
      </c>
      <c r="O1346">
        <v>99.55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99.55</v>
      </c>
      <c r="Y1346">
        <v>0</v>
      </c>
      <c r="Z1346">
        <v>0</v>
      </c>
      <c r="AA1346">
        <v>10000000</v>
      </c>
      <c r="AB1346">
        <v>0</v>
      </c>
      <c r="AC1346">
        <v>0</v>
      </c>
      <c r="AD1346" t="s">
        <v>94</v>
      </c>
      <c r="AE1346" t="s">
        <v>94</v>
      </c>
      <c r="AF1346" t="s">
        <v>226</v>
      </c>
      <c r="AG1346" t="s">
        <v>226</v>
      </c>
      <c r="AH1346">
        <v>-100</v>
      </c>
      <c r="AI1346" t="s">
        <v>3537</v>
      </c>
      <c r="AJ1346" t="s">
        <v>1976</v>
      </c>
      <c r="AK1346" t="s">
        <v>2416</v>
      </c>
      <c r="AL1346" t="s">
        <v>272</v>
      </c>
    </row>
    <row r="1347" spans="1:38">
      <c r="A1347" t="s">
        <v>6087</v>
      </c>
      <c r="B1347" t="s">
        <v>6088</v>
      </c>
      <c r="C1347" t="s">
        <v>6089</v>
      </c>
      <c r="D1347" t="s">
        <v>6089</v>
      </c>
      <c r="E1347" t="s">
        <v>6090</v>
      </c>
      <c r="F1347" t="s">
        <v>2425</v>
      </c>
      <c r="G1347">
        <v>1</v>
      </c>
      <c r="H1347">
        <v>1</v>
      </c>
      <c r="I1347">
        <v>0.01</v>
      </c>
      <c r="J1347">
        <v>1000</v>
      </c>
      <c r="K1347">
        <v>0</v>
      </c>
      <c r="L1347">
        <v>0</v>
      </c>
      <c r="M1347">
        <v>97.02</v>
      </c>
      <c r="N1347">
        <v>102.98</v>
      </c>
      <c r="O1347">
        <v>97.02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96.02</v>
      </c>
      <c r="Y1347">
        <v>99.88</v>
      </c>
      <c r="Z1347">
        <v>0</v>
      </c>
      <c r="AA1347">
        <v>7000000</v>
      </c>
      <c r="AB1347">
        <v>0</v>
      </c>
      <c r="AC1347">
        <v>0</v>
      </c>
      <c r="AD1347" t="s">
        <v>94</v>
      </c>
      <c r="AE1347" t="s">
        <v>94</v>
      </c>
      <c r="AF1347" t="s">
        <v>226</v>
      </c>
      <c r="AG1347" t="s">
        <v>226</v>
      </c>
      <c r="AH1347">
        <v>800</v>
      </c>
      <c r="AI1347" t="s">
        <v>3537</v>
      </c>
      <c r="AJ1347" t="s">
        <v>1976</v>
      </c>
      <c r="AK1347" t="s">
        <v>2426</v>
      </c>
      <c r="AL1347" t="s">
        <v>272</v>
      </c>
    </row>
    <row r="1348" spans="1:38">
      <c r="A1348" t="s">
        <v>6091</v>
      </c>
      <c r="B1348" t="s">
        <v>6092</v>
      </c>
      <c r="C1348" t="s">
        <v>6093</v>
      </c>
      <c r="D1348" t="s">
        <v>6093</v>
      </c>
      <c r="E1348" t="s">
        <v>6094</v>
      </c>
      <c r="F1348" t="s">
        <v>2413</v>
      </c>
      <c r="G1348">
        <v>1</v>
      </c>
      <c r="H1348">
        <v>1</v>
      </c>
      <c r="I1348">
        <v>0.01</v>
      </c>
      <c r="J1348">
        <v>1000</v>
      </c>
      <c r="K1348">
        <v>-0.01</v>
      </c>
      <c r="L1348">
        <v>99.4</v>
      </c>
      <c r="M1348">
        <v>99.41</v>
      </c>
      <c r="N1348">
        <v>98.36</v>
      </c>
      <c r="O1348">
        <v>99.39</v>
      </c>
      <c r="P1348">
        <v>0</v>
      </c>
      <c r="Q1348">
        <v>0</v>
      </c>
      <c r="R1348">
        <v>0</v>
      </c>
      <c r="S1348">
        <v>99.32</v>
      </c>
      <c r="T1348">
        <v>97.8</v>
      </c>
      <c r="U1348">
        <v>97.8</v>
      </c>
      <c r="V1348">
        <v>99.4</v>
      </c>
      <c r="W1348">
        <v>22844</v>
      </c>
      <c r="X1348">
        <v>98.34</v>
      </c>
      <c r="Y1348">
        <v>99.4</v>
      </c>
      <c r="Z1348">
        <v>12</v>
      </c>
      <c r="AA1348">
        <v>15000000</v>
      </c>
      <c r="AB1348">
        <v>994</v>
      </c>
      <c r="AC1348">
        <v>0</v>
      </c>
      <c r="AD1348" t="s">
        <v>94</v>
      </c>
      <c r="AE1348" t="s">
        <v>94</v>
      </c>
      <c r="AF1348" t="s">
        <v>226</v>
      </c>
      <c r="AG1348" t="s">
        <v>226</v>
      </c>
      <c r="AH1348">
        <v>-100</v>
      </c>
      <c r="AI1348" t="s">
        <v>3537</v>
      </c>
      <c r="AJ1348" t="s">
        <v>1976</v>
      </c>
      <c r="AK1348" t="s">
        <v>2416</v>
      </c>
      <c r="AL1348" t="s">
        <v>272</v>
      </c>
    </row>
    <row r="1349" spans="1:38">
      <c r="A1349" t="s">
        <v>6095</v>
      </c>
      <c r="B1349" t="s">
        <v>6096</v>
      </c>
      <c r="C1349" t="s">
        <v>6097</v>
      </c>
      <c r="D1349" t="s">
        <v>6097</v>
      </c>
      <c r="E1349" t="s">
        <v>6098</v>
      </c>
      <c r="F1349" t="s">
        <v>2413</v>
      </c>
      <c r="G1349">
        <v>1</v>
      </c>
      <c r="H1349">
        <v>1</v>
      </c>
      <c r="I1349">
        <v>0.01</v>
      </c>
      <c r="J1349">
        <v>1000</v>
      </c>
      <c r="K1349">
        <v>0.05</v>
      </c>
      <c r="L1349">
        <v>98.6</v>
      </c>
      <c r="M1349">
        <v>98.51</v>
      </c>
      <c r="N1349">
        <v>98.08</v>
      </c>
      <c r="O1349">
        <v>98.6</v>
      </c>
      <c r="P1349">
        <v>0</v>
      </c>
      <c r="Q1349">
        <v>0</v>
      </c>
      <c r="R1349">
        <v>0</v>
      </c>
      <c r="S1349">
        <v>98.6</v>
      </c>
      <c r="T1349">
        <v>98.6</v>
      </c>
      <c r="U1349">
        <v>98.6</v>
      </c>
      <c r="V1349">
        <v>98.6</v>
      </c>
      <c r="W1349">
        <v>12818</v>
      </c>
      <c r="X1349">
        <v>98.14</v>
      </c>
      <c r="Y1349">
        <v>98.6</v>
      </c>
      <c r="Z1349">
        <v>3</v>
      </c>
      <c r="AA1349">
        <v>15000000</v>
      </c>
      <c r="AB1349">
        <v>986</v>
      </c>
      <c r="AC1349">
        <v>0</v>
      </c>
      <c r="AD1349" t="s">
        <v>94</v>
      </c>
      <c r="AE1349" t="s">
        <v>94</v>
      </c>
      <c r="AF1349" t="s">
        <v>226</v>
      </c>
      <c r="AG1349" t="s">
        <v>226</v>
      </c>
      <c r="AH1349">
        <v>-100</v>
      </c>
      <c r="AI1349" t="s">
        <v>3537</v>
      </c>
      <c r="AJ1349" t="s">
        <v>1976</v>
      </c>
      <c r="AK1349" t="s">
        <v>2416</v>
      </c>
      <c r="AL1349" t="s">
        <v>272</v>
      </c>
    </row>
    <row r="1350" spans="1:38">
      <c r="A1350" t="s">
        <v>6099</v>
      </c>
      <c r="B1350" t="s">
        <v>6100</v>
      </c>
      <c r="C1350" t="s">
        <v>6101</v>
      </c>
      <c r="D1350" t="s">
        <v>6101</v>
      </c>
      <c r="E1350" t="s">
        <v>6102</v>
      </c>
      <c r="F1350" t="s">
        <v>2425</v>
      </c>
      <c r="G1350">
        <v>1</v>
      </c>
      <c r="H1350">
        <v>1</v>
      </c>
      <c r="I1350">
        <v>0.01</v>
      </c>
      <c r="J1350">
        <v>500</v>
      </c>
      <c r="K1350">
        <v>0</v>
      </c>
      <c r="L1350">
        <v>0</v>
      </c>
      <c r="M1350">
        <v>95</v>
      </c>
      <c r="N1350">
        <v>0</v>
      </c>
      <c r="O1350">
        <v>95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95.01</v>
      </c>
      <c r="Y1350">
        <v>0</v>
      </c>
      <c r="Z1350">
        <v>0</v>
      </c>
      <c r="AA1350">
        <v>6000000</v>
      </c>
      <c r="AB1350">
        <v>0</v>
      </c>
      <c r="AC1350">
        <v>0</v>
      </c>
      <c r="AD1350" t="s">
        <v>94</v>
      </c>
      <c r="AE1350" t="s">
        <v>94</v>
      </c>
      <c r="AF1350" t="s">
        <v>226</v>
      </c>
      <c r="AG1350" t="s">
        <v>226</v>
      </c>
      <c r="AH1350">
        <v>-100</v>
      </c>
      <c r="AI1350" t="s">
        <v>3537</v>
      </c>
      <c r="AJ1350" t="s">
        <v>1976</v>
      </c>
      <c r="AK1350" t="s">
        <v>2426</v>
      </c>
      <c r="AL1350" t="s">
        <v>272</v>
      </c>
    </row>
    <row r="1351" spans="1:38">
      <c r="A1351" t="s">
        <v>6103</v>
      </c>
      <c r="B1351" t="s">
        <v>6104</v>
      </c>
      <c r="C1351" t="s">
        <v>6105</v>
      </c>
      <c r="D1351" t="s">
        <v>6105</v>
      </c>
      <c r="E1351" t="s">
        <v>6106</v>
      </c>
      <c r="F1351" t="s">
        <v>2425</v>
      </c>
      <c r="G1351">
        <v>1</v>
      </c>
      <c r="H1351">
        <v>1</v>
      </c>
      <c r="I1351">
        <v>0.01</v>
      </c>
      <c r="J1351">
        <v>1000</v>
      </c>
      <c r="K1351">
        <v>0</v>
      </c>
      <c r="L1351">
        <v>0</v>
      </c>
      <c r="M1351">
        <v>116.05</v>
      </c>
      <c r="N1351">
        <v>0</v>
      </c>
      <c r="O1351">
        <v>116.05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96.01</v>
      </c>
      <c r="Y1351">
        <v>0</v>
      </c>
      <c r="Z1351">
        <v>0</v>
      </c>
      <c r="AA1351">
        <v>6000000</v>
      </c>
      <c r="AB1351">
        <v>0</v>
      </c>
      <c r="AC1351">
        <v>0</v>
      </c>
      <c r="AD1351" t="s">
        <v>94</v>
      </c>
      <c r="AE1351" t="s">
        <v>94</v>
      </c>
      <c r="AF1351" t="s">
        <v>226</v>
      </c>
      <c r="AG1351" t="s">
        <v>226</v>
      </c>
      <c r="AH1351">
        <v>-100</v>
      </c>
      <c r="AI1351" t="s">
        <v>3537</v>
      </c>
      <c r="AJ1351" t="s">
        <v>1976</v>
      </c>
      <c r="AK1351" t="s">
        <v>2426</v>
      </c>
      <c r="AL1351" t="s">
        <v>272</v>
      </c>
    </row>
    <row r="1352" spans="1:38">
      <c r="A1352" t="s">
        <v>6107</v>
      </c>
      <c r="B1352" t="s">
        <v>6108</v>
      </c>
      <c r="C1352" t="s">
        <v>6109</v>
      </c>
      <c r="D1352" t="s">
        <v>6109</v>
      </c>
      <c r="E1352" t="s">
        <v>6110</v>
      </c>
      <c r="F1352" t="s">
        <v>2425</v>
      </c>
      <c r="G1352">
        <v>1</v>
      </c>
      <c r="H1352">
        <v>1</v>
      </c>
      <c r="I1352">
        <v>0.01</v>
      </c>
      <c r="J1352">
        <v>1000</v>
      </c>
      <c r="K1352">
        <v>0</v>
      </c>
      <c r="L1352">
        <v>0</v>
      </c>
      <c r="M1352">
        <v>97.11</v>
      </c>
      <c r="N1352">
        <v>0</v>
      </c>
      <c r="O1352">
        <v>97.11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97.11</v>
      </c>
      <c r="Y1352">
        <v>0</v>
      </c>
      <c r="Z1352">
        <v>0</v>
      </c>
      <c r="AA1352">
        <v>6000000</v>
      </c>
      <c r="AB1352">
        <v>0</v>
      </c>
      <c r="AC1352">
        <v>0</v>
      </c>
      <c r="AD1352" t="s">
        <v>94</v>
      </c>
      <c r="AE1352" t="s">
        <v>94</v>
      </c>
      <c r="AF1352" t="s">
        <v>226</v>
      </c>
      <c r="AG1352" t="s">
        <v>226</v>
      </c>
      <c r="AH1352">
        <v>-100</v>
      </c>
      <c r="AI1352" t="s">
        <v>3537</v>
      </c>
      <c r="AJ1352" t="s">
        <v>1976</v>
      </c>
      <c r="AK1352" t="s">
        <v>2426</v>
      </c>
      <c r="AL1352" t="s">
        <v>272</v>
      </c>
    </row>
    <row r="1353" spans="1:38">
      <c r="A1353" t="s">
        <v>6111</v>
      </c>
      <c r="B1353" t="s">
        <v>6112</v>
      </c>
      <c r="C1353" t="s">
        <v>6113</v>
      </c>
      <c r="D1353" t="s">
        <v>6113</v>
      </c>
      <c r="E1353" t="s">
        <v>6114</v>
      </c>
      <c r="F1353" t="s">
        <v>2425</v>
      </c>
      <c r="G1353">
        <v>1</v>
      </c>
      <c r="H1353">
        <v>1</v>
      </c>
      <c r="I1353">
        <v>0.01</v>
      </c>
      <c r="J1353">
        <v>1000</v>
      </c>
      <c r="K1353">
        <v>0</v>
      </c>
      <c r="L1353">
        <v>0</v>
      </c>
      <c r="M1353">
        <v>100</v>
      </c>
      <c r="N1353">
        <v>0</v>
      </c>
      <c r="O1353">
        <v>100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96.01</v>
      </c>
      <c r="Y1353">
        <v>0</v>
      </c>
      <c r="Z1353">
        <v>0</v>
      </c>
      <c r="AA1353">
        <v>7000000</v>
      </c>
      <c r="AB1353">
        <v>0</v>
      </c>
      <c r="AC1353">
        <v>0</v>
      </c>
      <c r="AD1353" t="s">
        <v>94</v>
      </c>
      <c r="AE1353" t="s">
        <v>94</v>
      </c>
      <c r="AF1353" t="s">
        <v>226</v>
      </c>
      <c r="AG1353" t="s">
        <v>226</v>
      </c>
      <c r="AH1353">
        <v>800</v>
      </c>
      <c r="AI1353" t="s">
        <v>3537</v>
      </c>
      <c r="AJ1353" t="s">
        <v>1976</v>
      </c>
      <c r="AK1353" t="s">
        <v>2426</v>
      </c>
      <c r="AL1353" t="s">
        <v>272</v>
      </c>
    </row>
    <row r="1354" spans="1:38">
      <c r="A1354" t="s">
        <v>6115</v>
      </c>
      <c r="B1354" t="s">
        <v>6116</v>
      </c>
      <c r="C1354" t="s">
        <v>6117</v>
      </c>
      <c r="D1354" t="s">
        <v>6117</v>
      </c>
      <c r="E1354" t="s">
        <v>6118</v>
      </c>
      <c r="F1354" t="s">
        <v>2425</v>
      </c>
      <c r="G1354">
        <v>1</v>
      </c>
      <c r="H1354">
        <v>1</v>
      </c>
      <c r="I1354">
        <v>0.01</v>
      </c>
      <c r="J1354">
        <v>155.1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90.01</v>
      </c>
      <c r="Y1354">
        <v>0</v>
      </c>
      <c r="Z1354">
        <v>0</v>
      </c>
      <c r="AA1354">
        <v>49999827</v>
      </c>
      <c r="AB1354">
        <v>0</v>
      </c>
      <c r="AC1354">
        <v>0</v>
      </c>
      <c r="AD1354" t="s">
        <v>94</v>
      </c>
      <c r="AE1354" t="s">
        <v>94</v>
      </c>
      <c r="AF1354" t="s">
        <v>226</v>
      </c>
      <c r="AG1354" t="s">
        <v>226</v>
      </c>
      <c r="AH1354">
        <v>-100</v>
      </c>
      <c r="AI1354" t="s">
        <v>3537</v>
      </c>
      <c r="AJ1354" t="s">
        <v>1976</v>
      </c>
      <c r="AK1354" t="s">
        <v>2426</v>
      </c>
      <c r="AL1354" t="s">
        <v>272</v>
      </c>
    </row>
    <row r="1355" spans="1:38">
      <c r="A1355" t="s">
        <v>6119</v>
      </c>
      <c r="B1355" t="s">
        <v>6120</v>
      </c>
      <c r="C1355" t="s">
        <v>6121</v>
      </c>
      <c r="D1355" t="s">
        <v>6121</v>
      </c>
      <c r="E1355" t="s">
        <v>6122</v>
      </c>
      <c r="F1355" t="s">
        <v>2425</v>
      </c>
      <c r="G1355">
        <v>1</v>
      </c>
      <c r="H1355">
        <v>1</v>
      </c>
      <c r="I1355">
        <v>0.01</v>
      </c>
      <c r="J1355">
        <v>75.099999999999994</v>
      </c>
      <c r="K1355">
        <v>-4.45</v>
      </c>
      <c r="L1355">
        <v>84.56</v>
      </c>
      <c r="M1355">
        <v>88.5</v>
      </c>
      <c r="N1355">
        <v>86.07</v>
      </c>
      <c r="O1355">
        <v>84.88</v>
      </c>
      <c r="P1355">
        <v>0</v>
      </c>
      <c r="Q1355">
        <v>0</v>
      </c>
      <c r="R1355">
        <v>0</v>
      </c>
      <c r="S1355">
        <v>85.49</v>
      </c>
      <c r="T1355">
        <v>85.91</v>
      </c>
      <c r="U1355">
        <v>84.56</v>
      </c>
      <c r="V1355">
        <v>86.39</v>
      </c>
      <c r="W1355">
        <v>578</v>
      </c>
      <c r="X1355">
        <v>84.55</v>
      </c>
      <c r="Y1355">
        <v>85.91</v>
      </c>
      <c r="Z1355">
        <v>9</v>
      </c>
      <c r="AA1355">
        <v>1957905</v>
      </c>
      <c r="AB1355">
        <v>63.5</v>
      </c>
      <c r="AC1355">
        <v>0</v>
      </c>
      <c r="AD1355" t="s">
        <v>94</v>
      </c>
      <c r="AE1355" t="s">
        <v>94</v>
      </c>
      <c r="AF1355" t="s">
        <v>226</v>
      </c>
      <c r="AG1355" t="s">
        <v>226</v>
      </c>
      <c r="AH1355">
        <v>-100</v>
      </c>
      <c r="AI1355" t="s">
        <v>3537</v>
      </c>
      <c r="AJ1355" t="s">
        <v>1976</v>
      </c>
      <c r="AK1355" t="s">
        <v>2426</v>
      </c>
      <c r="AL1355" t="s">
        <v>272</v>
      </c>
    </row>
    <row r="1356" spans="1:38">
      <c r="A1356" t="s">
        <v>6123</v>
      </c>
      <c r="B1356" t="s">
        <v>6124</v>
      </c>
      <c r="C1356" t="s">
        <v>6125</v>
      </c>
      <c r="D1356" t="s">
        <v>6125</v>
      </c>
      <c r="E1356" t="s">
        <v>6126</v>
      </c>
      <c r="F1356" t="s">
        <v>2425</v>
      </c>
      <c r="G1356">
        <v>1</v>
      </c>
      <c r="H1356">
        <v>1</v>
      </c>
      <c r="I1356">
        <v>0.01</v>
      </c>
      <c r="J1356">
        <v>56.64</v>
      </c>
      <c r="K1356">
        <v>-6.28</v>
      </c>
      <c r="L1356">
        <v>90.1</v>
      </c>
      <c r="M1356">
        <v>96.13</v>
      </c>
      <c r="N1356">
        <v>0</v>
      </c>
      <c r="O1356">
        <v>90.11</v>
      </c>
      <c r="P1356">
        <v>0</v>
      </c>
      <c r="Q1356">
        <v>0</v>
      </c>
      <c r="R1356">
        <v>0</v>
      </c>
      <c r="S1356">
        <v>87.16</v>
      </c>
      <c r="T1356">
        <v>90.98</v>
      </c>
      <c r="U1356">
        <v>56.98</v>
      </c>
      <c r="V1356">
        <v>91.46</v>
      </c>
      <c r="W1356">
        <v>1185</v>
      </c>
      <c r="X1356">
        <v>90.58</v>
      </c>
      <c r="Y1356">
        <v>91.93</v>
      </c>
      <c r="Z1356">
        <v>23</v>
      </c>
      <c r="AA1356">
        <v>7557011</v>
      </c>
      <c r="AB1356">
        <v>51.03</v>
      </c>
      <c r="AC1356">
        <v>0</v>
      </c>
      <c r="AD1356" t="s">
        <v>94</v>
      </c>
      <c r="AE1356" t="s">
        <v>94</v>
      </c>
      <c r="AF1356" t="s">
        <v>226</v>
      </c>
      <c r="AG1356" t="s">
        <v>226</v>
      </c>
      <c r="AH1356">
        <v>-100</v>
      </c>
      <c r="AI1356" t="s">
        <v>3537</v>
      </c>
      <c r="AJ1356" t="s">
        <v>1976</v>
      </c>
      <c r="AK1356" t="s">
        <v>2426</v>
      </c>
      <c r="AL1356" t="s">
        <v>272</v>
      </c>
    </row>
    <row r="1357" spans="1:38">
      <c r="A1357" t="s">
        <v>6127</v>
      </c>
      <c r="B1357" t="s">
        <v>6128</v>
      </c>
      <c r="C1357" t="s">
        <v>6129</v>
      </c>
      <c r="D1357" t="s">
        <v>6129</v>
      </c>
      <c r="E1357" t="s">
        <v>6130</v>
      </c>
      <c r="F1357" t="s">
        <v>2425</v>
      </c>
      <c r="G1357">
        <v>1</v>
      </c>
      <c r="H1357">
        <v>1</v>
      </c>
      <c r="I1357">
        <v>0.01</v>
      </c>
      <c r="J1357">
        <v>64.92</v>
      </c>
      <c r="K1357">
        <v>0.1</v>
      </c>
      <c r="L1357">
        <v>89.78</v>
      </c>
      <c r="M1357">
        <v>89.86</v>
      </c>
      <c r="N1357">
        <v>0</v>
      </c>
      <c r="O1357">
        <v>89.78</v>
      </c>
      <c r="P1357">
        <v>0</v>
      </c>
      <c r="Q1357">
        <v>0</v>
      </c>
      <c r="R1357">
        <v>0</v>
      </c>
      <c r="S1357">
        <v>89.42</v>
      </c>
      <c r="T1357">
        <v>88.8</v>
      </c>
      <c r="U1357">
        <v>82.79</v>
      </c>
      <c r="V1357">
        <v>94</v>
      </c>
      <c r="W1357">
        <v>1045</v>
      </c>
      <c r="X1357">
        <v>89.3</v>
      </c>
      <c r="Y1357">
        <v>90.5</v>
      </c>
      <c r="Z1357">
        <v>17</v>
      </c>
      <c r="AA1357">
        <v>2108581</v>
      </c>
      <c r="AB1357">
        <v>58.29</v>
      </c>
      <c r="AC1357">
        <v>0</v>
      </c>
      <c r="AD1357" t="s">
        <v>94</v>
      </c>
      <c r="AE1357" t="s">
        <v>94</v>
      </c>
      <c r="AF1357" t="s">
        <v>226</v>
      </c>
      <c r="AG1357" t="s">
        <v>226</v>
      </c>
      <c r="AH1357">
        <v>-100</v>
      </c>
      <c r="AI1357" t="s">
        <v>3537</v>
      </c>
      <c r="AJ1357" t="s">
        <v>1976</v>
      </c>
      <c r="AK1357" t="s">
        <v>2426</v>
      </c>
      <c r="AL1357" t="s">
        <v>272</v>
      </c>
    </row>
    <row r="1358" spans="1:38">
      <c r="A1358" t="s">
        <v>6131</v>
      </c>
      <c r="B1358" t="s">
        <v>6132</v>
      </c>
      <c r="C1358" t="s">
        <v>6133</v>
      </c>
      <c r="D1358" t="s">
        <v>6133</v>
      </c>
      <c r="E1358" t="s">
        <v>6134</v>
      </c>
      <c r="F1358" t="s">
        <v>2425</v>
      </c>
      <c r="G1358">
        <v>1</v>
      </c>
      <c r="H1358">
        <v>1</v>
      </c>
      <c r="I1358">
        <v>0.01</v>
      </c>
      <c r="J1358">
        <v>56.2</v>
      </c>
      <c r="K1358">
        <v>0.12</v>
      </c>
      <c r="L1358">
        <v>93.05</v>
      </c>
      <c r="M1358">
        <v>92.94</v>
      </c>
      <c r="N1358">
        <v>92.81</v>
      </c>
      <c r="O1358">
        <v>93.05</v>
      </c>
      <c r="P1358">
        <v>0</v>
      </c>
      <c r="Q1358">
        <v>0</v>
      </c>
      <c r="R1358">
        <v>0</v>
      </c>
      <c r="S1358">
        <v>92.98</v>
      </c>
      <c r="T1358">
        <v>92.89</v>
      </c>
      <c r="U1358">
        <v>92.87</v>
      </c>
      <c r="V1358">
        <v>94.6</v>
      </c>
      <c r="W1358">
        <v>15624</v>
      </c>
      <c r="X1358">
        <v>92.88</v>
      </c>
      <c r="Y1358">
        <v>93.05</v>
      </c>
      <c r="Z1358">
        <v>49</v>
      </c>
      <c r="AA1358">
        <v>48197806</v>
      </c>
      <c r="AB1358">
        <v>104.59</v>
      </c>
      <c r="AC1358">
        <v>0</v>
      </c>
      <c r="AD1358" t="s">
        <v>94</v>
      </c>
      <c r="AE1358" t="s">
        <v>94</v>
      </c>
      <c r="AF1358" t="s">
        <v>226</v>
      </c>
      <c r="AG1358" t="s">
        <v>226</v>
      </c>
      <c r="AH1358">
        <v>-100</v>
      </c>
      <c r="AI1358" t="s">
        <v>3537</v>
      </c>
      <c r="AJ1358" t="s">
        <v>1976</v>
      </c>
      <c r="AK1358" t="s">
        <v>2426</v>
      </c>
      <c r="AL1358" t="s">
        <v>272</v>
      </c>
    </row>
    <row r="1359" spans="1:38">
      <c r="A1359" t="s">
        <v>6135</v>
      </c>
      <c r="B1359" t="s">
        <v>6136</v>
      </c>
      <c r="C1359" t="s">
        <v>6137</v>
      </c>
      <c r="D1359" t="s">
        <v>6137</v>
      </c>
      <c r="E1359" t="s">
        <v>6138</v>
      </c>
      <c r="F1359" t="s">
        <v>2425</v>
      </c>
      <c r="G1359">
        <v>3</v>
      </c>
      <c r="H1359">
        <v>1</v>
      </c>
      <c r="I1359">
        <v>0.01</v>
      </c>
      <c r="J1359">
        <v>10000000</v>
      </c>
      <c r="K1359">
        <v>0</v>
      </c>
      <c r="L1359">
        <v>0</v>
      </c>
      <c r="M1359">
        <v>79.63</v>
      </c>
      <c r="N1359">
        <v>0</v>
      </c>
      <c r="O1359">
        <v>79.63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71</v>
      </c>
      <c r="Y1359">
        <v>72</v>
      </c>
      <c r="Z1359">
        <v>0</v>
      </c>
      <c r="AA1359">
        <v>200</v>
      </c>
      <c r="AB1359">
        <v>0</v>
      </c>
      <c r="AC1359">
        <v>0</v>
      </c>
      <c r="AD1359" t="s">
        <v>94</v>
      </c>
      <c r="AE1359" t="s">
        <v>94</v>
      </c>
      <c r="AF1359" t="s">
        <v>304</v>
      </c>
      <c r="AG1359" t="s">
        <v>226</v>
      </c>
      <c r="AH1359">
        <v>0</v>
      </c>
      <c r="AI1359" t="s">
        <v>3537</v>
      </c>
      <c r="AJ1359" t="s">
        <v>1976</v>
      </c>
      <c r="AK1359" t="s">
        <v>2426</v>
      </c>
      <c r="AL1359" t="s">
        <v>272</v>
      </c>
    </row>
    <row r="1360" spans="1:38">
      <c r="A1360" t="s">
        <v>6139</v>
      </c>
      <c r="B1360" t="s">
        <v>6140</v>
      </c>
      <c r="C1360" t="s">
        <v>6141</v>
      </c>
      <c r="D1360" t="s">
        <v>6141</v>
      </c>
      <c r="E1360" t="s">
        <v>6142</v>
      </c>
      <c r="F1360" t="s">
        <v>2425</v>
      </c>
      <c r="G1360">
        <v>3</v>
      </c>
      <c r="H1360">
        <v>1</v>
      </c>
      <c r="I1360">
        <v>0.01</v>
      </c>
      <c r="J1360">
        <v>10000000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2000</v>
      </c>
      <c r="AB1360">
        <v>0</v>
      </c>
      <c r="AC1360">
        <v>0</v>
      </c>
      <c r="AD1360" t="s">
        <v>94</v>
      </c>
      <c r="AE1360" t="s">
        <v>94</v>
      </c>
      <c r="AF1360" t="s">
        <v>304</v>
      </c>
      <c r="AG1360" t="s">
        <v>226</v>
      </c>
      <c r="AH1360">
        <v>0</v>
      </c>
      <c r="AI1360" t="s">
        <v>3537</v>
      </c>
      <c r="AJ1360" t="s">
        <v>1976</v>
      </c>
      <c r="AK1360" t="s">
        <v>2426</v>
      </c>
      <c r="AL1360" t="s">
        <v>272</v>
      </c>
    </row>
    <row r="1361" spans="1:38">
      <c r="A1361" t="s">
        <v>6143</v>
      </c>
      <c r="B1361" t="s">
        <v>6144</v>
      </c>
      <c r="C1361" t="s">
        <v>6145</v>
      </c>
      <c r="D1361" t="s">
        <v>6145</v>
      </c>
      <c r="E1361" t="s">
        <v>6146</v>
      </c>
      <c r="F1361" t="s">
        <v>2413</v>
      </c>
      <c r="G1361">
        <v>3</v>
      </c>
      <c r="H1361">
        <v>1</v>
      </c>
      <c r="I1361">
        <v>0.01</v>
      </c>
      <c r="J1361">
        <v>1000</v>
      </c>
      <c r="K1361">
        <v>-0.01</v>
      </c>
      <c r="L1361">
        <v>83.49</v>
      </c>
      <c r="M1361">
        <v>83.5</v>
      </c>
      <c r="N1361">
        <v>83.39</v>
      </c>
      <c r="O1361">
        <v>83.49</v>
      </c>
      <c r="P1361">
        <v>0</v>
      </c>
      <c r="Q1361">
        <v>0</v>
      </c>
      <c r="R1361">
        <v>0</v>
      </c>
      <c r="S1361">
        <v>83.62</v>
      </c>
      <c r="T1361">
        <v>84.92</v>
      </c>
      <c r="U1361">
        <v>83.46</v>
      </c>
      <c r="V1361">
        <v>84.92</v>
      </c>
      <c r="W1361">
        <v>1166507</v>
      </c>
      <c r="X1361">
        <v>83.48</v>
      </c>
      <c r="Y1361">
        <v>83.49</v>
      </c>
      <c r="Z1361">
        <v>116</v>
      </c>
      <c r="AA1361">
        <v>15000000</v>
      </c>
      <c r="AB1361">
        <v>4174.5</v>
      </c>
      <c r="AC1361">
        <v>0</v>
      </c>
      <c r="AD1361" t="s">
        <v>94</v>
      </c>
      <c r="AE1361" t="s">
        <v>94</v>
      </c>
      <c r="AF1361" t="s">
        <v>226</v>
      </c>
      <c r="AG1361" t="s">
        <v>226</v>
      </c>
      <c r="AH1361">
        <v>6</v>
      </c>
      <c r="AI1361" t="s">
        <v>3537</v>
      </c>
      <c r="AJ1361" t="s">
        <v>1976</v>
      </c>
      <c r="AK1361" t="s">
        <v>2416</v>
      </c>
      <c r="AL1361" t="s">
        <v>272</v>
      </c>
    </row>
    <row r="1362" spans="1:38">
      <c r="A1362" t="s">
        <v>6147</v>
      </c>
      <c r="B1362" t="s">
        <v>6148</v>
      </c>
      <c r="C1362" t="s">
        <v>6149</v>
      </c>
      <c r="D1362" t="s">
        <v>6149</v>
      </c>
      <c r="E1362" t="s">
        <v>6150</v>
      </c>
      <c r="F1362" t="s">
        <v>2425</v>
      </c>
      <c r="G1362">
        <v>3</v>
      </c>
      <c r="H1362">
        <v>1</v>
      </c>
      <c r="I1362">
        <v>1E-4</v>
      </c>
      <c r="J1362">
        <v>1000</v>
      </c>
      <c r="K1362">
        <v>4.25</v>
      </c>
      <c r="L1362">
        <v>58.9</v>
      </c>
      <c r="M1362">
        <v>56.999299999999998</v>
      </c>
      <c r="N1362">
        <v>56.261699999999998</v>
      </c>
      <c r="O1362">
        <v>58.900100000000002</v>
      </c>
      <c r="P1362">
        <v>0</v>
      </c>
      <c r="Q1362">
        <v>0</v>
      </c>
      <c r="R1362">
        <v>0</v>
      </c>
      <c r="S1362">
        <v>58.578600000000002</v>
      </c>
      <c r="T1362">
        <v>58.263500000000001</v>
      </c>
      <c r="U1362">
        <v>58.263500000000001</v>
      </c>
      <c r="V1362">
        <v>61.999899999999997</v>
      </c>
      <c r="W1362">
        <v>9828133</v>
      </c>
      <c r="X1362">
        <v>58.6</v>
      </c>
      <c r="Y1362">
        <v>59.1999</v>
      </c>
      <c r="Z1362">
        <v>14</v>
      </c>
      <c r="AA1362">
        <v>354715</v>
      </c>
      <c r="AB1362">
        <v>62544.61</v>
      </c>
      <c r="AC1362">
        <v>0</v>
      </c>
      <c r="AD1362" t="s">
        <v>2</v>
      </c>
      <c r="AE1362" t="s">
        <v>94</v>
      </c>
      <c r="AF1362" t="s">
        <v>226</v>
      </c>
      <c r="AG1362" t="s">
        <v>226</v>
      </c>
      <c r="AH1362">
        <v>6</v>
      </c>
      <c r="AI1362" t="s">
        <v>3537</v>
      </c>
      <c r="AJ1362" t="s">
        <v>1976</v>
      </c>
      <c r="AK1362" t="s">
        <v>2426</v>
      </c>
      <c r="AL1362" t="s">
        <v>272</v>
      </c>
    </row>
    <row r="1363" spans="1:38">
      <c r="A1363" t="s">
        <v>6151</v>
      </c>
      <c r="B1363" t="s">
        <v>6152</v>
      </c>
      <c r="C1363" t="s">
        <v>6153</v>
      </c>
      <c r="D1363" t="s">
        <v>6153</v>
      </c>
      <c r="E1363" t="s">
        <v>6154</v>
      </c>
      <c r="F1363" t="s">
        <v>2413</v>
      </c>
      <c r="G1363">
        <v>2</v>
      </c>
      <c r="H1363">
        <v>1</v>
      </c>
      <c r="I1363">
        <v>0.01</v>
      </c>
      <c r="J1363">
        <v>1000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100.02</v>
      </c>
      <c r="Y1363">
        <v>0</v>
      </c>
      <c r="Z1363">
        <v>0</v>
      </c>
      <c r="AA1363">
        <v>1000000</v>
      </c>
      <c r="AB1363">
        <v>0</v>
      </c>
      <c r="AC1363">
        <v>0</v>
      </c>
      <c r="AD1363" t="s">
        <v>94</v>
      </c>
      <c r="AE1363" t="s">
        <v>94</v>
      </c>
      <c r="AF1363" t="s">
        <v>226</v>
      </c>
      <c r="AG1363" t="s">
        <v>226</v>
      </c>
      <c r="AH1363">
        <v>6</v>
      </c>
      <c r="AI1363" t="s">
        <v>3537</v>
      </c>
      <c r="AJ1363" t="s">
        <v>1976</v>
      </c>
      <c r="AK1363" t="s">
        <v>2416</v>
      </c>
      <c r="AL1363" t="s">
        <v>272</v>
      </c>
    </row>
    <row r="1364" spans="1:38">
      <c r="A1364" t="s">
        <v>6155</v>
      </c>
      <c r="B1364" t="s">
        <v>6156</v>
      </c>
      <c r="C1364" t="s">
        <v>6157</v>
      </c>
      <c r="D1364" t="s">
        <v>6157</v>
      </c>
      <c r="E1364" t="s">
        <v>6158</v>
      </c>
      <c r="F1364" t="s">
        <v>2413</v>
      </c>
      <c r="G1364">
        <v>2</v>
      </c>
      <c r="H1364">
        <v>1</v>
      </c>
      <c r="I1364">
        <v>0.01</v>
      </c>
      <c r="J1364">
        <v>1000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9985654</v>
      </c>
      <c r="AB1364">
        <v>0</v>
      </c>
      <c r="AC1364">
        <v>0</v>
      </c>
      <c r="AD1364" t="s">
        <v>94</v>
      </c>
      <c r="AE1364" t="s">
        <v>94</v>
      </c>
      <c r="AF1364" t="s">
        <v>226</v>
      </c>
      <c r="AG1364" t="s">
        <v>226</v>
      </c>
      <c r="AH1364">
        <v>6</v>
      </c>
      <c r="AI1364" t="s">
        <v>3537</v>
      </c>
      <c r="AJ1364" t="s">
        <v>1976</v>
      </c>
      <c r="AK1364" t="s">
        <v>2416</v>
      </c>
      <c r="AL1364" t="s">
        <v>272</v>
      </c>
    </row>
    <row r="1365" spans="1:38">
      <c r="A1365" t="s">
        <v>6159</v>
      </c>
      <c r="B1365" t="s">
        <v>6160</v>
      </c>
      <c r="C1365" t="s">
        <v>6161</v>
      </c>
      <c r="D1365" t="s">
        <v>6161</v>
      </c>
      <c r="E1365" t="s">
        <v>6162</v>
      </c>
      <c r="F1365" t="s">
        <v>2425</v>
      </c>
      <c r="G1365">
        <v>3</v>
      </c>
      <c r="H1365">
        <v>1</v>
      </c>
      <c r="I1365">
        <v>0.01</v>
      </c>
      <c r="J1365">
        <v>1000</v>
      </c>
      <c r="K1365">
        <v>0</v>
      </c>
      <c r="L1365">
        <v>0</v>
      </c>
      <c r="M1365">
        <v>97.5</v>
      </c>
      <c r="N1365">
        <v>0</v>
      </c>
      <c r="O1365">
        <v>97.5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89.01</v>
      </c>
      <c r="Y1365">
        <v>99</v>
      </c>
      <c r="Z1365">
        <v>0</v>
      </c>
      <c r="AA1365">
        <v>3000000</v>
      </c>
      <c r="AB1365">
        <v>0</v>
      </c>
      <c r="AC1365">
        <v>0</v>
      </c>
      <c r="AD1365" t="s">
        <v>94</v>
      </c>
      <c r="AE1365" t="s">
        <v>94</v>
      </c>
      <c r="AF1365" t="s">
        <v>226</v>
      </c>
      <c r="AG1365" t="s">
        <v>226</v>
      </c>
      <c r="AH1365">
        <v>6</v>
      </c>
      <c r="AI1365" t="s">
        <v>3537</v>
      </c>
      <c r="AJ1365" t="s">
        <v>1976</v>
      </c>
      <c r="AK1365" t="s">
        <v>2426</v>
      </c>
      <c r="AL1365" t="s">
        <v>272</v>
      </c>
    </row>
    <row r="1366" spans="1:38">
      <c r="A1366" t="s">
        <v>6163</v>
      </c>
      <c r="B1366" t="s">
        <v>6164</v>
      </c>
      <c r="C1366" t="s">
        <v>6165</v>
      </c>
      <c r="D1366" t="s">
        <v>6165</v>
      </c>
      <c r="E1366" t="s">
        <v>6166</v>
      </c>
      <c r="F1366" t="s">
        <v>2425</v>
      </c>
      <c r="G1366">
        <v>3</v>
      </c>
      <c r="H1366">
        <v>1</v>
      </c>
      <c r="I1366">
        <v>0.01</v>
      </c>
      <c r="J1366">
        <v>1000</v>
      </c>
      <c r="K1366">
        <v>0</v>
      </c>
      <c r="L1366">
        <v>0</v>
      </c>
      <c r="M1366">
        <v>129.99</v>
      </c>
      <c r="N1366">
        <v>0</v>
      </c>
      <c r="O1366">
        <v>129.99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129.99</v>
      </c>
      <c r="Y1366">
        <v>0</v>
      </c>
      <c r="Z1366">
        <v>0</v>
      </c>
      <c r="AA1366">
        <v>500000</v>
      </c>
      <c r="AB1366">
        <v>0</v>
      </c>
      <c r="AC1366">
        <v>0</v>
      </c>
      <c r="AD1366" t="s">
        <v>94</v>
      </c>
      <c r="AE1366" t="s">
        <v>94</v>
      </c>
      <c r="AF1366" t="s">
        <v>226</v>
      </c>
      <c r="AG1366" t="s">
        <v>226</v>
      </c>
      <c r="AH1366">
        <v>6</v>
      </c>
      <c r="AI1366" t="s">
        <v>3537</v>
      </c>
      <c r="AJ1366" t="s">
        <v>1976</v>
      </c>
      <c r="AK1366" t="s">
        <v>2426</v>
      </c>
      <c r="AL1366" t="s">
        <v>272</v>
      </c>
    </row>
    <row r="1367" spans="1:38">
      <c r="A1367" t="s">
        <v>6167</v>
      </c>
      <c r="B1367" t="s">
        <v>6168</v>
      </c>
      <c r="C1367" t="s">
        <v>6169</v>
      </c>
      <c r="D1367" t="s">
        <v>6169</v>
      </c>
      <c r="E1367" t="s">
        <v>6170</v>
      </c>
      <c r="F1367" t="s">
        <v>2413</v>
      </c>
      <c r="G1367">
        <v>2</v>
      </c>
      <c r="H1367">
        <v>1</v>
      </c>
      <c r="I1367">
        <v>0.01</v>
      </c>
      <c r="J1367">
        <v>1000</v>
      </c>
      <c r="K1367">
        <v>-1.21</v>
      </c>
      <c r="L1367">
        <v>84.96</v>
      </c>
      <c r="M1367">
        <v>86</v>
      </c>
      <c r="N1367">
        <v>85.68</v>
      </c>
      <c r="O1367">
        <v>84.91</v>
      </c>
      <c r="P1367">
        <v>0</v>
      </c>
      <c r="Q1367">
        <v>0</v>
      </c>
      <c r="R1367">
        <v>0</v>
      </c>
      <c r="S1367">
        <v>85.05</v>
      </c>
      <c r="T1367">
        <v>86.05</v>
      </c>
      <c r="U1367">
        <v>84.5</v>
      </c>
      <c r="V1367">
        <v>86.16</v>
      </c>
      <c r="W1367">
        <v>4475443</v>
      </c>
      <c r="X1367">
        <v>84.9</v>
      </c>
      <c r="Y1367">
        <v>85</v>
      </c>
      <c r="Z1367">
        <v>238</v>
      </c>
      <c r="AA1367">
        <v>2000000</v>
      </c>
      <c r="AB1367">
        <v>849.6</v>
      </c>
      <c r="AC1367">
        <v>0</v>
      </c>
      <c r="AD1367" t="s">
        <v>94</v>
      </c>
      <c r="AE1367" t="s">
        <v>94</v>
      </c>
      <c r="AF1367" t="s">
        <v>226</v>
      </c>
      <c r="AG1367" t="s">
        <v>226</v>
      </c>
      <c r="AH1367">
        <v>6</v>
      </c>
      <c r="AI1367" t="s">
        <v>3537</v>
      </c>
      <c r="AJ1367" t="s">
        <v>1976</v>
      </c>
      <c r="AK1367" t="s">
        <v>2416</v>
      </c>
      <c r="AL1367" t="s">
        <v>272</v>
      </c>
    </row>
    <row r="1368" spans="1:38">
      <c r="A1368" t="s">
        <v>6171</v>
      </c>
      <c r="B1368" t="s">
        <v>6172</v>
      </c>
      <c r="C1368" t="s">
        <v>6173</v>
      </c>
      <c r="D1368" t="s">
        <v>6173</v>
      </c>
      <c r="E1368" t="s">
        <v>6174</v>
      </c>
      <c r="F1368" t="s">
        <v>2413</v>
      </c>
      <c r="G1368">
        <v>2</v>
      </c>
      <c r="H1368">
        <v>1</v>
      </c>
      <c r="I1368">
        <v>0.01</v>
      </c>
      <c r="J1368">
        <v>1000</v>
      </c>
      <c r="K1368">
        <v>7.0000000000000007E-2</v>
      </c>
      <c r="L1368">
        <v>87.36</v>
      </c>
      <c r="M1368">
        <v>87.3</v>
      </c>
      <c r="N1368">
        <v>87.26</v>
      </c>
      <c r="O1368">
        <v>87.31</v>
      </c>
      <c r="P1368">
        <v>0</v>
      </c>
      <c r="Q1368">
        <v>0</v>
      </c>
      <c r="R1368">
        <v>0</v>
      </c>
      <c r="S1368">
        <v>87.28</v>
      </c>
      <c r="T1368">
        <v>87.33</v>
      </c>
      <c r="U1368">
        <v>87.06</v>
      </c>
      <c r="V1368">
        <v>87.61</v>
      </c>
      <c r="W1368">
        <v>4424442</v>
      </c>
      <c r="X1368">
        <v>87.2</v>
      </c>
      <c r="Y1368">
        <v>87.36</v>
      </c>
      <c r="Z1368">
        <v>214</v>
      </c>
      <c r="AA1368">
        <v>3000000</v>
      </c>
      <c r="AB1368">
        <v>100464</v>
      </c>
      <c r="AC1368">
        <v>0</v>
      </c>
      <c r="AD1368" t="s">
        <v>94</v>
      </c>
      <c r="AE1368" t="s">
        <v>94</v>
      </c>
      <c r="AF1368" t="s">
        <v>226</v>
      </c>
      <c r="AG1368" t="s">
        <v>226</v>
      </c>
      <c r="AH1368">
        <v>800</v>
      </c>
      <c r="AI1368" t="s">
        <v>3537</v>
      </c>
      <c r="AJ1368" t="s">
        <v>1976</v>
      </c>
      <c r="AK1368" t="s">
        <v>2416</v>
      </c>
      <c r="AL1368" t="s">
        <v>272</v>
      </c>
    </row>
    <row r="1369" spans="1:38">
      <c r="A1369" t="s">
        <v>6175</v>
      </c>
      <c r="B1369" t="s">
        <v>6176</v>
      </c>
      <c r="C1369" t="s">
        <v>6177</v>
      </c>
      <c r="D1369" t="s">
        <v>6177</v>
      </c>
      <c r="E1369" t="s">
        <v>6178</v>
      </c>
      <c r="F1369" t="s">
        <v>2413</v>
      </c>
      <c r="G1369">
        <v>2</v>
      </c>
      <c r="H1369">
        <v>1</v>
      </c>
      <c r="I1369">
        <v>0.01</v>
      </c>
      <c r="J1369">
        <v>1000</v>
      </c>
      <c r="K1369">
        <v>-0.11</v>
      </c>
      <c r="L1369">
        <v>87.3</v>
      </c>
      <c r="M1369">
        <v>87.4</v>
      </c>
      <c r="N1369">
        <v>87.34</v>
      </c>
      <c r="O1369">
        <v>87.3</v>
      </c>
      <c r="P1369">
        <v>0</v>
      </c>
      <c r="Q1369">
        <v>0</v>
      </c>
      <c r="R1369">
        <v>0</v>
      </c>
      <c r="S1369">
        <v>87.07</v>
      </c>
      <c r="T1369">
        <v>87.4</v>
      </c>
      <c r="U1369">
        <v>86.5</v>
      </c>
      <c r="V1369">
        <v>87.4</v>
      </c>
      <c r="W1369">
        <v>1093652</v>
      </c>
      <c r="X1369">
        <v>87.22</v>
      </c>
      <c r="Y1369">
        <v>87.3</v>
      </c>
      <c r="Z1369">
        <v>74</v>
      </c>
      <c r="AA1369">
        <v>2000000</v>
      </c>
      <c r="AB1369">
        <v>2619</v>
      </c>
      <c r="AC1369">
        <v>0</v>
      </c>
      <c r="AD1369" t="s">
        <v>94</v>
      </c>
      <c r="AE1369" t="s">
        <v>94</v>
      </c>
      <c r="AF1369" t="s">
        <v>226</v>
      </c>
      <c r="AG1369" t="s">
        <v>226</v>
      </c>
      <c r="AH1369">
        <v>800</v>
      </c>
      <c r="AI1369" t="s">
        <v>3537</v>
      </c>
      <c r="AJ1369" t="s">
        <v>1976</v>
      </c>
      <c r="AK1369" t="s">
        <v>2416</v>
      </c>
      <c r="AL1369" t="s">
        <v>272</v>
      </c>
    </row>
    <row r="1370" spans="1:38">
      <c r="A1370" t="s">
        <v>6179</v>
      </c>
      <c r="B1370" t="s">
        <v>6180</v>
      </c>
      <c r="C1370" t="s">
        <v>6181</v>
      </c>
      <c r="D1370" t="s">
        <v>6181</v>
      </c>
      <c r="E1370" t="s">
        <v>6182</v>
      </c>
      <c r="F1370" t="s">
        <v>2413</v>
      </c>
      <c r="G1370">
        <v>3</v>
      </c>
      <c r="H1370">
        <v>1</v>
      </c>
      <c r="I1370">
        <v>0.01</v>
      </c>
      <c r="J1370">
        <v>650</v>
      </c>
      <c r="K1370">
        <v>2.61</v>
      </c>
      <c r="L1370">
        <v>68.5</v>
      </c>
      <c r="M1370">
        <v>66.760000000000005</v>
      </c>
      <c r="N1370">
        <v>66.53</v>
      </c>
      <c r="O1370">
        <v>68.42</v>
      </c>
      <c r="P1370">
        <v>0</v>
      </c>
      <c r="Q1370">
        <v>0</v>
      </c>
      <c r="R1370">
        <v>0</v>
      </c>
      <c r="S1370">
        <v>69.150000000000006</v>
      </c>
      <c r="T1370">
        <v>69.989999999999995</v>
      </c>
      <c r="U1370">
        <v>67.23</v>
      </c>
      <c r="V1370">
        <v>70.209999999999994</v>
      </c>
      <c r="W1370">
        <v>502958</v>
      </c>
      <c r="X1370">
        <v>68.78</v>
      </c>
      <c r="Y1370">
        <v>69.989999999999995</v>
      </c>
      <c r="Z1370">
        <v>37</v>
      </c>
      <c r="AA1370">
        <v>300000</v>
      </c>
      <c r="AB1370">
        <v>445.25</v>
      </c>
      <c r="AC1370">
        <v>0</v>
      </c>
      <c r="AD1370" t="s">
        <v>94</v>
      </c>
      <c r="AE1370" t="s">
        <v>94</v>
      </c>
      <c r="AF1370" t="s">
        <v>226</v>
      </c>
      <c r="AG1370" t="s">
        <v>226</v>
      </c>
      <c r="AH1370">
        <v>6</v>
      </c>
      <c r="AI1370" t="s">
        <v>3537</v>
      </c>
      <c r="AJ1370" t="s">
        <v>1976</v>
      </c>
      <c r="AK1370" t="s">
        <v>2416</v>
      </c>
      <c r="AL1370" t="s">
        <v>272</v>
      </c>
    </row>
    <row r="1371" spans="1:38">
      <c r="A1371" t="s">
        <v>6183</v>
      </c>
      <c r="B1371" t="s">
        <v>6184</v>
      </c>
      <c r="C1371" t="s">
        <v>6185</v>
      </c>
      <c r="D1371" t="s">
        <v>6185</v>
      </c>
      <c r="E1371" t="s">
        <v>6186</v>
      </c>
      <c r="F1371" t="s">
        <v>2413</v>
      </c>
      <c r="G1371">
        <v>3</v>
      </c>
      <c r="H1371">
        <v>1</v>
      </c>
      <c r="I1371">
        <v>0.01</v>
      </c>
      <c r="J1371">
        <v>687.5</v>
      </c>
      <c r="K1371">
        <v>-0.27</v>
      </c>
      <c r="L1371">
        <v>76.75</v>
      </c>
      <c r="M1371">
        <v>76.959999999999994</v>
      </c>
      <c r="N1371">
        <v>76.34</v>
      </c>
      <c r="O1371">
        <v>76.75</v>
      </c>
      <c r="P1371">
        <v>0</v>
      </c>
      <c r="Q1371">
        <v>0</v>
      </c>
      <c r="R1371">
        <v>0</v>
      </c>
      <c r="S1371">
        <v>76.44</v>
      </c>
      <c r="T1371">
        <v>76.19</v>
      </c>
      <c r="U1371">
        <v>76.19</v>
      </c>
      <c r="V1371">
        <v>76.75</v>
      </c>
      <c r="W1371">
        <v>40990</v>
      </c>
      <c r="X1371">
        <v>76.75</v>
      </c>
      <c r="Y1371">
        <v>76.78</v>
      </c>
      <c r="Z1371">
        <v>6</v>
      </c>
      <c r="AA1371">
        <v>200000</v>
      </c>
      <c r="AB1371">
        <v>2110.63</v>
      </c>
      <c r="AC1371">
        <v>0</v>
      </c>
      <c r="AD1371" t="s">
        <v>94</v>
      </c>
      <c r="AE1371" t="s">
        <v>94</v>
      </c>
      <c r="AF1371" t="s">
        <v>226</v>
      </c>
      <c r="AG1371" t="s">
        <v>226</v>
      </c>
      <c r="AH1371">
        <v>6</v>
      </c>
      <c r="AI1371" t="s">
        <v>3537</v>
      </c>
      <c r="AJ1371" t="s">
        <v>1976</v>
      </c>
      <c r="AK1371" t="s">
        <v>2416</v>
      </c>
      <c r="AL1371" t="s">
        <v>272</v>
      </c>
    </row>
    <row r="1372" spans="1:38">
      <c r="A1372" t="s">
        <v>6187</v>
      </c>
      <c r="B1372" t="s">
        <v>6188</v>
      </c>
      <c r="C1372" t="s">
        <v>6189</v>
      </c>
      <c r="D1372" t="s">
        <v>6189</v>
      </c>
      <c r="E1372" t="s">
        <v>6190</v>
      </c>
      <c r="F1372" t="s">
        <v>2413</v>
      </c>
      <c r="G1372">
        <v>3</v>
      </c>
      <c r="H1372">
        <v>1</v>
      </c>
      <c r="I1372">
        <v>0.01</v>
      </c>
      <c r="J1372">
        <v>799.6</v>
      </c>
      <c r="K1372">
        <v>-1.39</v>
      </c>
      <c r="L1372">
        <v>90.54</v>
      </c>
      <c r="M1372">
        <v>91.82</v>
      </c>
      <c r="N1372">
        <v>91.21</v>
      </c>
      <c r="O1372">
        <v>90.54</v>
      </c>
      <c r="P1372">
        <v>0</v>
      </c>
      <c r="Q1372">
        <v>0</v>
      </c>
      <c r="R1372">
        <v>0</v>
      </c>
      <c r="S1372">
        <v>90.51</v>
      </c>
      <c r="T1372">
        <v>90.49</v>
      </c>
      <c r="U1372">
        <v>90.18</v>
      </c>
      <c r="V1372">
        <v>90.93</v>
      </c>
      <c r="W1372">
        <v>172968</v>
      </c>
      <c r="X1372">
        <v>90.21</v>
      </c>
      <c r="Y1372">
        <v>90.54</v>
      </c>
      <c r="Z1372">
        <v>34</v>
      </c>
      <c r="AA1372">
        <v>300000</v>
      </c>
      <c r="AB1372">
        <v>723.96</v>
      </c>
      <c r="AC1372">
        <v>0</v>
      </c>
      <c r="AD1372" t="s">
        <v>94</v>
      </c>
      <c r="AE1372" t="s">
        <v>94</v>
      </c>
      <c r="AF1372" t="s">
        <v>226</v>
      </c>
      <c r="AG1372" t="s">
        <v>226</v>
      </c>
      <c r="AH1372">
        <v>800</v>
      </c>
      <c r="AI1372" t="s">
        <v>3537</v>
      </c>
      <c r="AJ1372" t="s">
        <v>1976</v>
      </c>
      <c r="AK1372" t="s">
        <v>2416</v>
      </c>
      <c r="AL1372" t="s">
        <v>272</v>
      </c>
    </row>
    <row r="1373" spans="1:38">
      <c r="A1373" t="s">
        <v>6191</v>
      </c>
      <c r="B1373" t="s">
        <v>6192</v>
      </c>
      <c r="C1373" t="s">
        <v>6193</v>
      </c>
      <c r="D1373" t="s">
        <v>6193</v>
      </c>
      <c r="E1373" t="s">
        <v>6194</v>
      </c>
      <c r="F1373" t="s">
        <v>2413</v>
      </c>
      <c r="G1373">
        <v>3</v>
      </c>
      <c r="H1373">
        <v>1</v>
      </c>
      <c r="I1373">
        <v>0.01</v>
      </c>
      <c r="J1373">
        <v>933.2</v>
      </c>
      <c r="K1373">
        <v>-0.46</v>
      </c>
      <c r="L1373">
        <v>86.68</v>
      </c>
      <c r="M1373">
        <v>87.08</v>
      </c>
      <c r="N1373">
        <v>86.92</v>
      </c>
      <c r="O1373">
        <v>86.49</v>
      </c>
      <c r="P1373">
        <v>0</v>
      </c>
      <c r="Q1373">
        <v>0</v>
      </c>
      <c r="R1373">
        <v>0</v>
      </c>
      <c r="S1373">
        <v>86.57</v>
      </c>
      <c r="T1373">
        <v>86.7</v>
      </c>
      <c r="U1373">
        <v>86.42</v>
      </c>
      <c r="V1373">
        <v>86.7</v>
      </c>
      <c r="W1373">
        <v>176117</v>
      </c>
      <c r="X1373">
        <v>86.46</v>
      </c>
      <c r="Y1373">
        <v>86.68</v>
      </c>
      <c r="Z1373">
        <v>26</v>
      </c>
      <c r="AA1373">
        <v>250000</v>
      </c>
      <c r="AB1373">
        <v>808.9</v>
      </c>
      <c r="AC1373">
        <v>0</v>
      </c>
      <c r="AD1373" t="s">
        <v>94</v>
      </c>
      <c r="AE1373" t="s">
        <v>94</v>
      </c>
      <c r="AF1373" t="s">
        <v>226</v>
      </c>
      <c r="AG1373" t="s">
        <v>226</v>
      </c>
      <c r="AH1373">
        <v>800</v>
      </c>
      <c r="AI1373" t="s">
        <v>3537</v>
      </c>
      <c r="AJ1373" t="s">
        <v>1976</v>
      </c>
      <c r="AK1373" t="s">
        <v>2416</v>
      </c>
      <c r="AL1373" t="s">
        <v>272</v>
      </c>
    </row>
    <row r="1374" spans="1:38">
      <c r="A1374" t="s">
        <v>6195</v>
      </c>
      <c r="B1374" t="s">
        <v>226</v>
      </c>
      <c r="C1374" t="s">
        <v>6196</v>
      </c>
      <c r="D1374" t="s">
        <v>6196</v>
      </c>
      <c r="E1374" t="s">
        <v>6197</v>
      </c>
      <c r="F1374" t="s">
        <v>2425</v>
      </c>
      <c r="G1374">
        <v>1</v>
      </c>
      <c r="H1374">
        <v>1</v>
      </c>
      <c r="I1374">
        <v>0.01</v>
      </c>
      <c r="J1374">
        <v>1000</v>
      </c>
      <c r="K1374">
        <v>0</v>
      </c>
      <c r="L1374">
        <v>0</v>
      </c>
      <c r="M1374">
        <v>99.34</v>
      </c>
      <c r="N1374">
        <v>99.01</v>
      </c>
      <c r="O1374">
        <v>99.34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102</v>
      </c>
      <c r="Z1374">
        <v>0</v>
      </c>
      <c r="AA1374">
        <v>7000000</v>
      </c>
      <c r="AB1374">
        <v>0</v>
      </c>
      <c r="AC1374">
        <v>0</v>
      </c>
      <c r="AD1374" t="s">
        <v>94</v>
      </c>
      <c r="AE1374" t="s">
        <v>94</v>
      </c>
      <c r="AF1374" t="s">
        <v>226</v>
      </c>
      <c r="AG1374" t="s">
        <v>226</v>
      </c>
      <c r="AH1374">
        <v>-1</v>
      </c>
      <c r="AI1374" t="s">
        <v>3537</v>
      </c>
      <c r="AJ1374" t="s">
        <v>1976</v>
      </c>
      <c r="AK1374" t="s">
        <v>2426</v>
      </c>
      <c r="AL1374" t="s">
        <v>272</v>
      </c>
    </row>
    <row r="1375" spans="1:38">
      <c r="A1375" t="s">
        <v>6198</v>
      </c>
      <c r="B1375" t="s">
        <v>226</v>
      </c>
      <c r="C1375" t="s">
        <v>6199</v>
      </c>
      <c r="D1375" t="s">
        <v>6199</v>
      </c>
      <c r="E1375" t="s">
        <v>6200</v>
      </c>
      <c r="F1375" t="s">
        <v>2413</v>
      </c>
      <c r="G1375">
        <v>1</v>
      </c>
      <c r="H1375">
        <v>1</v>
      </c>
      <c r="I1375">
        <v>0.01</v>
      </c>
      <c r="J1375">
        <v>1000</v>
      </c>
      <c r="K1375">
        <v>0</v>
      </c>
      <c r="L1375">
        <v>0</v>
      </c>
      <c r="M1375">
        <v>98.27</v>
      </c>
      <c r="N1375">
        <v>0</v>
      </c>
      <c r="O1375">
        <v>98.27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98.31</v>
      </c>
      <c r="Y1375">
        <v>100.14</v>
      </c>
      <c r="Z1375">
        <v>0</v>
      </c>
      <c r="AA1375">
        <v>10000000</v>
      </c>
      <c r="AB1375">
        <v>0</v>
      </c>
      <c r="AC1375">
        <v>0</v>
      </c>
      <c r="AD1375" t="s">
        <v>94</v>
      </c>
      <c r="AE1375" t="s">
        <v>94</v>
      </c>
      <c r="AF1375" t="s">
        <v>226</v>
      </c>
      <c r="AG1375" t="s">
        <v>226</v>
      </c>
      <c r="AH1375">
        <v>-1</v>
      </c>
      <c r="AI1375" t="s">
        <v>3537</v>
      </c>
      <c r="AJ1375" t="s">
        <v>1976</v>
      </c>
      <c r="AK1375" t="s">
        <v>2416</v>
      </c>
      <c r="AL1375" t="s">
        <v>272</v>
      </c>
    </row>
    <row r="1376" spans="1:38">
      <c r="A1376" t="s">
        <v>6201</v>
      </c>
      <c r="B1376" t="s">
        <v>226</v>
      </c>
      <c r="C1376" t="s">
        <v>6202</v>
      </c>
      <c r="D1376" t="s">
        <v>6202</v>
      </c>
      <c r="E1376" t="s">
        <v>6203</v>
      </c>
      <c r="F1376" t="s">
        <v>2425</v>
      </c>
      <c r="G1376">
        <v>1</v>
      </c>
      <c r="H1376">
        <v>1</v>
      </c>
      <c r="I1376">
        <v>0.01</v>
      </c>
      <c r="J1376">
        <v>1000</v>
      </c>
      <c r="K1376">
        <v>1.4</v>
      </c>
      <c r="L1376">
        <v>91.75</v>
      </c>
      <c r="M1376">
        <v>90.48</v>
      </c>
      <c r="N1376">
        <v>90.24</v>
      </c>
      <c r="O1376">
        <v>91.75</v>
      </c>
      <c r="P1376">
        <v>0</v>
      </c>
      <c r="Q1376">
        <v>0</v>
      </c>
      <c r="R1376">
        <v>0</v>
      </c>
      <c r="S1376">
        <v>91.64</v>
      </c>
      <c r="T1376">
        <v>90.02</v>
      </c>
      <c r="U1376">
        <v>90</v>
      </c>
      <c r="V1376">
        <v>91.79</v>
      </c>
      <c r="W1376">
        <v>672615</v>
      </c>
      <c r="X1376">
        <v>91.42</v>
      </c>
      <c r="Y1376">
        <v>91.75</v>
      </c>
      <c r="Z1376">
        <v>14</v>
      </c>
      <c r="AA1376">
        <v>10000000</v>
      </c>
      <c r="AB1376">
        <v>189005</v>
      </c>
      <c r="AC1376">
        <v>0</v>
      </c>
      <c r="AD1376" t="s">
        <v>94</v>
      </c>
      <c r="AE1376" t="s">
        <v>94</v>
      </c>
      <c r="AF1376" t="s">
        <v>226</v>
      </c>
      <c r="AG1376" t="s">
        <v>226</v>
      </c>
      <c r="AH1376">
        <v>-1</v>
      </c>
      <c r="AI1376" t="s">
        <v>3537</v>
      </c>
      <c r="AJ1376" t="s">
        <v>1976</v>
      </c>
      <c r="AK1376" t="s">
        <v>2426</v>
      </c>
      <c r="AL1376" t="s">
        <v>272</v>
      </c>
    </row>
    <row r="1377" spans="1:38">
      <c r="A1377" t="s">
        <v>6204</v>
      </c>
      <c r="B1377" t="s">
        <v>226</v>
      </c>
      <c r="C1377" t="s">
        <v>2673</v>
      </c>
      <c r="D1377" t="s">
        <v>2673</v>
      </c>
      <c r="E1377" t="s">
        <v>2674</v>
      </c>
      <c r="F1377" t="s">
        <v>2425</v>
      </c>
      <c r="G1377">
        <v>1</v>
      </c>
      <c r="H1377">
        <v>1</v>
      </c>
      <c r="I1377">
        <v>1E-4</v>
      </c>
      <c r="J1377">
        <v>1000</v>
      </c>
      <c r="K1377">
        <v>0</v>
      </c>
      <c r="L1377">
        <v>0</v>
      </c>
      <c r="M1377">
        <v>83.332099999999997</v>
      </c>
      <c r="N1377">
        <v>81.228800000000007</v>
      </c>
      <c r="O1377">
        <v>83.332099999999997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71.194699999999997</v>
      </c>
      <c r="Y1377">
        <v>84.739900000000006</v>
      </c>
      <c r="Z1377">
        <v>0</v>
      </c>
      <c r="AA1377">
        <v>700000</v>
      </c>
      <c r="AB1377">
        <v>0</v>
      </c>
      <c r="AC1377">
        <v>0</v>
      </c>
      <c r="AD1377" t="s">
        <v>2</v>
      </c>
      <c r="AE1377" t="s">
        <v>94</v>
      </c>
      <c r="AF1377" t="s">
        <v>226</v>
      </c>
      <c r="AG1377" t="s">
        <v>226</v>
      </c>
      <c r="AH1377">
        <v>-1</v>
      </c>
      <c r="AI1377" t="s">
        <v>3537</v>
      </c>
      <c r="AJ1377" t="s">
        <v>1976</v>
      </c>
      <c r="AK1377" t="s">
        <v>2426</v>
      </c>
      <c r="AL1377" t="s">
        <v>272</v>
      </c>
    </row>
    <row r="1378" spans="1:38">
      <c r="A1378" t="s">
        <v>6205</v>
      </c>
      <c r="B1378" t="s">
        <v>226</v>
      </c>
      <c r="C1378" t="s">
        <v>2440</v>
      </c>
      <c r="D1378" t="s">
        <v>2440</v>
      </c>
      <c r="E1378" t="s">
        <v>2441</v>
      </c>
      <c r="F1378" t="s">
        <v>2425</v>
      </c>
      <c r="G1378">
        <v>1</v>
      </c>
      <c r="H1378">
        <v>1</v>
      </c>
      <c r="I1378">
        <v>1E-4</v>
      </c>
      <c r="J1378">
        <v>1000</v>
      </c>
      <c r="K1378">
        <v>0</v>
      </c>
      <c r="L1378">
        <v>0</v>
      </c>
      <c r="M1378">
        <v>89.100200000000001</v>
      </c>
      <c r="N1378">
        <v>92.5411</v>
      </c>
      <c r="O1378">
        <v>89.100200000000001</v>
      </c>
      <c r="P1378">
        <v>0</v>
      </c>
      <c r="Q1378">
        <v>0</v>
      </c>
      <c r="R1378">
        <v>0</v>
      </c>
      <c r="S1378">
        <v>89.100200000000001</v>
      </c>
      <c r="T1378">
        <v>0</v>
      </c>
      <c r="U1378">
        <v>0</v>
      </c>
      <c r="V1378">
        <v>0</v>
      </c>
      <c r="W1378">
        <v>0</v>
      </c>
      <c r="X1378">
        <v>86.427700000000002</v>
      </c>
      <c r="Y1378">
        <v>88.0364</v>
      </c>
      <c r="Z1378">
        <v>0</v>
      </c>
      <c r="AA1378">
        <v>1900000</v>
      </c>
      <c r="AB1378">
        <v>0</v>
      </c>
      <c r="AC1378">
        <v>0</v>
      </c>
      <c r="AD1378" t="s">
        <v>1663</v>
      </c>
      <c r="AE1378" t="s">
        <v>94</v>
      </c>
      <c r="AF1378" t="s">
        <v>226</v>
      </c>
      <c r="AG1378" t="s">
        <v>226</v>
      </c>
      <c r="AH1378">
        <v>-1</v>
      </c>
      <c r="AI1378" t="s">
        <v>3537</v>
      </c>
      <c r="AJ1378" t="s">
        <v>1976</v>
      </c>
      <c r="AK1378" t="s">
        <v>2426</v>
      </c>
      <c r="AL1378" t="s">
        <v>272</v>
      </c>
    </row>
    <row r="1379" spans="1:38">
      <c r="A1379" t="s">
        <v>6206</v>
      </c>
      <c r="B1379" t="s">
        <v>226</v>
      </c>
      <c r="C1379" t="s">
        <v>6207</v>
      </c>
      <c r="D1379" t="s">
        <v>6207</v>
      </c>
      <c r="E1379" t="s">
        <v>6208</v>
      </c>
      <c r="F1379" t="s">
        <v>2425</v>
      </c>
      <c r="G1379">
        <v>1</v>
      </c>
      <c r="H1379">
        <v>1</v>
      </c>
      <c r="I1379">
        <v>0.01</v>
      </c>
      <c r="J1379">
        <v>1000</v>
      </c>
      <c r="K1379">
        <v>-0.46</v>
      </c>
      <c r="L1379">
        <v>89</v>
      </c>
      <c r="M1379">
        <v>89.4</v>
      </c>
      <c r="N1379">
        <v>88.18</v>
      </c>
      <c r="O1379">
        <v>89</v>
      </c>
      <c r="P1379">
        <v>0</v>
      </c>
      <c r="Q1379">
        <v>0</v>
      </c>
      <c r="R1379">
        <v>0</v>
      </c>
      <c r="S1379">
        <v>84.54</v>
      </c>
      <c r="T1379">
        <v>86</v>
      </c>
      <c r="U1379">
        <v>82.3</v>
      </c>
      <c r="V1379">
        <v>89.4</v>
      </c>
      <c r="W1379">
        <v>19445</v>
      </c>
      <c r="X1379">
        <v>89</v>
      </c>
      <c r="Y1379">
        <v>90.46</v>
      </c>
      <c r="Z1379">
        <v>13</v>
      </c>
      <c r="AA1379">
        <v>5000000</v>
      </c>
      <c r="AB1379">
        <v>1780</v>
      </c>
      <c r="AC1379">
        <v>0</v>
      </c>
      <c r="AD1379" t="s">
        <v>94</v>
      </c>
      <c r="AE1379" t="s">
        <v>94</v>
      </c>
      <c r="AF1379" t="s">
        <v>226</v>
      </c>
      <c r="AG1379" t="s">
        <v>226</v>
      </c>
      <c r="AH1379">
        <v>-1</v>
      </c>
      <c r="AI1379" t="s">
        <v>3537</v>
      </c>
      <c r="AJ1379" t="s">
        <v>1976</v>
      </c>
      <c r="AK1379" t="s">
        <v>2426</v>
      </c>
      <c r="AL1379" t="s">
        <v>272</v>
      </c>
    </row>
    <row r="1380" spans="1:38">
      <c r="A1380" t="s">
        <v>6209</v>
      </c>
      <c r="B1380" t="s">
        <v>226</v>
      </c>
      <c r="C1380" t="s">
        <v>6210</v>
      </c>
      <c r="D1380" t="s">
        <v>6210</v>
      </c>
      <c r="E1380" t="s">
        <v>6211</v>
      </c>
      <c r="F1380" t="s">
        <v>2425</v>
      </c>
      <c r="G1380">
        <v>1</v>
      </c>
      <c r="H1380">
        <v>1</v>
      </c>
      <c r="I1380">
        <v>0.01</v>
      </c>
      <c r="J1380">
        <v>1000</v>
      </c>
      <c r="K1380">
        <v>-1.76</v>
      </c>
      <c r="L1380">
        <v>96</v>
      </c>
      <c r="M1380">
        <v>97.89</v>
      </c>
      <c r="N1380">
        <v>98.66</v>
      </c>
      <c r="O1380">
        <v>96</v>
      </c>
      <c r="P1380">
        <v>0</v>
      </c>
      <c r="Q1380">
        <v>0</v>
      </c>
      <c r="R1380">
        <v>0</v>
      </c>
      <c r="S1380">
        <v>96.15</v>
      </c>
      <c r="T1380">
        <v>95.03</v>
      </c>
      <c r="U1380">
        <v>95.03</v>
      </c>
      <c r="V1380">
        <v>97.72</v>
      </c>
      <c r="W1380">
        <v>4808</v>
      </c>
      <c r="X1380">
        <v>96</v>
      </c>
      <c r="Y1380">
        <v>98.67</v>
      </c>
      <c r="Z1380">
        <v>5</v>
      </c>
      <c r="AA1380">
        <v>15000000</v>
      </c>
      <c r="AB1380">
        <v>960</v>
      </c>
      <c r="AC1380">
        <v>0</v>
      </c>
      <c r="AD1380" t="s">
        <v>94</v>
      </c>
      <c r="AE1380" t="s">
        <v>94</v>
      </c>
      <c r="AF1380" t="s">
        <v>226</v>
      </c>
      <c r="AG1380" t="s">
        <v>226</v>
      </c>
      <c r="AH1380">
        <v>8</v>
      </c>
      <c r="AI1380" t="s">
        <v>3537</v>
      </c>
      <c r="AJ1380" t="s">
        <v>1976</v>
      </c>
      <c r="AK1380" t="s">
        <v>2426</v>
      </c>
      <c r="AL1380" t="s">
        <v>272</v>
      </c>
    </row>
    <row r="1381" spans="1:38">
      <c r="A1381" t="s">
        <v>6212</v>
      </c>
      <c r="B1381" t="s">
        <v>226</v>
      </c>
      <c r="C1381" t="s">
        <v>6213</v>
      </c>
      <c r="D1381" t="s">
        <v>6213</v>
      </c>
      <c r="E1381" t="s">
        <v>6214</v>
      </c>
      <c r="F1381" t="s">
        <v>2425</v>
      </c>
      <c r="G1381">
        <v>1</v>
      </c>
      <c r="H1381">
        <v>1</v>
      </c>
      <c r="I1381">
        <v>0.01</v>
      </c>
      <c r="J1381">
        <v>1000</v>
      </c>
      <c r="K1381">
        <v>-0.95</v>
      </c>
      <c r="L1381">
        <v>96.07</v>
      </c>
      <c r="M1381">
        <v>96.99</v>
      </c>
      <c r="N1381">
        <v>96.21</v>
      </c>
      <c r="O1381">
        <v>96.07</v>
      </c>
      <c r="P1381">
        <v>0</v>
      </c>
      <c r="Q1381">
        <v>0</v>
      </c>
      <c r="R1381">
        <v>0</v>
      </c>
      <c r="S1381">
        <v>96.07</v>
      </c>
      <c r="T1381">
        <v>95.49</v>
      </c>
      <c r="U1381">
        <v>95.49</v>
      </c>
      <c r="V1381">
        <v>97.02</v>
      </c>
      <c r="W1381">
        <v>962625</v>
      </c>
      <c r="X1381">
        <v>95.5</v>
      </c>
      <c r="Y1381">
        <v>96</v>
      </c>
      <c r="Z1381">
        <v>3</v>
      </c>
      <c r="AA1381">
        <v>6000000</v>
      </c>
      <c r="AB1381">
        <v>960700</v>
      </c>
      <c r="AC1381">
        <v>0</v>
      </c>
      <c r="AD1381" t="s">
        <v>94</v>
      </c>
      <c r="AE1381" t="s">
        <v>94</v>
      </c>
      <c r="AF1381" t="s">
        <v>226</v>
      </c>
      <c r="AG1381" t="s">
        <v>226</v>
      </c>
      <c r="AH1381">
        <v>8</v>
      </c>
      <c r="AI1381" t="s">
        <v>3537</v>
      </c>
      <c r="AJ1381" t="s">
        <v>1976</v>
      </c>
      <c r="AK1381" t="s">
        <v>2426</v>
      </c>
      <c r="AL1381" t="s">
        <v>272</v>
      </c>
    </row>
    <row r="1382" spans="1:38">
      <c r="A1382" t="s">
        <v>6215</v>
      </c>
      <c r="B1382" t="s">
        <v>226</v>
      </c>
      <c r="C1382" t="s">
        <v>6216</v>
      </c>
      <c r="D1382" t="s">
        <v>6216</v>
      </c>
      <c r="E1382" t="s">
        <v>6217</v>
      </c>
      <c r="F1382" t="s">
        <v>2425</v>
      </c>
      <c r="G1382">
        <v>1</v>
      </c>
      <c r="H1382">
        <v>1</v>
      </c>
      <c r="I1382">
        <v>0.01</v>
      </c>
      <c r="J1382">
        <v>1000</v>
      </c>
      <c r="K1382">
        <v>0</v>
      </c>
      <c r="L1382">
        <v>0</v>
      </c>
      <c r="M1382">
        <v>99.98</v>
      </c>
      <c r="N1382">
        <v>96.19</v>
      </c>
      <c r="O1382">
        <v>99.98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95.11</v>
      </c>
      <c r="Y1382">
        <v>96</v>
      </c>
      <c r="Z1382">
        <v>0</v>
      </c>
      <c r="AA1382">
        <v>10000000</v>
      </c>
      <c r="AB1382">
        <v>0</v>
      </c>
      <c r="AC1382">
        <v>0</v>
      </c>
      <c r="AD1382" t="s">
        <v>94</v>
      </c>
      <c r="AE1382" t="s">
        <v>94</v>
      </c>
      <c r="AF1382" t="s">
        <v>226</v>
      </c>
      <c r="AG1382" t="s">
        <v>226</v>
      </c>
      <c r="AH1382">
        <v>8</v>
      </c>
      <c r="AI1382" t="s">
        <v>3537</v>
      </c>
      <c r="AJ1382" t="s">
        <v>1976</v>
      </c>
      <c r="AK1382" t="s">
        <v>2426</v>
      </c>
      <c r="AL1382" t="s">
        <v>272</v>
      </c>
    </row>
    <row r="1383" spans="1:38">
      <c r="A1383" t="s">
        <v>6218</v>
      </c>
      <c r="B1383" t="s">
        <v>226</v>
      </c>
      <c r="C1383" t="s">
        <v>6219</v>
      </c>
      <c r="D1383" t="s">
        <v>6219</v>
      </c>
      <c r="E1383" t="s">
        <v>6220</v>
      </c>
      <c r="F1383" t="s">
        <v>2425</v>
      </c>
      <c r="G1383">
        <v>1</v>
      </c>
      <c r="H1383">
        <v>1</v>
      </c>
      <c r="I1383">
        <v>1E-4</v>
      </c>
      <c r="J1383">
        <v>1000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250000</v>
      </c>
      <c r="AB1383">
        <v>0</v>
      </c>
      <c r="AC1383">
        <v>0</v>
      </c>
      <c r="AD1383" t="s">
        <v>2</v>
      </c>
      <c r="AE1383" t="s">
        <v>94</v>
      </c>
      <c r="AF1383" t="s">
        <v>226</v>
      </c>
      <c r="AG1383" t="s">
        <v>226</v>
      </c>
      <c r="AH1383">
        <v>-1</v>
      </c>
      <c r="AI1383" t="s">
        <v>3537</v>
      </c>
      <c r="AJ1383" t="s">
        <v>1976</v>
      </c>
      <c r="AK1383" t="s">
        <v>2426</v>
      </c>
      <c r="AL1383" t="s">
        <v>272</v>
      </c>
    </row>
    <row r="1384" spans="1:38">
      <c r="A1384" t="s">
        <v>6221</v>
      </c>
      <c r="B1384" t="s">
        <v>226</v>
      </c>
      <c r="C1384" t="s">
        <v>6222</v>
      </c>
      <c r="D1384" t="s">
        <v>6222</v>
      </c>
      <c r="E1384" t="s">
        <v>6223</v>
      </c>
      <c r="F1384" t="s">
        <v>6224</v>
      </c>
      <c r="G1384">
        <v>1</v>
      </c>
      <c r="H1384">
        <v>1</v>
      </c>
      <c r="I1384">
        <v>0.01</v>
      </c>
      <c r="J1384">
        <v>1000</v>
      </c>
      <c r="K1384">
        <v>0.99</v>
      </c>
      <c r="L1384">
        <v>98.99</v>
      </c>
      <c r="M1384">
        <v>98.02</v>
      </c>
      <c r="N1384">
        <v>98.14</v>
      </c>
      <c r="O1384">
        <v>98.99</v>
      </c>
      <c r="P1384">
        <v>0</v>
      </c>
      <c r="Q1384">
        <v>0</v>
      </c>
      <c r="R1384">
        <v>0</v>
      </c>
      <c r="S1384">
        <v>98.99</v>
      </c>
      <c r="T1384">
        <v>98.99</v>
      </c>
      <c r="U1384">
        <v>98.99</v>
      </c>
      <c r="V1384">
        <v>98.99</v>
      </c>
      <c r="W1384">
        <v>990</v>
      </c>
      <c r="X1384">
        <v>98.04</v>
      </c>
      <c r="Y1384">
        <v>99</v>
      </c>
      <c r="Z1384">
        <v>1</v>
      </c>
      <c r="AA1384">
        <v>5000000</v>
      </c>
      <c r="AB1384">
        <v>989.9</v>
      </c>
      <c r="AC1384">
        <v>0</v>
      </c>
      <c r="AD1384" t="s">
        <v>94</v>
      </c>
      <c r="AE1384" t="s">
        <v>94</v>
      </c>
      <c r="AF1384" t="s">
        <v>226</v>
      </c>
      <c r="AG1384" t="s">
        <v>226</v>
      </c>
      <c r="AH1384">
        <v>-1</v>
      </c>
      <c r="AI1384" t="s">
        <v>3537</v>
      </c>
      <c r="AJ1384" t="s">
        <v>1976</v>
      </c>
      <c r="AK1384" t="s">
        <v>6225</v>
      </c>
      <c r="AL1384" t="s">
        <v>272</v>
      </c>
    </row>
    <row r="1385" spans="1:38">
      <c r="A1385" t="s">
        <v>6226</v>
      </c>
      <c r="B1385" t="s">
        <v>226</v>
      </c>
      <c r="C1385" t="s">
        <v>6227</v>
      </c>
      <c r="D1385" t="s">
        <v>6227</v>
      </c>
      <c r="E1385" t="s">
        <v>6228</v>
      </c>
      <c r="F1385" t="s">
        <v>2425</v>
      </c>
      <c r="G1385">
        <v>1</v>
      </c>
      <c r="H1385">
        <v>1</v>
      </c>
      <c r="I1385">
        <v>0.01</v>
      </c>
      <c r="J1385">
        <v>1000</v>
      </c>
      <c r="K1385">
        <v>-0.86</v>
      </c>
      <c r="L1385">
        <v>84.56</v>
      </c>
      <c r="M1385">
        <v>85.29</v>
      </c>
      <c r="N1385">
        <v>84.58</v>
      </c>
      <c r="O1385">
        <v>84.56</v>
      </c>
      <c r="P1385">
        <v>0</v>
      </c>
      <c r="Q1385">
        <v>0</v>
      </c>
      <c r="R1385">
        <v>0</v>
      </c>
      <c r="S1385">
        <v>84.59</v>
      </c>
      <c r="T1385">
        <v>85.06</v>
      </c>
      <c r="U1385">
        <v>84.51</v>
      </c>
      <c r="V1385">
        <v>85.29</v>
      </c>
      <c r="W1385">
        <v>476227</v>
      </c>
      <c r="X1385">
        <v>82.92</v>
      </c>
      <c r="Y1385">
        <v>84.55</v>
      </c>
      <c r="Z1385">
        <v>20</v>
      </c>
      <c r="AA1385">
        <v>8000000</v>
      </c>
      <c r="AB1385">
        <v>1691.2</v>
      </c>
      <c r="AC1385">
        <v>0</v>
      </c>
      <c r="AD1385" t="s">
        <v>94</v>
      </c>
      <c r="AE1385" t="s">
        <v>94</v>
      </c>
      <c r="AF1385" t="s">
        <v>226</v>
      </c>
      <c r="AG1385" t="s">
        <v>226</v>
      </c>
      <c r="AH1385">
        <v>-1</v>
      </c>
      <c r="AI1385" t="s">
        <v>3537</v>
      </c>
      <c r="AJ1385" t="s">
        <v>1976</v>
      </c>
      <c r="AK1385" t="s">
        <v>2426</v>
      </c>
      <c r="AL1385" t="s">
        <v>272</v>
      </c>
    </row>
    <row r="1386" spans="1:38">
      <c r="A1386" t="s">
        <v>6229</v>
      </c>
      <c r="B1386" t="s">
        <v>6230</v>
      </c>
      <c r="C1386" t="s">
        <v>6231</v>
      </c>
      <c r="D1386" t="s">
        <v>6231</v>
      </c>
      <c r="E1386" t="s">
        <v>6232</v>
      </c>
      <c r="F1386" t="s">
        <v>2413</v>
      </c>
      <c r="G1386">
        <v>3</v>
      </c>
      <c r="H1386">
        <v>1</v>
      </c>
      <c r="I1386">
        <v>0.01</v>
      </c>
      <c r="J1386">
        <v>1000</v>
      </c>
      <c r="K1386">
        <v>-0.23</v>
      </c>
      <c r="L1386">
        <v>98.76</v>
      </c>
      <c r="M1386">
        <v>98.99</v>
      </c>
      <c r="N1386">
        <v>99.24</v>
      </c>
      <c r="O1386">
        <v>98.96</v>
      </c>
      <c r="P1386">
        <v>0</v>
      </c>
      <c r="Q1386">
        <v>0</v>
      </c>
      <c r="R1386">
        <v>0</v>
      </c>
      <c r="S1386">
        <v>99.42</v>
      </c>
      <c r="T1386">
        <v>99</v>
      </c>
      <c r="U1386">
        <v>98.76</v>
      </c>
      <c r="V1386">
        <v>100</v>
      </c>
      <c r="W1386">
        <v>512998</v>
      </c>
      <c r="X1386">
        <v>98.76</v>
      </c>
      <c r="Y1386">
        <v>99.19</v>
      </c>
      <c r="Z1386">
        <v>34</v>
      </c>
      <c r="AA1386">
        <v>400000</v>
      </c>
      <c r="AB1386">
        <v>6913.2</v>
      </c>
      <c r="AC1386">
        <v>0</v>
      </c>
      <c r="AD1386" t="s">
        <v>94</v>
      </c>
      <c r="AE1386" t="s">
        <v>94</v>
      </c>
      <c r="AF1386" t="s">
        <v>226</v>
      </c>
      <c r="AG1386" t="s">
        <v>226</v>
      </c>
      <c r="AH1386">
        <v>800</v>
      </c>
      <c r="AI1386" t="s">
        <v>3537</v>
      </c>
      <c r="AJ1386" t="s">
        <v>1976</v>
      </c>
      <c r="AK1386" t="s">
        <v>2416</v>
      </c>
      <c r="AL1386" t="s">
        <v>272</v>
      </c>
    </row>
    <row r="1387" spans="1:38">
      <c r="A1387" t="s">
        <v>6233</v>
      </c>
      <c r="B1387" t="s">
        <v>6234</v>
      </c>
      <c r="C1387" t="s">
        <v>6235</v>
      </c>
      <c r="D1387" t="s">
        <v>6235</v>
      </c>
      <c r="E1387" t="s">
        <v>6236</v>
      </c>
      <c r="F1387" t="s">
        <v>2413</v>
      </c>
      <c r="G1387">
        <v>3</v>
      </c>
      <c r="H1387">
        <v>1</v>
      </c>
      <c r="I1387">
        <v>0.01</v>
      </c>
      <c r="J1387">
        <v>250</v>
      </c>
      <c r="K1387">
        <v>0.98</v>
      </c>
      <c r="L1387">
        <v>99.98</v>
      </c>
      <c r="M1387">
        <v>99.05</v>
      </c>
      <c r="N1387">
        <v>99.39</v>
      </c>
      <c r="O1387">
        <v>99.98</v>
      </c>
      <c r="P1387">
        <v>0</v>
      </c>
      <c r="Q1387">
        <v>0</v>
      </c>
      <c r="R1387">
        <v>0</v>
      </c>
      <c r="S1387">
        <v>99.97</v>
      </c>
      <c r="T1387">
        <v>99.95</v>
      </c>
      <c r="U1387">
        <v>99.95</v>
      </c>
      <c r="V1387">
        <v>99.98</v>
      </c>
      <c r="W1387">
        <v>7248</v>
      </c>
      <c r="X1387">
        <v>99.12</v>
      </c>
      <c r="Y1387">
        <v>99.99</v>
      </c>
      <c r="Z1387">
        <v>11</v>
      </c>
      <c r="AA1387">
        <v>50000</v>
      </c>
      <c r="AB1387">
        <v>249.95</v>
      </c>
      <c r="AC1387">
        <v>0</v>
      </c>
      <c r="AD1387" t="s">
        <v>94</v>
      </c>
      <c r="AE1387" t="s">
        <v>94</v>
      </c>
      <c r="AF1387" t="s">
        <v>226</v>
      </c>
      <c r="AG1387" t="s">
        <v>226</v>
      </c>
      <c r="AH1387">
        <v>800</v>
      </c>
      <c r="AI1387" t="s">
        <v>3537</v>
      </c>
      <c r="AJ1387" t="s">
        <v>1976</v>
      </c>
      <c r="AK1387" t="s">
        <v>2416</v>
      </c>
      <c r="AL1387" t="s">
        <v>272</v>
      </c>
    </row>
    <row r="1388" spans="1:38">
      <c r="A1388" t="s">
        <v>6237</v>
      </c>
      <c r="B1388" t="s">
        <v>6238</v>
      </c>
      <c r="C1388" t="s">
        <v>6239</v>
      </c>
      <c r="D1388" t="s">
        <v>6239</v>
      </c>
      <c r="E1388" t="s">
        <v>6240</v>
      </c>
      <c r="F1388" t="s">
        <v>2413</v>
      </c>
      <c r="G1388">
        <v>3</v>
      </c>
      <c r="H1388">
        <v>1</v>
      </c>
      <c r="I1388">
        <v>0.01</v>
      </c>
      <c r="J1388">
        <v>1000</v>
      </c>
      <c r="K1388">
        <v>-0.23</v>
      </c>
      <c r="L1388">
        <v>99.95</v>
      </c>
      <c r="M1388">
        <v>100.18</v>
      </c>
      <c r="N1388">
        <v>99.48</v>
      </c>
      <c r="O1388">
        <v>99.93</v>
      </c>
      <c r="P1388">
        <v>0</v>
      </c>
      <c r="Q1388">
        <v>0</v>
      </c>
      <c r="R1388">
        <v>0</v>
      </c>
      <c r="S1388">
        <v>98.51</v>
      </c>
      <c r="T1388">
        <v>98.15</v>
      </c>
      <c r="U1388">
        <v>98</v>
      </c>
      <c r="V1388">
        <v>99.98</v>
      </c>
      <c r="W1388">
        <v>270907</v>
      </c>
      <c r="X1388">
        <v>98.18</v>
      </c>
      <c r="Y1388">
        <v>99.95</v>
      </c>
      <c r="Z1388">
        <v>29</v>
      </c>
      <c r="AA1388">
        <v>200000</v>
      </c>
      <c r="AB1388">
        <v>999.5</v>
      </c>
      <c r="AC1388">
        <v>0</v>
      </c>
      <c r="AD1388" t="s">
        <v>94</v>
      </c>
      <c r="AE1388" t="s">
        <v>94</v>
      </c>
      <c r="AF1388" t="s">
        <v>226</v>
      </c>
      <c r="AG1388" t="s">
        <v>226</v>
      </c>
      <c r="AH1388">
        <v>6</v>
      </c>
      <c r="AI1388" t="s">
        <v>3537</v>
      </c>
      <c r="AJ1388" t="s">
        <v>1976</v>
      </c>
      <c r="AK1388" t="s">
        <v>2416</v>
      </c>
      <c r="AL1388" t="s">
        <v>272</v>
      </c>
    </row>
    <row r="1389" spans="1:38">
      <c r="A1389" t="s">
        <v>6241</v>
      </c>
      <c r="B1389" t="s">
        <v>2447</v>
      </c>
      <c r="C1389" t="s">
        <v>2448</v>
      </c>
      <c r="D1389" t="s">
        <v>2448</v>
      </c>
      <c r="E1389" t="s">
        <v>2449</v>
      </c>
      <c r="F1389" t="s">
        <v>2413</v>
      </c>
      <c r="G1389">
        <v>3</v>
      </c>
      <c r="H1389">
        <v>1</v>
      </c>
      <c r="I1389">
        <v>1E-4</v>
      </c>
      <c r="J1389">
        <v>1000</v>
      </c>
      <c r="K1389">
        <v>-1.81</v>
      </c>
      <c r="L1389">
        <v>87.973100000000002</v>
      </c>
      <c r="M1389">
        <v>90</v>
      </c>
      <c r="N1389">
        <v>90.006399999999999</v>
      </c>
      <c r="O1389">
        <v>89.655600000000007</v>
      </c>
      <c r="P1389">
        <v>0</v>
      </c>
      <c r="Q1389">
        <v>0</v>
      </c>
      <c r="R1389">
        <v>0</v>
      </c>
      <c r="S1389">
        <v>89.086100000000002</v>
      </c>
      <c r="T1389">
        <v>86.500500000000002</v>
      </c>
      <c r="U1389">
        <v>86.500500000000002</v>
      </c>
      <c r="V1389">
        <v>87.973500000000001</v>
      </c>
      <c r="W1389">
        <v>127422</v>
      </c>
      <c r="X1389">
        <v>87.1</v>
      </c>
      <c r="Y1389">
        <v>87.972899999999996</v>
      </c>
      <c r="Z1389">
        <v>8</v>
      </c>
      <c r="AA1389">
        <v>1100000</v>
      </c>
      <c r="AB1389">
        <v>12804.04</v>
      </c>
      <c r="AC1389">
        <v>0</v>
      </c>
      <c r="AD1389" t="s">
        <v>1663</v>
      </c>
      <c r="AE1389" t="s">
        <v>94</v>
      </c>
      <c r="AF1389" t="s">
        <v>226</v>
      </c>
      <c r="AG1389" t="s">
        <v>226</v>
      </c>
      <c r="AH1389">
        <v>6</v>
      </c>
      <c r="AI1389" t="s">
        <v>3537</v>
      </c>
      <c r="AJ1389" t="s">
        <v>1976</v>
      </c>
      <c r="AK1389" t="s">
        <v>2416</v>
      </c>
      <c r="AL1389" t="s">
        <v>272</v>
      </c>
    </row>
    <row r="1390" spans="1:38">
      <c r="A1390" t="s">
        <v>6242</v>
      </c>
      <c r="B1390" t="s">
        <v>6243</v>
      </c>
      <c r="C1390" t="s">
        <v>6244</v>
      </c>
      <c r="D1390" t="s">
        <v>6244</v>
      </c>
      <c r="E1390" t="s">
        <v>6245</v>
      </c>
      <c r="F1390" t="s">
        <v>2413</v>
      </c>
      <c r="G1390">
        <v>2</v>
      </c>
      <c r="H1390">
        <v>1</v>
      </c>
      <c r="I1390">
        <v>0.01</v>
      </c>
      <c r="J1390">
        <v>1000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93.01</v>
      </c>
      <c r="Y1390">
        <v>0</v>
      </c>
      <c r="Z1390">
        <v>0</v>
      </c>
      <c r="AA1390">
        <v>10000000</v>
      </c>
      <c r="AB1390">
        <v>0</v>
      </c>
      <c r="AC1390">
        <v>0</v>
      </c>
      <c r="AD1390" t="s">
        <v>94</v>
      </c>
      <c r="AE1390" t="s">
        <v>94</v>
      </c>
      <c r="AF1390" t="s">
        <v>226</v>
      </c>
      <c r="AG1390" t="s">
        <v>226</v>
      </c>
      <c r="AH1390">
        <v>6</v>
      </c>
      <c r="AI1390" t="s">
        <v>3537</v>
      </c>
      <c r="AJ1390" t="s">
        <v>1976</v>
      </c>
      <c r="AK1390" t="s">
        <v>2416</v>
      </c>
      <c r="AL1390" t="s">
        <v>272</v>
      </c>
    </row>
    <row r="1391" spans="1:38">
      <c r="A1391" t="s">
        <v>6246</v>
      </c>
      <c r="B1391" t="s">
        <v>6247</v>
      </c>
      <c r="C1391" t="s">
        <v>6248</v>
      </c>
      <c r="D1391" t="s">
        <v>6248</v>
      </c>
      <c r="E1391" t="s">
        <v>6249</v>
      </c>
      <c r="F1391" t="s">
        <v>2413</v>
      </c>
      <c r="G1391">
        <v>2</v>
      </c>
      <c r="H1391">
        <v>1</v>
      </c>
      <c r="I1391">
        <v>0.01</v>
      </c>
      <c r="J1391">
        <v>1000</v>
      </c>
      <c r="K1391">
        <v>-0.04</v>
      </c>
      <c r="L1391">
        <v>95.3</v>
      </c>
      <c r="M1391">
        <v>95.34</v>
      </c>
      <c r="N1391">
        <v>95.23</v>
      </c>
      <c r="O1391">
        <v>95.3</v>
      </c>
      <c r="P1391">
        <v>0</v>
      </c>
      <c r="Q1391">
        <v>0</v>
      </c>
      <c r="R1391">
        <v>0</v>
      </c>
      <c r="S1391">
        <v>95.18</v>
      </c>
      <c r="T1391">
        <v>95.29</v>
      </c>
      <c r="U1391">
        <v>95.16</v>
      </c>
      <c r="V1391">
        <v>95.3</v>
      </c>
      <c r="W1391">
        <v>720258</v>
      </c>
      <c r="X1391">
        <v>95.28</v>
      </c>
      <c r="Y1391">
        <v>95.3</v>
      </c>
      <c r="Z1391">
        <v>58</v>
      </c>
      <c r="AA1391">
        <v>25000000</v>
      </c>
      <c r="AB1391">
        <v>19060</v>
      </c>
      <c r="AC1391">
        <v>0</v>
      </c>
      <c r="AD1391" t="s">
        <v>94</v>
      </c>
      <c r="AE1391" t="s">
        <v>94</v>
      </c>
      <c r="AF1391" t="s">
        <v>226</v>
      </c>
      <c r="AG1391" t="s">
        <v>226</v>
      </c>
      <c r="AH1391">
        <v>6</v>
      </c>
      <c r="AI1391" t="s">
        <v>3537</v>
      </c>
      <c r="AJ1391" t="s">
        <v>1976</v>
      </c>
      <c r="AK1391" t="s">
        <v>2416</v>
      </c>
      <c r="AL1391" t="s">
        <v>272</v>
      </c>
    </row>
    <row r="1392" spans="1:38">
      <c r="A1392" t="s">
        <v>6250</v>
      </c>
      <c r="B1392" t="s">
        <v>6251</v>
      </c>
      <c r="C1392" t="s">
        <v>6252</v>
      </c>
      <c r="D1392" t="s">
        <v>6252</v>
      </c>
      <c r="E1392" t="s">
        <v>6253</v>
      </c>
      <c r="F1392" t="s">
        <v>2413</v>
      </c>
      <c r="G1392">
        <v>2</v>
      </c>
      <c r="H1392">
        <v>1</v>
      </c>
      <c r="I1392">
        <v>0.01</v>
      </c>
      <c r="J1392">
        <v>1000</v>
      </c>
      <c r="K1392">
        <v>-7.0000000000000007E-2</v>
      </c>
      <c r="L1392">
        <v>96.93</v>
      </c>
      <c r="M1392">
        <v>97</v>
      </c>
      <c r="N1392">
        <v>97.08</v>
      </c>
      <c r="O1392">
        <v>96.96</v>
      </c>
      <c r="P1392">
        <v>0</v>
      </c>
      <c r="Q1392">
        <v>0</v>
      </c>
      <c r="R1392">
        <v>0</v>
      </c>
      <c r="S1392">
        <v>97.06</v>
      </c>
      <c r="T1392">
        <v>96.96</v>
      </c>
      <c r="U1392">
        <v>96.51</v>
      </c>
      <c r="V1392">
        <v>97.26</v>
      </c>
      <c r="W1392">
        <v>4514111</v>
      </c>
      <c r="X1392">
        <v>97</v>
      </c>
      <c r="Y1392">
        <v>97.05</v>
      </c>
      <c r="Z1392">
        <v>244</v>
      </c>
      <c r="AA1392">
        <v>40000000</v>
      </c>
      <c r="AB1392">
        <v>969.3</v>
      </c>
      <c r="AC1392">
        <v>0</v>
      </c>
      <c r="AD1392" t="s">
        <v>94</v>
      </c>
      <c r="AE1392" t="s">
        <v>94</v>
      </c>
      <c r="AF1392" t="s">
        <v>226</v>
      </c>
      <c r="AG1392" t="s">
        <v>226</v>
      </c>
      <c r="AH1392">
        <v>8</v>
      </c>
      <c r="AI1392" t="s">
        <v>3537</v>
      </c>
      <c r="AJ1392" t="s">
        <v>1976</v>
      </c>
      <c r="AK1392" t="s">
        <v>2416</v>
      </c>
      <c r="AL1392" t="s">
        <v>272</v>
      </c>
    </row>
    <row r="1393" spans="1:38">
      <c r="A1393" t="s">
        <v>6254</v>
      </c>
      <c r="B1393" t="s">
        <v>6255</v>
      </c>
      <c r="C1393" t="s">
        <v>6256</v>
      </c>
      <c r="D1393" t="s">
        <v>6256</v>
      </c>
      <c r="E1393" t="s">
        <v>6257</v>
      </c>
      <c r="F1393" t="s">
        <v>2413</v>
      </c>
      <c r="G1393">
        <v>1</v>
      </c>
      <c r="H1393">
        <v>1</v>
      </c>
      <c r="I1393">
        <v>0.01</v>
      </c>
      <c r="J1393">
        <v>1000</v>
      </c>
      <c r="K1393">
        <v>0.25</v>
      </c>
      <c r="L1393">
        <v>89.84</v>
      </c>
      <c r="M1393">
        <v>89.81</v>
      </c>
      <c r="N1393">
        <v>89.56</v>
      </c>
      <c r="O1393">
        <v>89.84</v>
      </c>
      <c r="P1393">
        <v>0</v>
      </c>
      <c r="Q1393">
        <v>0</v>
      </c>
      <c r="R1393">
        <v>0</v>
      </c>
      <c r="S1393">
        <v>89.8</v>
      </c>
      <c r="T1393">
        <v>89.71</v>
      </c>
      <c r="U1393">
        <v>89.63</v>
      </c>
      <c r="V1393">
        <v>89.99</v>
      </c>
      <c r="W1393">
        <v>1910863</v>
      </c>
      <c r="X1393">
        <v>89.74</v>
      </c>
      <c r="Y1393">
        <v>89.84</v>
      </c>
      <c r="Z1393">
        <v>204</v>
      </c>
      <c r="AA1393">
        <v>3000000</v>
      </c>
      <c r="AB1393">
        <v>898.4</v>
      </c>
      <c r="AC1393">
        <v>0</v>
      </c>
      <c r="AD1393" t="s">
        <v>94</v>
      </c>
      <c r="AE1393" t="s">
        <v>94</v>
      </c>
      <c r="AF1393" t="s">
        <v>226</v>
      </c>
      <c r="AG1393" t="s">
        <v>226</v>
      </c>
      <c r="AH1393">
        <v>6</v>
      </c>
      <c r="AI1393" t="s">
        <v>3537</v>
      </c>
      <c r="AJ1393" t="s">
        <v>1976</v>
      </c>
      <c r="AK1393" t="s">
        <v>2416</v>
      </c>
      <c r="AL1393" t="s">
        <v>272</v>
      </c>
    </row>
    <row r="1394" spans="1:38">
      <c r="A1394" t="s">
        <v>6258</v>
      </c>
      <c r="B1394" t="s">
        <v>6259</v>
      </c>
      <c r="C1394" t="s">
        <v>6260</v>
      </c>
      <c r="D1394" t="s">
        <v>6260</v>
      </c>
      <c r="E1394" t="s">
        <v>6261</v>
      </c>
      <c r="F1394" t="s">
        <v>2413</v>
      </c>
      <c r="G1394">
        <v>1</v>
      </c>
      <c r="H1394">
        <v>1</v>
      </c>
      <c r="I1394">
        <v>0.01</v>
      </c>
      <c r="J1394">
        <v>1000</v>
      </c>
      <c r="K1394">
        <v>-0.4</v>
      </c>
      <c r="L1394">
        <v>84.79</v>
      </c>
      <c r="M1394">
        <v>85.13</v>
      </c>
      <c r="N1394">
        <v>85.63</v>
      </c>
      <c r="O1394">
        <v>84.67</v>
      </c>
      <c r="P1394">
        <v>0</v>
      </c>
      <c r="Q1394">
        <v>0</v>
      </c>
      <c r="R1394">
        <v>0</v>
      </c>
      <c r="S1394">
        <v>84.9</v>
      </c>
      <c r="T1394">
        <v>85.89</v>
      </c>
      <c r="U1394">
        <v>84.11</v>
      </c>
      <c r="V1394">
        <v>86.3</v>
      </c>
      <c r="W1394">
        <v>5531255</v>
      </c>
      <c r="X1394">
        <v>84.69</v>
      </c>
      <c r="Y1394">
        <v>84.79</v>
      </c>
      <c r="Z1394">
        <v>678</v>
      </c>
      <c r="AA1394">
        <v>3000000</v>
      </c>
      <c r="AB1394">
        <v>1695.8</v>
      </c>
      <c r="AC1394">
        <v>0</v>
      </c>
      <c r="AD1394" t="s">
        <v>94</v>
      </c>
      <c r="AE1394" t="s">
        <v>94</v>
      </c>
      <c r="AF1394" t="s">
        <v>226</v>
      </c>
      <c r="AG1394" t="s">
        <v>226</v>
      </c>
      <c r="AH1394">
        <v>6</v>
      </c>
      <c r="AI1394" t="s">
        <v>3537</v>
      </c>
      <c r="AJ1394" t="s">
        <v>1976</v>
      </c>
      <c r="AK1394" t="s">
        <v>2416</v>
      </c>
      <c r="AL1394" t="s">
        <v>272</v>
      </c>
    </row>
    <row r="1395" spans="1:38">
      <c r="A1395" t="s">
        <v>6262</v>
      </c>
      <c r="B1395" t="s">
        <v>6263</v>
      </c>
      <c r="C1395" t="s">
        <v>6264</v>
      </c>
      <c r="D1395" t="s">
        <v>6264</v>
      </c>
      <c r="E1395" t="s">
        <v>6265</v>
      </c>
      <c r="F1395" t="s">
        <v>2413</v>
      </c>
      <c r="G1395">
        <v>1</v>
      </c>
      <c r="H1395">
        <v>1</v>
      </c>
      <c r="I1395">
        <v>0.01</v>
      </c>
      <c r="J1395">
        <v>1000</v>
      </c>
      <c r="K1395">
        <v>-0.39</v>
      </c>
      <c r="L1395">
        <v>76.84</v>
      </c>
      <c r="M1395">
        <v>77.13</v>
      </c>
      <c r="N1395">
        <v>76.97</v>
      </c>
      <c r="O1395">
        <v>76.790000000000006</v>
      </c>
      <c r="P1395">
        <v>0</v>
      </c>
      <c r="Q1395">
        <v>0</v>
      </c>
      <c r="R1395">
        <v>0</v>
      </c>
      <c r="S1395">
        <v>76.89</v>
      </c>
      <c r="T1395">
        <v>77.180000000000007</v>
      </c>
      <c r="U1395">
        <v>76</v>
      </c>
      <c r="V1395">
        <v>77.66</v>
      </c>
      <c r="W1395">
        <v>4266358</v>
      </c>
      <c r="X1395">
        <v>76.77</v>
      </c>
      <c r="Y1395">
        <v>76.83</v>
      </c>
      <c r="Z1395">
        <v>441</v>
      </c>
      <c r="AA1395">
        <v>5000000</v>
      </c>
      <c r="AB1395">
        <v>7684</v>
      </c>
      <c r="AC1395">
        <v>0</v>
      </c>
      <c r="AD1395" t="s">
        <v>94</v>
      </c>
      <c r="AE1395" t="s">
        <v>94</v>
      </c>
      <c r="AF1395" t="s">
        <v>226</v>
      </c>
      <c r="AG1395" t="s">
        <v>226</v>
      </c>
      <c r="AH1395">
        <v>6</v>
      </c>
      <c r="AI1395" t="s">
        <v>3537</v>
      </c>
      <c r="AJ1395" t="s">
        <v>1976</v>
      </c>
      <c r="AK1395" t="s">
        <v>2416</v>
      </c>
      <c r="AL1395" t="s">
        <v>272</v>
      </c>
    </row>
    <row r="1396" spans="1:38">
      <c r="A1396" t="s">
        <v>6266</v>
      </c>
      <c r="B1396" t="s">
        <v>6267</v>
      </c>
      <c r="C1396" t="s">
        <v>6268</v>
      </c>
      <c r="D1396" t="s">
        <v>6268</v>
      </c>
      <c r="E1396" t="s">
        <v>6269</v>
      </c>
      <c r="F1396" t="s">
        <v>2413</v>
      </c>
      <c r="G1396">
        <v>1</v>
      </c>
      <c r="H1396">
        <v>1</v>
      </c>
      <c r="I1396">
        <v>0.01</v>
      </c>
      <c r="J1396">
        <v>1000</v>
      </c>
      <c r="K1396">
        <v>-0.28999999999999998</v>
      </c>
      <c r="L1396">
        <v>96.5</v>
      </c>
      <c r="M1396">
        <v>96.78</v>
      </c>
      <c r="N1396">
        <v>97.91</v>
      </c>
      <c r="O1396">
        <v>96.63</v>
      </c>
      <c r="P1396">
        <v>0</v>
      </c>
      <c r="Q1396">
        <v>0</v>
      </c>
      <c r="R1396">
        <v>0</v>
      </c>
      <c r="S1396">
        <v>98.67</v>
      </c>
      <c r="T1396">
        <v>96.2</v>
      </c>
      <c r="U1396">
        <v>96.2</v>
      </c>
      <c r="V1396">
        <v>99.2</v>
      </c>
      <c r="W1396">
        <v>104595</v>
      </c>
      <c r="X1396">
        <v>96.5</v>
      </c>
      <c r="Y1396">
        <v>97.01</v>
      </c>
      <c r="Z1396">
        <v>21</v>
      </c>
      <c r="AA1396">
        <v>2000000</v>
      </c>
      <c r="AB1396">
        <v>1930</v>
      </c>
      <c r="AC1396">
        <v>0</v>
      </c>
      <c r="AD1396" t="s">
        <v>94</v>
      </c>
      <c r="AE1396" t="s">
        <v>94</v>
      </c>
      <c r="AF1396" t="s">
        <v>226</v>
      </c>
      <c r="AG1396" t="s">
        <v>226</v>
      </c>
      <c r="AH1396">
        <v>800</v>
      </c>
      <c r="AI1396" t="s">
        <v>3537</v>
      </c>
      <c r="AJ1396" t="s">
        <v>1976</v>
      </c>
      <c r="AK1396" t="s">
        <v>2416</v>
      </c>
      <c r="AL1396" t="s">
        <v>272</v>
      </c>
    </row>
    <row r="1397" spans="1:38">
      <c r="A1397" t="s">
        <v>6270</v>
      </c>
      <c r="B1397" t="s">
        <v>6271</v>
      </c>
      <c r="C1397" t="s">
        <v>6272</v>
      </c>
      <c r="D1397" t="s">
        <v>6272</v>
      </c>
      <c r="E1397" t="s">
        <v>6273</v>
      </c>
      <c r="F1397" t="s">
        <v>2413</v>
      </c>
      <c r="G1397">
        <v>1</v>
      </c>
      <c r="H1397">
        <v>1</v>
      </c>
      <c r="I1397">
        <v>0.01</v>
      </c>
      <c r="J1397">
        <v>1000</v>
      </c>
      <c r="K1397">
        <v>-0.09</v>
      </c>
      <c r="L1397">
        <v>100.1</v>
      </c>
      <c r="M1397">
        <v>100.19</v>
      </c>
      <c r="N1397">
        <v>100.15</v>
      </c>
      <c r="O1397">
        <v>100.13</v>
      </c>
      <c r="P1397">
        <v>0</v>
      </c>
      <c r="Q1397">
        <v>0</v>
      </c>
      <c r="R1397">
        <v>0</v>
      </c>
      <c r="S1397">
        <v>101.29</v>
      </c>
      <c r="T1397">
        <v>105</v>
      </c>
      <c r="U1397">
        <v>100.03</v>
      </c>
      <c r="V1397">
        <v>105</v>
      </c>
      <c r="W1397">
        <v>8669569</v>
      </c>
      <c r="X1397">
        <v>100.09</v>
      </c>
      <c r="Y1397">
        <v>100.1</v>
      </c>
      <c r="Z1397">
        <v>401</v>
      </c>
      <c r="AA1397">
        <v>2000000</v>
      </c>
      <c r="AB1397">
        <v>1001</v>
      </c>
      <c r="AC1397">
        <v>0</v>
      </c>
      <c r="AD1397" t="s">
        <v>94</v>
      </c>
      <c r="AE1397" t="s">
        <v>94</v>
      </c>
      <c r="AF1397" t="s">
        <v>226</v>
      </c>
      <c r="AG1397" t="s">
        <v>226</v>
      </c>
      <c r="AH1397">
        <v>6</v>
      </c>
      <c r="AI1397" t="s">
        <v>3537</v>
      </c>
      <c r="AJ1397" t="s">
        <v>1976</v>
      </c>
      <c r="AK1397" t="s">
        <v>2416</v>
      </c>
      <c r="AL1397" t="s">
        <v>272</v>
      </c>
    </row>
    <row r="1398" spans="1:38">
      <c r="A1398" t="s">
        <v>6274</v>
      </c>
      <c r="B1398" t="s">
        <v>6275</v>
      </c>
      <c r="C1398" t="s">
        <v>6276</v>
      </c>
      <c r="D1398" t="s">
        <v>6276</v>
      </c>
      <c r="E1398" t="s">
        <v>6277</v>
      </c>
      <c r="F1398" t="s">
        <v>2413</v>
      </c>
      <c r="G1398">
        <v>1</v>
      </c>
      <c r="H1398">
        <v>1</v>
      </c>
      <c r="I1398">
        <v>0.01</v>
      </c>
      <c r="J1398">
        <v>1000</v>
      </c>
      <c r="K1398">
        <v>0.42</v>
      </c>
      <c r="L1398">
        <v>95.42</v>
      </c>
      <c r="M1398">
        <v>95.02</v>
      </c>
      <c r="N1398">
        <v>95.74</v>
      </c>
      <c r="O1398">
        <v>95.42</v>
      </c>
      <c r="P1398">
        <v>0</v>
      </c>
      <c r="Q1398">
        <v>0</v>
      </c>
      <c r="R1398">
        <v>0</v>
      </c>
      <c r="S1398">
        <v>94.97</v>
      </c>
      <c r="T1398">
        <v>96.62</v>
      </c>
      <c r="U1398">
        <v>94.54</v>
      </c>
      <c r="V1398">
        <v>96.85</v>
      </c>
      <c r="W1398">
        <v>181394</v>
      </c>
      <c r="X1398">
        <v>95.47</v>
      </c>
      <c r="Y1398">
        <v>95.92</v>
      </c>
      <c r="Z1398">
        <v>34</v>
      </c>
      <c r="AA1398">
        <v>5000000</v>
      </c>
      <c r="AB1398">
        <v>954.2</v>
      </c>
      <c r="AC1398">
        <v>0</v>
      </c>
      <c r="AD1398" t="s">
        <v>94</v>
      </c>
      <c r="AE1398" t="s">
        <v>94</v>
      </c>
      <c r="AF1398" t="s">
        <v>226</v>
      </c>
      <c r="AG1398" t="s">
        <v>226</v>
      </c>
      <c r="AH1398">
        <v>6</v>
      </c>
      <c r="AI1398" t="s">
        <v>3537</v>
      </c>
      <c r="AJ1398" t="s">
        <v>1976</v>
      </c>
      <c r="AK1398" t="s">
        <v>2416</v>
      </c>
      <c r="AL1398" t="s">
        <v>272</v>
      </c>
    </row>
    <row r="1399" spans="1:38">
      <c r="A1399" t="s">
        <v>6278</v>
      </c>
      <c r="B1399" t="s">
        <v>6279</v>
      </c>
      <c r="C1399" t="s">
        <v>6280</v>
      </c>
      <c r="D1399" t="s">
        <v>6280</v>
      </c>
      <c r="E1399" t="s">
        <v>6281</v>
      </c>
      <c r="F1399" t="s">
        <v>2413</v>
      </c>
      <c r="G1399">
        <v>1</v>
      </c>
      <c r="H1399">
        <v>1</v>
      </c>
      <c r="I1399">
        <v>0.01</v>
      </c>
      <c r="J1399">
        <v>1000</v>
      </c>
      <c r="K1399">
        <v>0.77</v>
      </c>
      <c r="L1399">
        <v>97</v>
      </c>
      <c r="M1399">
        <v>96.27</v>
      </c>
      <c r="N1399">
        <v>97.27</v>
      </c>
      <c r="O1399">
        <v>96.91</v>
      </c>
      <c r="P1399">
        <v>0</v>
      </c>
      <c r="Q1399">
        <v>0</v>
      </c>
      <c r="R1399">
        <v>0</v>
      </c>
      <c r="S1399">
        <v>96.45</v>
      </c>
      <c r="T1399">
        <v>98.37</v>
      </c>
      <c r="U1399">
        <v>96.03</v>
      </c>
      <c r="V1399">
        <v>98.38</v>
      </c>
      <c r="W1399">
        <v>591222</v>
      </c>
      <c r="X1399">
        <v>96.6</v>
      </c>
      <c r="Y1399">
        <v>96.79</v>
      </c>
      <c r="Z1399">
        <v>59</v>
      </c>
      <c r="AA1399">
        <v>3000000</v>
      </c>
      <c r="AB1399">
        <v>970</v>
      </c>
      <c r="AC1399">
        <v>0</v>
      </c>
      <c r="AD1399" t="s">
        <v>94</v>
      </c>
      <c r="AE1399" t="s">
        <v>94</v>
      </c>
      <c r="AF1399" t="s">
        <v>226</v>
      </c>
      <c r="AG1399" t="s">
        <v>226</v>
      </c>
      <c r="AH1399">
        <v>6</v>
      </c>
      <c r="AI1399" t="s">
        <v>3537</v>
      </c>
      <c r="AJ1399" t="s">
        <v>1976</v>
      </c>
      <c r="AK1399" t="s">
        <v>2416</v>
      </c>
      <c r="AL1399" t="s">
        <v>272</v>
      </c>
    </row>
    <row r="1400" spans="1:38">
      <c r="A1400" t="s">
        <v>6282</v>
      </c>
      <c r="B1400" t="s">
        <v>6283</v>
      </c>
      <c r="C1400" t="s">
        <v>6284</v>
      </c>
      <c r="D1400" t="s">
        <v>6284</v>
      </c>
      <c r="E1400" t="s">
        <v>6285</v>
      </c>
      <c r="F1400" t="s">
        <v>2413</v>
      </c>
      <c r="G1400">
        <v>1</v>
      </c>
      <c r="H1400">
        <v>1</v>
      </c>
      <c r="I1400">
        <v>0.01</v>
      </c>
      <c r="J1400">
        <v>600</v>
      </c>
      <c r="K1400">
        <v>-0.48</v>
      </c>
      <c r="L1400">
        <v>99.11</v>
      </c>
      <c r="M1400">
        <v>99.59</v>
      </c>
      <c r="N1400">
        <v>98.37</v>
      </c>
      <c r="O1400">
        <v>99.11</v>
      </c>
      <c r="P1400">
        <v>0</v>
      </c>
      <c r="Q1400">
        <v>0</v>
      </c>
      <c r="R1400">
        <v>0</v>
      </c>
      <c r="S1400">
        <v>99.6</v>
      </c>
      <c r="T1400">
        <v>99.5</v>
      </c>
      <c r="U1400">
        <v>98.89</v>
      </c>
      <c r="V1400">
        <v>100.21</v>
      </c>
      <c r="W1400">
        <v>37648</v>
      </c>
      <c r="X1400">
        <v>98.11</v>
      </c>
      <c r="Y1400">
        <v>99.46</v>
      </c>
      <c r="Z1400">
        <v>15</v>
      </c>
      <c r="AA1400">
        <v>3000000</v>
      </c>
      <c r="AB1400">
        <v>8919.9</v>
      </c>
      <c r="AC1400">
        <v>0</v>
      </c>
      <c r="AD1400" t="s">
        <v>94</v>
      </c>
      <c r="AE1400" t="s">
        <v>94</v>
      </c>
      <c r="AF1400" t="s">
        <v>226</v>
      </c>
      <c r="AG1400" t="s">
        <v>226</v>
      </c>
      <c r="AH1400">
        <v>6</v>
      </c>
      <c r="AI1400" t="s">
        <v>3537</v>
      </c>
      <c r="AJ1400" t="s">
        <v>1976</v>
      </c>
      <c r="AK1400" t="s">
        <v>2416</v>
      </c>
      <c r="AL1400" t="s">
        <v>272</v>
      </c>
    </row>
    <row r="1401" spans="1:38">
      <c r="A1401" t="s">
        <v>6286</v>
      </c>
      <c r="B1401" t="s">
        <v>6287</v>
      </c>
      <c r="C1401" t="s">
        <v>6288</v>
      </c>
      <c r="D1401" t="s">
        <v>6288</v>
      </c>
      <c r="E1401" t="s">
        <v>6289</v>
      </c>
      <c r="F1401" t="s">
        <v>2413</v>
      </c>
      <c r="G1401">
        <v>1</v>
      </c>
      <c r="H1401">
        <v>1</v>
      </c>
      <c r="I1401">
        <v>0.01</v>
      </c>
      <c r="J1401">
        <v>1000</v>
      </c>
      <c r="K1401">
        <v>1</v>
      </c>
      <c r="L1401">
        <v>103.7</v>
      </c>
      <c r="M1401">
        <v>102.67</v>
      </c>
      <c r="N1401">
        <v>101.85</v>
      </c>
      <c r="O1401">
        <v>103.7</v>
      </c>
      <c r="P1401">
        <v>0</v>
      </c>
      <c r="Q1401">
        <v>0</v>
      </c>
      <c r="R1401">
        <v>0</v>
      </c>
      <c r="S1401">
        <v>103.7</v>
      </c>
      <c r="T1401">
        <v>103.69</v>
      </c>
      <c r="U1401">
        <v>103.69</v>
      </c>
      <c r="V1401">
        <v>103.7</v>
      </c>
      <c r="W1401">
        <v>22814</v>
      </c>
      <c r="X1401">
        <v>103.69</v>
      </c>
      <c r="Y1401">
        <v>103.7</v>
      </c>
      <c r="Z1401">
        <v>8</v>
      </c>
      <c r="AA1401">
        <v>5000000</v>
      </c>
      <c r="AB1401">
        <v>1037</v>
      </c>
      <c r="AC1401">
        <v>0</v>
      </c>
      <c r="AD1401" t="s">
        <v>94</v>
      </c>
      <c r="AE1401" t="s">
        <v>94</v>
      </c>
      <c r="AF1401" t="s">
        <v>226</v>
      </c>
      <c r="AG1401" t="s">
        <v>226</v>
      </c>
      <c r="AH1401">
        <v>6</v>
      </c>
      <c r="AI1401" t="s">
        <v>3537</v>
      </c>
      <c r="AJ1401" t="s">
        <v>1976</v>
      </c>
      <c r="AK1401" t="s">
        <v>2416</v>
      </c>
      <c r="AL1401" t="s">
        <v>272</v>
      </c>
    </row>
    <row r="1402" spans="1:38">
      <c r="A1402" t="s">
        <v>6290</v>
      </c>
      <c r="B1402" t="s">
        <v>6291</v>
      </c>
      <c r="C1402" t="s">
        <v>6292</v>
      </c>
      <c r="D1402" t="s">
        <v>6292</v>
      </c>
      <c r="E1402" t="s">
        <v>6293</v>
      </c>
      <c r="F1402" t="s">
        <v>2413</v>
      </c>
      <c r="G1402">
        <v>1</v>
      </c>
      <c r="H1402">
        <v>1</v>
      </c>
      <c r="I1402">
        <v>0.01</v>
      </c>
      <c r="J1402">
        <v>1000</v>
      </c>
      <c r="K1402">
        <v>-3.5</v>
      </c>
      <c r="L1402">
        <v>92.74</v>
      </c>
      <c r="M1402">
        <v>94.85</v>
      </c>
      <c r="N1402">
        <v>92.1</v>
      </c>
      <c r="O1402">
        <v>92.74</v>
      </c>
      <c r="P1402">
        <v>0</v>
      </c>
      <c r="Q1402">
        <v>0</v>
      </c>
      <c r="R1402">
        <v>0</v>
      </c>
      <c r="S1402">
        <v>93.07</v>
      </c>
      <c r="T1402">
        <v>92.71</v>
      </c>
      <c r="U1402">
        <v>92.63</v>
      </c>
      <c r="V1402">
        <v>94.87</v>
      </c>
      <c r="W1402">
        <v>45603</v>
      </c>
      <c r="X1402">
        <v>92.6</v>
      </c>
      <c r="Y1402">
        <v>92.74</v>
      </c>
      <c r="Z1402">
        <v>31</v>
      </c>
      <c r="AA1402">
        <v>5000000</v>
      </c>
      <c r="AB1402">
        <v>927.4</v>
      </c>
      <c r="AC1402">
        <v>0</v>
      </c>
      <c r="AD1402" t="s">
        <v>94</v>
      </c>
      <c r="AE1402" t="s">
        <v>94</v>
      </c>
      <c r="AF1402" t="s">
        <v>226</v>
      </c>
      <c r="AG1402" t="s">
        <v>226</v>
      </c>
      <c r="AH1402">
        <v>6</v>
      </c>
      <c r="AI1402" t="s">
        <v>3537</v>
      </c>
      <c r="AJ1402" t="s">
        <v>1976</v>
      </c>
      <c r="AK1402" t="s">
        <v>2416</v>
      </c>
      <c r="AL1402" t="s">
        <v>272</v>
      </c>
    </row>
    <row r="1403" spans="1:38">
      <c r="A1403" t="s">
        <v>6294</v>
      </c>
      <c r="B1403" t="s">
        <v>6295</v>
      </c>
      <c r="C1403" t="s">
        <v>6296</v>
      </c>
      <c r="D1403" t="s">
        <v>6296</v>
      </c>
      <c r="E1403" t="s">
        <v>6297</v>
      </c>
      <c r="F1403" t="s">
        <v>2413</v>
      </c>
      <c r="G1403">
        <v>1</v>
      </c>
      <c r="H1403">
        <v>1</v>
      </c>
      <c r="I1403">
        <v>0.01</v>
      </c>
      <c r="J1403">
        <v>1000</v>
      </c>
      <c r="K1403">
        <v>0.05</v>
      </c>
      <c r="L1403">
        <v>96.75</v>
      </c>
      <c r="M1403">
        <v>96.7</v>
      </c>
      <c r="N1403">
        <v>96.67</v>
      </c>
      <c r="O1403">
        <v>96.75</v>
      </c>
      <c r="P1403">
        <v>0</v>
      </c>
      <c r="Q1403">
        <v>0</v>
      </c>
      <c r="R1403">
        <v>0</v>
      </c>
      <c r="S1403">
        <v>96.72</v>
      </c>
      <c r="T1403">
        <v>96.69</v>
      </c>
      <c r="U1403">
        <v>96.49</v>
      </c>
      <c r="V1403">
        <v>96.75</v>
      </c>
      <c r="W1403">
        <v>9756530</v>
      </c>
      <c r="X1403">
        <v>96.8</v>
      </c>
      <c r="Y1403">
        <v>96.87</v>
      </c>
      <c r="Z1403">
        <v>144</v>
      </c>
      <c r="AA1403">
        <v>7000000</v>
      </c>
      <c r="AB1403">
        <v>967.5</v>
      </c>
      <c r="AC1403">
        <v>0</v>
      </c>
      <c r="AD1403" t="s">
        <v>94</v>
      </c>
      <c r="AE1403" t="s">
        <v>94</v>
      </c>
      <c r="AF1403" t="s">
        <v>226</v>
      </c>
      <c r="AG1403" t="s">
        <v>226</v>
      </c>
      <c r="AH1403">
        <v>6</v>
      </c>
      <c r="AI1403" t="s">
        <v>3537</v>
      </c>
      <c r="AJ1403" t="s">
        <v>1976</v>
      </c>
      <c r="AK1403" t="s">
        <v>2416</v>
      </c>
      <c r="AL1403" t="s">
        <v>272</v>
      </c>
    </row>
    <row r="1404" spans="1:38">
      <c r="A1404" t="s">
        <v>6298</v>
      </c>
      <c r="B1404" t="s">
        <v>6299</v>
      </c>
      <c r="C1404" t="s">
        <v>6300</v>
      </c>
      <c r="D1404" t="s">
        <v>6300</v>
      </c>
      <c r="E1404" t="s">
        <v>6301</v>
      </c>
      <c r="F1404" t="s">
        <v>2413</v>
      </c>
      <c r="G1404">
        <v>1</v>
      </c>
      <c r="H1404">
        <v>1</v>
      </c>
      <c r="I1404">
        <v>0.01</v>
      </c>
      <c r="J1404">
        <v>200</v>
      </c>
      <c r="K1404">
        <v>-1.03</v>
      </c>
      <c r="L1404">
        <v>97.99</v>
      </c>
      <c r="M1404">
        <v>99.01</v>
      </c>
      <c r="N1404">
        <v>98.22</v>
      </c>
      <c r="O1404">
        <v>98</v>
      </c>
      <c r="P1404">
        <v>0</v>
      </c>
      <c r="Q1404">
        <v>0</v>
      </c>
      <c r="R1404">
        <v>0</v>
      </c>
      <c r="S1404">
        <v>97.96</v>
      </c>
      <c r="T1404">
        <v>98.18</v>
      </c>
      <c r="U1404">
        <v>97.75</v>
      </c>
      <c r="V1404">
        <v>98.95</v>
      </c>
      <c r="W1404">
        <v>122450</v>
      </c>
      <c r="X1404">
        <v>97.83</v>
      </c>
      <c r="Y1404">
        <v>98</v>
      </c>
      <c r="Z1404">
        <v>42</v>
      </c>
      <c r="AA1404">
        <v>7000000</v>
      </c>
      <c r="AB1404">
        <v>391.96</v>
      </c>
      <c r="AC1404">
        <v>0</v>
      </c>
      <c r="AD1404" t="s">
        <v>94</v>
      </c>
      <c r="AE1404" t="s">
        <v>94</v>
      </c>
      <c r="AF1404" t="s">
        <v>226</v>
      </c>
      <c r="AG1404" t="s">
        <v>226</v>
      </c>
      <c r="AH1404">
        <v>6</v>
      </c>
      <c r="AI1404" t="s">
        <v>3537</v>
      </c>
      <c r="AJ1404" t="s">
        <v>1976</v>
      </c>
      <c r="AK1404" t="s">
        <v>2416</v>
      </c>
      <c r="AL1404" t="s">
        <v>272</v>
      </c>
    </row>
    <row r="1405" spans="1:38">
      <c r="A1405" t="s">
        <v>6302</v>
      </c>
      <c r="B1405" t="s">
        <v>6303</v>
      </c>
      <c r="C1405" t="s">
        <v>6304</v>
      </c>
      <c r="D1405" t="s">
        <v>6304</v>
      </c>
      <c r="E1405" t="s">
        <v>6305</v>
      </c>
      <c r="F1405" t="s">
        <v>2413</v>
      </c>
      <c r="G1405">
        <v>1</v>
      </c>
      <c r="H1405">
        <v>1</v>
      </c>
      <c r="I1405">
        <v>0.01</v>
      </c>
      <c r="J1405">
        <v>750</v>
      </c>
      <c r="K1405">
        <v>0</v>
      </c>
      <c r="L1405">
        <v>95.23</v>
      </c>
      <c r="M1405">
        <v>95.23</v>
      </c>
      <c r="N1405">
        <v>94.92</v>
      </c>
      <c r="O1405">
        <v>95.23</v>
      </c>
      <c r="P1405">
        <v>0</v>
      </c>
      <c r="Q1405">
        <v>0</v>
      </c>
      <c r="R1405">
        <v>0</v>
      </c>
      <c r="S1405">
        <v>95.14</v>
      </c>
      <c r="T1405">
        <v>94.54</v>
      </c>
      <c r="U1405">
        <v>94.53</v>
      </c>
      <c r="V1405">
        <v>95.23</v>
      </c>
      <c r="W1405">
        <v>80627</v>
      </c>
      <c r="X1405">
        <v>95.06</v>
      </c>
      <c r="Y1405">
        <v>95.23</v>
      </c>
      <c r="Z1405">
        <v>26</v>
      </c>
      <c r="AA1405">
        <v>5500000</v>
      </c>
      <c r="AB1405">
        <v>18569.849999999999</v>
      </c>
      <c r="AC1405">
        <v>0</v>
      </c>
      <c r="AD1405" t="s">
        <v>94</v>
      </c>
      <c r="AE1405" t="s">
        <v>94</v>
      </c>
      <c r="AF1405" t="s">
        <v>226</v>
      </c>
      <c r="AG1405" t="s">
        <v>226</v>
      </c>
      <c r="AH1405">
        <v>6</v>
      </c>
      <c r="AI1405" t="s">
        <v>3537</v>
      </c>
      <c r="AJ1405" t="s">
        <v>1976</v>
      </c>
      <c r="AK1405" t="s">
        <v>2416</v>
      </c>
      <c r="AL1405" t="s">
        <v>272</v>
      </c>
    </row>
    <row r="1406" spans="1:38">
      <c r="A1406" t="s">
        <v>6306</v>
      </c>
      <c r="B1406" t="s">
        <v>6307</v>
      </c>
      <c r="C1406" t="s">
        <v>1977</v>
      </c>
      <c r="D1406" t="s">
        <v>1977</v>
      </c>
      <c r="E1406" t="s">
        <v>1975</v>
      </c>
      <c r="F1406" t="s">
        <v>2413</v>
      </c>
      <c r="G1406">
        <v>1</v>
      </c>
      <c r="H1406">
        <v>1</v>
      </c>
      <c r="I1406">
        <v>0.01</v>
      </c>
      <c r="J1406">
        <v>1000</v>
      </c>
      <c r="K1406">
        <v>-0.3</v>
      </c>
      <c r="L1406">
        <v>94.58</v>
      </c>
      <c r="M1406">
        <v>94.86</v>
      </c>
      <c r="N1406">
        <v>94.91</v>
      </c>
      <c r="O1406">
        <v>94.58</v>
      </c>
      <c r="P1406">
        <v>0</v>
      </c>
      <c r="Q1406">
        <v>0</v>
      </c>
      <c r="R1406">
        <v>0</v>
      </c>
      <c r="S1406">
        <v>94.44</v>
      </c>
      <c r="T1406">
        <v>95.37</v>
      </c>
      <c r="U1406">
        <v>94.34</v>
      </c>
      <c r="V1406">
        <v>95.48</v>
      </c>
      <c r="W1406">
        <v>2411173</v>
      </c>
      <c r="X1406">
        <v>94.57</v>
      </c>
      <c r="Y1406">
        <v>94.58</v>
      </c>
      <c r="Z1406">
        <v>96</v>
      </c>
      <c r="AA1406">
        <v>12000000</v>
      </c>
      <c r="AB1406">
        <v>945.8</v>
      </c>
      <c r="AC1406">
        <v>0</v>
      </c>
      <c r="AD1406" t="s">
        <v>94</v>
      </c>
      <c r="AE1406" t="s">
        <v>94</v>
      </c>
      <c r="AF1406" t="s">
        <v>226</v>
      </c>
      <c r="AG1406" t="s">
        <v>226</v>
      </c>
      <c r="AH1406">
        <v>6</v>
      </c>
      <c r="AI1406" t="s">
        <v>3537</v>
      </c>
      <c r="AJ1406" t="s">
        <v>1976</v>
      </c>
      <c r="AK1406" t="s">
        <v>2416</v>
      </c>
      <c r="AL1406" t="s">
        <v>272</v>
      </c>
    </row>
    <row r="1407" spans="1:38">
      <c r="A1407" t="s">
        <v>6308</v>
      </c>
      <c r="B1407" t="s">
        <v>6309</v>
      </c>
      <c r="C1407" t="s">
        <v>6310</v>
      </c>
      <c r="D1407" t="s">
        <v>6310</v>
      </c>
      <c r="E1407" t="s">
        <v>6311</v>
      </c>
      <c r="F1407" t="s">
        <v>2413</v>
      </c>
      <c r="G1407">
        <v>1</v>
      </c>
      <c r="H1407">
        <v>1</v>
      </c>
      <c r="I1407">
        <v>0.01</v>
      </c>
      <c r="J1407">
        <v>1000</v>
      </c>
      <c r="K1407">
        <v>0.31</v>
      </c>
      <c r="L1407">
        <v>96.89</v>
      </c>
      <c r="M1407">
        <v>96.6</v>
      </c>
      <c r="N1407">
        <v>96.65</v>
      </c>
      <c r="O1407">
        <v>96.85</v>
      </c>
      <c r="P1407">
        <v>0</v>
      </c>
      <c r="Q1407">
        <v>0</v>
      </c>
      <c r="R1407">
        <v>0</v>
      </c>
      <c r="S1407">
        <v>96.49</v>
      </c>
      <c r="T1407">
        <v>96.85</v>
      </c>
      <c r="U1407">
        <v>96.12</v>
      </c>
      <c r="V1407">
        <v>96.98</v>
      </c>
      <c r="W1407">
        <v>8805599</v>
      </c>
      <c r="X1407">
        <v>96.66</v>
      </c>
      <c r="Y1407">
        <v>96.89</v>
      </c>
      <c r="Z1407">
        <v>420</v>
      </c>
      <c r="AA1407">
        <v>12000000</v>
      </c>
      <c r="AB1407">
        <v>14533.5</v>
      </c>
      <c r="AC1407">
        <v>0</v>
      </c>
      <c r="AD1407" t="s">
        <v>94</v>
      </c>
      <c r="AE1407" t="s">
        <v>94</v>
      </c>
      <c r="AF1407" t="s">
        <v>226</v>
      </c>
      <c r="AG1407" t="s">
        <v>226</v>
      </c>
      <c r="AH1407">
        <v>8</v>
      </c>
      <c r="AI1407" t="s">
        <v>3537</v>
      </c>
      <c r="AJ1407" t="s">
        <v>1976</v>
      </c>
      <c r="AK1407" t="s">
        <v>2416</v>
      </c>
      <c r="AL1407" t="s">
        <v>272</v>
      </c>
    </row>
    <row r="1408" spans="1:38">
      <c r="A1408" t="s">
        <v>6312</v>
      </c>
      <c r="B1408" t="s">
        <v>6313</v>
      </c>
      <c r="C1408" t="s">
        <v>6314</v>
      </c>
      <c r="D1408" t="s">
        <v>6314</v>
      </c>
      <c r="E1408" t="s">
        <v>6315</v>
      </c>
      <c r="F1408" t="s">
        <v>2413</v>
      </c>
      <c r="G1408">
        <v>1</v>
      </c>
      <c r="H1408">
        <v>1</v>
      </c>
      <c r="I1408">
        <v>0.01</v>
      </c>
      <c r="J1408">
        <v>1000</v>
      </c>
      <c r="K1408">
        <v>0.09</v>
      </c>
      <c r="L1408">
        <v>100.19</v>
      </c>
      <c r="M1408">
        <v>100.1</v>
      </c>
      <c r="N1408">
        <v>100</v>
      </c>
      <c r="O1408">
        <v>100.19</v>
      </c>
      <c r="P1408">
        <v>0</v>
      </c>
      <c r="Q1408">
        <v>0</v>
      </c>
      <c r="R1408">
        <v>0</v>
      </c>
      <c r="S1408">
        <v>100.2</v>
      </c>
      <c r="T1408">
        <v>100.5</v>
      </c>
      <c r="U1408">
        <v>100.16</v>
      </c>
      <c r="V1408">
        <v>100.5</v>
      </c>
      <c r="W1408">
        <v>4969129</v>
      </c>
      <c r="X1408">
        <v>100.18</v>
      </c>
      <c r="Y1408">
        <v>100.19</v>
      </c>
      <c r="Z1408">
        <v>227</v>
      </c>
      <c r="AA1408">
        <v>8500000</v>
      </c>
      <c r="AB1408">
        <v>15028.5</v>
      </c>
      <c r="AC1408">
        <v>0</v>
      </c>
      <c r="AD1408" t="s">
        <v>94</v>
      </c>
      <c r="AE1408" t="s">
        <v>94</v>
      </c>
      <c r="AF1408" t="s">
        <v>226</v>
      </c>
      <c r="AG1408" t="s">
        <v>226</v>
      </c>
      <c r="AH1408">
        <v>8</v>
      </c>
      <c r="AI1408" t="s">
        <v>3537</v>
      </c>
      <c r="AJ1408" t="s">
        <v>1976</v>
      </c>
      <c r="AK1408" t="s">
        <v>2416</v>
      </c>
      <c r="AL1408" t="s">
        <v>272</v>
      </c>
    </row>
    <row r="1409" spans="1:38">
      <c r="A1409" t="s">
        <v>6316</v>
      </c>
      <c r="B1409" t="s">
        <v>6317</v>
      </c>
      <c r="C1409" t="s">
        <v>6318</v>
      </c>
      <c r="D1409" t="s">
        <v>6318</v>
      </c>
      <c r="E1409" t="s">
        <v>6319</v>
      </c>
      <c r="F1409" t="s">
        <v>2413</v>
      </c>
      <c r="G1409">
        <v>3</v>
      </c>
      <c r="H1409">
        <v>1</v>
      </c>
      <c r="I1409">
        <v>0.01</v>
      </c>
      <c r="J1409">
        <v>1000</v>
      </c>
      <c r="K1409">
        <v>-0.31</v>
      </c>
      <c r="L1409">
        <v>95.5</v>
      </c>
      <c r="M1409">
        <v>95.8</v>
      </c>
      <c r="N1409">
        <v>95.58</v>
      </c>
      <c r="O1409">
        <v>95.49</v>
      </c>
      <c r="P1409">
        <v>0</v>
      </c>
      <c r="Q1409">
        <v>0</v>
      </c>
      <c r="R1409">
        <v>0</v>
      </c>
      <c r="S1409">
        <v>95.26</v>
      </c>
      <c r="T1409">
        <v>95.81</v>
      </c>
      <c r="U1409">
        <v>95.2</v>
      </c>
      <c r="V1409">
        <v>95.82</v>
      </c>
      <c r="W1409">
        <v>1408937</v>
      </c>
      <c r="X1409">
        <v>95.49</v>
      </c>
      <c r="Y1409">
        <v>95.65</v>
      </c>
      <c r="Z1409">
        <v>91</v>
      </c>
      <c r="AA1409">
        <v>3000000</v>
      </c>
      <c r="AB1409">
        <v>955</v>
      </c>
      <c r="AC1409">
        <v>0</v>
      </c>
      <c r="AD1409" t="s">
        <v>94</v>
      </c>
      <c r="AE1409" t="s">
        <v>94</v>
      </c>
      <c r="AF1409" t="s">
        <v>226</v>
      </c>
      <c r="AG1409" t="s">
        <v>226</v>
      </c>
      <c r="AH1409">
        <v>6</v>
      </c>
      <c r="AI1409" t="s">
        <v>3537</v>
      </c>
      <c r="AJ1409" t="s">
        <v>1976</v>
      </c>
      <c r="AK1409" t="s">
        <v>2416</v>
      </c>
      <c r="AL1409" t="s">
        <v>272</v>
      </c>
    </row>
    <row r="1410" spans="1:38">
      <c r="A1410" t="s">
        <v>6320</v>
      </c>
      <c r="B1410" t="s">
        <v>6321</v>
      </c>
      <c r="C1410" t="s">
        <v>6322</v>
      </c>
      <c r="D1410" t="s">
        <v>6322</v>
      </c>
      <c r="E1410" t="s">
        <v>6323</v>
      </c>
      <c r="F1410" t="s">
        <v>2413</v>
      </c>
      <c r="G1410">
        <v>3</v>
      </c>
      <c r="H1410">
        <v>1</v>
      </c>
      <c r="I1410">
        <v>0.01</v>
      </c>
      <c r="J1410">
        <v>1000</v>
      </c>
      <c r="K1410">
        <v>0.7</v>
      </c>
      <c r="L1410">
        <v>84.6</v>
      </c>
      <c r="M1410">
        <v>84.11</v>
      </c>
      <c r="N1410">
        <v>84.1</v>
      </c>
      <c r="O1410">
        <v>84.6</v>
      </c>
      <c r="P1410">
        <v>0</v>
      </c>
      <c r="Q1410">
        <v>0</v>
      </c>
      <c r="R1410">
        <v>0</v>
      </c>
      <c r="S1410">
        <v>84.31</v>
      </c>
      <c r="T1410">
        <v>84.01</v>
      </c>
      <c r="U1410">
        <v>84.01</v>
      </c>
      <c r="V1410">
        <v>84.6</v>
      </c>
      <c r="W1410">
        <v>70820</v>
      </c>
      <c r="X1410">
        <v>84.6</v>
      </c>
      <c r="Y1410">
        <v>84.8</v>
      </c>
      <c r="Z1410">
        <v>13</v>
      </c>
      <c r="AA1410">
        <v>1000000</v>
      </c>
      <c r="AB1410">
        <v>4230</v>
      </c>
      <c r="AC1410">
        <v>0</v>
      </c>
      <c r="AD1410" t="s">
        <v>94</v>
      </c>
      <c r="AE1410" t="s">
        <v>94</v>
      </c>
      <c r="AF1410" t="s">
        <v>226</v>
      </c>
      <c r="AG1410" t="s">
        <v>226</v>
      </c>
      <c r="AH1410">
        <v>6</v>
      </c>
      <c r="AI1410" t="s">
        <v>3537</v>
      </c>
      <c r="AJ1410" t="s">
        <v>1976</v>
      </c>
      <c r="AK1410" t="s">
        <v>2416</v>
      </c>
      <c r="AL1410" t="s">
        <v>272</v>
      </c>
    </row>
    <row r="1411" spans="1:38">
      <c r="A1411" t="s">
        <v>6324</v>
      </c>
      <c r="B1411" t="s">
        <v>6325</v>
      </c>
      <c r="C1411" t="s">
        <v>6326</v>
      </c>
      <c r="D1411" t="s">
        <v>6326</v>
      </c>
      <c r="E1411" t="s">
        <v>6327</v>
      </c>
      <c r="F1411" t="s">
        <v>2425</v>
      </c>
      <c r="G1411">
        <v>1</v>
      </c>
      <c r="H1411">
        <v>1</v>
      </c>
      <c r="I1411">
        <v>0.01</v>
      </c>
      <c r="J1411">
        <v>1000</v>
      </c>
      <c r="K1411">
        <v>0</v>
      </c>
      <c r="L1411">
        <v>0</v>
      </c>
      <c r="M1411">
        <v>112.96</v>
      </c>
      <c r="N1411">
        <v>0</v>
      </c>
      <c r="O1411">
        <v>112.96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101.04</v>
      </c>
      <c r="Y1411">
        <v>112.92</v>
      </c>
      <c r="Z1411">
        <v>0</v>
      </c>
      <c r="AA1411">
        <v>5000000</v>
      </c>
      <c r="AB1411">
        <v>0</v>
      </c>
      <c r="AC1411">
        <v>0</v>
      </c>
      <c r="AD1411" t="s">
        <v>94</v>
      </c>
      <c r="AE1411" t="s">
        <v>94</v>
      </c>
      <c r="AF1411" t="s">
        <v>226</v>
      </c>
      <c r="AG1411" t="s">
        <v>226</v>
      </c>
      <c r="AH1411">
        <v>-100</v>
      </c>
      <c r="AI1411" t="s">
        <v>3537</v>
      </c>
      <c r="AJ1411" t="s">
        <v>1976</v>
      </c>
      <c r="AK1411" t="s">
        <v>2426</v>
      </c>
      <c r="AL1411" t="s">
        <v>272</v>
      </c>
    </row>
    <row r="1412" spans="1:38">
      <c r="A1412" t="s">
        <v>6328</v>
      </c>
      <c r="B1412" t="s">
        <v>6329</v>
      </c>
      <c r="C1412" t="s">
        <v>6330</v>
      </c>
      <c r="D1412" t="s">
        <v>6330</v>
      </c>
      <c r="E1412" t="s">
        <v>6331</v>
      </c>
      <c r="F1412" t="s">
        <v>2425</v>
      </c>
      <c r="G1412">
        <v>1</v>
      </c>
      <c r="H1412">
        <v>1</v>
      </c>
      <c r="I1412">
        <v>0.01</v>
      </c>
      <c r="J1412">
        <v>1000</v>
      </c>
      <c r="K1412">
        <v>6.07</v>
      </c>
      <c r="L1412">
        <v>111.72</v>
      </c>
      <c r="M1412">
        <v>105.33</v>
      </c>
      <c r="N1412">
        <v>0</v>
      </c>
      <c r="O1412">
        <v>111.72</v>
      </c>
      <c r="P1412">
        <v>0</v>
      </c>
      <c r="Q1412">
        <v>0</v>
      </c>
      <c r="R1412">
        <v>0</v>
      </c>
      <c r="S1412">
        <v>109.73</v>
      </c>
      <c r="T1412">
        <v>107.73</v>
      </c>
      <c r="U1412">
        <v>107.73</v>
      </c>
      <c r="V1412">
        <v>111.72</v>
      </c>
      <c r="W1412">
        <v>2195</v>
      </c>
      <c r="X1412">
        <v>107.73</v>
      </c>
      <c r="Y1412">
        <v>111.72</v>
      </c>
      <c r="Z1412">
        <v>2</v>
      </c>
      <c r="AA1412">
        <v>5000000</v>
      </c>
      <c r="AB1412">
        <v>1117.2</v>
      </c>
      <c r="AC1412">
        <v>0</v>
      </c>
      <c r="AD1412" t="s">
        <v>94</v>
      </c>
      <c r="AE1412" t="s">
        <v>94</v>
      </c>
      <c r="AF1412" t="s">
        <v>226</v>
      </c>
      <c r="AG1412" t="s">
        <v>226</v>
      </c>
      <c r="AH1412">
        <v>-100</v>
      </c>
      <c r="AI1412" t="s">
        <v>3537</v>
      </c>
      <c r="AJ1412" t="s">
        <v>1976</v>
      </c>
      <c r="AK1412" t="s">
        <v>2426</v>
      </c>
      <c r="AL1412" t="s">
        <v>272</v>
      </c>
    </row>
    <row r="1413" spans="1:38">
      <c r="A1413" t="s">
        <v>6332</v>
      </c>
      <c r="B1413" t="s">
        <v>6333</v>
      </c>
      <c r="C1413" t="s">
        <v>6334</v>
      </c>
      <c r="D1413" t="s">
        <v>6334</v>
      </c>
      <c r="E1413" t="s">
        <v>6335</v>
      </c>
      <c r="F1413" t="s">
        <v>2425</v>
      </c>
      <c r="G1413">
        <v>1</v>
      </c>
      <c r="H1413">
        <v>1</v>
      </c>
      <c r="I1413">
        <v>0.01</v>
      </c>
      <c r="J1413">
        <v>1000</v>
      </c>
      <c r="K1413">
        <v>0</v>
      </c>
      <c r="L1413">
        <v>0</v>
      </c>
      <c r="M1413">
        <v>112.49</v>
      </c>
      <c r="N1413">
        <v>0</v>
      </c>
      <c r="O1413">
        <v>112.49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96.01</v>
      </c>
      <c r="Y1413">
        <v>0</v>
      </c>
      <c r="Z1413">
        <v>0</v>
      </c>
      <c r="AA1413">
        <v>5000000</v>
      </c>
      <c r="AB1413">
        <v>0</v>
      </c>
      <c r="AC1413">
        <v>0</v>
      </c>
      <c r="AD1413" t="s">
        <v>94</v>
      </c>
      <c r="AE1413" t="s">
        <v>94</v>
      </c>
      <c r="AF1413" t="s">
        <v>226</v>
      </c>
      <c r="AG1413" t="s">
        <v>226</v>
      </c>
      <c r="AH1413">
        <v>-100</v>
      </c>
      <c r="AI1413" t="s">
        <v>3537</v>
      </c>
      <c r="AJ1413" t="s">
        <v>1976</v>
      </c>
      <c r="AK1413" t="s">
        <v>2426</v>
      </c>
      <c r="AL1413" t="s">
        <v>272</v>
      </c>
    </row>
    <row r="1414" spans="1:38">
      <c r="A1414" t="s">
        <v>6336</v>
      </c>
      <c r="B1414" t="s">
        <v>6337</v>
      </c>
      <c r="C1414" t="s">
        <v>6338</v>
      </c>
      <c r="D1414" t="s">
        <v>6338</v>
      </c>
      <c r="E1414" t="s">
        <v>6339</v>
      </c>
      <c r="F1414" t="s">
        <v>2425</v>
      </c>
      <c r="G1414">
        <v>1</v>
      </c>
      <c r="H1414">
        <v>1</v>
      </c>
      <c r="I1414">
        <v>0.01</v>
      </c>
      <c r="J1414">
        <v>1000</v>
      </c>
      <c r="K1414">
        <v>0</v>
      </c>
      <c r="L1414">
        <v>0</v>
      </c>
      <c r="M1414">
        <v>89</v>
      </c>
      <c r="N1414">
        <v>0</v>
      </c>
      <c r="O1414">
        <v>89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86.01</v>
      </c>
      <c r="Y1414">
        <v>88.99</v>
      </c>
      <c r="Z1414">
        <v>0</v>
      </c>
      <c r="AA1414">
        <v>5000000</v>
      </c>
      <c r="AB1414">
        <v>0</v>
      </c>
      <c r="AC1414">
        <v>0</v>
      </c>
      <c r="AD1414" t="s">
        <v>94</v>
      </c>
      <c r="AE1414" t="s">
        <v>94</v>
      </c>
      <c r="AF1414" t="s">
        <v>226</v>
      </c>
      <c r="AG1414" t="s">
        <v>226</v>
      </c>
      <c r="AH1414">
        <v>-100</v>
      </c>
      <c r="AI1414" t="s">
        <v>3537</v>
      </c>
      <c r="AJ1414" t="s">
        <v>1976</v>
      </c>
      <c r="AK1414" t="s">
        <v>2426</v>
      </c>
      <c r="AL1414" t="s">
        <v>272</v>
      </c>
    </row>
    <row r="1415" spans="1:38">
      <c r="A1415" t="s">
        <v>6340</v>
      </c>
      <c r="B1415" t="s">
        <v>6341</v>
      </c>
      <c r="C1415" t="s">
        <v>6342</v>
      </c>
      <c r="D1415" t="s">
        <v>6342</v>
      </c>
      <c r="E1415" t="s">
        <v>6343</v>
      </c>
      <c r="F1415" t="s">
        <v>2425</v>
      </c>
      <c r="G1415">
        <v>1</v>
      </c>
      <c r="H1415">
        <v>1</v>
      </c>
      <c r="I1415">
        <v>0.01</v>
      </c>
      <c r="J1415">
        <v>1000</v>
      </c>
      <c r="K1415">
        <v>0</v>
      </c>
      <c r="L1415">
        <v>0</v>
      </c>
      <c r="M1415">
        <v>116.3</v>
      </c>
      <c r="N1415">
        <v>0</v>
      </c>
      <c r="O1415">
        <v>116.3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88.01</v>
      </c>
      <c r="Y1415">
        <v>0</v>
      </c>
      <c r="Z1415">
        <v>0</v>
      </c>
      <c r="AA1415">
        <v>5000000</v>
      </c>
      <c r="AB1415">
        <v>0</v>
      </c>
      <c r="AC1415">
        <v>0</v>
      </c>
      <c r="AD1415" t="s">
        <v>94</v>
      </c>
      <c r="AE1415" t="s">
        <v>94</v>
      </c>
      <c r="AF1415" t="s">
        <v>226</v>
      </c>
      <c r="AG1415" t="s">
        <v>226</v>
      </c>
      <c r="AH1415">
        <v>-100</v>
      </c>
      <c r="AI1415" t="s">
        <v>3537</v>
      </c>
      <c r="AJ1415" t="s">
        <v>1976</v>
      </c>
      <c r="AK1415" t="s">
        <v>2426</v>
      </c>
      <c r="AL1415" t="s">
        <v>272</v>
      </c>
    </row>
    <row r="1416" spans="1:38">
      <c r="A1416" t="s">
        <v>6344</v>
      </c>
      <c r="B1416" t="s">
        <v>6345</v>
      </c>
      <c r="C1416" t="s">
        <v>6346</v>
      </c>
      <c r="D1416" t="s">
        <v>6346</v>
      </c>
      <c r="E1416" t="s">
        <v>6347</v>
      </c>
      <c r="F1416" t="s">
        <v>2413</v>
      </c>
      <c r="G1416">
        <v>3</v>
      </c>
      <c r="H1416">
        <v>1</v>
      </c>
      <c r="I1416">
        <v>0.01</v>
      </c>
      <c r="J1416">
        <v>1000</v>
      </c>
      <c r="K1416">
        <v>0</v>
      </c>
      <c r="L1416">
        <v>0</v>
      </c>
      <c r="M1416">
        <v>96.44</v>
      </c>
      <c r="N1416">
        <v>0</v>
      </c>
      <c r="O1416">
        <v>96.44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91.51</v>
      </c>
      <c r="Y1416">
        <v>96.29</v>
      </c>
      <c r="Z1416">
        <v>0</v>
      </c>
      <c r="AA1416">
        <v>5000000</v>
      </c>
      <c r="AB1416">
        <v>0</v>
      </c>
      <c r="AC1416">
        <v>0</v>
      </c>
      <c r="AD1416" t="s">
        <v>94</v>
      </c>
      <c r="AE1416" t="s">
        <v>94</v>
      </c>
      <c r="AF1416" t="s">
        <v>226</v>
      </c>
      <c r="AG1416" t="s">
        <v>226</v>
      </c>
      <c r="AH1416">
        <v>6</v>
      </c>
      <c r="AI1416" t="s">
        <v>3537</v>
      </c>
      <c r="AJ1416" t="s">
        <v>1976</v>
      </c>
      <c r="AK1416" t="s">
        <v>2416</v>
      </c>
      <c r="AL1416" t="s">
        <v>272</v>
      </c>
    </row>
    <row r="1417" spans="1:38">
      <c r="A1417" t="s">
        <v>6348</v>
      </c>
      <c r="B1417" t="s">
        <v>6349</v>
      </c>
      <c r="C1417" t="s">
        <v>6350</v>
      </c>
      <c r="D1417" t="s">
        <v>6350</v>
      </c>
      <c r="E1417" t="s">
        <v>6351</v>
      </c>
      <c r="F1417" t="s">
        <v>2425</v>
      </c>
      <c r="G1417">
        <v>3</v>
      </c>
      <c r="H1417">
        <v>1</v>
      </c>
      <c r="I1417">
        <v>0.01</v>
      </c>
      <c r="J1417">
        <v>239.1</v>
      </c>
      <c r="K1417">
        <v>0</v>
      </c>
      <c r="L1417">
        <v>0</v>
      </c>
      <c r="M1417">
        <v>102.51</v>
      </c>
      <c r="N1417">
        <v>0</v>
      </c>
      <c r="O1417">
        <v>102.51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92.51</v>
      </c>
      <c r="Y1417">
        <v>0</v>
      </c>
      <c r="Z1417">
        <v>0</v>
      </c>
      <c r="AA1417">
        <v>3003000</v>
      </c>
      <c r="AB1417">
        <v>0</v>
      </c>
      <c r="AC1417">
        <v>0</v>
      </c>
      <c r="AD1417" t="s">
        <v>94</v>
      </c>
      <c r="AE1417" t="s">
        <v>94</v>
      </c>
      <c r="AF1417" t="s">
        <v>304</v>
      </c>
      <c r="AG1417" t="s">
        <v>226</v>
      </c>
      <c r="AH1417">
        <v>0</v>
      </c>
      <c r="AI1417" t="s">
        <v>3537</v>
      </c>
      <c r="AJ1417" t="s">
        <v>1976</v>
      </c>
      <c r="AK1417" t="s">
        <v>2426</v>
      </c>
      <c r="AL1417" t="s">
        <v>272</v>
      </c>
    </row>
    <row r="1418" spans="1:38">
      <c r="A1418" t="s">
        <v>6352</v>
      </c>
      <c r="B1418" t="s">
        <v>6353</v>
      </c>
      <c r="C1418" t="s">
        <v>6354</v>
      </c>
      <c r="D1418" t="s">
        <v>6354</v>
      </c>
      <c r="E1418" t="s">
        <v>6355</v>
      </c>
      <c r="F1418" t="s">
        <v>2425</v>
      </c>
      <c r="G1418">
        <v>1</v>
      </c>
      <c r="H1418">
        <v>1</v>
      </c>
      <c r="I1418">
        <v>0.01</v>
      </c>
      <c r="J1418">
        <v>215.57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73.010000000000005</v>
      </c>
      <c r="Y1418">
        <v>0</v>
      </c>
      <c r="Z1418">
        <v>0</v>
      </c>
      <c r="AA1418">
        <v>2663462</v>
      </c>
      <c r="AB1418">
        <v>0</v>
      </c>
      <c r="AC1418">
        <v>0</v>
      </c>
      <c r="AD1418" t="s">
        <v>94</v>
      </c>
      <c r="AE1418" t="s">
        <v>94</v>
      </c>
      <c r="AF1418" t="s">
        <v>226</v>
      </c>
      <c r="AG1418" t="s">
        <v>226</v>
      </c>
      <c r="AH1418">
        <v>-100</v>
      </c>
      <c r="AI1418" t="s">
        <v>3537</v>
      </c>
      <c r="AJ1418" t="s">
        <v>1976</v>
      </c>
      <c r="AK1418" t="s">
        <v>2426</v>
      </c>
      <c r="AL1418" t="s">
        <v>272</v>
      </c>
    </row>
    <row r="1419" spans="1:38">
      <c r="A1419" t="s">
        <v>6356</v>
      </c>
      <c r="B1419" t="s">
        <v>6357</v>
      </c>
      <c r="C1419" t="s">
        <v>6358</v>
      </c>
      <c r="D1419" t="s">
        <v>6358</v>
      </c>
      <c r="E1419" t="s">
        <v>6359</v>
      </c>
      <c r="F1419" t="s">
        <v>2425</v>
      </c>
      <c r="G1419">
        <v>1</v>
      </c>
      <c r="H1419">
        <v>1</v>
      </c>
      <c r="I1419">
        <v>0.01</v>
      </c>
      <c r="J1419">
        <v>128.21</v>
      </c>
      <c r="K1419">
        <v>-0.01</v>
      </c>
      <c r="L1419">
        <v>76.459999999999994</v>
      </c>
      <c r="M1419">
        <v>76.47</v>
      </c>
      <c r="N1419">
        <v>76.37</v>
      </c>
      <c r="O1419">
        <v>76.489999999999995</v>
      </c>
      <c r="P1419">
        <v>0</v>
      </c>
      <c r="Q1419">
        <v>0</v>
      </c>
      <c r="R1419">
        <v>0</v>
      </c>
      <c r="S1419">
        <v>76.510000000000005</v>
      </c>
      <c r="T1419">
        <v>76.599999999999994</v>
      </c>
      <c r="U1419">
        <v>76.459999999999994</v>
      </c>
      <c r="V1419">
        <v>76.63</v>
      </c>
      <c r="W1419">
        <v>4708</v>
      </c>
      <c r="X1419">
        <v>76.459999999999994</v>
      </c>
      <c r="Y1419">
        <v>76.63</v>
      </c>
      <c r="Z1419">
        <v>9</v>
      </c>
      <c r="AA1419">
        <v>4751314</v>
      </c>
      <c r="AB1419">
        <v>686.21</v>
      </c>
      <c r="AC1419">
        <v>0</v>
      </c>
      <c r="AD1419" t="s">
        <v>94</v>
      </c>
      <c r="AE1419" t="s">
        <v>94</v>
      </c>
      <c r="AF1419" t="s">
        <v>226</v>
      </c>
      <c r="AG1419" t="s">
        <v>226</v>
      </c>
      <c r="AH1419">
        <v>-100</v>
      </c>
      <c r="AI1419" t="s">
        <v>3537</v>
      </c>
      <c r="AJ1419" t="s">
        <v>1976</v>
      </c>
      <c r="AK1419" t="s">
        <v>2426</v>
      </c>
      <c r="AL1419" t="s">
        <v>272</v>
      </c>
    </row>
    <row r="1420" spans="1:38">
      <c r="A1420" t="s">
        <v>6360</v>
      </c>
      <c r="B1420" t="s">
        <v>6361</v>
      </c>
      <c r="C1420" t="s">
        <v>6362</v>
      </c>
      <c r="D1420" t="s">
        <v>6362</v>
      </c>
      <c r="E1420" t="s">
        <v>6363</v>
      </c>
      <c r="F1420" t="s">
        <v>2425</v>
      </c>
      <c r="G1420">
        <v>1</v>
      </c>
      <c r="H1420">
        <v>1</v>
      </c>
      <c r="I1420">
        <v>0.01</v>
      </c>
      <c r="J1420">
        <v>278.94</v>
      </c>
      <c r="K1420">
        <v>1.41</v>
      </c>
      <c r="L1420">
        <v>66.88</v>
      </c>
      <c r="M1420">
        <v>65.989999999999995</v>
      </c>
      <c r="N1420">
        <v>65.959999999999994</v>
      </c>
      <c r="O1420">
        <v>66.900000000000006</v>
      </c>
      <c r="P1420">
        <v>0</v>
      </c>
      <c r="Q1420">
        <v>0</v>
      </c>
      <c r="R1420">
        <v>0</v>
      </c>
      <c r="S1420">
        <v>66.89</v>
      </c>
      <c r="T1420">
        <v>66.86</v>
      </c>
      <c r="U1420">
        <v>66.86</v>
      </c>
      <c r="V1420">
        <v>66.91</v>
      </c>
      <c r="W1420">
        <v>1120</v>
      </c>
      <c r="X1420">
        <v>66.88</v>
      </c>
      <c r="Y1420">
        <v>66.95</v>
      </c>
      <c r="Z1420">
        <v>3</v>
      </c>
      <c r="AA1420">
        <v>7207044</v>
      </c>
      <c r="AB1420">
        <v>373.11</v>
      </c>
      <c r="AC1420">
        <v>0</v>
      </c>
      <c r="AD1420" t="s">
        <v>94</v>
      </c>
      <c r="AE1420" t="s">
        <v>94</v>
      </c>
      <c r="AF1420" t="s">
        <v>226</v>
      </c>
      <c r="AG1420" t="s">
        <v>226</v>
      </c>
      <c r="AH1420">
        <v>-100</v>
      </c>
      <c r="AI1420" t="s">
        <v>3537</v>
      </c>
      <c r="AJ1420" t="s">
        <v>1976</v>
      </c>
      <c r="AK1420" t="s">
        <v>2426</v>
      </c>
      <c r="AL1420" t="s">
        <v>272</v>
      </c>
    </row>
    <row r="1421" spans="1:38">
      <c r="A1421" t="s">
        <v>6364</v>
      </c>
      <c r="B1421" t="s">
        <v>6365</v>
      </c>
      <c r="C1421" t="s">
        <v>6366</v>
      </c>
      <c r="D1421" t="s">
        <v>6366</v>
      </c>
      <c r="E1421" t="s">
        <v>6367</v>
      </c>
      <c r="F1421" t="s">
        <v>2425</v>
      </c>
      <c r="G1421">
        <v>1</v>
      </c>
      <c r="H1421">
        <v>1</v>
      </c>
      <c r="I1421">
        <v>0.01</v>
      </c>
      <c r="J1421">
        <v>160.62</v>
      </c>
      <c r="K1421">
        <v>0</v>
      </c>
      <c r="L1421">
        <v>0</v>
      </c>
      <c r="M1421">
        <v>71.16</v>
      </c>
      <c r="N1421">
        <v>71.010000000000005</v>
      </c>
      <c r="O1421">
        <v>71.16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71.34</v>
      </c>
      <c r="Y1421">
        <v>71.349999999999994</v>
      </c>
      <c r="Z1421">
        <v>0</v>
      </c>
      <c r="AA1421">
        <v>6187764</v>
      </c>
      <c r="AB1421">
        <v>0</v>
      </c>
      <c r="AC1421">
        <v>0</v>
      </c>
      <c r="AD1421" t="s">
        <v>94</v>
      </c>
      <c r="AE1421" t="s">
        <v>94</v>
      </c>
      <c r="AF1421" t="s">
        <v>226</v>
      </c>
      <c r="AG1421" t="s">
        <v>226</v>
      </c>
      <c r="AH1421">
        <v>-100</v>
      </c>
      <c r="AI1421" t="s">
        <v>3537</v>
      </c>
      <c r="AJ1421" t="s">
        <v>1976</v>
      </c>
      <c r="AK1421" t="s">
        <v>2426</v>
      </c>
      <c r="AL1421" t="s">
        <v>272</v>
      </c>
    </row>
    <row r="1422" spans="1:38">
      <c r="A1422" t="s">
        <v>6368</v>
      </c>
      <c r="B1422" t="s">
        <v>6369</v>
      </c>
      <c r="C1422" t="s">
        <v>6370</v>
      </c>
      <c r="D1422" t="s">
        <v>6370</v>
      </c>
      <c r="E1422" t="s">
        <v>6371</v>
      </c>
      <c r="F1422" t="s">
        <v>2425</v>
      </c>
      <c r="G1422">
        <v>1</v>
      </c>
      <c r="H1422">
        <v>1</v>
      </c>
      <c r="I1422">
        <v>0.01</v>
      </c>
      <c r="J1422">
        <v>127.22</v>
      </c>
      <c r="K1422">
        <v>0</v>
      </c>
      <c r="L1422">
        <v>79.02</v>
      </c>
      <c r="M1422">
        <v>79.02</v>
      </c>
      <c r="N1422">
        <v>79.02</v>
      </c>
      <c r="O1422">
        <v>79</v>
      </c>
      <c r="P1422">
        <v>0</v>
      </c>
      <c r="Q1422">
        <v>0</v>
      </c>
      <c r="R1422">
        <v>0</v>
      </c>
      <c r="S1422">
        <v>79</v>
      </c>
      <c r="T1422">
        <v>79.02</v>
      </c>
      <c r="U1422">
        <v>78.94</v>
      </c>
      <c r="V1422">
        <v>79.02</v>
      </c>
      <c r="W1422">
        <v>3015</v>
      </c>
      <c r="X1422">
        <v>78.95</v>
      </c>
      <c r="Y1422">
        <v>79.010000000000005</v>
      </c>
      <c r="Z1422">
        <v>11</v>
      </c>
      <c r="AA1422">
        <v>74263788</v>
      </c>
      <c r="AB1422">
        <v>603.17999999999995</v>
      </c>
      <c r="AC1422">
        <v>0</v>
      </c>
      <c r="AD1422" t="s">
        <v>94</v>
      </c>
      <c r="AE1422" t="s">
        <v>94</v>
      </c>
      <c r="AF1422" t="s">
        <v>226</v>
      </c>
      <c r="AG1422" t="s">
        <v>226</v>
      </c>
      <c r="AH1422">
        <v>-100</v>
      </c>
      <c r="AI1422" t="s">
        <v>3537</v>
      </c>
      <c r="AJ1422" t="s">
        <v>1976</v>
      </c>
      <c r="AK1422" t="s">
        <v>2426</v>
      </c>
      <c r="AL1422" t="s">
        <v>272</v>
      </c>
    </row>
    <row r="1423" spans="1:38">
      <c r="A1423" t="s">
        <v>6372</v>
      </c>
      <c r="B1423" t="s">
        <v>6373</v>
      </c>
      <c r="C1423" t="s">
        <v>6374</v>
      </c>
      <c r="D1423" t="s">
        <v>6374</v>
      </c>
      <c r="E1423" t="s">
        <v>6375</v>
      </c>
      <c r="F1423" t="s">
        <v>2425</v>
      </c>
      <c r="G1423">
        <v>1</v>
      </c>
      <c r="H1423">
        <v>1</v>
      </c>
      <c r="I1423">
        <v>0.01</v>
      </c>
      <c r="J1423">
        <v>238.46</v>
      </c>
      <c r="K1423">
        <v>0</v>
      </c>
      <c r="L1423">
        <v>0</v>
      </c>
      <c r="M1423">
        <v>83.01</v>
      </c>
      <c r="N1423">
        <v>0</v>
      </c>
      <c r="O1423">
        <v>83.01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73.010000000000005</v>
      </c>
      <c r="Y1423">
        <v>83.01</v>
      </c>
      <c r="Z1423">
        <v>0</v>
      </c>
      <c r="AA1423">
        <v>46088517</v>
      </c>
      <c r="AB1423">
        <v>0</v>
      </c>
      <c r="AC1423">
        <v>0</v>
      </c>
      <c r="AD1423" t="s">
        <v>94</v>
      </c>
      <c r="AE1423" t="s">
        <v>94</v>
      </c>
      <c r="AF1423" t="s">
        <v>226</v>
      </c>
      <c r="AG1423" t="s">
        <v>226</v>
      </c>
      <c r="AH1423">
        <v>-100</v>
      </c>
      <c r="AI1423" t="s">
        <v>3537</v>
      </c>
      <c r="AJ1423" t="s">
        <v>1976</v>
      </c>
      <c r="AK1423" t="s">
        <v>2426</v>
      </c>
      <c r="AL1423" t="s">
        <v>272</v>
      </c>
    </row>
    <row r="1424" spans="1:38">
      <c r="A1424" t="s">
        <v>6376</v>
      </c>
      <c r="B1424" t="s">
        <v>6377</v>
      </c>
      <c r="C1424" t="s">
        <v>6378</v>
      </c>
      <c r="D1424" t="s">
        <v>6378</v>
      </c>
      <c r="E1424" t="s">
        <v>6379</v>
      </c>
      <c r="F1424" t="s">
        <v>2425</v>
      </c>
      <c r="G1424">
        <v>1</v>
      </c>
      <c r="H1424">
        <v>1</v>
      </c>
      <c r="I1424">
        <v>0.01</v>
      </c>
      <c r="J1424">
        <v>155</v>
      </c>
      <c r="K1424">
        <v>-0.18</v>
      </c>
      <c r="L1424">
        <v>78.760000000000005</v>
      </c>
      <c r="M1424">
        <v>78.900000000000006</v>
      </c>
      <c r="N1424">
        <v>78.06</v>
      </c>
      <c r="O1424">
        <v>78.8</v>
      </c>
      <c r="P1424">
        <v>0</v>
      </c>
      <c r="Q1424">
        <v>0</v>
      </c>
      <c r="R1424">
        <v>0</v>
      </c>
      <c r="S1424">
        <v>78.819999999999993</v>
      </c>
      <c r="T1424">
        <v>78.87</v>
      </c>
      <c r="U1424">
        <v>78.760000000000005</v>
      </c>
      <c r="V1424">
        <v>78.900000000000006</v>
      </c>
      <c r="W1424">
        <v>5009</v>
      </c>
      <c r="X1424">
        <v>78.760000000000005</v>
      </c>
      <c r="Y1424">
        <v>78.94</v>
      </c>
      <c r="Z1424">
        <v>14</v>
      </c>
      <c r="AA1424">
        <v>5149941</v>
      </c>
      <c r="AB1424">
        <v>1098.7</v>
      </c>
      <c r="AC1424">
        <v>0</v>
      </c>
      <c r="AD1424" t="s">
        <v>94</v>
      </c>
      <c r="AE1424" t="s">
        <v>94</v>
      </c>
      <c r="AF1424" t="s">
        <v>226</v>
      </c>
      <c r="AG1424" t="s">
        <v>226</v>
      </c>
      <c r="AH1424">
        <v>-100</v>
      </c>
      <c r="AI1424" t="s">
        <v>3537</v>
      </c>
      <c r="AJ1424" t="s">
        <v>1976</v>
      </c>
      <c r="AK1424" t="s">
        <v>2426</v>
      </c>
      <c r="AL1424" t="s">
        <v>272</v>
      </c>
    </row>
    <row r="1425" spans="1:38">
      <c r="A1425" t="s">
        <v>6380</v>
      </c>
      <c r="B1425" t="s">
        <v>6381</v>
      </c>
      <c r="C1425" t="s">
        <v>6382</v>
      </c>
      <c r="D1425" t="s">
        <v>6382</v>
      </c>
      <c r="E1425" t="s">
        <v>6383</v>
      </c>
      <c r="F1425" t="s">
        <v>2425</v>
      </c>
      <c r="G1425">
        <v>1</v>
      </c>
      <c r="H1425">
        <v>1</v>
      </c>
      <c r="I1425">
        <v>0.01</v>
      </c>
      <c r="J1425">
        <v>178.27</v>
      </c>
      <c r="K1425">
        <v>-0.21</v>
      </c>
      <c r="L1425">
        <v>79.48</v>
      </c>
      <c r="M1425">
        <v>79.650000000000006</v>
      </c>
      <c r="N1425">
        <v>78.180000000000007</v>
      </c>
      <c r="O1425">
        <v>79.540000000000006</v>
      </c>
      <c r="P1425">
        <v>0</v>
      </c>
      <c r="Q1425">
        <v>0</v>
      </c>
      <c r="R1425">
        <v>0</v>
      </c>
      <c r="S1425">
        <v>79.56</v>
      </c>
      <c r="T1425">
        <v>79.650000000000006</v>
      </c>
      <c r="U1425">
        <v>79.48</v>
      </c>
      <c r="V1425">
        <v>79.680000000000007</v>
      </c>
      <c r="W1425">
        <v>7091</v>
      </c>
      <c r="X1425">
        <v>79.48</v>
      </c>
      <c r="Y1425">
        <v>79.72</v>
      </c>
      <c r="Z1425">
        <v>15</v>
      </c>
      <c r="AA1425">
        <v>72973525</v>
      </c>
      <c r="AB1425">
        <v>850.13</v>
      </c>
      <c r="AC1425">
        <v>0</v>
      </c>
      <c r="AD1425" t="s">
        <v>94</v>
      </c>
      <c r="AE1425" t="s">
        <v>94</v>
      </c>
      <c r="AF1425" t="s">
        <v>226</v>
      </c>
      <c r="AG1425" t="s">
        <v>226</v>
      </c>
      <c r="AH1425">
        <v>-100</v>
      </c>
      <c r="AI1425" t="s">
        <v>3537</v>
      </c>
      <c r="AJ1425" t="s">
        <v>1976</v>
      </c>
      <c r="AK1425" t="s">
        <v>2426</v>
      </c>
      <c r="AL1425" t="s">
        <v>272</v>
      </c>
    </row>
    <row r="1426" spans="1:38">
      <c r="A1426" t="s">
        <v>6384</v>
      </c>
      <c r="B1426" t="s">
        <v>6385</v>
      </c>
      <c r="C1426" t="s">
        <v>6386</v>
      </c>
      <c r="D1426" t="s">
        <v>6386</v>
      </c>
      <c r="E1426" t="s">
        <v>6387</v>
      </c>
      <c r="F1426" t="s">
        <v>2425</v>
      </c>
      <c r="G1426">
        <v>1</v>
      </c>
      <c r="H1426">
        <v>1</v>
      </c>
      <c r="I1426">
        <v>0.01</v>
      </c>
      <c r="J1426">
        <v>216.23</v>
      </c>
      <c r="K1426">
        <v>0</v>
      </c>
      <c r="L1426">
        <v>68.19</v>
      </c>
      <c r="M1426">
        <v>68.19</v>
      </c>
      <c r="N1426">
        <v>75.599999999999994</v>
      </c>
      <c r="O1426">
        <v>68.19</v>
      </c>
      <c r="P1426">
        <v>0</v>
      </c>
      <c r="Q1426">
        <v>0</v>
      </c>
      <c r="R1426">
        <v>0</v>
      </c>
      <c r="S1426">
        <v>68.05</v>
      </c>
      <c r="T1426">
        <v>68.09</v>
      </c>
      <c r="U1426">
        <v>68.010000000000005</v>
      </c>
      <c r="V1426">
        <v>68.19</v>
      </c>
      <c r="W1426">
        <v>16775</v>
      </c>
      <c r="X1426">
        <v>68.02</v>
      </c>
      <c r="Y1426">
        <v>68.19</v>
      </c>
      <c r="Z1426">
        <v>14</v>
      </c>
      <c r="AA1426">
        <v>95652798</v>
      </c>
      <c r="AB1426">
        <v>294.89</v>
      </c>
      <c r="AC1426">
        <v>0</v>
      </c>
      <c r="AD1426" t="s">
        <v>94</v>
      </c>
      <c r="AE1426" t="s">
        <v>94</v>
      </c>
      <c r="AF1426" t="s">
        <v>226</v>
      </c>
      <c r="AG1426" t="s">
        <v>226</v>
      </c>
      <c r="AH1426">
        <v>-100</v>
      </c>
      <c r="AI1426" t="s">
        <v>3537</v>
      </c>
      <c r="AJ1426" t="s">
        <v>1976</v>
      </c>
      <c r="AK1426" t="s">
        <v>2426</v>
      </c>
      <c r="AL1426" t="s">
        <v>272</v>
      </c>
    </row>
    <row r="1427" spans="1:38">
      <c r="A1427" t="s">
        <v>6388</v>
      </c>
      <c r="B1427" t="s">
        <v>6389</v>
      </c>
      <c r="C1427" t="s">
        <v>6390</v>
      </c>
      <c r="D1427" t="s">
        <v>6390</v>
      </c>
      <c r="E1427" t="s">
        <v>6391</v>
      </c>
      <c r="F1427" t="s">
        <v>2425</v>
      </c>
      <c r="G1427">
        <v>1</v>
      </c>
      <c r="H1427">
        <v>1</v>
      </c>
      <c r="I1427">
        <v>0.01</v>
      </c>
      <c r="J1427">
        <v>246.02</v>
      </c>
      <c r="K1427">
        <v>0</v>
      </c>
      <c r="L1427">
        <v>0</v>
      </c>
      <c r="M1427">
        <v>74.5</v>
      </c>
      <c r="N1427">
        <v>0</v>
      </c>
      <c r="O1427">
        <v>74.5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68.010000000000005</v>
      </c>
      <c r="Y1427">
        <v>0</v>
      </c>
      <c r="Z1427">
        <v>0</v>
      </c>
      <c r="AA1427">
        <v>4923727</v>
      </c>
      <c r="AB1427">
        <v>0</v>
      </c>
      <c r="AC1427">
        <v>0</v>
      </c>
      <c r="AD1427" t="s">
        <v>94</v>
      </c>
      <c r="AE1427" t="s">
        <v>94</v>
      </c>
      <c r="AF1427" t="s">
        <v>226</v>
      </c>
      <c r="AG1427" t="s">
        <v>226</v>
      </c>
      <c r="AH1427">
        <v>-100</v>
      </c>
      <c r="AI1427" t="s">
        <v>3537</v>
      </c>
      <c r="AJ1427" t="s">
        <v>1976</v>
      </c>
      <c r="AK1427" t="s">
        <v>2426</v>
      </c>
      <c r="AL1427" t="s">
        <v>272</v>
      </c>
    </row>
    <row r="1428" spans="1:38">
      <c r="A1428" t="s">
        <v>6392</v>
      </c>
      <c r="B1428" t="s">
        <v>6393</v>
      </c>
      <c r="C1428" t="s">
        <v>6394</v>
      </c>
      <c r="D1428" t="s">
        <v>6394</v>
      </c>
      <c r="E1428" t="s">
        <v>6395</v>
      </c>
      <c r="F1428" t="s">
        <v>2425</v>
      </c>
      <c r="G1428">
        <v>1</v>
      </c>
      <c r="H1428">
        <v>1</v>
      </c>
      <c r="I1428">
        <v>0.01</v>
      </c>
      <c r="J1428">
        <v>272.24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24085632</v>
      </c>
      <c r="AB1428">
        <v>0</v>
      </c>
      <c r="AC1428">
        <v>0</v>
      </c>
      <c r="AD1428" t="s">
        <v>94</v>
      </c>
      <c r="AE1428" t="s">
        <v>94</v>
      </c>
      <c r="AF1428" t="s">
        <v>226</v>
      </c>
      <c r="AG1428" t="s">
        <v>226</v>
      </c>
      <c r="AH1428">
        <v>-100</v>
      </c>
      <c r="AI1428" t="s">
        <v>3537</v>
      </c>
      <c r="AJ1428" t="s">
        <v>1976</v>
      </c>
      <c r="AK1428" t="s">
        <v>2426</v>
      </c>
      <c r="AL1428" t="s">
        <v>272</v>
      </c>
    </row>
    <row r="1429" spans="1:38">
      <c r="A1429" t="s">
        <v>6396</v>
      </c>
      <c r="B1429" t="s">
        <v>6397</v>
      </c>
      <c r="C1429" t="s">
        <v>6398</v>
      </c>
      <c r="D1429" t="s">
        <v>6398</v>
      </c>
      <c r="E1429" t="s">
        <v>6399</v>
      </c>
      <c r="F1429" t="s">
        <v>2425</v>
      </c>
      <c r="G1429">
        <v>1</v>
      </c>
      <c r="H1429">
        <v>1</v>
      </c>
      <c r="I1429">
        <v>0.01</v>
      </c>
      <c r="J1429">
        <v>226.51</v>
      </c>
      <c r="K1429">
        <v>0</v>
      </c>
      <c r="L1429">
        <v>73.3</v>
      </c>
      <c r="M1429">
        <v>73.3</v>
      </c>
      <c r="N1429">
        <v>75.989999999999995</v>
      </c>
      <c r="O1429">
        <v>73.3</v>
      </c>
      <c r="P1429">
        <v>0</v>
      </c>
      <c r="Q1429">
        <v>0</v>
      </c>
      <c r="R1429">
        <v>0</v>
      </c>
      <c r="S1429">
        <v>73.31</v>
      </c>
      <c r="T1429">
        <v>79.989999999999995</v>
      </c>
      <c r="U1429">
        <v>73.3</v>
      </c>
      <c r="V1429">
        <v>79.989999999999995</v>
      </c>
      <c r="W1429">
        <v>204738</v>
      </c>
      <c r="X1429">
        <v>73.12</v>
      </c>
      <c r="Y1429">
        <v>73.3</v>
      </c>
      <c r="Z1429">
        <v>9</v>
      </c>
      <c r="AA1429">
        <v>96608082</v>
      </c>
      <c r="AB1429">
        <v>166.03</v>
      </c>
      <c r="AC1429">
        <v>0</v>
      </c>
      <c r="AD1429" t="s">
        <v>94</v>
      </c>
      <c r="AE1429" t="s">
        <v>94</v>
      </c>
      <c r="AF1429" t="s">
        <v>226</v>
      </c>
      <c r="AG1429" t="s">
        <v>226</v>
      </c>
      <c r="AH1429">
        <v>-100</v>
      </c>
      <c r="AI1429" t="s">
        <v>3537</v>
      </c>
      <c r="AJ1429" t="s">
        <v>1976</v>
      </c>
      <c r="AK1429" t="s">
        <v>2426</v>
      </c>
      <c r="AL1429" t="s">
        <v>272</v>
      </c>
    </row>
    <row r="1430" spans="1:38">
      <c r="A1430" t="s">
        <v>6400</v>
      </c>
      <c r="B1430" t="s">
        <v>6401</v>
      </c>
      <c r="C1430" t="s">
        <v>6402</v>
      </c>
      <c r="D1430" t="s">
        <v>6402</v>
      </c>
      <c r="E1430" t="s">
        <v>6403</v>
      </c>
      <c r="F1430" t="s">
        <v>2425</v>
      </c>
      <c r="G1430">
        <v>1</v>
      </c>
      <c r="H1430">
        <v>1</v>
      </c>
      <c r="I1430">
        <v>0.01</v>
      </c>
      <c r="J1430">
        <v>303.32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6652643</v>
      </c>
      <c r="AB1430">
        <v>0</v>
      </c>
      <c r="AC1430">
        <v>0</v>
      </c>
      <c r="AD1430" t="s">
        <v>94</v>
      </c>
      <c r="AE1430" t="s">
        <v>94</v>
      </c>
      <c r="AF1430" t="s">
        <v>226</v>
      </c>
      <c r="AG1430" t="s">
        <v>226</v>
      </c>
      <c r="AH1430">
        <v>-100</v>
      </c>
      <c r="AI1430" t="s">
        <v>3537</v>
      </c>
      <c r="AJ1430" t="s">
        <v>1976</v>
      </c>
      <c r="AK1430" t="s">
        <v>2426</v>
      </c>
      <c r="AL1430" t="s">
        <v>272</v>
      </c>
    </row>
    <row r="1431" spans="1:38">
      <c r="A1431" t="s">
        <v>6404</v>
      </c>
      <c r="B1431" t="s">
        <v>6405</v>
      </c>
      <c r="C1431" t="s">
        <v>6406</v>
      </c>
      <c r="D1431" t="s">
        <v>6406</v>
      </c>
      <c r="E1431" t="s">
        <v>6407</v>
      </c>
      <c r="F1431" t="s">
        <v>2425</v>
      </c>
      <c r="G1431">
        <v>1</v>
      </c>
      <c r="H1431">
        <v>1</v>
      </c>
      <c r="I1431">
        <v>0.01</v>
      </c>
      <c r="J1431">
        <v>249.43</v>
      </c>
      <c r="K1431">
        <v>0</v>
      </c>
      <c r="L1431">
        <v>0</v>
      </c>
      <c r="M1431">
        <v>65.63</v>
      </c>
      <c r="N1431">
        <v>70.27</v>
      </c>
      <c r="O1431">
        <v>65.63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65.599999999999994</v>
      </c>
      <c r="Y1431">
        <v>65.62</v>
      </c>
      <c r="Z1431">
        <v>0</v>
      </c>
      <c r="AA1431">
        <v>16252739</v>
      </c>
      <c r="AB1431">
        <v>0</v>
      </c>
      <c r="AC1431">
        <v>0</v>
      </c>
      <c r="AD1431" t="s">
        <v>94</v>
      </c>
      <c r="AE1431" t="s">
        <v>94</v>
      </c>
      <c r="AF1431" t="s">
        <v>226</v>
      </c>
      <c r="AG1431" t="s">
        <v>226</v>
      </c>
      <c r="AH1431">
        <v>-100</v>
      </c>
      <c r="AI1431" t="s">
        <v>3537</v>
      </c>
      <c r="AJ1431" t="s">
        <v>1976</v>
      </c>
      <c r="AK1431" t="s">
        <v>2426</v>
      </c>
      <c r="AL1431" t="s">
        <v>272</v>
      </c>
    </row>
    <row r="1432" spans="1:38">
      <c r="A1432" t="s">
        <v>6408</v>
      </c>
      <c r="B1432" t="s">
        <v>6409</v>
      </c>
      <c r="C1432" t="s">
        <v>6410</v>
      </c>
      <c r="D1432" t="s">
        <v>6410</v>
      </c>
      <c r="E1432" t="s">
        <v>6411</v>
      </c>
      <c r="F1432" t="s">
        <v>2425</v>
      </c>
      <c r="G1432">
        <v>1</v>
      </c>
      <c r="H1432">
        <v>1</v>
      </c>
      <c r="I1432">
        <v>0.01</v>
      </c>
      <c r="J1432">
        <v>318.86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1035600</v>
      </c>
      <c r="AB1432">
        <v>0</v>
      </c>
      <c r="AC1432">
        <v>0</v>
      </c>
      <c r="AD1432" t="s">
        <v>94</v>
      </c>
      <c r="AE1432" t="s">
        <v>94</v>
      </c>
      <c r="AF1432" t="s">
        <v>226</v>
      </c>
      <c r="AG1432" t="s">
        <v>226</v>
      </c>
      <c r="AH1432">
        <v>-100</v>
      </c>
      <c r="AI1432" t="s">
        <v>3537</v>
      </c>
      <c r="AJ1432" t="s">
        <v>1976</v>
      </c>
      <c r="AK1432" t="s">
        <v>2426</v>
      </c>
      <c r="AL1432" t="s">
        <v>272</v>
      </c>
    </row>
    <row r="1433" spans="1:38">
      <c r="A1433" t="s">
        <v>6412</v>
      </c>
      <c r="B1433" t="s">
        <v>6413</v>
      </c>
      <c r="C1433" t="s">
        <v>6414</v>
      </c>
      <c r="D1433" t="s">
        <v>6414</v>
      </c>
      <c r="E1433" t="s">
        <v>6415</v>
      </c>
      <c r="F1433" t="s">
        <v>2425</v>
      </c>
      <c r="G1433">
        <v>1</v>
      </c>
      <c r="H1433">
        <v>1</v>
      </c>
      <c r="I1433">
        <v>0.01</v>
      </c>
      <c r="J1433">
        <v>353.12</v>
      </c>
      <c r="K1433">
        <v>0</v>
      </c>
      <c r="L1433">
        <v>0</v>
      </c>
      <c r="M1433">
        <v>94</v>
      </c>
      <c r="N1433">
        <v>0</v>
      </c>
      <c r="O1433">
        <v>94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55.01</v>
      </c>
      <c r="Y1433">
        <v>0</v>
      </c>
      <c r="Z1433">
        <v>0</v>
      </c>
      <c r="AA1433">
        <v>7244692</v>
      </c>
      <c r="AB1433">
        <v>0</v>
      </c>
      <c r="AC1433">
        <v>0</v>
      </c>
      <c r="AD1433" t="s">
        <v>94</v>
      </c>
      <c r="AE1433" t="s">
        <v>94</v>
      </c>
      <c r="AF1433" t="s">
        <v>226</v>
      </c>
      <c r="AG1433" t="s">
        <v>226</v>
      </c>
      <c r="AH1433">
        <v>-100</v>
      </c>
      <c r="AI1433" t="s">
        <v>3537</v>
      </c>
      <c r="AJ1433" t="s">
        <v>1976</v>
      </c>
      <c r="AK1433" t="s">
        <v>2426</v>
      </c>
      <c r="AL1433" t="s">
        <v>272</v>
      </c>
    </row>
    <row r="1434" spans="1:38">
      <c r="A1434" t="s">
        <v>6416</v>
      </c>
      <c r="B1434" t="s">
        <v>6417</v>
      </c>
      <c r="C1434" t="s">
        <v>6418</v>
      </c>
      <c r="D1434" t="s">
        <v>6418</v>
      </c>
      <c r="E1434" t="s">
        <v>6419</v>
      </c>
      <c r="F1434" t="s">
        <v>2425</v>
      </c>
      <c r="G1434">
        <v>1</v>
      </c>
      <c r="H1434">
        <v>1</v>
      </c>
      <c r="I1434">
        <v>0.01</v>
      </c>
      <c r="J1434">
        <v>361.15</v>
      </c>
      <c r="K1434">
        <v>0.28999999999999998</v>
      </c>
      <c r="L1434">
        <v>64.650000000000006</v>
      </c>
      <c r="M1434">
        <v>64.48</v>
      </c>
      <c r="N1434">
        <v>65.52</v>
      </c>
      <c r="O1434">
        <v>64.64</v>
      </c>
      <c r="P1434">
        <v>0</v>
      </c>
      <c r="Q1434">
        <v>0</v>
      </c>
      <c r="R1434">
        <v>0</v>
      </c>
      <c r="S1434">
        <v>64.64</v>
      </c>
      <c r="T1434">
        <v>64.62</v>
      </c>
      <c r="U1434">
        <v>64.62</v>
      </c>
      <c r="V1434">
        <v>64.650000000000006</v>
      </c>
      <c r="W1434">
        <v>1868</v>
      </c>
      <c r="X1434">
        <v>64.599999999999994</v>
      </c>
      <c r="Y1434">
        <v>64.69</v>
      </c>
      <c r="Z1434">
        <v>3</v>
      </c>
      <c r="AA1434">
        <v>14018879</v>
      </c>
      <c r="AB1434">
        <v>1167.42</v>
      </c>
      <c r="AC1434">
        <v>0</v>
      </c>
      <c r="AD1434" t="s">
        <v>94</v>
      </c>
      <c r="AE1434" t="s">
        <v>94</v>
      </c>
      <c r="AF1434" t="s">
        <v>226</v>
      </c>
      <c r="AG1434" t="s">
        <v>226</v>
      </c>
      <c r="AH1434">
        <v>-100</v>
      </c>
      <c r="AI1434" t="s">
        <v>3537</v>
      </c>
      <c r="AJ1434" t="s">
        <v>1976</v>
      </c>
      <c r="AK1434" t="s">
        <v>2426</v>
      </c>
      <c r="AL1434" t="s">
        <v>272</v>
      </c>
    </row>
    <row r="1435" spans="1:38">
      <c r="A1435" t="s">
        <v>6420</v>
      </c>
      <c r="B1435" t="s">
        <v>6421</v>
      </c>
      <c r="C1435" t="s">
        <v>6422</v>
      </c>
      <c r="D1435" t="s">
        <v>6422</v>
      </c>
      <c r="E1435" t="s">
        <v>6423</v>
      </c>
      <c r="F1435" t="s">
        <v>2413</v>
      </c>
      <c r="G1435">
        <v>3</v>
      </c>
      <c r="H1435">
        <v>1</v>
      </c>
      <c r="I1435">
        <v>0.01</v>
      </c>
      <c r="J1435">
        <v>102.3</v>
      </c>
      <c r="K1435">
        <v>-1.3</v>
      </c>
      <c r="L1435">
        <v>93.54</v>
      </c>
      <c r="M1435">
        <v>94.77</v>
      </c>
      <c r="N1435">
        <v>94.81</v>
      </c>
      <c r="O1435">
        <v>93.64</v>
      </c>
      <c r="P1435">
        <v>0</v>
      </c>
      <c r="Q1435">
        <v>0</v>
      </c>
      <c r="R1435">
        <v>0</v>
      </c>
      <c r="S1435">
        <v>94.29</v>
      </c>
      <c r="T1435">
        <v>94.76</v>
      </c>
      <c r="U1435">
        <v>93.06</v>
      </c>
      <c r="V1435">
        <v>94.95</v>
      </c>
      <c r="W1435">
        <v>744492</v>
      </c>
      <c r="X1435">
        <v>93.56</v>
      </c>
      <c r="Y1435">
        <v>93.91</v>
      </c>
      <c r="Z1435">
        <v>562</v>
      </c>
      <c r="AA1435">
        <v>5622500</v>
      </c>
      <c r="AB1435">
        <v>95.69</v>
      </c>
      <c r="AC1435">
        <v>0</v>
      </c>
      <c r="AD1435" t="s">
        <v>94</v>
      </c>
      <c r="AE1435" t="s">
        <v>94</v>
      </c>
      <c r="AF1435" t="s">
        <v>226</v>
      </c>
      <c r="AG1435" t="s">
        <v>226</v>
      </c>
      <c r="AH1435">
        <v>-100</v>
      </c>
      <c r="AI1435" t="s">
        <v>3537</v>
      </c>
      <c r="AJ1435" t="s">
        <v>1976</v>
      </c>
      <c r="AK1435" t="s">
        <v>2416</v>
      </c>
      <c r="AL1435" t="s">
        <v>272</v>
      </c>
    </row>
    <row r="1436" spans="1:38">
      <c r="A1436" t="s">
        <v>6424</v>
      </c>
      <c r="B1436" t="s">
        <v>6425</v>
      </c>
      <c r="C1436" t="s">
        <v>6426</v>
      </c>
      <c r="D1436" t="s">
        <v>6426</v>
      </c>
      <c r="E1436" t="s">
        <v>6427</v>
      </c>
      <c r="F1436" t="s">
        <v>2413</v>
      </c>
      <c r="G1436">
        <v>3</v>
      </c>
      <c r="H1436">
        <v>1</v>
      </c>
      <c r="I1436">
        <v>0.01</v>
      </c>
      <c r="J1436">
        <v>1000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877500</v>
      </c>
      <c r="AB1436">
        <v>0</v>
      </c>
      <c r="AC1436">
        <v>0</v>
      </c>
      <c r="AD1436" t="s">
        <v>94</v>
      </c>
      <c r="AE1436" t="s">
        <v>94</v>
      </c>
      <c r="AF1436" t="s">
        <v>226</v>
      </c>
      <c r="AG1436" t="s">
        <v>226</v>
      </c>
      <c r="AH1436">
        <v>6</v>
      </c>
      <c r="AI1436" t="s">
        <v>3537</v>
      </c>
      <c r="AJ1436" t="s">
        <v>1976</v>
      </c>
      <c r="AK1436" t="s">
        <v>2416</v>
      </c>
      <c r="AL1436" t="s">
        <v>272</v>
      </c>
    </row>
    <row r="1437" spans="1:38">
      <c r="A1437" t="s">
        <v>6428</v>
      </c>
      <c r="B1437" t="s">
        <v>6429</v>
      </c>
      <c r="C1437" t="s">
        <v>6430</v>
      </c>
      <c r="D1437" t="s">
        <v>6430</v>
      </c>
      <c r="E1437" t="s">
        <v>6431</v>
      </c>
      <c r="F1437" t="s">
        <v>2413</v>
      </c>
      <c r="G1437">
        <v>1</v>
      </c>
      <c r="H1437">
        <v>1</v>
      </c>
      <c r="I1437">
        <v>0.01</v>
      </c>
      <c r="J1437">
        <v>597.62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3087641</v>
      </c>
      <c r="AB1437">
        <v>0</v>
      </c>
      <c r="AC1437">
        <v>0</v>
      </c>
      <c r="AD1437" t="s">
        <v>94</v>
      </c>
      <c r="AE1437" t="s">
        <v>94</v>
      </c>
      <c r="AF1437" t="s">
        <v>226</v>
      </c>
      <c r="AG1437" t="s">
        <v>226</v>
      </c>
      <c r="AH1437">
        <v>-100</v>
      </c>
      <c r="AI1437" t="s">
        <v>3537</v>
      </c>
      <c r="AJ1437" t="s">
        <v>1976</v>
      </c>
      <c r="AK1437" t="s">
        <v>2416</v>
      </c>
      <c r="AL1437" t="s">
        <v>272</v>
      </c>
    </row>
    <row r="1438" spans="1:38">
      <c r="A1438" t="s">
        <v>6432</v>
      </c>
      <c r="B1438" t="s">
        <v>6433</v>
      </c>
      <c r="C1438" t="s">
        <v>6434</v>
      </c>
      <c r="D1438" t="s">
        <v>6434</v>
      </c>
      <c r="E1438" t="s">
        <v>6435</v>
      </c>
      <c r="F1438" t="s">
        <v>2413</v>
      </c>
      <c r="G1438">
        <v>1</v>
      </c>
      <c r="H1438">
        <v>1</v>
      </c>
      <c r="I1438">
        <v>0.01</v>
      </c>
      <c r="J1438">
        <v>597.99</v>
      </c>
      <c r="K1438">
        <v>-13.43</v>
      </c>
      <c r="L1438">
        <v>67.53</v>
      </c>
      <c r="M1438">
        <v>78.010000000000005</v>
      </c>
      <c r="N1438">
        <v>0</v>
      </c>
      <c r="O1438">
        <v>68.849999999999994</v>
      </c>
      <c r="P1438">
        <v>0</v>
      </c>
      <c r="Q1438">
        <v>0</v>
      </c>
      <c r="R1438">
        <v>0</v>
      </c>
      <c r="S1438">
        <v>68.849999999999994</v>
      </c>
      <c r="T1438">
        <v>73.010000000000005</v>
      </c>
      <c r="U1438">
        <v>67.53</v>
      </c>
      <c r="V1438">
        <v>73.010000000000005</v>
      </c>
      <c r="W1438">
        <v>3706</v>
      </c>
      <c r="X1438">
        <v>67.53</v>
      </c>
      <c r="Y1438">
        <v>73.010000000000005</v>
      </c>
      <c r="Z1438">
        <v>3</v>
      </c>
      <c r="AA1438">
        <v>48293483</v>
      </c>
      <c r="AB1438">
        <v>2019.11</v>
      </c>
      <c r="AC1438">
        <v>0</v>
      </c>
      <c r="AD1438" t="s">
        <v>94</v>
      </c>
      <c r="AE1438" t="s">
        <v>94</v>
      </c>
      <c r="AF1438" t="s">
        <v>226</v>
      </c>
      <c r="AG1438" t="s">
        <v>226</v>
      </c>
      <c r="AH1438">
        <v>-100</v>
      </c>
      <c r="AI1438" t="s">
        <v>3537</v>
      </c>
      <c r="AJ1438" t="s">
        <v>1976</v>
      </c>
      <c r="AK1438" t="s">
        <v>2416</v>
      </c>
      <c r="AL1438" t="s">
        <v>272</v>
      </c>
    </row>
    <row r="1439" spans="1:38">
      <c r="A1439" t="s">
        <v>6436</v>
      </c>
      <c r="B1439" t="s">
        <v>6437</v>
      </c>
      <c r="C1439" t="s">
        <v>6438</v>
      </c>
      <c r="D1439" t="s">
        <v>6438</v>
      </c>
      <c r="E1439" t="s">
        <v>6439</v>
      </c>
      <c r="F1439" t="s">
        <v>2413</v>
      </c>
      <c r="G1439">
        <v>1</v>
      </c>
      <c r="H1439">
        <v>1</v>
      </c>
      <c r="I1439">
        <v>0.01</v>
      </c>
      <c r="J1439">
        <v>533.70000000000005</v>
      </c>
      <c r="K1439">
        <v>0.28000000000000003</v>
      </c>
      <c r="L1439">
        <v>63.65</v>
      </c>
      <c r="M1439">
        <v>63.47</v>
      </c>
      <c r="N1439">
        <v>0</v>
      </c>
      <c r="O1439">
        <v>63.65</v>
      </c>
      <c r="P1439">
        <v>0</v>
      </c>
      <c r="Q1439">
        <v>0</v>
      </c>
      <c r="R1439">
        <v>0</v>
      </c>
      <c r="S1439">
        <v>63.65</v>
      </c>
      <c r="T1439">
        <v>63.65</v>
      </c>
      <c r="U1439">
        <v>63.65</v>
      </c>
      <c r="V1439">
        <v>63.65</v>
      </c>
      <c r="W1439">
        <v>340</v>
      </c>
      <c r="X1439">
        <v>63.63</v>
      </c>
      <c r="Y1439">
        <v>63.65</v>
      </c>
      <c r="Z1439">
        <v>1</v>
      </c>
      <c r="AA1439">
        <v>1857260</v>
      </c>
      <c r="AB1439">
        <v>339.7</v>
      </c>
      <c r="AC1439">
        <v>0</v>
      </c>
      <c r="AD1439" t="s">
        <v>94</v>
      </c>
      <c r="AE1439" t="s">
        <v>94</v>
      </c>
      <c r="AF1439" t="s">
        <v>226</v>
      </c>
      <c r="AG1439" t="s">
        <v>226</v>
      </c>
      <c r="AH1439">
        <v>-100</v>
      </c>
      <c r="AI1439" t="s">
        <v>3537</v>
      </c>
      <c r="AJ1439" t="s">
        <v>1976</v>
      </c>
      <c r="AK1439" t="s">
        <v>2416</v>
      </c>
      <c r="AL1439" t="s">
        <v>272</v>
      </c>
    </row>
    <row r="1440" spans="1:38">
      <c r="A1440" t="s">
        <v>6440</v>
      </c>
      <c r="B1440" t="s">
        <v>6441</v>
      </c>
      <c r="C1440" t="s">
        <v>6442</v>
      </c>
      <c r="D1440" t="s">
        <v>6442</v>
      </c>
      <c r="E1440" t="s">
        <v>6443</v>
      </c>
      <c r="F1440" t="s">
        <v>2413</v>
      </c>
      <c r="G1440">
        <v>1</v>
      </c>
      <c r="H1440">
        <v>1</v>
      </c>
      <c r="I1440">
        <v>0.01</v>
      </c>
      <c r="J1440">
        <v>590.79</v>
      </c>
      <c r="K1440">
        <v>0.22</v>
      </c>
      <c r="L1440">
        <v>99.22</v>
      </c>
      <c r="M1440">
        <v>99</v>
      </c>
      <c r="N1440">
        <v>98.03</v>
      </c>
      <c r="O1440">
        <v>99.22</v>
      </c>
      <c r="P1440">
        <v>0</v>
      </c>
      <c r="Q1440">
        <v>0</v>
      </c>
      <c r="R1440">
        <v>0</v>
      </c>
      <c r="S1440">
        <v>99.2</v>
      </c>
      <c r="T1440">
        <v>99.2</v>
      </c>
      <c r="U1440">
        <v>99.18</v>
      </c>
      <c r="V1440">
        <v>99.22</v>
      </c>
      <c r="W1440">
        <v>2930</v>
      </c>
      <c r="X1440">
        <v>99.18</v>
      </c>
      <c r="Y1440">
        <v>99.22</v>
      </c>
      <c r="Z1440">
        <v>4</v>
      </c>
      <c r="AA1440">
        <v>5353129</v>
      </c>
      <c r="AB1440">
        <v>586.17999999999995</v>
      </c>
      <c r="AC1440">
        <v>0</v>
      </c>
      <c r="AD1440" t="s">
        <v>94</v>
      </c>
      <c r="AE1440" t="s">
        <v>94</v>
      </c>
      <c r="AF1440" t="s">
        <v>226</v>
      </c>
      <c r="AG1440" t="s">
        <v>226</v>
      </c>
      <c r="AH1440">
        <v>800</v>
      </c>
      <c r="AI1440" t="s">
        <v>3537</v>
      </c>
      <c r="AJ1440" t="s">
        <v>1976</v>
      </c>
      <c r="AK1440" t="s">
        <v>2416</v>
      </c>
      <c r="AL1440" t="s">
        <v>272</v>
      </c>
    </row>
    <row r="1441" spans="1:38">
      <c r="A1441" t="s">
        <v>6444</v>
      </c>
      <c r="B1441" t="s">
        <v>6445</v>
      </c>
      <c r="C1441" t="s">
        <v>6446</v>
      </c>
      <c r="D1441" t="s">
        <v>6446</v>
      </c>
      <c r="E1441" t="s">
        <v>6447</v>
      </c>
      <c r="F1441" t="s">
        <v>2413</v>
      </c>
      <c r="G1441">
        <v>1</v>
      </c>
      <c r="H1441">
        <v>1</v>
      </c>
      <c r="I1441">
        <v>0.01</v>
      </c>
      <c r="J1441">
        <v>544.84</v>
      </c>
      <c r="K1441">
        <v>0</v>
      </c>
      <c r="L1441">
        <v>0</v>
      </c>
      <c r="M1441">
        <v>75.78</v>
      </c>
      <c r="N1441">
        <v>0</v>
      </c>
      <c r="O1441">
        <v>75.78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82.78</v>
      </c>
      <c r="Y1441">
        <v>0</v>
      </c>
      <c r="Z1441">
        <v>0</v>
      </c>
      <c r="AA1441">
        <v>69302783</v>
      </c>
      <c r="AB1441">
        <v>0</v>
      </c>
      <c r="AC1441">
        <v>0</v>
      </c>
      <c r="AD1441" t="s">
        <v>94</v>
      </c>
      <c r="AE1441" t="s">
        <v>94</v>
      </c>
      <c r="AF1441" t="s">
        <v>226</v>
      </c>
      <c r="AG1441" t="s">
        <v>226</v>
      </c>
      <c r="AH1441">
        <v>-100</v>
      </c>
      <c r="AI1441" t="s">
        <v>3537</v>
      </c>
      <c r="AJ1441" t="s">
        <v>1976</v>
      </c>
      <c r="AK1441" t="s">
        <v>2416</v>
      </c>
      <c r="AL1441" t="s">
        <v>272</v>
      </c>
    </row>
    <row r="1442" spans="1:38">
      <c r="A1442" t="s">
        <v>6448</v>
      </c>
      <c r="B1442" t="s">
        <v>6449</v>
      </c>
      <c r="C1442" t="s">
        <v>6450</v>
      </c>
      <c r="D1442" t="s">
        <v>6450</v>
      </c>
      <c r="E1442" t="s">
        <v>6451</v>
      </c>
      <c r="F1442" t="s">
        <v>2413</v>
      </c>
      <c r="G1442">
        <v>1</v>
      </c>
      <c r="H1442">
        <v>1</v>
      </c>
      <c r="I1442">
        <v>0.01</v>
      </c>
      <c r="J1442">
        <v>647.95000000000005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10093385</v>
      </c>
      <c r="AB1442">
        <v>0</v>
      </c>
      <c r="AC1442">
        <v>0</v>
      </c>
      <c r="AD1442" t="s">
        <v>94</v>
      </c>
      <c r="AE1442" t="s">
        <v>94</v>
      </c>
      <c r="AF1442" t="s">
        <v>226</v>
      </c>
      <c r="AG1442" t="s">
        <v>226</v>
      </c>
      <c r="AH1442">
        <v>-100</v>
      </c>
      <c r="AI1442" t="s">
        <v>3537</v>
      </c>
      <c r="AJ1442" t="s">
        <v>1976</v>
      </c>
      <c r="AK1442" t="s">
        <v>2416</v>
      </c>
      <c r="AL1442" t="s">
        <v>272</v>
      </c>
    </row>
    <row r="1443" spans="1:38">
      <c r="A1443" t="s">
        <v>6452</v>
      </c>
      <c r="B1443" t="s">
        <v>6453</v>
      </c>
      <c r="C1443" t="s">
        <v>6454</v>
      </c>
      <c r="D1443" t="s">
        <v>6454</v>
      </c>
      <c r="E1443" t="s">
        <v>6455</v>
      </c>
      <c r="F1443" t="s">
        <v>2413</v>
      </c>
      <c r="G1443">
        <v>1</v>
      </c>
      <c r="H1443">
        <v>1</v>
      </c>
      <c r="I1443">
        <v>0.01</v>
      </c>
      <c r="J1443">
        <v>576.67999999999995</v>
      </c>
      <c r="K1443">
        <v>-0.21</v>
      </c>
      <c r="L1443">
        <v>79.5</v>
      </c>
      <c r="M1443">
        <v>79.67</v>
      </c>
      <c r="N1443">
        <v>84.51</v>
      </c>
      <c r="O1443">
        <v>79.5</v>
      </c>
      <c r="P1443">
        <v>0</v>
      </c>
      <c r="Q1443">
        <v>0</v>
      </c>
      <c r="R1443">
        <v>0</v>
      </c>
      <c r="S1443">
        <v>79.52</v>
      </c>
      <c r="T1443">
        <v>79.67</v>
      </c>
      <c r="U1443">
        <v>79.5</v>
      </c>
      <c r="V1443">
        <v>79.67</v>
      </c>
      <c r="W1443">
        <v>5503</v>
      </c>
      <c r="X1443">
        <v>79.5</v>
      </c>
      <c r="Y1443">
        <v>79.66</v>
      </c>
      <c r="Z1443">
        <v>3</v>
      </c>
      <c r="AA1443">
        <v>207605030</v>
      </c>
      <c r="AB1443">
        <v>4584.6099999999997</v>
      </c>
      <c r="AC1443">
        <v>0</v>
      </c>
      <c r="AD1443" t="s">
        <v>94</v>
      </c>
      <c r="AE1443" t="s">
        <v>94</v>
      </c>
      <c r="AF1443" t="s">
        <v>226</v>
      </c>
      <c r="AG1443" t="s">
        <v>226</v>
      </c>
      <c r="AH1443">
        <v>-100</v>
      </c>
      <c r="AI1443" t="s">
        <v>3537</v>
      </c>
      <c r="AJ1443" t="s">
        <v>1976</v>
      </c>
      <c r="AK1443" t="s">
        <v>2416</v>
      </c>
      <c r="AL1443" t="s">
        <v>272</v>
      </c>
    </row>
    <row r="1444" spans="1:38">
      <c r="A1444" t="s">
        <v>6456</v>
      </c>
      <c r="B1444" t="s">
        <v>6457</v>
      </c>
      <c r="C1444" t="s">
        <v>6458</v>
      </c>
      <c r="D1444" t="s">
        <v>6458</v>
      </c>
      <c r="E1444" t="s">
        <v>6459</v>
      </c>
      <c r="F1444" t="s">
        <v>2413</v>
      </c>
      <c r="G1444">
        <v>1</v>
      </c>
      <c r="H1444">
        <v>1</v>
      </c>
      <c r="I1444">
        <v>0.01</v>
      </c>
      <c r="J1444">
        <v>588.61</v>
      </c>
      <c r="K1444">
        <v>0</v>
      </c>
      <c r="L1444">
        <v>0</v>
      </c>
      <c r="M1444">
        <v>66.88</v>
      </c>
      <c r="N1444">
        <v>69.319999999999993</v>
      </c>
      <c r="O1444">
        <v>66.88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66.900000000000006</v>
      </c>
      <c r="Y1444">
        <v>66.92</v>
      </c>
      <c r="Z1444">
        <v>0</v>
      </c>
      <c r="AA1444">
        <v>31410336</v>
      </c>
      <c r="AB1444">
        <v>0</v>
      </c>
      <c r="AC1444">
        <v>0</v>
      </c>
      <c r="AD1444" t="s">
        <v>94</v>
      </c>
      <c r="AE1444" t="s">
        <v>94</v>
      </c>
      <c r="AF1444" t="s">
        <v>226</v>
      </c>
      <c r="AG1444" t="s">
        <v>226</v>
      </c>
      <c r="AH1444">
        <v>-100</v>
      </c>
      <c r="AI1444" t="s">
        <v>3537</v>
      </c>
      <c r="AJ1444" t="s">
        <v>1976</v>
      </c>
      <c r="AK1444" t="s">
        <v>2416</v>
      </c>
      <c r="AL1444" t="s">
        <v>272</v>
      </c>
    </row>
    <row r="1445" spans="1:38">
      <c r="A1445" t="s">
        <v>6460</v>
      </c>
      <c r="B1445" t="s">
        <v>6461</v>
      </c>
      <c r="C1445" t="s">
        <v>6462</v>
      </c>
      <c r="D1445" t="s">
        <v>6462</v>
      </c>
      <c r="E1445" t="s">
        <v>6463</v>
      </c>
      <c r="F1445" t="s">
        <v>2413</v>
      </c>
      <c r="G1445">
        <v>1</v>
      </c>
      <c r="H1445">
        <v>1</v>
      </c>
      <c r="I1445">
        <v>0.01</v>
      </c>
      <c r="J1445">
        <v>713.2</v>
      </c>
      <c r="K1445">
        <v>0</v>
      </c>
      <c r="L1445">
        <v>0</v>
      </c>
      <c r="M1445">
        <v>98.67</v>
      </c>
      <c r="N1445">
        <v>98.5</v>
      </c>
      <c r="O1445">
        <v>98.67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98.7</v>
      </c>
      <c r="Y1445">
        <v>98.72</v>
      </c>
      <c r="Z1445">
        <v>0</v>
      </c>
      <c r="AA1445">
        <v>6183696</v>
      </c>
      <c r="AB1445">
        <v>0</v>
      </c>
      <c r="AC1445">
        <v>0</v>
      </c>
      <c r="AD1445" t="s">
        <v>94</v>
      </c>
      <c r="AE1445" t="s">
        <v>94</v>
      </c>
      <c r="AF1445" t="s">
        <v>304</v>
      </c>
      <c r="AG1445" t="s">
        <v>226</v>
      </c>
      <c r="AH1445">
        <v>800</v>
      </c>
      <c r="AI1445" t="s">
        <v>3537</v>
      </c>
      <c r="AJ1445" t="s">
        <v>1976</v>
      </c>
      <c r="AK1445" t="s">
        <v>2416</v>
      </c>
      <c r="AL1445" t="s">
        <v>272</v>
      </c>
    </row>
    <row r="1446" spans="1:38">
      <c r="A1446" t="s">
        <v>6464</v>
      </c>
      <c r="B1446" t="s">
        <v>6465</v>
      </c>
      <c r="C1446" t="s">
        <v>6466</v>
      </c>
      <c r="D1446" t="s">
        <v>6466</v>
      </c>
      <c r="E1446" t="s">
        <v>6467</v>
      </c>
      <c r="F1446" t="s">
        <v>2413</v>
      </c>
      <c r="G1446">
        <v>1</v>
      </c>
      <c r="H1446">
        <v>1</v>
      </c>
      <c r="I1446">
        <v>0.01</v>
      </c>
      <c r="J1446">
        <v>648.72</v>
      </c>
      <c r="K1446">
        <v>0</v>
      </c>
      <c r="L1446">
        <v>0</v>
      </c>
      <c r="M1446">
        <v>81.5</v>
      </c>
      <c r="N1446">
        <v>0</v>
      </c>
      <c r="O1446">
        <v>81.5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76.89</v>
      </c>
      <c r="Y1446">
        <v>81.5</v>
      </c>
      <c r="Z1446">
        <v>0</v>
      </c>
      <c r="AA1446">
        <v>155407080</v>
      </c>
      <c r="AB1446">
        <v>0</v>
      </c>
      <c r="AC1446">
        <v>0</v>
      </c>
      <c r="AD1446" t="s">
        <v>94</v>
      </c>
      <c r="AE1446" t="s">
        <v>94</v>
      </c>
      <c r="AF1446" t="s">
        <v>226</v>
      </c>
      <c r="AG1446" t="s">
        <v>226</v>
      </c>
      <c r="AH1446">
        <v>-100</v>
      </c>
      <c r="AI1446" t="s">
        <v>3537</v>
      </c>
      <c r="AJ1446" t="s">
        <v>1976</v>
      </c>
      <c r="AK1446" t="s">
        <v>2416</v>
      </c>
      <c r="AL1446" t="s">
        <v>272</v>
      </c>
    </row>
    <row r="1447" spans="1:38">
      <c r="A1447" t="s">
        <v>6468</v>
      </c>
      <c r="B1447" t="s">
        <v>6469</v>
      </c>
      <c r="C1447" t="s">
        <v>6470</v>
      </c>
      <c r="D1447" t="s">
        <v>6470</v>
      </c>
      <c r="E1447" t="s">
        <v>6471</v>
      </c>
      <c r="F1447" t="s">
        <v>2413</v>
      </c>
      <c r="G1447">
        <v>1</v>
      </c>
      <c r="H1447">
        <v>1</v>
      </c>
      <c r="I1447">
        <v>0.01</v>
      </c>
      <c r="J1447">
        <v>721.47</v>
      </c>
      <c r="K1447">
        <v>0</v>
      </c>
      <c r="L1447">
        <v>0</v>
      </c>
      <c r="M1447">
        <v>80</v>
      </c>
      <c r="N1447">
        <v>83.53</v>
      </c>
      <c r="O1447">
        <v>80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76.010000000000005</v>
      </c>
      <c r="Y1447">
        <v>0</v>
      </c>
      <c r="Z1447">
        <v>0</v>
      </c>
      <c r="AA1447">
        <v>2317051</v>
      </c>
      <c r="AB1447">
        <v>0</v>
      </c>
      <c r="AC1447">
        <v>0</v>
      </c>
      <c r="AD1447" t="s">
        <v>94</v>
      </c>
      <c r="AE1447" t="s">
        <v>94</v>
      </c>
      <c r="AF1447" t="s">
        <v>226</v>
      </c>
      <c r="AG1447" t="s">
        <v>226</v>
      </c>
      <c r="AH1447">
        <v>-100</v>
      </c>
      <c r="AI1447" t="s">
        <v>3537</v>
      </c>
      <c r="AJ1447" t="s">
        <v>1976</v>
      </c>
      <c r="AK1447" t="s">
        <v>2416</v>
      </c>
      <c r="AL1447" t="s">
        <v>272</v>
      </c>
    </row>
    <row r="1448" spans="1:38">
      <c r="A1448" t="s">
        <v>6472</v>
      </c>
      <c r="B1448" t="s">
        <v>6473</v>
      </c>
      <c r="C1448" t="s">
        <v>6474</v>
      </c>
      <c r="D1448" t="s">
        <v>6474</v>
      </c>
      <c r="E1448" t="s">
        <v>6475</v>
      </c>
      <c r="F1448" t="s">
        <v>2413</v>
      </c>
      <c r="G1448">
        <v>1</v>
      </c>
      <c r="H1448">
        <v>1</v>
      </c>
      <c r="I1448">
        <v>0.01</v>
      </c>
      <c r="J1448">
        <v>772.13</v>
      </c>
      <c r="K1448">
        <v>0</v>
      </c>
      <c r="L1448">
        <v>0</v>
      </c>
      <c r="M1448">
        <v>99.07</v>
      </c>
      <c r="N1448">
        <v>98.96</v>
      </c>
      <c r="O1448">
        <v>99.07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99.1</v>
      </c>
      <c r="Y1448">
        <v>99.12</v>
      </c>
      <c r="Z1448">
        <v>0</v>
      </c>
      <c r="AA1448">
        <v>6638733</v>
      </c>
      <c r="AB1448">
        <v>0</v>
      </c>
      <c r="AC1448">
        <v>0</v>
      </c>
      <c r="AD1448" t="s">
        <v>94</v>
      </c>
      <c r="AE1448" t="s">
        <v>94</v>
      </c>
      <c r="AF1448" t="s">
        <v>304</v>
      </c>
      <c r="AG1448" t="s">
        <v>226</v>
      </c>
      <c r="AH1448">
        <v>800</v>
      </c>
      <c r="AI1448" t="s">
        <v>3537</v>
      </c>
      <c r="AJ1448" t="s">
        <v>1976</v>
      </c>
      <c r="AK1448" t="s">
        <v>2416</v>
      </c>
      <c r="AL1448" t="s">
        <v>272</v>
      </c>
    </row>
    <row r="1449" spans="1:38">
      <c r="A1449" t="s">
        <v>6476</v>
      </c>
      <c r="B1449" t="s">
        <v>6477</v>
      </c>
      <c r="C1449" t="s">
        <v>6478</v>
      </c>
      <c r="D1449" t="s">
        <v>6478</v>
      </c>
      <c r="E1449" t="s">
        <v>6479</v>
      </c>
      <c r="F1449" t="s">
        <v>2413</v>
      </c>
      <c r="G1449">
        <v>1</v>
      </c>
      <c r="H1449">
        <v>1</v>
      </c>
      <c r="I1449">
        <v>0.01</v>
      </c>
      <c r="J1449">
        <v>755.33</v>
      </c>
      <c r="K1449">
        <v>0</v>
      </c>
      <c r="L1449">
        <v>0</v>
      </c>
      <c r="M1449">
        <v>87.01</v>
      </c>
      <c r="N1449">
        <v>0</v>
      </c>
      <c r="O1449">
        <v>87.01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83.01</v>
      </c>
      <c r="Y1449">
        <v>0</v>
      </c>
      <c r="Z1449">
        <v>0</v>
      </c>
      <c r="AA1449">
        <v>5039330</v>
      </c>
      <c r="AB1449">
        <v>0</v>
      </c>
      <c r="AC1449">
        <v>0</v>
      </c>
      <c r="AD1449" t="s">
        <v>94</v>
      </c>
      <c r="AE1449" t="s">
        <v>94</v>
      </c>
      <c r="AF1449" t="s">
        <v>226</v>
      </c>
      <c r="AG1449" t="s">
        <v>226</v>
      </c>
      <c r="AH1449">
        <v>-100</v>
      </c>
      <c r="AI1449" t="s">
        <v>3537</v>
      </c>
      <c r="AJ1449" t="s">
        <v>1976</v>
      </c>
      <c r="AK1449" t="s">
        <v>2416</v>
      </c>
      <c r="AL1449" t="s">
        <v>272</v>
      </c>
    </row>
    <row r="1450" spans="1:38">
      <c r="A1450" t="s">
        <v>6480</v>
      </c>
      <c r="B1450" t="s">
        <v>6481</v>
      </c>
      <c r="C1450" t="s">
        <v>6482</v>
      </c>
      <c r="D1450" t="s">
        <v>6482</v>
      </c>
      <c r="E1450" t="s">
        <v>6483</v>
      </c>
      <c r="F1450" t="s">
        <v>2413</v>
      </c>
      <c r="G1450">
        <v>1</v>
      </c>
      <c r="H1450">
        <v>1</v>
      </c>
      <c r="I1450">
        <v>0.01</v>
      </c>
      <c r="J1450">
        <v>751.75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10034807</v>
      </c>
      <c r="AB1450">
        <v>0</v>
      </c>
      <c r="AC1450">
        <v>0</v>
      </c>
      <c r="AD1450" t="s">
        <v>94</v>
      </c>
      <c r="AE1450" t="s">
        <v>94</v>
      </c>
      <c r="AF1450" t="s">
        <v>226</v>
      </c>
      <c r="AG1450" t="s">
        <v>226</v>
      </c>
      <c r="AH1450">
        <v>-100</v>
      </c>
      <c r="AI1450" t="s">
        <v>3537</v>
      </c>
      <c r="AJ1450" t="s">
        <v>1976</v>
      </c>
      <c r="AK1450" t="s">
        <v>2416</v>
      </c>
      <c r="AL1450" t="s">
        <v>272</v>
      </c>
    </row>
    <row r="1451" spans="1:38">
      <c r="A1451" t="s">
        <v>6484</v>
      </c>
      <c r="B1451" t="s">
        <v>6485</v>
      </c>
      <c r="C1451" t="s">
        <v>6486</v>
      </c>
      <c r="D1451" t="s">
        <v>6486</v>
      </c>
      <c r="E1451" t="s">
        <v>6487</v>
      </c>
      <c r="F1451" t="s">
        <v>2413</v>
      </c>
      <c r="G1451">
        <v>1</v>
      </c>
      <c r="H1451">
        <v>1</v>
      </c>
      <c r="I1451">
        <v>0.01</v>
      </c>
      <c r="J1451">
        <v>621.71</v>
      </c>
      <c r="K1451">
        <v>1.0900000000000001</v>
      </c>
      <c r="L1451">
        <v>71.11</v>
      </c>
      <c r="M1451">
        <v>70.72</v>
      </c>
      <c r="N1451">
        <v>70.599999999999994</v>
      </c>
      <c r="O1451">
        <v>71.11</v>
      </c>
      <c r="P1451">
        <v>0</v>
      </c>
      <c r="Q1451">
        <v>0</v>
      </c>
      <c r="R1451">
        <v>0</v>
      </c>
      <c r="S1451">
        <v>71.16</v>
      </c>
      <c r="T1451">
        <v>71.19</v>
      </c>
      <c r="U1451">
        <v>71.11</v>
      </c>
      <c r="V1451">
        <v>71.2</v>
      </c>
      <c r="W1451">
        <v>4867</v>
      </c>
      <c r="X1451">
        <v>70.36</v>
      </c>
      <c r="Y1451">
        <v>71.069999999999993</v>
      </c>
      <c r="Z1451">
        <v>4</v>
      </c>
      <c r="AA1451">
        <v>5527918</v>
      </c>
      <c r="AB1451">
        <v>1326.29</v>
      </c>
      <c r="AC1451">
        <v>0</v>
      </c>
      <c r="AD1451" t="s">
        <v>94</v>
      </c>
      <c r="AE1451" t="s">
        <v>94</v>
      </c>
      <c r="AF1451" t="s">
        <v>226</v>
      </c>
      <c r="AG1451" t="s">
        <v>226</v>
      </c>
      <c r="AH1451">
        <v>-100</v>
      </c>
      <c r="AI1451" t="s">
        <v>3537</v>
      </c>
      <c r="AJ1451" t="s">
        <v>1976</v>
      </c>
      <c r="AK1451" t="s">
        <v>2416</v>
      </c>
      <c r="AL1451" t="s">
        <v>272</v>
      </c>
    </row>
    <row r="1452" spans="1:38">
      <c r="A1452" t="s">
        <v>6488</v>
      </c>
      <c r="B1452" t="s">
        <v>6489</v>
      </c>
      <c r="C1452" t="s">
        <v>6490</v>
      </c>
      <c r="D1452" t="s">
        <v>6490</v>
      </c>
      <c r="E1452" t="s">
        <v>6491</v>
      </c>
      <c r="F1452" t="s">
        <v>2413</v>
      </c>
      <c r="G1452">
        <v>1</v>
      </c>
      <c r="H1452">
        <v>1</v>
      </c>
      <c r="I1452">
        <v>0.01</v>
      </c>
      <c r="J1452">
        <v>701.81</v>
      </c>
      <c r="K1452">
        <v>-0.01</v>
      </c>
      <c r="L1452">
        <v>66.989999999999995</v>
      </c>
      <c r="M1452">
        <v>66.88</v>
      </c>
      <c r="N1452">
        <v>0</v>
      </c>
      <c r="O1452">
        <v>66.989999999999995</v>
      </c>
      <c r="P1452">
        <v>0</v>
      </c>
      <c r="Q1452">
        <v>0</v>
      </c>
      <c r="R1452">
        <v>0</v>
      </c>
      <c r="S1452">
        <v>67.25</v>
      </c>
      <c r="T1452">
        <v>67.5</v>
      </c>
      <c r="U1452">
        <v>66.989999999999995</v>
      </c>
      <c r="V1452">
        <v>67.5</v>
      </c>
      <c r="W1452">
        <v>944</v>
      </c>
      <c r="X1452">
        <v>66.98</v>
      </c>
      <c r="Y1452">
        <v>67</v>
      </c>
      <c r="Z1452">
        <v>2</v>
      </c>
      <c r="AA1452">
        <v>20597323</v>
      </c>
      <c r="AB1452">
        <v>470.14</v>
      </c>
      <c r="AC1452">
        <v>0</v>
      </c>
      <c r="AD1452" t="s">
        <v>94</v>
      </c>
      <c r="AE1452" t="s">
        <v>94</v>
      </c>
      <c r="AF1452" t="s">
        <v>226</v>
      </c>
      <c r="AG1452" t="s">
        <v>226</v>
      </c>
      <c r="AH1452">
        <v>-100</v>
      </c>
      <c r="AI1452" t="s">
        <v>3537</v>
      </c>
      <c r="AJ1452" t="s">
        <v>1976</v>
      </c>
      <c r="AK1452" t="s">
        <v>2416</v>
      </c>
      <c r="AL1452" t="s">
        <v>272</v>
      </c>
    </row>
    <row r="1453" spans="1:38">
      <c r="A1453" t="s">
        <v>6492</v>
      </c>
      <c r="B1453" t="s">
        <v>6493</v>
      </c>
      <c r="C1453" t="s">
        <v>6494</v>
      </c>
      <c r="D1453" t="s">
        <v>6494</v>
      </c>
      <c r="E1453" t="s">
        <v>6495</v>
      </c>
      <c r="F1453" t="s">
        <v>2413</v>
      </c>
      <c r="G1453">
        <v>1</v>
      </c>
      <c r="H1453">
        <v>1</v>
      </c>
      <c r="I1453">
        <v>0.01</v>
      </c>
      <c r="J1453">
        <v>706.1</v>
      </c>
      <c r="K1453">
        <v>2.4700000000000002</v>
      </c>
      <c r="L1453">
        <v>77.89</v>
      </c>
      <c r="M1453">
        <v>76.78</v>
      </c>
      <c r="N1453">
        <v>86.95</v>
      </c>
      <c r="O1453">
        <v>77.89</v>
      </c>
      <c r="P1453">
        <v>0</v>
      </c>
      <c r="Q1453">
        <v>0</v>
      </c>
      <c r="R1453">
        <v>0</v>
      </c>
      <c r="S1453">
        <v>77.89</v>
      </c>
      <c r="T1453">
        <v>77.89</v>
      </c>
      <c r="U1453">
        <v>77.89</v>
      </c>
      <c r="V1453">
        <v>77.89</v>
      </c>
      <c r="W1453">
        <v>550</v>
      </c>
      <c r="X1453">
        <v>77.459999999999994</v>
      </c>
      <c r="Y1453">
        <v>78.67</v>
      </c>
      <c r="Z1453">
        <v>1</v>
      </c>
      <c r="AA1453">
        <v>48883735</v>
      </c>
      <c r="AB1453">
        <v>549.98</v>
      </c>
      <c r="AC1453">
        <v>0</v>
      </c>
      <c r="AD1453" t="s">
        <v>94</v>
      </c>
      <c r="AE1453" t="s">
        <v>94</v>
      </c>
      <c r="AF1453" t="s">
        <v>226</v>
      </c>
      <c r="AG1453" t="s">
        <v>226</v>
      </c>
      <c r="AH1453">
        <v>-100</v>
      </c>
      <c r="AI1453" t="s">
        <v>3537</v>
      </c>
      <c r="AJ1453" t="s">
        <v>1976</v>
      </c>
      <c r="AK1453" t="s">
        <v>2416</v>
      </c>
      <c r="AL1453" t="s">
        <v>272</v>
      </c>
    </row>
    <row r="1454" spans="1:38">
      <c r="A1454" t="s">
        <v>6496</v>
      </c>
      <c r="B1454" t="s">
        <v>6497</v>
      </c>
      <c r="C1454" t="s">
        <v>6498</v>
      </c>
      <c r="D1454" t="s">
        <v>6498</v>
      </c>
      <c r="E1454" t="s">
        <v>6499</v>
      </c>
      <c r="F1454" t="s">
        <v>2413</v>
      </c>
      <c r="G1454">
        <v>1</v>
      </c>
      <c r="H1454">
        <v>1</v>
      </c>
      <c r="I1454">
        <v>0.01</v>
      </c>
      <c r="J1454">
        <v>728.19</v>
      </c>
      <c r="K1454">
        <v>0</v>
      </c>
      <c r="L1454">
        <v>101.44</v>
      </c>
      <c r="M1454">
        <v>101.44</v>
      </c>
      <c r="N1454">
        <v>101.39</v>
      </c>
      <c r="O1454">
        <v>101.44</v>
      </c>
      <c r="P1454">
        <v>0</v>
      </c>
      <c r="Q1454">
        <v>0</v>
      </c>
      <c r="R1454">
        <v>0</v>
      </c>
      <c r="S1454">
        <v>101.44</v>
      </c>
      <c r="T1454">
        <v>101.44</v>
      </c>
      <c r="U1454">
        <v>101.44</v>
      </c>
      <c r="V1454">
        <v>101.44</v>
      </c>
      <c r="W1454">
        <v>739</v>
      </c>
      <c r="X1454">
        <v>101.16</v>
      </c>
      <c r="Y1454">
        <v>101.44</v>
      </c>
      <c r="Z1454">
        <v>1</v>
      </c>
      <c r="AA1454">
        <v>54789504</v>
      </c>
      <c r="AB1454">
        <v>738.68</v>
      </c>
      <c r="AC1454">
        <v>0</v>
      </c>
      <c r="AD1454" t="s">
        <v>94</v>
      </c>
      <c r="AE1454" t="s">
        <v>94</v>
      </c>
      <c r="AF1454" t="s">
        <v>304</v>
      </c>
      <c r="AG1454" t="s">
        <v>226</v>
      </c>
      <c r="AH1454">
        <v>800</v>
      </c>
      <c r="AI1454" t="s">
        <v>3537</v>
      </c>
      <c r="AJ1454" t="s">
        <v>1976</v>
      </c>
      <c r="AK1454" t="s">
        <v>2416</v>
      </c>
      <c r="AL1454" t="s">
        <v>272</v>
      </c>
    </row>
    <row r="1455" spans="1:38">
      <c r="A1455" t="s">
        <v>6500</v>
      </c>
      <c r="B1455" t="s">
        <v>6501</v>
      </c>
      <c r="C1455" t="s">
        <v>6502</v>
      </c>
      <c r="D1455" t="s">
        <v>6502</v>
      </c>
      <c r="E1455" t="s">
        <v>6503</v>
      </c>
      <c r="F1455" t="s">
        <v>2413</v>
      </c>
      <c r="G1455">
        <v>1</v>
      </c>
      <c r="H1455">
        <v>1</v>
      </c>
      <c r="I1455">
        <v>0.01</v>
      </c>
      <c r="J1455">
        <v>708.93</v>
      </c>
      <c r="K1455">
        <v>0</v>
      </c>
      <c r="L1455">
        <v>0</v>
      </c>
      <c r="M1455">
        <v>83.3</v>
      </c>
      <c r="N1455">
        <v>0</v>
      </c>
      <c r="O1455">
        <v>83.3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81.010000000000005</v>
      </c>
      <c r="Y1455">
        <v>88.33</v>
      </c>
      <c r="Z1455">
        <v>0</v>
      </c>
      <c r="AA1455">
        <v>4465490</v>
      </c>
      <c r="AB1455">
        <v>0</v>
      </c>
      <c r="AC1455">
        <v>0</v>
      </c>
      <c r="AD1455" t="s">
        <v>94</v>
      </c>
      <c r="AE1455" t="s">
        <v>94</v>
      </c>
      <c r="AF1455" t="s">
        <v>226</v>
      </c>
      <c r="AG1455" t="s">
        <v>226</v>
      </c>
      <c r="AH1455">
        <v>-100</v>
      </c>
      <c r="AI1455" t="s">
        <v>3537</v>
      </c>
      <c r="AJ1455" t="s">
        <v>1976</v>
      </c>
      <c r="AK1455" t="s">
        <v>2416</v>
      </c>
      <c r="AL1455" t="s">
        <v>272</v>
      </c>
    </row>
    <row r="1456" spans="1:38">
      <c r="A1456" t="s">
        <v>6504</v>
      </c>
      <c r="B1456" t="s">
        <v>6505</v>
      </c>
      <c r="C1456" t="s">
        <v>6506</v>
      </c>
      <c r="D1456" t="s">
        <v>6506</v>
      </c>
      <c r="E1456" t="s">
        <v>6507</v>
      </c>
      <c r="F1456" t="s">
        <v>2413</v>
      </c>
      <c r="G1456">
        <v>1</v>
      </c>
      <c r="H1456">
        <v>1</v>
      </c>
      <c r="I1456">
        <v>0.01</v>
      </c>
      <c r="J1456">
        <v>658.83</v>
      </c>
      <c r="K1456">
        <v>0</v>
      </c>
      <c r="L1456">
        <v>0</v>
      </c>
      <c r="M1456">
        <v>84</v>
      </c>
      <c r="N1456">
        <v>0</v>
      </c>
      <c r="O1456">
        <v>84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79.010000000000005</v>
      </c>
      <c r="Y1456">
        <v>84</v>
      </c>
      <c r="Z1456">
        <v>0</v>
      </c>
      <c r="AA1456">
        <v>60843021</v>
      </c>
      <c r="AB1456">
        <v>0</v>
      </c>
      <c r="AC1456">
        <v>0</v>
      </c>
      <c r="AD1456" t="s">
        <v>94</v>
      </c>
      <c r="AE1456" t="s">
        <v>94</v>
      </c>
      <c r="AF1456" t="s">
        <v>226</v>
      </c>
      <c r="AG1456" t="s">
        <v>226</v>
      </c>
      <c r="AH1456">
        <v>-100</v>
      </c>
      <c r="AI1456" t="s">
        <v>3537</v>
      </c>
      <c r="AJ1456" t="s">
        <v>1976</v>
      </c>
      <c r="AK1456" t="s">
        <v>2416</v>
      </c>
      <c r="AL1456" t="s">
        <v>272</v>
      </c>
    </row>
    <row r="1457" spans="1:38">
      <c r="A1457" t="s">
        <v>6508</v>
      </c>
      <c r="B1457" t="s">
        <v>6509</v>
      </c>
      <c r="C1457" t="s">
        <v>6510</v>
      </c>
      <c r="D1457" t="s">
        <v>6510</v>
      </c>
      <c r="E1457" t="s">
        <v>6511</v>
      </c>
      <c r="F1457" t="s">
        <v>2413</v>
      </c>
      <c r="G1457">
        <v>1</v>
      </c>
      <c r="H1457">
        <v>1</v>
      </c>
      <c r="I1457">
        <v>0.01</v>
      </c>
      <c r="J1457">
        <v>791.36</v>
      </c>
      <c r="K1457">
        <v>0</v>
      </c>
      <c r="L1457">
        <v>0</v>
      </c>
      <c r="M1457">
        <v>99.3</v>
      </c>
      <c r="N1457">
        <v>99.38</v>
      </c>
      <c r="O1457">
        <v>99.3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99.5</v>
      </c>
      <c r="Y1457">
        <v>99.52</v>
      </c>
      <c r="Z1457">
        <v>0</v>
      </c>
      <c r="AA1457">
        <v>6128780</v>
      </c>
      <c r="AB1457">
        <v>0</v>
      </c>
      <c r="AC1457">
        <v>0</v>
      </c>
      <c r="AD1457" t="s">
        <v>94</v>
      </c>
      <c r="AE1457" t="s">
        <v>94</v>
      </c>
      <c r="AF1457" t="s">
        <v>304</v>
      </c>
      <c r="AG1457" t="s">
        <v>226</v>
      </c>
      <c r="AH1457">
        <v>800</v>
      </c>
      <c r="AI1457" t="s">
        <v>3537</v>
      </c>
      <c r="AJ1457" t="s">
        <v>1976</v>
      </c>
      <c r="AK1457" t="s">
        <v>2416</v>
      </c>
      <c r="AL1457" t="s">
        <v>272</v>
      </c>
    </row>
    <row r="1458" spans="1:38">
      <c r="A1458" t="s">
        <v>6512</v>
      </c>
      <c r="B1458" t="s">
        <v>6513</v>
      </c>
      <c r="C1458" t="s">
        <v>6514</v>
      </c>
      <c r="D1458" t="s">
        <v>6514</v>
      </c>
      <c r="E1458" t="s">
        <v>6515</v>
      </c>
      <c r="F1458" t="s">
        <v>2413</v>
      </c>
      <c r="G1458">
        <v>1</v>
      </c>
      <c r="H1458">
        <v>1</v>
      </c>
      <c r="I1458">
        <v>0.01</v>
      </c>
      <c r="J1458">
        <v>754.25</v>
      </c>
      <c r="K1458">
        <v>-1.62</v>
      </c>
      <c r="L1458">
        <v>68.67</v>
      </c>
      <c r="M1458">
        <v>69.8</v>
      </c>
      <c r="N1458">
        <v>72.53</v>
      </c>
      <c r="O1458">
        <v>68.67</v>
      </c>
      <c r="P1458">
        <v>0</v>
      </c>
      <c r="Q1458">
        <v>0</v>
      </c>
      <c r="R1458">
        <v>0</v>
      </c>
      <c r="S1458">
        <v>69.260000000000005</v>
      </c>
      <c r="T1458">
        <v>69.66</v>
      </c>
      <c r="U1458">
        <v>68.67</v>
      </c>
      <c r="V1458">
        <v>69.66</v>
      </c>
      <c r="W1458">
        <v>5224</v>
      </c>
      <c r="X1458">
        <v>68.650000000000006</v>
      </c>
      <c r="Y1458">
        <v>68.7</v>
      </c>
      <c r="Z1458">
        <v>4</v>
      </c>
      <c r="AA1458">
        <v>16515643</v>
      </c>
      <c r="AB1458">
        <v>517.94000000000005</v>
      </c>
      <c r="AC1458">
        <v>0</v>
      </c>
      <c r="AD1458" t="s">
        <v>94</v>
      </c>
      <c r="AE1458" t="s">
        <v>94</v>
      </c>
      <c r="AF1458" t="s">
        <v>226</v>
      </c>
      <c r="AG1458" t="s">
        <v>226</v>
      </c>
      <c r="AH1458">
        <v>-100</v>
      </c>
      <c r="AI1458" t="s">
        <v>3537</v>
      </c>
      <c r="AJ1458" t="s">
        <v>1976</v>
      </c>
      <c r="AK1458" t="s">
        <v>2416</v>
      </c>
      <c r="AL1458" t="s">
        <v>272</v>
      </c>
    </row>
    <row r="1459" spans="1:38">
      <c r="A1459" t="s">
        <v>6516</v>
      </c>
      <c r="B1459" t="s">
        <v>6517</v>
      </c>
      <c r="C1459" t="s">
        <v>6518</v>
      </c>
      <c r="D1459" t="s">
        <v>6518</v>
      </c>
      <c r="E1459" t="s">
        <v>6519</v>
      </c>
      <c r="F1459" t="s">
        <v>2413</v>
      </c>
      <c r="G1459">
        <v>1</v>
      </c>
      <c r="H1459">
        <v>1</v>
      </c>
      <c r="I1459">
        <v>0.01</v>
      </c>
      <c r="J1459">
        <v>875.66</v>
      </c>
      <c r="K1459">
        <v>0</v>
      </c>
      <c r="L1459">
        <v>100.05</v>
      </c>
      <c r="M1459">
        <v>100.05</v>
      </c>
      <c r="N1459">
        <v>99.91</v>
      </c>
      <c r="O1459">
        <v>100.05</v>
      </c>
      <c r="P1459">
        <v>0</v>
      </c>
      <c r="Q1459">
        <v>0</v>
      </c>
      <c r="R1459">
        <v>0</v>
      </c>
      <c r="S1459">
        <v>100.05</v>
      </c>
      <c r="T1459">
        <v>100.05</v>
      </c>
      <c r="U1459">
        <v>100.05</v>
      </c>
      <c r="V1459">
        <v>100.05</v>
      </c>
      <c r="W1459">
        <v>876</v>
      </c>
      <c r="X1459">
        <v>100.03</v>
      </c>
      <c r="Y1459">
        <v>100.05</v>
      </c>
      <c r="Z1459">
        <v>1</v>
      </c>
      <c r="AA1459">
        <v>17391177</v>
      </c>
      <c r="AB1459">
        <v>876.1</v>
      </c>
      <c r="AC1459">
        <v>0</v>
      </c>
      <c r="AD1459" t="s">
        <v>94</v>
      </c>
      <c r="AE1459" t="s">
        <v>94</v>
      </c>
      <c r="AF1459" t="s">
        <v>304</v>
      </c>
      <c r="AG1459" t="s">
        <v>226</v>
      </c>
      <c r="AH1459">
        <v>800</v>
      </c>
      <c r="AI1459" t="s">
        <v>3537</v>
      </c>
      <c r="AJ1459" t="s">
        <v>1976</v>
      </c>
      <c r="AK1459" t="s">
        <v>2416</v>
      </c>
      <c r="AL1459" t="s">
        <v>272</v>
      </c>
    </row>
    <row r="1460" spans="1:38">
      <c r="A1460" t="s">
        <v>6520</v>
      </c>
      <c r="B1460" t="s">
        <v>6521</v>
      </c>
      <c r="C1460" t="s">
        <v>6522</v>
      </c>
      <c r="D1460" t="s">
        <v>6522</v>
      </c>
      <c r="E1460" t="s">
        <v>6523</v>
      </c>
      <c r="F1460" t="s">
        <v>2413</v>
      </c>
      <c r="G1460">
        <v>1</v>
      </c>
      <c r="H1460">
        <v>1</v>
      </c>
      <c r="I1460">
        <v>0.01</v>
      </c>
      <c r="J1460">
        <v>746.51</v>
      </c>
      <c r="K1460">
        <v>0</v>
      </c>
      <c r="L1460">
        <v>0</v>
      </c>
      <c r="M1460">
        <v>86.5</v>
      </c>
      <c r="N1460">
        <v>0</v>
      </c>
      <c r="O1460">
        <v>86.5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86.04</v>
      </c>
      <c r="Y1460">
        <v>86.5</v>
      </c>
      <c r="Z1460">
        <v>0</v>
      </c>
      <c r="AA1460">
        <v>197427672</v>
      </c>
      <c r="AB1460">
        <v>0</v>
      </c>
      <c r="AC1460">
        <v>0</v>
      </c>
      <c r="AD1460" t="s">
        <v>94</v>
      </c>
      <c r="AE1460" t="s">
        <v>94</v>
      </c>
      <c r="AF1460" t="s">
        <v>226</v>
      </c>
      <c r="AG1460" t="s">
        <v>226</v>
      </c>
      <c r="AH1460">
        <v>-100</v>
      </c>
      <c r="AI1460" t="s">
        <v>3537</v>
      </c>
      <c r="AJ1460" t="s">
        <v>1976</v>
      </c>
      <c r="AK1460" t="s">
        <v>2416</v>
      </c>
      <c r="AL1460" t="s">
        <v>272</v>
      </c>
    </row>
    <row r="1461" spans="1:38">
      <c r="A1461" t="s">
        <v>6524</v>
      </c>
      <c r="B1461" t="s">
        <v>6525</v>
      </c>
      <c r="C1461" t="s">
        <v>6526</v>
      </c>
      <c r="D1461" t="s">
        <v>6526</v>
      </c>
      <c r="E1461" t="s">
        <v>6527</v>
      </c>
      <c r="F1461" t="s">
        <v>2413</v>
      </c>
      <c r="G1461">
        <v>1</v>
      </c>
      <c r="H1461">
        <v>1</v>
      </c>
      <c r="I1461">
        <v>0.01</v>
      </c>
      <c r="J1461">
        <v>855.35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6111769</v>
      </c>
      <c r="AB1461">
        <v>0</v>
      </c>
      <c r="AC1461">
        <v>0</v>
      </c>
      <c r="AD1461" t="s">
        <v>94</v>
      </c>
      <c r="AE1461" t="s">
        <v>94</v>
      </c>
      <c r="AF1461" t="s">
        <v>226</v>
      </c>
      <c r="AG1461" t="s">
        <v>226</v>
      </c>
      <c r="AH1461">
        <v>-100</v>
      </c>
      <c r="AI1461" t="s">
        <v>3537</v>
      </c>
      <c r="AJ1461" t="s">
        <v>1976</v>
      </c>
      <c r="AK1461" t="s">
        <v>2416</v>
      </c>
      <c r="AL1461" t="s">
        <v>272</v>
      </c>
    </row>
    <row r="1462" spans="1:38">
      <c r="A1462" t="s">
        <v>6528</v>
      </c>
      <c r="B1462" t="s">
        <v>6529</v>
      </c>
      <c r="C1462" t="s">
        <v>6530</v>
      </c>
      <c r="D1462" t="s">
        <v>6530</v>
      </c>
      <c r="E1462" t="s">
        <v>6531</v>
      </c>
      <c r="F1462" t="s">
        <v>2413</v>
      </c>
      <c r="G1462">
        <v>1</v>
      </c>
      <c r="H1462">
        <v>1</v>
      </c>
      <c r="I1462">
        <v>0.01</v>
      </c>
      <c r="J1462">
        <v>883.78</v>
      </c>
      <c r="K1462">
        <v>0.01</v>
      </c>
      <c r="L1462">
        <v>97.38</v>
      </c>
      <c r="M1462">
        <v>97.28</v>
      </c>
      <c r="N1462">
        <v>97.14</v>
      </c>
      <c r="O1462">
        <v>97.38</v>
      </c>
      <c r="P1462">
        <v>0</v>
      </c>
      <c r="Q1462">
        <v>0</v>
      </c>
      <c r="R1462">
        <v>0</v>
      </c>
      <c r="S1462">
        <v>97.38</v>
      </c>
      <c r="T1462">
        <v>97.38</v>
      </c>
      <c r="U1462">
        <v>97.38</v>
      </c>
      <c r="V1462">
        <v>97.38</v>
      </c>
      <c r="W1462">
        <v>1721</v>
      </c>
      <c r="X1462">
        <v>97.12</v>
      </c>
      <c r="Y1462">
        <v>97.38</v>
      </c>
      <c r="Z1462">
        <v>1</v>
      </c>
      <c r="AA1462">
        <v>49927769</v>
      </c>
      <c r="AB1462">
        <v>1721.25</v>
      </c>
      <c r="AC1462">
        <v>0</v>
      </c>
      <c r="AD1462" t="s">
        <v>94</v>
      </c>
      <c r="AE1462" t="s">
        <v>94</v>
      </c>
      <c r="AF1462" t="s">
        <v>226</v>
      </c>
      <c r="AG1462" t="s">
        <v>226</v>
      </c>
      <c r="AH1462">
        <v>800</v>
      </c>
      <c r="AI1462" t="s">
        <v>3537</v>
      </c>
      <c r="AJ1462" t="s">
        <v>1976</v>
      </c>
      <c r="AK1462" t="s">
        <v>2416</v>
      </c>
      <c r="AL1462" t="s">
        <v>272</v>
      </c>
    </row>
    <row r="1463" spans="1:38">
      <c r="A1463" t="s">
        <v>6532</v>
      </c>
      <c r="B1463" t="s">
        <v>6533</v>
      </c>
      <c r="C1463" t="s">
        <v>6534</v>
      </c>
      <c r="D1463" t="s">
        <v>6534</v>
      </c>
      <c r="E1463" t="s">
        <v>6535</v>
      </c>
      <c r="F1463" t="s">
        <v>2413</v>
      </c>
      <c r="G1463">
        <v>1</v>
      </c>
      <c r="H1463">
        <v>1</v>
      </c>
      <c r="I1463">
        <v>0.01</v>
      </c>
      <c r="J1463">
        <v>849.63</v>
      </c>
      <c r="K1463">
        <v>0</v>
      </c>
      <c r="L1463">
        <v>0</v>
      </c>
      <c r="M1463">
        <v>87.05</v>
      </c>
      <c r="N1463">
        <v>90.88</v>
      </c>
      <c r="O1463">
        <v>87.05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86.82</v>
      </c>
      <c r="Y1463">
        <v>87.05</v>
      </c>
      <c r="Z1463">
        <v>0</v>
      </c>
      <c r="AA1463">
        <v>109723714</v>
      </c>
      <c r="AB1463">
        <v>0</v>
      </c>
      <c r="AC1463">
        <v>0</v>
      </c>
      <c r="AD1463" t="s">
        <v>94</v>
      </c>
      <c r="AE1463" t="s">
        <v>94</v>
      </c>
      <c r="AF1463" t="s">
        <v>226</v>
      </c>
      <c r="AG1463" t="s">
        <v>226</v>
      </c>
      <c r="AH1463">
        <v>-100</v>
      </c>
      <c r="AI1463" t="s">
        <v>3537</v>
      </c>
      <c r="AJ1463" t="s">
        <v>1976</v>
      </c>
      <c r="AK1463" t="s">
        <v>2416</v>
      </c>
      <c r="AL1463" t="s">
        <v>272</v>
      </c>
    </row>
    <row r="1464" spans="1:38">
      <c r="A1464" t="s">
        <v>6536</v>
      </c>
      <c r="B1464" t="s">
        <v>6537</v>
      </c>
      <c r="C1464" t="s">
        <v>6538</v>
      </c>
      <c r="D1464" t="s">
        <v>6538</v>
      </c>
      <c r="E1464" t="s">
        <v>6539</v>
      </c>
      <c r="F1464" t="s">
        <v>2413</v>
      </c>
      <c r="G1464">
        <v>1</v>
      </c>
      <c r="H1464">
        <v>1</v>
      </c>
      <c r="I1464">
        <v>0.01</v>
      </c>
      <c r="J1464">
        <v>880.39</v>
      </c>
      <c r="K1464">
        <v>0</v>
      </c>
      <c r="L1464">
        <v>0</v>
      </c>
      <c r="M1464">
        <v>76.900000000000006</v>
      </c>
      <c r="N1464">
        <v>91.78</v>
      </c>
      <c r="O1464">
        <v>76.900000000000006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82.01</v>
      </c>
      <c r="Y1464">
        <v>89.72</v>
      </c>
      <c r="Z1464">
        <v>0</v>
      </c>
      <c r="AA1464">
        <v>22247078</v>
      </c>
      <c r="AB1464">
        <v>0</v>
      </c>
      <c r="AC1464">
        <v>0</v>
      </c>
      <c r="AD1464" t="s">
        <v>94</v>
      </c>
      <c r="AE1464" t="s">
        <v>94</v>
      </c>
      <c r="AF1464" t="s">
        <v>226</v>
      </c>
      <c r="AG1464" t="s">
        <v>226</v>
      </c>
      <c r="AH1464">
        <v>-100</v>
      </c>
      <c r="AI1464" t="s">
        <v>3537</v>
      </c>
      <c r="AJ1464" t="s">
        <v>1976</v>
      </c>
      <c r="AK1464" t="s">
        <v>2416</v>
      </c>
      <c r="AL1464" t="s">
        <v>272</v>
      </c>
    </row>
    <row r="1465" spans="1:38">
      <c r="A1465" t="s">
        <v>6540</v>
      </c>
      <c r="B1465" t="s">
        <v>6541</v>
      </c>
      <c r="C1465" t="s">
        <v>6542</v>
      </c>
      <c r="D1465" t="s">
        <v>6542</v>
      </c>
      <c r="E1465" t="s">
        <v>6543</v>
      </c>
      <c r="F1465" t="s">
        <v>2413</v>
      </c>
      <c r="G1465">
        <v>1</v>
      </c>
      <c r="H1465">
        <v>1</v>
      </c>
      <c r="I1465">
        <v>0.01</v>
      </c>
      <c r="J1465">
        <v>850.03</v>
      </c>
      <c r="K1465">
        <v>0</v>
      </c>
      <c r="L1465">
        <v>0</v>
      </c>
      <c r="M1465">
        <v>94.95</v>
      </c>
      <c r="N1465">
        <v>0</v>
      </c>
      <c r="O1465">
        <v>94.95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85.26</v>
      </c>
      <c r="Y1465">
        <v>0</v>
      </c>
      <c r="Z1465">
        <v>0</v>
      </c>
      <c r="AA1465">
        <v>220287737</v>
      </c>
      <c r="AB1465">
        <v>0</v>
      </c>
      <c r="AC1465">
        <v>0</v>
      </c>
      <c r="AD1465" t="s">
        <v>94</v>
      </c>
      <c r="AE1465" t="s">
        <v>94</v>
      </c>
      <c r="AF1465" t="s">
        <v>226</v>
      </c>
      <c r="AG1465" t="s">
        <v>226</v>
      </c>
      <c r="AH1465">
        <v>-100</v>
      </c>
      <c r="AI1465" t="s">
        <v>3537</v>
      </c>
      <c r="AJ1465" t="s">
        <v>1976</v>
      </c>
      <c r="AK1465" t="s">
        <v>2416</v>
      </c>
      <c r="AL1465" t="s">
        <v>272</v>
      </c>
    </row>
    <row r="1466" spans="1:38">
      <c r="A1466" t="s">
        <v>6544</v>
      </c>
      <c r="B1466" t="s">
        <v>6545</v>
      </c>
      <c r="C1466" t="s">
        <v>6546</v>
      </c>
      <c r="D1466" t="s">
        <v>6546</v>
      </c>
      <c r="E1466" t="s">
        <v>6547</v>
      </c>
      <c r="F1466" t="s">
        <v>2413</v>
      </c>
      <c r="G1466">
        <v>1</v>
      </c>
      <c r="H1466">
        <v>1</v>
      </c>
      <c r="I1466">
        <v>0.01</v>
      </c>
      <c r="J1466">
        <v>859.5</v>
      </c>
      <c r="K1466">
        <v>0</v>
      </c>
      <c r="L1466">
        <v>0</v>
      </c>
      <c r="M1466">
        <v>86.3</v>
      </c>
      <c r="N1466">
        <v>0</v>
      </c>
      <c r="O1466">
        <v>86.3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70.02</v>
      </c>
      <c r="Y1466">
        <v>86.3</v>
      </c>
      <c r="Z1466">
        <v>0</v>
      </c>
      <c r="AA1466">
        <v>45499876</v>
      </c>
      <c r="AB1466">
        <v>0</v>
      </c>
      <c r="AC1466">
        <v>0</v>
      </c>
      <c r="AD1466" t="s">
        <v>94</v>
      </c>
      <c r="AE1466" t="s">
        <v>94</v>
      </c>
      <c r="AF1466" t="s">
        <v>226</v>
      </c>
      <c r="AG1466" t="s">
        <v>226</v>
      </c>
      <c r="AH1466">
        <v>-100</v>
      </c>
      <c r="AI1466" t="s">
        <v>3537</v>
      </c>
      <c r="AJ1466" t="s">
        <v>1976</v>
      </c>
      <c r="AK1466" t="s">
        <v>2416</v>
      </c>
      <c r="AL1466" t="s">
        <v>272</v>
      </c>
    </row>
    <row r="1467" spans="1:38">
      <c r="A1467" t="s">
        <v>6548</v>
      </c>
      <c r="B1467" t="s">
        <v>6549</v>
      </c>
      <c r="C1467" t="s">
        <v>6550</v>
      </c>
      <c r="D1467" t="s">
        <v>6550</v>
      </c>
      <c r="E1467" t="s">
        <v>6551</v>
      </c>
      <c r="F1467" t="s">
        <v>2413</v>
      </c>
      <c r="G1467">
        <v>1</v>
      </c>
      <c r="H1467">
        <v>1</v>
      </c>
      <c r="I1467">
        <v>0.01</v>
      </c>
      <c r="J1467">
        <v>949.78</v>
      </c>
      <c r="K1467">
        <v>0</v>
      </c>
      <c r="L1467">
        <v>0</v>
      </c>
      <c r="M1467">
        <v>96</v>
      </c>
      <c r="N1467">
        <v>93.03</v>
      </c>
      <c r="O1467">
        <v>96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93</v>
      </c>
      <c r="Y1467">
        <v>112</v>
      </c>
      <c r="Z1467">
        <v>0</v>
      </c>
      <c r="AA1467">
        <v>59689796</v>
      </c>
      <c r="AB1467">
        <v>0</v>
      </c>
      <c r="AC1467">
        <v>0</v>
      </c>
      <c r="AD1467" t="s">
        <v>94</v>
      </c>
      <c r="AE1467" t="s">
        <v>94</v>
      </c>
      <c r="AF1467" t="s">
        <v>226</v>
      </c>
      <c r="AG1467" t="s">
        <v>226</v>
      </c>
      <c r="AH1467">
        <v>-100</v>
      </c>
      <c r="AI1467" t="s">
        <v>3537</v>
      </c>
      <c r="AJ1467" t="s">
        <v>1976</v>
      </c>
      <c r="AK1467" t="s">
        <v>2416</v>
      </c>
      <c r="AL1467" t="s">
        <v>272</v>
      </c>
    </row>
    <row r="1468" spans="1:38">
      <c r="A1468" t="s">
        <v>6552</v>
      </c>
      <c r="B1468" t="s">
        <v>6553</v>
      </c>
      <c r="C1468" t="s">
        <v>6554</v>
      </c>
      <c r="D1468" t="s">
        <v>6554</v>
      </c>
      <c r="E1468" t="s">
        <v>6555</v>
      </c>
      <c r="F1468" t="s">
        <v>2413</v>
      </c>
      <c r="G1468">
        <v>1</v>
      </c>
      <c r="H1468">
        <v>1</v>
      </c>
      <c r="I1468">
        <v>0.01</v>
      </c>
      <c r="J1468">
        <v>981.52</v>
      </c>
      <c r="K1468">
        <v>0</v>
      </c>
      <c r="L1468">
        <v>0</v>
      </c>
      <c r="M1468">
        <v>96.5</v>
      </c>
      <c r="N1468">
        <v>0</v>
      </c>
      <c r="O1468">
        <v>96.5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92.51</v>
      </c>
      <c r="Y1468">
        <v>97</v>
      </c>
      <c r="Z1468">
        <v>0</v>
      </c>
      <c r="AA1468">
        <v>3944115</v>
      </c>
      <c r="AB1468">
        <v>0</v>
      </c>
      <c r="AC1468">
        <v>0</v>
      </c>
      <c r="AD1468" t="s">
        <v>94</v>
      </c>
      <c r="AE1468" t="s">
        <v>94</v>
      </c>
      <c r="AF1468" t="s">
        <v>226</v>
      </c>
      <c r="AG1468" t="s">
        <v>226</v>
      </c>
      <c r="AH1468">
        <v>800</v>
      </c>
      <c r="AI1468" t="s">
        <v>3537</v>
      </c>
      <c r="AJ1468" t="s">
        <v>1976</v>
      </c>
      <c r="AK1468" t="s">
        <v>2416</v>
      </c>
      <c r="AL1468" t="s">
        <v>272</v>
      </c>
    </row>
    <row r="1469" spans="1:38">
      <c r="A1469" t="s">
        <v>6556</v>
      </c>
      <c r="B1469" t="s">
        <v>6557</v>
      </c>
      <c r="C1469" t="s">
        <v>6558</v>
      </c>
      <c r="D1469" t="s">
        <v>6558</v>
      </c>
      <c r="E1469" t="s">
        <v>6559</v>
      </c>
      <c r="F1469" t="s">
        <v>2413</v>
      </c>
      <c r="G1469">
        <v>1</v>
      </c>
      <c r="H1469">
        <v>1</v>
      </c>
      <c r="I1469">
        <v>0.01</v>
      </c>
      <c r="J1469">
        <v>902.48</v>
      </c>
      <c r="K1469">
        <v>-9.57</v>
      </c>
      <c r="L1469">
        <v>81.61</v>
      </c>
      <c r="M1469">
        <v>90.25</v>
      </c>
      <c r="N1469">
        <v>0</v>
      </c>
      <c r="O1469">
        <v>81.61</v>
      </c>
      <c r="P1469">
        <v>0</v>
      </c>
      <c r="Q1469">
        <v>0</v>
      </c>
      <c r="R1469">
        <v>0</v>
      </c>
      <c r="S1469">
        <v>81.61</v>
      </c>
      <c r="T1469">
        <v>81.61</v>
      </c>
      <c r="U1469">
        <v>81.61</v>
      </c>
      <c r="V1469">
        <v>81.61</v>
      </c>
      <c r="W1469">
        <v>737</v>
      </c>
      <c r="X1469">
        <v>81.61</v>
      </c>
      <c r="Y1469">
        <v>90.24</v>
      </c>
      <c r="Z1469">
        <v>1</v>
      </c>
      <c r="AA1469">
        <v>171016532</v>
      </c>
      <c r="AB1469">
        <v>736.51</v>
      </c>
      <c r="AC1469">
        <v>0</v>
      </c>
      <c r="AD1469" t="s">
        <v>94</v>
      </c>
      <c r="AE1469" t="s">
        <v>94</v>
      </c>
      <c r="AF1469" t="s">
        <v>226</v>
      </c>
      <c r="AG1469" t="s">
        <v>226</v>
      </c>
      <c r="AH1469">
        <v>-100</v>
      </c>
      <c r="AI1469" t="s">
        <v>3537</v>
      </c>
      <c r="AJ1469" t="s">
        <v>1976</v>
      </c>
      <c r="AK1469" t="s">
        <v>2416</v>
      </c>
      <c r="AL1469" t="s">
        <v>272</v>
      </c>
    </row>
    <row r="1470" spans="1:38">
      <c r="A1470" t="s">
        <v>6560</v>
      </c>
      <c r="B1470" t="s">
        <v>6561</v>
      </c>
      <c r="C1470" t="s">
        <v>6562</v>
      </c>
      <c r="D1470" t="s">
        <v>6562</v>
      </c>
      <c r="E1470" t="s">
        <v>6563</v>
      </c>
      <c r="F1470" t="s">
        <v>2413</v>
      </c>
      <c r="G1470">
        <v>1</v>
      </c>
      <c r="H1470">
        <v>1</v>
      </c>
      <c r="I1470">
        <v>0.01</v>
      </c>
      <c r="J1470">
        <v>981.39</v>
      </c>
      <c r="K1470">
        <v>0</v>
      </c>
      <c r="L1470">
        <v>0</v>
      </c>
      <c r="M1470">
        <v>97.01</v>
      </c>
      <c r="N1470">
        <v>97.94</v>
      </c>
      <c r="O1470">
        <v>97.01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97.01</v>
      </c>
      <c r="Y1470">
        <v>97.95</v>
      </c>
      <c r="Z1470">
        <v>0</v>
      </c>
      <c r="AA1470">
        <v>50019391</v>
      </c>
      <c r="AB1470">
        <v>0</v>
      </c>
      <c r="AC1470">
        <v>0</v>
      </c>
      <c r="AD1470" t="s">
        <v>94</v>
      </c>
      <c r="AE1470" t="s">
        <v>94</v>
      </c>
      <c r="AF1470" t="s">
        <v>226</v>
      </c>
      <c r="AG1470" t="s">
        <v>226</v>
      </c>
      <c r="AH1470">
        <v>800</v>
      </c>
      <c r="AI1470" t="s">
        <v>3537</v>
      </c>
      <c r="AJ1470" t="s">
        <v>1976</v>
      </c>
      <c r="AK1470" t="s">
        <v>2416</v>
      </c>
      <c r="AL1470" t="s">
        <v>272</v>
      </c>
    </row>
    <row r="1471" spans="1:38">
      <c r="A1471" t="s">
        <v>6564</v>
      </c>
      <c r="B1471" t="s">
        <v>6565</v>
      </c>
      <c r="C1471" t="s">
        <v>6566</v>
      </c>
      <c r="D1471" t="s">
        <v>6566</v>
      </c>
      <c r="E1471" t="s">
        <v>6567</v>
      </c>
      <c r="F1471" t="s">
        <v>2413</v>
      </c>
      <c r="G1471">
        <v>1</v>
      </c>
      <c r="H1471">
        <v>1</v>
      </c>
      <c r="I1471">
        <v>0.01</v>
      </c>
      <c r="J1471">
        <v>976.25</v>
      </c>
      <c r="K1471">
        <v>0</v>
      </c>
      <c r="L1471">
        <v>72.91</v>
      </c>
      <c r="M1471">
        <v>72.91</v>
      </c>
      <c r="N1471">
        <v>70.2</v>
      </c>
      <c r="O1471">
        <v>72.91</v>
      </c>
      <c r="P1471">
        <v>0</v>
      </c>
      <c r="Q1471">
        <v>0</v>
      </c>
      <c r="R1471">
        <v>0</v>
      </c>
      <c r="S1471">
        <v>72.91</v>
      </c>
      <c r="T1471">
        <v>72.91</v>
      </c>
      <c r="U1471">
        <v>72.91</v>
      </c>
      <c r="V1471">
        <v>72.91</v>
      </c>
      <c r="W1471">
        <v>2135</v>
      </c>
      <c r="X1471">
        <v>72.22</v>
      </c>
      <c r="Y1471">
        <v>72.91</v>
      </c>
      <c r="Z1471">
        <v>1</v>
      </c>
      <c r="AA1471">
        <v>99999577</v>
      </c>
      <c r="AB1471">
        <v>2135.35</v>
      </c>
      <c r="AC1471">
        <v>0</v>
      </c>
      <c r="AD1471" t="s">
        <v>94</v>
      </c>
      <c r="AE1471" t="s">
        <v>94</v>
      </c>
      <c r="AF1471" t="s">
        <v>226</v>
      </c>
      <c r="AG1471" t="s">
        <v>226</v>
      </c>
      <c r="AH1471">
        <v>-100</v>
      </c>
      <c r="AI1471" t="s">
        <v>3537</v>
      </c>
      <c r="AJ1471" t="s">
        <v>1976</v>
      </c>
      <c r="AK1471" t="s">
        <v>2416</v>
      </c>
      <c r="AL1471" t="s">
        <v>272</v>
      </c>
    </row>
    <row r="1472" spans="1:38">
      <c r="A1472" t="s">
        <v>6568</v>
      </c>
      <c r="B1472" t="s">
        <v>6569</v>
      </c>
      <c r="C1472" t="s">
        <v>6570</v>
      </c>
      <c r="D1472" t="s">
        <v>6570</v>
      </c>
      <c r="E1472" t="s">
        <v>6571</v>
      </c>
      <c r="F1472" t="s">
        <v>2413</v>
      </c>
      <c r="G1472">
        <v>1</v>
      </c>
      <c r="H1472">
        <v>1</v>
      </c>
      <c r="I1472">
        <v>0.01</v>
      </c>
      <c r="J1472">
        <v>958.45</v>
      </c>
      <c r="K1472">
        <v>0</v>
      </c>
      <c r="L1472">
        <v>0</v>
      </c>
      <c r="M1472">
        <v>110.57</v>
      </c>
      <c r="N1472">
        <v>0</v>
      </c>
      <c r="O1472">
        <v>110.57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60.35</v>
      </c>
      <c r="Y1472">
        <v>110.57</v>
      </c>
      <c r="Z1472">
        <v>0</v>
      </c>
      <c r="AA1472">
        <v>80066912</v>
      </c>
      <c r="AB1472">
        <v>0</v>
      </c>
      <c r="AC1472">
        <v>0</v>
      </c>
      <c r="AD1472" t="s">
        <v>94</v>
      </c>
      <c r="AE1472" t="s">
        <v>94</v>
      </c>
      <c r="AF1472" t="s">
        <v>226</v>
      </c>
      <c r="AG1472" t="s">
        <v>226</v>
      </c>
      <c r="AH1472">
        <v>-100</v>
      </c>
      <c r="AI1472" t="s">
        <v>3537</v>
      </c>
      <c r="AJ1472" t="s">
        <v>1976</v>
      </c>
      <c r="AK1472" t="s">
        <v>2416</v>
      </c>
      <c r="AL1472" t="s">
        <v>272</v>
      </c>
    </row>
    <row r="1473" spans="1:38">
      <c r="A1473" t="s">
        <v>6572</v>
      </c>
      <c r="B1473" t="s">
        <v>6573</v>
      </c>
      <c r="C1473" t="s">
        <v>6574</v>
      </c>
      <c r="D1473" t="s">
        <v>6574</v>
      </c>
      <c r="E1473" t="s">
        <v>6575</v>
      </c>
      <c r="F1473" t="s">
        <v>2413</v>
      </c>
      <c r="G1473">
        <v>1</v>
      </c>
      <c r="H1473">
        <v>1</v>
      </c>
      <c r="I1473">
        <v>0.01</v>
      </c>
      <c r="J1473">
        <v>988.56</v>
      </c>
      <c r="K1473">
        <v>0</v>
      </c>
      <c r="L1473">
        <v>0</v>
      </c>
      <c r="M1473">
        <v>93</v>
      </c>
      <c r="N1473">
        <v>93</v>
      </c>
      <c r="O1473">
        <v>93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29990754</v>
      </c>
      <c r="AB1473">
        <v>0</v>
      </c>
      <c r="AC1473">
        <v>0</v>
      </c>
      <c r="AD1473" t="s">
        <v>94</v>
      </c>
      <c r="AE1473" t="s">
        <v>94</v>
      </c>
      <c r="AF1473" t="s">
        <v>226</v>
      </c>
      <c r="AG1473" t="s">
        <v>226</v>
      </c>
      <c r="AH1473">
        <v>-100</v>
      </c>
      <c r="AI1473" t="s">
        <v>3537</v>
      </c>
      <c r="AJ1473" t="s">
        <v>1976</v>
      </c>
      <c r="AK1473" t="s">
        <v>2416</v>
      </c>
      <c r="AL1473" t="s">
        <v>272</v>
      </c>
    </row>
    <row r="1474" spans="1:38">
      <c r="A1474" t="s">
        <v>6576</v>
      </c>
      <c r="B1474" t="s">
        <v>6577</v>
      </c>
      <c r="C1474" t="s">
        <v>6578</v>
      </c>
      <c r="D1474" t="s">
        <v>6578</v>
      </c>
      <c r="E1474" t="s">
        <v>6579</v>
      </c>
      <c r="F1474" t="s">
        <v>2413</v>
      </c>
      <c r="G1474">
        <v>1</v>
      </c>
      <c r="H1474">
        <v>1</v>
      </c>
      <c r="I1474">
        <v>0.01</v>
      </c>
      <c r="J1474">
        <v>426.82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5825188</v>
      </c>
      <c r="AB1474">
        <v>0</v>
      </c>
      <c r="AC1474">
        <v>0</v>
      </c>
      <c r="AD1474" t="s">
        <v>94</v>
      </c>
      <c r="AE1474" t="s">
        <v>94</v>
      </c>
      <c r="AF1474" t="s">
        <v>226</v>
      </c>
      <c r="AG1474" t="s">
        <v>226</v>
      </c>
      <c r="AH1474">
        <v>-100</v>
      </c>
      <c r="AI1474" t="s">
        <v>3537</v>
      </c>
      <c r="AJ1474" t="s">
        <v>1976</v>
      </c>
      <c r="AK1474" t="s">
        <v>2416</v>
      </c>
      <c r="AL1474" t="s">
        <v>272</v>
      </c>
    </row>
    <row r="1475" spans="1:38">
      <c r="A1475" t="s">
        <v>6580</v>
      </c>
      <c r="B1475" t="s">
        <v>6581</v>
      </c>
      <c r="C1475" t="s">
        <v>6582</v>
      </c>
      <c r="D1475" t="s">
        <v>6582</v>
      </c>
      <c r="E1475" t="s">
        <v>6583</v>
      </c>
      <c r="F1475" t="s">
        <v>2413</v>
      </c>
      <c r="G1475">
        <v>1</v>
      </c>
      <c r="H1475">
        <v>1</v>
      </c>
      <c r="I1475">
        <v>0.01</v>
      </c>
      <c r="J1475">
        <v>379.79</v>
      </c>
      <c r="K1475">
        <v>0.23</v>
      </c>
      <c r="L1475">
        <v>65.3</v>
      </c>
      <c r="M1475">
        <v>65.150000000000006</v>
      </c>
      <c r="N1475">
        <v>69.37</v>
      </c>
      <c r="O1475">
        <v>65.290000000000006</v>
      </c>
      <c r="P1475">
        <v>0</v>
      </c>
      <c r="Q1475">
        <v>0</v>
      </c>
      <c r="R1475">
        <v>0</v>
      </c>
      <c r="S1475">
        <v>65.28</v>
      </c>
      <c r="T1475">
        <v>65.25</v>
      </c>
      <c r="U1475">
        <v>65.25</v>
      </c>
      <c r="V1475">
        <v>65.3</v>
      </c>
      <c r="W1475">
        <v>2231</v>
      </c>
      <c r="X1475">
        <v>65.23</v>
      </c>
      <c r="Y1475">
        <v>65.34</v>
      </c>
      <c r="Z1475">
        <v>4</v>
      </c>
      <c r="AA1475">
        <v>10206258</v>
      </c>
      <c r="AB1475">
        <v>1240.01</v>
      </c>
      <c r="AC1475">
        <v>0</v>
      </c>
      <c r="AD1475" t="s">
        <v>94</v>
      </c>
      <c r="AE1475" t="s">
        <v>94</v>
      </c>
      <c r="AF1475" t="s">
        <v>226</v>
      </c>
      <c r="AG1475" t="s">
        <v>226</v>
      </c>
      <c r="AH1475">
        <v>-100</v>
      </c>
      <c r="AI1475" t="s">
        <v>3537</v>
      </c>
      <c r="AJ1475" t="s">
        <v>1976</v>
      </c>
      <c r="AK1475" t="s">
        <v>2416</v>
      </c>
      <c r="AL1475" t="s">
        <v>272</v>
      </c>
    </row>
    <row r="1476" spans="1:38">
      <c r="A1476" t="s">
        <v>6584</v>
      </c>
      <c r="B1476" t="s">
        <v>6585</v>
      </c>
      <c r="C1476" t="s">
        <v>6586</v>
      </c>
      <c r="D1476" t="s">
        <v>6586</v>
      </c>
      <c r="E1476" t="s">
        <v>6587</v>
      </c>
      <c r="F1476" t="s">
        <v>2413</v>
      </c>
      <c r="G1476">
        <v>1</v>
      </c>
      <c r="H1476">
        <v>1</v>
      </c>
      <c r="I1476">
        <v>0.01</v>
      </c>
      <c r="J1476">
        <v>326.06</v>
      </c>
      <c r="K1476">
        <v>-0.36</v>
      </c>
      <c r="L1476">
        <v>69.8</v>
      </c>
      <c r="M1476">
        <v>70.02</v>
      </c>
      <c r="N1476">
        <v>70.459999999999994</v>
      </c>
      <c r="O1476">
        <v>69.8</v>
      </c>
      <c r="P1476">
        <v>0</v>
      </c>
      <c r="Q1476">
        <v>0</v>
      </c>
      <c r="R1476">
        <v>0</v>
      </c>
      <c r="S1476">
        <v>69.760000000000005</v>
      </c>
      <c r="T1476">
        <v>69.72</v>
      </c>
      <c r="U1476">
        <v>69.72</v>
      </c>
      <c r="V1476">
        <v>69.8</v>
      </c>
      <c r="W1476">
        <v>8870</v>
      </c>
      <c r="X1476">
        <v>69.73</v>
      </c>
      <c r="Y1476">
        <v>69.8</v>
      </c>
      <c r="Z1476">
        <v>21</v>
      </c>
      <c r="AA1476">
        <v>16540117</v>
      </c>
      <c r="AB1476">
        <v>1365.54</v>
      </c>
      <c r="AC1476">
        <v>0</v>
      </c>
      <c r="AD1476" t="s">
        <v>94</v>
      </c>
      <c r="AE1476" t="s">
        <v>94</v>
      </c>
      <c r="AF1476" t="s">
        <v>226</v>
      </c>
      <c r="AG1476" t="s">
        <v>226</v>
      </c>
      <c r="AH1476">
        <v>-100</v>
      </c>
      <c r="AI1476" t="s">
        <v>3537</v>
      </c>
      <c r="AJ1476" t="s">
        <v>1976</v>
      </c>
      <c r="AK1476" t="s">
        <v>2416</v>
      </c>
      <c r="AL1476" t="s">
        <v>272</v>
      </c>
    </row>
    <row r="1477" spans="1:38">
      <c r="A1477" t="s">
        <v>6588</v>
      </c>
      <c r="B1477" t="s">
        <v>6589</v>
      </c>
      <c r="C1477" t="s">
        <v>6590</v>
      </c>
      <c r="D1477" t="s">
        <v>6590</v>
      </c>
      <c r="E1477" t="s">
        <v>6591</v>
      </c>
      <c r="F1477" t="s">
        <v>2413</v>
      </c>
      <c r="G1477">
        <v>1</v>
      </c>
      <c r="H1477">
        <v>1</v>
      </c>
      <c r="I1477">
        <v>0.01</v>
      </c>
      <c r="J1477">
        <v>349.29</v>
      </c>
      <c r="K1477">
        <v>-0.26</v>
      </c>
      <c r="L1477">
        <v>72.16</v>
      </c>
      <c r="M1477">
        <v>72.349999999999994</v>
      </c>
      <c r="N1477">
        <v>72.180000000000007</v>
      </c>
      <c r="O1477">
        <v>72.16</v>
      </c>
      <c r="P1477">
        <v>0</v>
      </c>
      <c r="Q1477">
        <v>0</v>
      </c>
      <c r="R1477">
        <v>0</v>
      </c>
      <c r="S1477">
        <v>72.16</v>
      </c>
      <c r="T1477">
        <v>72.16</v>
      </c>
      <c r="U1477">
        <v>72.16</v>
      </c>
      <c r="V1477">
        <v>72.16</v>
      </c>
      <c r="W1477">
        <v>4033</v>
      </c>
      <c r="X1477">
        <v>72.16</v>
      </c>
      <c r="Y1477">
        <v>72.349999999999994</v>
      </c>
      <c r="Z1477">
        <v>1</v>
      </c>
      <c r="AA1477">
        <v>191455712</v>
      </c>
      <c r="AB1477">
        <v>4032.76</v>
      </c>
      <c r="AC1477">
        <v>0</v>
      </c>
      <c r="AD1477" t="s">
        <v>94</v>
      </c>
      <c r="AE1477" t="s">
        <v>94</v>
      </c>
      <c r="AF1477" t="s">
        <v>226</v>
      </c>
      <c r="AG1477" t="s">
        <v>226</v>
      </c>
      <c r="AH1477">
        <v>-100</v>
      </c>
      <c r="AI1477" t="s">
        <v>3537</v>
      </c>
      <c r="AJ1477" t="s">
        <v>1976</v>
      </c>
      <c r="AK1477" t="s">
        <v>2416</v>
      </c>
      <c r="AL1477" t="s">
        <v>272</v>
      </c>
    </row>
    <row r="1478" spans="1:38">
      <c r="A1478" t="s">
        <v>6592</v>
      </c>
      <c r="B1478" t="s">
        <v>6593</v>
      </c>
      <c r="C1478" t="s">
        <v>6594</v>
      </c>
      <c r="D1478" t="s">
        <v>6594</v>
      </c>
      <c r="E1478" t="s">
        <v>6595</v>
      </c>
      <c r="F1478" t="s">
        <v>2413</v>
      </c>
      <c r="G1478">
        <v>1</v>
      </c>
      <c r="H1478">
        <v>1</v>
      </c>
      <c r="I1478">
        <v>0.01</v>
      </c>
      <c r="J1478">
        <v>383.58</v>
      </c>
      <c r="K1478">
        <v>0</v>
      </c>
      <c r="L1478">
        <v>0</v>
      </c>
      <c r="M1478">
        <v>72.680000000000007</v>
      </c>
      <c r="N1478">
        <v>0</v>
      </c>
      <c r="O1478">
        <v>72.680000000000007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72.25</v>
      </c>
      <c r="Y1478">
        <v>73.45</v>
      </c>
      <c r="Z1478">
        <v>0</v>
      </c>
      <c r="AA1478">
        <v>49087016</v>
      </c>
      <c r="AB1478">
        <v>0</v>
      </c>
      <c r="AC1478">
        <v>0</v>
      </c>
      <c r="AD1478" t="s">
        <v>94</v>
      </c>
      <c r="AE1478" t="s">
        <v>94</v>
      </c>
      <c r="AF1478" t="s">
        <v>226</v>
      </c>
      <c r="AG1478" t="s">
        <v>226</v>
      </c>
      <c r="AH1478">
        <v>-100</v>
      </c>
      <c r="AI1478" t="s">
        <v>3537</v>
      </c>
      <c r="AJ1478" t="s">
        <v>1976</v>
      </c>
      <c r="AK1478" t="s">
        <v>2416</v>
      </c>
      <c r="AL1478" t="s">
        <v>272</v>
      </c>
    </row>
    <row r="1479" spans="1:38">
      <c r="A1479" t="s">
        <v>6596</v>
      </c>
      <c r="B1479" t="s">
        <v>6597</v>
      </c>
      <c r="C1479" t="s">
        <v>6598</v>
      </c>
      <c r="D1479" t="s">
        <v>6598</v>
      </c>
      <c r="E1479" t="s">
        <v>6599</v>
      </c>
      <c r="F1479" t="s">
        <v>2413</v>
      </c>
      <c r="G1479">
        <v>1</v>
      </c>
      <c r="H1479">
        <v>1</v>
      </c>
      <c r="I1479">
        <v>0.01</v>
      </c>
      <c r="J1479">
        <v>391.04</v>
      </c>
      <c r="K1479">
        <v>0</v>
      </c>
      <c r="L1479">
        <v>0</v>
      </c>
      <c r="M1479">
        <v>67.569999999999993</v>
      </c>
      <c r="N1479">
        <v>0</v>
      </c>
      <c r="O1479">
        <v>67.569999999999993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67.58</v>
      </c>
      <c r="Y1479">
        <v>72</v>
      </c>
      <c r="Z1479">
        <v>0</v>
      </c>
      <c r="AA1479">
        <v>45718936</v>
      </c>
      <c r="AB1479">
        <v>0</v>
      </c>
      <c r="AC1479">
        <v>0</v>
      </c>
      <c r="AD1479" t="s">
        <v>94</v>
      </c>
      <c r="AE1479" t="s">
        <v>94</v>
      </c>
      <c r="AF1479" t="s">
        <v>226</v>
      </c>
      <c r="AG1479" t="s">
        <v>226</v>
      </c>
      <c r="AH1479">
        <v>-100</v>
      </c>
      <c r="AI1479" t="s">
        <v>3537</v>
      </c>
      <c r="AJ1479" t="s">
        <v>1976</v>
      </c>
      <c r="AK1479" t="s">
        <v>2416</v>
      </c>
      <c r="AL1479" t="s">
        <v>272</v>
      </c>
    </row>
    <row r="1480" spans="1:38">
      <c r="A1480" t="s">
        <v>6600</v>
      </c>
      <c r="B1480" t="s">
        <v>6601</v>
      </c>
      <c r="C1480" t="s">
        <v>6602</v>
      </c>
      <c r="D1480" t="s">
        <v>6602</v>
      </c>
      <c r="E1480" t="s">
        <v>6603</v>
      </c>
      <c r="F1480" t="s">
        <v>2413</v>
      </c>
      <c r="G1480">
        <v>1</v>
      </c>
      <c r="H1480">
        <v>1</v>
      </c>
      <c r="I1480">
        <v>0.01</v>
      </c>
      <c r="J1480">
        <v>401.74</v>
      </c>
      <c r="K1480">
        <v>0.11</v>
      </c>
      <c r="L1480">
        <v>71.47</v>
      </c>
      <c r="M1480">
        <v>71.39</v>
      </c>
      <c r="N1480">
        <v>74.56</v>
      </c>
      <c r="O1480">
        <v>71.38</v>
      </c>
      <c r="P1480">
        <v>0</v>
      </c>
      <c r="Q1480">
        <v>0</v>
      </c>
      <c r="R1480">
        <v>0</v>
      </c>
      <c r="S1480">
        <v>71.39</v>
      </c>
      <c r="T1480">
        <v>71.37</v>
      </c>
      <c r="U1480">
        <v>71.34</v>
      </c>
      <c r="V1480">
        <v>71.47</v>
      </c>
      <c r="W1480">
        <v>10325</v>
      </c>
      <c r="X1480">
        <v>71.33</v>
      </c>
      <c r="Y1480">
        <v>71.47</v>
      </c>
      <c r="Z1480">
        <v>9</v>
      </c>
      <c r="AA1480">
        <v>11252259</v>
      </c>
      <c r="AB1480">
        <v>1148.49</v>
      </c>
      <c r="AC1480">
        <v>0</v>
      </c>
      <c r="AD1480" t="s">
        <v>94</v>
      </c>
      <c r="AE1480" t="s">
        <v>94</v>
      </c>
      <c r="AF1480" t="s">
        <v>226</v>
      </c>
      <c r="AG1480" t="s">
        <v>226</v>
      </c>
      <c r="AH1480">
        <v>-100</v>
      </c>
      <c r="AI1480" t="s">
        <v>3537</v>
      </c>
      <c r="AJ1480" t="s">
        <v>1976</v>
      </c>
      <c r="AK1480" t="s">
        <v>2416</v>
      </c>
      <c r="AL1480" t="s">
        <v>272</v>
      </c>
    </row>
    <row r="1481" spans="1:38">
      <c r="A1481" t="s">
        <v>6604</v>
      </c>
      <c r="B1481" t="s">
        <v>6605</v>
      </c>
      <c r="C1481" t="s">
        <v>6606</v>
      </c>
      <c r="D1481" t="s">
        <v>6606</v>
      </c>
      <c r="E1481" t="s">
        <v>6607</v>
      </c>
      <c r="F1481" t="s">
        <v>2413</v>
      </c>
      <c r="G1481">
        <v>1</v>
      </c>
      <c r="H1481">
        <v>1</v>
      </c>
      <c r="I1481">
        <v>0.01</v>
      </c>
      <c r="J1481">
        <v>476.29</v>
      </c>
      <c r="K1481">
        <v>11.94</v>
      </c>
      <c r="L1481">
        <v>72.48</v>
      </c>
      <c r="M1481">
        <v>64.75</v>
      </c>
      <c r="N1481">
        <v>0</v>
      </c>
      <c r="O1481">
        <v>72.48</v>
      </c>
      <c r="P1481">
        <v>0</v>
      </c>
      <c r="Q1481">
        <v>0</v>
      </c>
      <c r="R1481">
        <v>0</v>
      </c>
      <c r="S1481">
        <v>66.62</v>
      </c>
      <c r="T1481">
        <v>70.760000000000005</v>
      </c>
      <c r="U1481">
        <v>62.3</v>
      </c>
      <c r="V1481">
        <v>72.91</v>
      </c>
      <c r="W1481">
        <v>8250</v>
      </c>
      <c r="X1481">
        <v>64.23</v>
      </c>
      <c r="Y1481">
        <v>72.41</v>
      </c>
      <c r="Z1481">
        <v>16</v>
      </c>
      <c r="AA1481">
        <v>4742319</v>
      </c>
      <c r="AB1481">
        <v>345.21</v>
      </c>
      <c r="AC1481">
        <v>0</v>
      </c>
      <c r="AD1481" t="s">
        <v>94</v>
      </c>
      <c r="AE1481" t="s">
        <v>94</v>
      </c>
      <c r="AF1481" t="s">
        <v>226</v>
      </c>
      <c r="AG1481" t="s">
        <v>226</v>
      </c>
      <c r="AH1481">
        <v>-100</v>
      </c>
      <c r="AI1481" t="s">
        <v>3537</v>
      </c>
      <c r="AJ1481" t="s">
        <v>1976</v>
      </c>
      <c r="AK1481" t="s">
        <v>2416</v>
      </c>
      <c r="AL1481" t="s">
        <v>272</v>
      </c>
    </row>
    <row r="1482" spans="1:38">
      <c r="A1482" t="s">
        <v>6608</v>
      </c>
      <c r="B1482" t="s">
        <v>6609</v>
      </c>
      <c r="C1482" t="s">
        <v>6610</v>
      </c>
      <c r="D1482" t="s">
        <v>6610</v>
      </c>
      <c r="E1482" t="s">
        <v>6611</v>
      </c>
      <c r="F1482" t="s">
        <v>2413</v>
      </c>
      <c r="G1482">
        <v>1</v>
      </c>
      <c r="H1482">
        <v>1</v>
      </c>
      <c r="I1482">
        <v>0.01</v>
      </c>
      <c r="J1482">
        <v>524.28</v>
      </c>
      <c r="K1482">
        <v>-0.14000000000000001</v>
      </c>
      <c r="L1482">
        <v>69.430000000000007</v>
      </c>
      <c r="M1482">
        <v>69.3</v>
      </c>
      <c r="N1482">
        <v>0</v>
      </c>
      <c r="O1482">
        <v>69.42</v>
      </c>
      <c r="P1482">
        <v>0</v>
      </c>
      <c r="Q1482">
        <v>0</v>
      </c>
      <c r="R1482">
        <v>0</v>
      </c>
      <c r="S1482">
        <v>69.42</v>
      </c>
      <c r="T1482">
        <v>69.400000000000006</v>
      </c>
      <c r="U1482">
        <v>69.400000000000006</v>
      </c>
      <c r="V1482">
        <v>69.430000000000007</v>
      </c>
      <c r="W1482">
        <v>2184</v>
      </c>
      <c r="X1482">
        <v>69.38</v>
      </c>
      <c r="Y1482">
        <v>69.430000000000007</v>
      </c>
      <c r="Z1482">
        <v>2</v>
      </c>
      <c r="AA1482">
        <v>9749207</v>
      </c>
      <c r="AB1482">
        <v>1092.02</v>
      </c>
      <c r="AC1482">
        <v>0</v>
      </c>
      <c r="AD1482" t="s">
        <v>94</v>
      </c>
      <c r="AE1482" t="s">
        <v>94</v>
      </c>
      <c r="AF1482" t="s">
        <v>226</v>
      </c>
      <c r="AG1482" t="s">
        <v>226</v>
      </c>
      <c r="AH1482">
        <v>-100</v>
      </c>
      <c r="AI1482" t="s">
        <v>3537</v>
      </c>
      <c r="AJ1482" t="s">
        <v>1976</v>
      </c>
      <c r="AK1482" t="s">
        <v>2416</v>
      </c>
      <c r="AL1482" t="s">
        <v>272</v>
      </c>
    </row>
    <row r="1483" spans="1:38">
      <c r="A1483" t="s">
        <v>6612</v>
      </c>
      <c r="B1483" t="s">
        <v>6613</v>
      </c>
      <c r="C1483" t="s">
        <v>6614</v>
      </c>
      <c r="D1483" t="s">
        <v>6614</v>
      </c>
      <c r="E1483" t="s">
        <v>6615</v>
      </c>
      <c r="F1483" t="s">
        <v>2413</v>
      </c>
      <c r="G1483">
        <v>1</v>
      </c>
      <c r="H1483">
        <v>1</v>
      </c>
      <c r="I1483">
        <v>0.01</v>
      </c>
      <c r="J1483">
        <v>1000</v>
      </c>
      <c r="K1483">
        <v>-0.15</v>
      </c>
      <c r="L1483">
        <v>94.54</v>
      </c>
      <c r="M1483">
        <v>94.1</v>
      </c>
      <c r="N1483">
        <v>94.17</v>
      </c>
      <c r="O1483">
        <v>94.54</v>
      </c>
      <c r="P1483">
        <v>0</v>
      </c>
      <c r="Q1483">
        <v>0</v>
      </c>
      <c r="R1483">
        <v>0</v>
      </c>
      <c r="S1483">
        <v>94.52</v>
      </c>
      <c r="T1483">
        <v>94.52</v>
      </c>
      <c r="U1483">
        <v>94.47</v>
      </c>
      <c r="V1483">
        <v>94.54</v>
      </c>
      <c r="W1483">
        <v>7562</v>
      </c>
      <c r="X1483">
        <v>94.09</v>
      </c>
      <c r="Y1483">
        <v>94.56</v>
      </c>
      <c r="Z1483">
        <v>4</v>
      </c>
      <c r="AA1483">
        <v>20000000</v>
      </c>
      <c r="AB1483">
        <v>1890.8</v>
      </c>
      <c r="AC1483">
        <v>0</v>
      </c>
      <c r="AD1483" t="s">
        <v>94</v>
      </c>
      <c r="AE1483" t="s">
        <v>94</v>
      </c>
      <c r="AF1483" t="s">
        <v>226</v>
      </c>
      <c r="AG1483" t="s">
        <v>226</v>
      </c>
      <c r="AH1483">
        <v>-100</v>
      </c>
      <c r="AI1483" t="s">
        <v>3537</v>
      </c>
      <c r="AJ1483" t="s">
        <v>1976</v>
      </c>
      <c r="AK1483" t="s">
        <v>2416</v>
      </c>
      <c r="AL1483" t="s">
        <v>272</v>
      </c>
    </row>
    <row r="1484" spans="1:38">
      <c r="A1484" t="s">
        <v>6616</v>
      </c>
      <c r="B1484" t="s">
        <v>6617</v>
      </c>
      <c r="C1484" t="s">
        <v>6618</v>
      </c>
      <c r="D1484" t="s">
        <v>6618</v>
      </c>
      <c r="E1484" t="s">
        <v>6619</v>
      </c>
      <c r="F1484" t="s">
        <v>2413</v>
      </c>
      <c r="G1484">
        <v>1</v>
      </c>
      <c r="H1484">
        <v>1</v>
      </c>
      <c r="I1484">
        <v>0.01</v>
      </c>
      <c r="J1484">
        <v>1000</v>
      </c>
      <c r="K1484">
        <v>0.05</v>
      </c>
      <c r="L1484">
        <v>96.36</v>
      </c>
      <c r="M1484">
        <v>96.17</v>
      </c>
      <c r="N1484">
        <v>96.12</v>
      </c>
      <c r="O1484">
        <v>96.36</v>
      </c>
      <c r="P1484">
        <v>0</v>
      </c>
      <c r="Q1484">
        <v>0</v>
      </c>
      <c r="R1484">
        <v>0</v>
      </c>
      <c r="S1484">
        <v>96.35</v>
      </c>
      <c r="T1484">
        <v>96.33</v>
      </c>
      <c r="U1484">
        <v>96.2</v>
      </c>
      <c r="V1484">
        <v>96.37</v>
      </c>
      <c r="W1484">
        <v>1802720</v>
      </c>
      <c r="X1484">
        <v>96.33</v>
      </c>
      <c r="Y1484">
        <v>96.35</v>
      </c>
      <c r="Z1484">
        <v>60</v>
      </c>
      <c r="AA1484">
        <v>14000000</v>
      </c>
      <c r="AB1484">
        <v>31798.799999999999</v>
      </c>
      <c r="AC1484">
        <v>0</v>
      </c>
      <c r="AD1484" t="s">
        <v>94</v>
      </c>
      <c r="AE1484" t="s">
        <v>94</v>
      </c>
      <c r="AF1484" t="s">
        <v>226</v>
      </c>
      <c r="AG1484" t="s">
        <v>226</v>
      </c>
      <c r="AH1484">
        <v>-100</v>
      </c>
      <c r="AI1484" t="s">
        <v>3537</v>
      </c>
      <c r="AJ1484" t="s">
        <v>1976</v>
      </c>
      <c r="AK1484" t="s">
        <v>2416</v>
      </c>
      <c r="AL1484" t="s">
        <v>272</v>
      </c>
    </row>
    <row r="1485" spans="1:38">
      <c r="A1485" t="s">
        <v>6620</v>
      </c>
      <c r="B1485" t="s">
        <v>6621</v>
      </c>
      <c r="C1485" t="s">
        <v>6622</v>
      </c>
      <c r="D1485" t="s">
        <v>6622</v>
      </c>
      <c r="E1485" t="s">
        <v>6623</v>
      </c>
      <c r="F1485" t="s">
        <v>2413</v>
      </c>
      <c r="G1485">
        <v>1</v>
      </c>
      <c r="H1485">
        <v>1</v>
      </c>
      <c r="I1485">
        <v>0.01</v>
      </c>
      <c r="J1485">
        <v>1000</v>
      </c>
      <c r="K1485">
        <v>0.12</v>
      </c>
      <c r="L1485">
        <v>100.2</v>
      </c>
      <c r="M1485">
        <v>100.08</v>
      </c>
      <c r="N1485">
        <v>100.19</v>
      </c>
      <c r="O1485">
        <v>100.2</v>
      </c>
      <c r="P1485">
        <v>0</v>
      </c>
      <c r="Q1485">
        <v>0</v>
      </c>
      <c r="R1485">
        <v>0</v>
      </c>
      <c r="S1485">
        <v>100.16</v>
      </c>
      <c r="T1485">
        <v>100.29</v>
      </c>
      <c r="U1485">
        <v>100.08</v>
      </c>
      <c r="V1485">
        <v>100.29</v>
      </c>
      <c r="W1485">
        <v>2960634</v>
      </c>
      <c r="X1485">
        <v>100.14</v>
      </c>
      <c r="Y1485">
        <v>100.2</v>
      </c>
      <c r="Z1485">
        <v>148</v>
      </c>
      <c r="AA1485">
        <v>10000000</v>
      </c>
      <c r="AB1485">
        <v>10020</v>
      </c>
      <c r="AC1485">
        <v>0</v>
      </c>
      <c r="AD1485" t="s">
        <v>94</v>
      </c>
      <c r="AE1485" t="s">
        <v>94</v>
      </c>
      <c r="AF1485" t="s">
        <v>226</v>
      </c>
      <c r="AG1485" t="s">
        <v>226</v>
      </c>
      <c r="AH1485">
        <v>-100</v>
      </c>
      <c r="AI1485" t="s">
        <v>3537</v>
      </c>
      <c r="AJ1485" t="s">
        <v>1976</v>
      </c>
      <c r="AK1485" t="s">
        <v>2416</v>
      </c>
      <c r="AL1485" t="s">
        <v>272</v>
      </c>
    </row>
    <row r="1486" spans="1:38">
      <c r="A1486" t="s">
        <v>6624</v>
      </c>
      <c r="B1486" t="s">
        <v>6625</v>
      </c>
      <c r="C1486" t="s">
        <v>6626</v>
      </c>
      <c r="D1486" t="s">
        <v>6626</v>
      </c>
      <c r="E1486" t="s">
        <v>6627</v>
      </c>
      <c r="F1486" t="s">
        <v>2413</v>
      </c>
      <c r="G1486">
        <v>1</v>
      </c>
      <c r="H1486">
        <v>1</v>
      </c>
      <c r="I1486">
        <v>0.01</v>
      </c>
      <c r="J1486">
        <v>1000</v>
      </c>
      <c r="K1486">
        <v>0.13</v>
      </c>
      <c r="L1486">
        <v>99</v>
      </c>
      <c r="M1486">
        <v>98.87</v>
      </c>
      <c r="N1486">
        <v>98.98</v>
      </c>
      <c r="O1486">
        <v>99</v>
      </c>
      <c r="P1486">
        <v>0</v>
      </c>
      <c r="Q1486">
        <v>0</v>
      </c>
      <c r="R1486">
        <v>0</v>
      </c>
      <c r="S1486">
        <v>98.98</v>
      </c>
      <c r="T1486">
        <v>98.89</v>
      </c>
      <c r="U1486">
        <v>98.89</v>
      </c>
      <c r="V1486">
        <v>99</v>
      </c>
      <c r="W1486">
        <v>5859422</v>
      </c>
      <c r="X1486">
        <v>98.92</v>
      </c>
      <c r="Y1486">
        <v>99</v>
      </c>
      <c r="Z1486">
        <v>87</v>
      </c>
      <c r="AA1486">
        <v>20000000</v>
      </c>
      <c r="AB1486">
        <v>41580</v>
      </c>
      <c r="AC1486">
        <v>0</v>
      </c>
      <c r="AD1486" t="s">
        <v>94</v>
      </c>
      <c r="AE1486" t="s">
        <v>94</v>
      </c>
      <c r="AF1486" t="s">
        <v>226</v>
      </c>
      <c r="AG1486" t="s">
        <v>226</v>
      </c>
      <c r="AH1486">
        <v>800</v>
      </c>
      <c r="AI1486" t="s">
        <v>3537</v>
      </c>
      <c r="AJ1486" t="s">
        <v>1976</v>
      </c>
      <c r="AK1486" t="s">
        <v>2416</v>
      </c>
      <c r="AL1486" t="s">
        <v>272</v>
      </c>
    </row>
    <row r="1487" spans="1:38">
      <c r="A1487" t="s">
        <v>6628</v>
      </c>
      <c r="B1487" t="s">
        <v>6629</v>
      </c>
      <c r="C1487" t="s">
        <v>6630</v>
      </c>
      <c r="D1487" t="s">
        <v>6630</v>
      </c>
      <c r="E1487" t="s">
        <v>6631</v>
      </c>
      <c r="F1487" t="s">
        <v>2413</v>
      </c>
      <c r="G1487">
        <v>1</v>
      </c>
      <c r="H1487">
        <v>1</v>
      </c>
      <c r="I1487">
        <v>0.01</v>
      </c>
      <c r="J1487">
        <v>1000</v>
      </c>
      <c r="K1487">
        <v>0.2</v>
      </c>
      <c r="L1487">
        <v>88.68</v>
      </c>
      <c r="M1487">
        <v>88.5</v>
      </c>
      <c r="N1487">
        <v>88.57</v>
      </c>
      <c r="O1487">
        <v>88.68</v>
      </c>
      <c r="P1487">
        <v>0</v>
      </c>
      <c r="Q1487">
        <v>0</v>
      </c>
      <c r="R1487">
        <v>0</v>
      </c>
      <c r="S1487">
        <v>88.6</v>
      </c>
      <c r="T1487">
        <v>88.45</v>
      </c>
      <c r="U1487">
        <v>88.09</v>
      </c>
      <c r="V1487">
        <v>88.68</v>
      </c>
      <c r="W1487">
        <v>166561</v>
      </c>
      <c r="X1487">
        <v>88.6</v>
      </c>
      <c r="Y1487">
        <v>88.68</v>
      </c>
      <c r="Z1487">
        <v>50</v>
      </c>
      <c r="AA1487">
        <v>10000000</v>
      </c>
      <c r="AB1487">
        <v>886.8</v>
      </c>
      <c r="AC1487">
        <v>0</v>
      </c>
      <c r="AD1487" t="s">
        <v>94</v>
      </c>
      <c r="AE1487" t="s">
        <v>94</v>
      </c>
      <c r="AF1487" t="s">
        <v>226</v>
      </c>
      <c r="AG1487" t="s">
        <v>226</v>
      </c>
      <c r="AH1487">
        <v>-100</v>
      </c>
      <c r="AI1487" t="s">
        <v>3537</v>
      </c>
      <c r="AJ1487" t="s">
        <v>1976</v>
      </c>
      <c r="AK1487" t="s">
        <v>2416</v>
      </c>
      <c r="AL1487" t="s">
        <v>272</v>
      </c>
    </row>
    <row r="1488" spans="1:38">
      <c r="A1488" t="s">
        <v>6632</v>
      </c>
      <c r="B1488" t="s">
        <v>6633</v>
      </c>
      <c r="C1488" t="s">
        <v>6634</v>
      </c>
      <c r="D1488" t="s">
        <v>6634</v>
      </c>
      <c r="E1488" t="s">
        <v>6635</v>
      </c>
      <c r="F1488" t="s">
        <v>2413</v>
      </c>
      <c r="G1488">
        <v>1</v>
      </c>
      <c r="H1488">
        <v>1</v>
      </c>
      <c r="I1488">
        <v>0.01</v>
      </c>
      <c r="J1488">
        <v>1000</v>
      </c>
      <c r="K1488">
        <v>0.08</v>
      </c>
      <c r="L1488">
        <v>94.87</v>
      </c>
      <c r="M1488">
        <v>94.79</v>
      </c>
      <c r="N1488">
        <v>94.79</v>
      </c>
      <c r="O1488">
        <v>94.87</v>
      </c>
      <c r="P1488">
        <v>0</v>
      </c>
      <c r="Q1488">
        <v>0</v>
      </c>
      <c r="R1488">
        <v>0</v>
      </c>
      <c r="S1488">
        <v>95.01</v>
      </c>
      <c r="T1488">
        <v>94.99</v>
      </c>
      <c r="U1488">
        <v>94.52</v>
      </c>
      <c r="V1488">
        <v>95.1</v>
      </c>
      <c r="W1488">
        <v>29491656</v>
      </c>
      <c r="X1488">
        <v>94.56</v>
      </c>
      <c r="Y1488">
        <v>94.87</v>
      </c>
      <c r="Z1488">
        <v>61</v>
      </c>
      <c r="AA1488">
        <v>10000000</v>
      </c>
      <c r="AB1488">
        <v>37948</v>
      </c>
      <c r="AC1488">
        <v>0</v>
      </c>
      <c r="AD1488" t="s">
        <v>94</v>
      </c>
      <c r="AE1488" t="s">
        <v>94</v>
      </c>
      <c r="AF1488" t="s">
        <v>226</v>
      </c>
      <c r="AG1488" t="s">
        <v>226</v>
      </c>
      <c r="AH1488">
        <v>800</v>
      </c>
      <c r="AI1488" t="s">
        <v>3537</v>
      </c>
      <c r="AJ1488" t="s">
        <v>1976</v>
      </c>
      <c r="AK1488" t="s">
        <v>2416</v>
      </c>
      <c r="AL1488" t="s">
        <v>272</v>
      </c>
    </row>
    <row r="1489" spans="1:38">
      <c r="A1489" t="s">
        <v>6636</v>
      </c>
      <c r="B1489" t="s">
        <v>6637</v>
      </c>
      <c r="C1489" t="s">
        <v>6638</v>
      </c>
      <c r="D1489" t="s">
        <v>6638</v>
      </c>
      <c r="E1489" t="s">
        <v>6639</v>
      </c>
      <c r="F1489" t="s">
        <v>2413</v>
      </c>
      <c r="G1489">
        <v>1</v>
      </c>
      <c r="H1489">
        <v>1</v>
      </c>
      <c r="I1489">
        <v>0.01</v>
      </c>
      <c r="J1489">
        <v>1000</v>
      </c>
      <c r="K1489">
        <v>0</v>
      </c>
      <c r="L1489">
        <v>99.9</v>
      </c>
      <c r="M1489">
        <v>99.82</v>
      </c>
      <c r="N1489">
        <v>99.62</v>
      </c>
      <c r="O1489">
        <v>99.9</v>
      </c>
      <c r="P1489">
        <v>0</v>
      </c>
      <c r="Q1489">
        <v>0</v>
      </c>
      <c r="R1489">
        <v>0</v>
      </c>
      <c r="S1489">
        <v>99.47</v>
      </c>
      <c r="T1489">
        <v>99.97</v>
      </c>
      <c r="U1489">
        <v>97.84</v>
      </c>
      <c r="V1489">
        <v>100</v>
      </c>
      <c r="W1489">
        <v>136280</v>
      </c>
      <c r="X1489">
        <v>99</v>
      </c>
      <c r="Y1489">
        <v>99.8</v>
      </c>
      <c r="Z1489">
        <v>30</v>
      </c>
      <c r="AA1489">
        <v>10000000</v>
      </c>
      <c r="AB1489">
        <v>6993</v>
      </c>
      <c r="AC1489">
        <v>0</v>
      </c>
      <c r="AD1489" t="s">
        <v>94</v>
      </c>
      <c r="AE1489" t="s">
        <v>94</v>
      </c>
      <c r="AF1489" t="s">
        <v>226</v>
      </c>
      <c r="AG1489" t="s">
        <v>226</v>
      </c>
      <c r="AH1489">
        <v>8</v>
      </c>
      <c r="AI1489" t="s">
        <v>3537</v>
      </c>
      <c r="AJ1489" t="s">
        <v>1976</v>
      </c>
      <c r="AK1489" t="s">
        <v>2416</v>
      </c>
      <c r="AL1489" t="s">
        <v>272</v>
      </c>
    </row>
    <row r="1490" spans="1:38">
      <c r="A1490" t="s">
        <v>6640</v>
      </c>
      <c r="B1490" t="s">
        <v>6641</v>
      </c>
      <c r="C1490" t="s">
        <v>6642</v>
      </c>
      <c r="D1490" t="s">
        <v>6642</v>
      </c>
      <c r="E1490" t="s">
        <v>6643</v>
      </c>
      <c r="F1490" t="s">
        <v>2413</v>
      </c>
      <c r="G1490">
        <v>1</v>
      </c>
      <c r="H1490">
        <v>1</v>
      </c>
      <c r="I1490">
        <v>0.01</v>
      </c>
      <c r="J1490">
        <v>1000</v>
      </c>
      <c r="K1490">
        <v>0.28999999999999998</v>
      </c>
      <c r="L1490">
        <v>99.57</v>
      </c>
      <c r="M1490">
        <v>99.28</v>
      </c>
      <c r="N1490">
        <v>99.3</v>
      </c>
      <c r="O1490">
        <v>99.57</v>
      </c>
      <c r="P1490">
        <v>0</v>
      </c>
      <c r="Q1490">
        <v>0</v>
      </c>
      <c r="R1490">
        <v>0</v>
      </c>
      <c r="S1490">
        <v>99.46</v>
      </c>
      <c r="T1490">
        <v>99.62</v>
      </c>
      <c r="U1490">
        <v>99.32</v>
      </c>
      <c r="V1490">
        <v>99.62</v>
      </c>
      <c r="W1490">
        <v>23870</v>
      </c>
      <c r="X1490">
        <v>99.33</v>
      </c>
      <c r="Y1490">
        <v>99.57</v>
      </c>
      <c r="Z1490">
        <v>10</v>
      </c>
      <c r="AA1490">
        <v>10000000</v>
      </c>
      <c r="AB1490">
        <v>1991.4</v>
      </c>
      <c r="AC1490">
        <v>0</v>
      </c>
      <c r="AD1490" t="s">
        <v>94</v>
      </c>
      <c r="AE1490" t="s">
        <v>94</v>
      </c>
      <c r="AF1490" t="s">
        <v>226</v>
      </c>
      <c r="AG1490" t="s">
        <v>226</v>
      </c>
      <c r="AH1490">
        <v>-100</v>
      </c>
      <c r="AI1490" t="s">
        <v>3537</v>
      </c>
      <c r="AJ1490" t="s">
        <v>1976</v>
      </c>
      <c r="AK1490" t="s">
        <v>2416</v>
      </c>
      <c r="AL1490" t="s">
        <v>272</v>
      </c>
    </row>
    <row r="1491" spans="1:38">
      <c r="A1491" t="s">
        <v>6644</v>
      </c>
      <c r="B1491" t="s">
        <v>6645</v>
      </c>
      <c r="C1491" t="s">
        <v>6646</v>
      </c>
      <c r="D1491" t="s">
        <v>6646</v>
      </c>
      <c r="E1491" t="s">
        <v>6647</v>
      </c>
      <c r="F1491" t="s">
        <v>2413</v>
      </c>
      <c r="G1491">
        <v>3</v>
      </c>
      <c r="H1491">
        <v>1</v>
      </c>
      <c r="I1491">
        <v>0.01</v>
      </c>
      <c r="J1491">
        <v>1000</v>
      </c>
      <c r="K1491">
        <v>-0.56999999999999995</v>
      </c>
      <c r="L1491">
        <v>78.22</v>
      </c>
      <c r="M1491">
        <v>78.67</v>
      </c>
      <c r="N1491">
        <v>79.06</v>
      </c>
      <c r="O1491">
        <v>78.28</v>
      </c>
      <c r="P1491">
        <v>0</v>
      </c>
      <c r="Q1491">
        <v>0</v>
      </c>
      <c r="R1491">
        <v>0</v>
      </c>
      <c r="S1491">
        <v>77.989999999999995</v>
      </c>
      <c r="T1491">
        <v>75.05</v>
      </c>
      <c r="U1491">
        <v>75.05</v>
      </c>
      <c r="V1491">
        <v>78.97</v>
      </c>
      <c r="W1491">
        <v>495206</v>
      </c>
      <c r="X1491">
        <v>78.150000000000006</v>
      </c>
      <c r="Y1491">
        <v>78.39</v>
      </c>
      <c r="Z1491">
        <v>79</v>
      </c>
      <c r="AA1491">
        <v>300000</v>
      </c>
      <c r="AB1491">
        <v>7039.8</v>
      </c>
      <c r="AC1491">
        <v>0</v>
      </c>
      <c r="AD1491" t="s">
        <v>94</v>
      </c>
      <c r="AE1491" t="s">
        <v>94</v>
      </c>
      <c r="AF1491" t="s">
        <v>226</v>
      </c>
      <c r="AG1491" t="s">
        <v>226</v>
      </c>
      <c r="AH1491">
        <v>6</v>
      </c>
      <c r="AI1491" t="s">
        <v>3537</v>
      </c>
      <c r="AJ1491" t="s">
        <v>1976</v>
      </c>
      <c r="AK1491" t="s">
        <v>2416</v>
      </c>
      <c r="AL1491" t="s">
        <v>272</v>
      </c>
    </row>
    <row r="1492" spans="1:38">
      <c r="A1492" t="s">
        <v>6648</v>
      </c>
      <c r="B1492" t="s">
        <v>6649</v>
      </c>
      <c r="C1492" t="s">
        <v>6650</v>
      </c>
      <c r="D1492" t="s">
        <v>6650</v>
      </c>
      <c r="E1492" t="s">
        <v>6651</v>
      </c>
      <c r="F1492" t="s">
        <v>2413</v>
      </c>
      <c r="G1492">
        <v>3</v>
      </c>
      <c r="H1492">
        <v>1</v>
      </c>
      <c r="I1492">
        <v>0.01</v>
      </c>
      <c r="J1492">
        <v>1000</v>
      </c>
      <c r="K1492">
        <v>0</v>
      </c>
      <c r="L1492">
        <v>0</v>
      </c>
      <c r="M1492">
        <v>96</v>
      </c>
      <c r="N1492">
        <v>95.48</v>
      </c>
      <c r="O1492">
        <v>96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97</v>
      </c>
      <c r="Y1492">
        <v>98.5</v>
      </c>
      <c r="Z1492">
        <v>0</v>
      </c>
      <c r="AA1492">
        <v>6604</v>
      </c>
      <c r="AB1492">
        <v>0</v>
      </c>
      <c r="AC1492">
        <v>0</v>
      </c>
      <c r="AD1492" t="s">
        <v>94</v>
      </c>
      <c r="AE1492" t="s">
        <v>94</v>
      </c>
      <c r="AF1492" t="s">
        <v>226</v>
      </c>
      <c r="AG1492" t="s">
        <v>226</v>
      </c>
      <c r="AH1492">
        <v>800</v>
      </c>
      <c r="AI1492" t="s">
        <v>3537</v>
      </c>
      <c r="AJ1492" t="s">
        <v>1976</v>
      </c>
      <c r="AK1492" t="s">
        <v>2416</v>
      </c>
      <c r="AL1492" t="s">
        <v>272</v>
      </c>
    </row>
    <row r="1493" spans="1:38">
      <c r="A1493" t="s">
        <v>6652</v>
      </c>
      <c r="B1493" t="s">
        <v>6653</v>
      </c>
      <c r="C1493" t="s">
        <v>6654</v>
      </c>
      <c r="D1493" t="s">
        <v>6654</v>
      </c>
      <c r="E1493" t="s">
        <v>6655</v>
      </c>
      <c r="F1493" t="s">
        <v>2413</v>
      </c>
      <c r="G1493">
        <v>1</v>
      </c>
      <c r="H1493">
        <v>1</v>
      </c>
      <c r="I1493">
        <v>0.01</v>
      </c>
      <c r="J1493">
        <v>1000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15000000</v>
      </c>
      <c r="AB1493">
        <v>0</v>
      </c>
      <c r="AC1493">
        <v>0</v>
      </c>
      <c r="AD1493" t="s">
        <v>94</v>
      </c>
      <c r="AE1493" t="s">
        <v>94</v>
      </c>
      <c r="AF1493" t="s">
        <v>226</v>
      </c>
      <c r="AG1493" t="s">
        <v>226</v>
      </c>
      <c r="AH1493">
        <v>800</v>
      </c>
      <c r="AI1493" t="s">
        <v>3537</v>
      </c>
      <c r="AJ1493" t="s">
        <v>1976</v>
      </c>
      <c r="AK1493" t="s">
        <v>2416</v>
      </c>
      <c r="AL1493" t="s">
        <v>272</v>
      </c>
    </row>
    <row r="1494" spans="1:38">
      <c r="A1494" t="s">
        <v>6656</v>
      </c>
      <c r="B1494" t="s">
        <v>6657</v>
      </c>
      <c r="C1494" t="s">
        <v>6658</v>
      </c>
      <c r="D1494" t="s">
        <v>6658</v>
      </c>
      <c r="E1494" t="s">
        <v>6659</v>
      </c>
      <c r="F1494" t="s">
        <v>2413</v>
      </c>
      <c r="G1494">
        <v>3</v>
      </c>
      <c r="H1494">
        <v>1</v>
      </c>
      <c r="I1494">
        <v>0.01</v>
      </c>
      <c r="J1494">
        <v>1000</v>
      </c>
      <c r="K1494">
        <v>-0.43</v>
      </c>
      <c r="L1494">
        <v>81.64</v>
      </c>
      <c r="M1494">
        <v>81.99</v>
      </c>
      <c r="N1494">
        <v>82.91</v>
      </c>
      <c r="O1494">
        <v>81.650000000000006</v>
      </c>
      <c r="P1494">
        <v>0</v>
      </c>
      <c r="Q1494">
        <v>0</v>
      </c>
      <c r="R1494">
        <v>0</v>
      </c>
      <c r="S1494">
        <v>81.41</v>
      </c>
      <c r="T1494">
        <v>84.92</v>
      </c>
      <c r="U1494">
        <v>80</v>
      </c>
      <c r="V1494">
        <v>84.98</v>
      </c>
      <c r="W1494">
        <v>253193</v>
      </c>
      <c r="X1494">
        <v>81.05</v>
      </c>
      <c r="Y1494">
        <v>81.99</v>
      </c>
      <c r="Z1494">
        <v>71</v>
      </c>
      <c r="AA1494">
        <v>100000</v>
      </c>
      <c r="AB1494">
        <v>816.4</v>
      </c>
      <c r="AC1494">
        <v>0</v>
      </c>
      <c r="AD1494" t="s">
        <v>94</v>
      </c>
      <c r="AE1494" t="s">
        <v>94</v>
      </c>
      <c r="AF1494" t="s">
        <v>226</v>
      </c>
      <c r="AG1494" t="s">
        <v>226</v>
      </c>
      <c r="AH1494">
        <v>6</v>
      </c>
      <c r="AI1494" t="s">
        <v>3537</v>
      </c>
      <c r="AJ1494" t="s">
        <v>1976</v>
      </c>
      <c r="AK1494" t="s">
        <v>2416</v>
      </c>
      <c r="AL1494" t="s">
        <v>272</v>
      </c>
    </row>
    <row r="1495" spans="1:38">
      <c r="A1495" t="s">
        <v>6660</v>
      </c>
      <c r="B1495" t="s">
        <v>6661</v>
      </c>
      <c r="C1495" t="s">
        <v>6662</v>
      </c>
      <c r="D1495" t="s">
        <v>6662</v>
      </c>
      <c r="E1495" t="s">
        <v>6663</v>
      </c>
      <c r="F1495" t="s">
        <v>2413</v>
      </c>
      <c r="G1495">
        <v>3</v>
      </c>
      <c r="H1495">
        <v>1</v>
      </c>
      <c r="I1495">
        <v>0.01</v>
      </c>
      <c r="J1495">
        <v>1000</v>
      </c>
      <c r="K1495">
        <v>14.39</v>
      </c>
      <c r="L1495">
        <v>80.069999999999993</v>
      </c>
      <c r="M1495">
        <v>70</v>
      </c>
      <c r="N1495">
        <v>69.72</v>
      </c>
      <c r="O1495">
        <v>80.069999999999993</v>
      </c>
      <c r="P1495">
        <v>0</v>
      </c>
      <c r="Q1495">
        <v>0</v>
      </c>
      <c r="R1495">
        <v>0</v>
      </c>
      <c r="S1495">
        <v>79.16</v>
      </c>
      <c r="T1495">
        <v>70</v>
      </c>
      <c r="U1495">
        <v>70</v>
      </c>
      <c r="V1495">
        <v>80.069999999999993</v>
      </c>
      <c r="W1495">
        <v>17416</v>
      </c>
      <c r="X1495">
        <v>69.64</v>
      </c>
      <c r="Y1495">
        <v>70.25</v>
      </c>
      <c r="Z1495">
        <v>4</v>
      </c>
      <c r="AA1495">
        <v>150000</v>
      </c>
      <c r="AB1495">
        <v>15213.3</v>
      </c>
      <c r="AC1495">
        <v>0</v>
      </c>
      <c r="AD1495" t="s">
        <v>94</v>
      </c>
      <c r="AE1495" t="s">
        <v>94</v>
      </c>
      <c r="AF1495" t="s">
        <v>226</v>
      </c>
      <c r="AG1495" t="s">
        <v>226</v>
      </c>
      <c r="AH1495">
        <v>800</v>
      </c>
      <c r="AI1495" t="s">
        <v>3537</v>
      </c>
      <c r="AJ1495" t="s">
        <v>1976</v>
      </c>
      <c r="AK1495" t="s">
        <v>2416</v>
      </c>
      <c r="AL1495" t="s">
        <v>272</v>
      </c>
    </row>
    <row r="1496" spans="1:38">
      <c r="A1496" t="s">
        <v>6664</v>
      </c>
      <c r="B1496" t="s">
        <v>6665</v>
      </c>
      <c r="C1496" t="s">
        <v>6666</v>
      </c>
      <c r="D1496" t="s">
        <v>6666</v>
      </c>
      <c r="E1496" t="s">
        <v>6667</v>
      </c>
      <c r="F1496" t="s">
        <v>2413</v>
      </c>
      <c r="G1496">
        <v>2</v>
      </c>
      <c r="H1496">
        <v>1</v>
      </c>
      <c r="I1496">
        <v>0.01</v>
      </c>
      <c r="J1496">
        <v>1000</v>
      </c>
      <c r="K1496">
        <v>0.37</v>
      </c>
      <c r="L1496">
        <v>88.84</v>
      </c>
      <c r="M1496">
        <v>88.51</v>
      </c>
      <c r="N1496">
        <v>88.66</v>
      </c>
      <c r="O1496">
        <v>88.83</v>
      </c>
      <c r="P1496">
        <v>0</v>
      </c>
      <c r="Q1496">
        <v>0</v>
      </c>
      <c r="R1496">
        <v>0</v>
      </c>
      <c r="S1496">
        <v>88.78</v>
      </c>
      <c r="T1496">
        <v>89.13</v>
      </c>
      <c r="U1496">
        <v>88.34</v>
      </c>
      <c r="V1496">
        <v>89.13</v>
      </c>
      <c r="W1496">
        <v>1447153</v>
      </c>
      <c r="X1496">
        <v>88.62</v>
      </c>
      <c r="Y1496">
        <v>88.98</v>
      </c>
      <c r="Z1496">
        <v>123</v>
      </c>
      <c r="AA1496">
        <v>2000000</v>
      </c>
      <c r="AB1496">
        <v>2665.2</v>
      </c>
      <c r="AC1496">
        <v>0</v>
      </c>
      <c r="AD1496" t="s">
        <v>94</v>
      </c>
      <c r="AE1496" t="s">
        <v>94</v>
      </c>
      <c r="AF1496" t="s">
        <v>226</v>
      </c>
      <c r="AG1496" t="s">
        <v>226</v>
      </c>
      <c r="AH1496">
        <v>6</v>
      </c>
      <c r="AI1496" t="s">
        <v>3537</v>
      </c>
      <c r="AJ1496" t="s">
        <v>1976</v>
      </c>
      <c r="AK1496" t="s">
        <v>2416</v>
      </c>
      <c r="AL1496" t="s">
        <v>272</v>
      </c>
    </row>
    <row r="1497" spans="1:38">
      <c r="A1497" t="s">
        <v>6668</v>
      </c>
      <c r="B1497" t="s">
        <v>6669</v>
      </c>
      <c r="C1497" t="s">
        <v>6670</v>
      </c>
      <c r="D1497" t="s">
        <v>6670</v>
      </c>
      <c r="E1497" t="s">
        <v>6671</v>
      </c>
      <c r="F1497" t="s">
        <v>2413</v>
      </c>
      <c r="G1497">
        <v>2</v>
      </c>
      <c r="H1497">
        <v>1</v>
      </c>
      <c r="I1497">
        <v>0.01</v>
      </c>
      <c r="J1497">
        <v>1000</v>
      </c>
      <c r="K1497">
        <v>0.02</v>
      </c>
      <c r="L1497">
        <v>99.98</v>
      </c>
      <c r="M1497">
        <v>99.95</v>
      </c>
      <c r="N1497">
        <v>99.93</v>
      </c>
      <c r="O1497">
        <v>99.98</v>
      </c>
      <c r="P1497">
        <v>0</v>
      </c>
      <c r="Q1497">
        <v>0</v>
      </c>
      <c r="R1497">
        <v>0</v>
      </c>
      <c r="S1497">
        <v>99.95</v>
      </c>
      <c r="T1497">
        <v>99.95</v>
      </c>
      <c r="U1497">
        <v>99.55</v>
      </c>
      <c r="V1497">
        <v>100.03</v>
      </c>
      <c r="W1497">
        <v>2023955</v>
      </c>
      <c r="X1497">
        <v>99.98</v>
      </c>
      <c r="Y1497">
        <v>99.99</v>
      </c>
      <c r="Z1497">
        <v>126</v>
      </c>
      <c r="AA1497">
        <v>2000000</v>
      </c>
      <c r="AB1497">
        <v>24995</v>
      </c>
      <c r="AC1497">
        <v>0</v>
      </c>
      <c r="AD1497" t="s">
        <v>94</v>
      </c>
      <c r="AE1497" t="s">
        <v>94</v>
      </c>
      <c r="AF1497" t="s">
        <v>226</v>
      </c>
      <c r="AG1497" t="s">
        <v>226</v>
      </c>
      <c r="AH1497">
        <v>6</v>
      </c>
      <c r="AI1497" t="s">
        <v>3537</v>
      </c>
      <c r="AJ1497" t="s">
        <v>1976</v>
      </c>
      <c r="AK1497" t="s">
        <v>2416</v>
      </c>
      <c r="AL1497" t="s">
        <v>272</v>
      </c>
    </row>
    <row r="1498" spans="1:38">
      <c r="A1498" t="s">
        <v>6672</v>
      </c>
      <c r="B1498" t="s">
        <v>6673</v>
      </c>
      <c r="C1498" t="s">
        <v>6674</v>
      </c>
      <c r="D1498" t="s">
        <v>6674</v>
      </c>
      <c r="E1498" t="s">
        <v>6675</v>
      </c>
      <c r="F1498" t="s">
        <v>2413</v>
      </c>
      <c r="G1498">
        <v>1</v>
      </c>
      <c r="H1498">
        <v>1</v>
      </c>
      <c r="I1498">
        <v>0.01</v>
      </c>
      <c r="J1498">
        <v>1000</v>
      </c>
      <c r="K1498">
        <v>0.49</v>
      </c>
      <c r="L1498">
        <v>84.45</v>
      </c>
      <c r="M1498">
        <v>84.04</v>
      </c>
      <c r="N1498">
        <v>83.53</v>
      </c>
      <c r="O1498">
        <v>84.45</v>
      </c>
      <c r="P1498">
        <v>0</v>
      </c>
      <c r="Q1498">
        <v>0</v>
      </c>
      <c r="R1498">
        <v>0</v>
      </c>
      <c r="S1498">
        <v>84.18</v>
      </c>
      <c r="T1498">
        <v>84.58</v>
      </c>
      <c r="U1498">
        <v>83.54</v>
      </c>
      <c r="V1498">
        <v>84.58</v>
      </c>
      <c r="W1498">
        <v>1907464</v>
      </c>
      <c r="X1498">
        <v>84.41</v>
      </c>
      <c r="Y1498">
        <v>84.45</v>
      </c>
      <c r="Z1498">
        <v>217</v>
      </c>
      <c r="AA1498">
        <v>3000000</v>
      </c>
      <c r="AB1498">
        <v>4222.5</v>
      </c>
      <c r="AC1498">
        <v>0</v>
      </c>
      <c r="AD1498" t="s">
        <v>94</v>
      </c>
      <c r="AE1498" t="s">
        <v>94</v>
      </c>
      <c r="AF1498" t="s">
        <v>226</v>
      </c>
      <c r="AG1498" t="s">
        <v>226</v>
      </c>
      <c r="AH1498">
        <v>6</v>
      </c>
      <c r="AI1498" t="s">
        <v>3537</v>
      </c>
      <c r="AJ1498" t="s">
        <v>1976</v>
      </c>
      <c r="AK1498" t="s">
        <v>2416</v>
      </c>
      <c r="AL1498" t="s">
        <v>272</v>
      </c>
    </row>
    <row r="1499" spans="1:38">
      <c r="A1499" t="s">
        <v>6676</v>
      </c>
      <c r="B1499" t="s">
        <v>6677</v>
      </c>
      <c r="C1499" t="s">
        <v>6678</v>
      </c>
      <c r="D1499" t="s">
        <v>6678</v>
      </c>
      <c r="E1499" t="s">
        <v>6679</v>
      </c>
      <c r="F1499" t="s">
        <v>2425</v>
      </c>
      <c r="G1499">
        <v>3</v>
      </c>
      <c r="H1499">
        <v>1</v>
      </c>
      <c r="I1499">
        <v>0.01</v>
      </c>
      <c r="J1499">
        <v>1000</v>
      </c>
      <c r="K1499">
        <v>-0.82</v>
      </c>
      <c r="L1499">
        <v>82.35</v>
      </c>
      <c r="M1499">
        <v>83.03</v>
      </c>
      <c r="N1499">
        <v>82.85</v>
      </c>
      <c r="O1499">
        <v>82.35</v>
      </c>
      <c r="P1499">
        <v>0</v>
      </c>
      <c r="Q1499">
        <v>0</v>
      </c>
      <c r="R1499">
        <v>0</v>
      </c>
      <c r="S1499">
        <v>82.35</v>
      </c>
      <c r="T1499">
        <v>82.35</v>
      </c>
      <c r="U1499">
        <v>82.35</v>
      </c>
      <c r="V1499">
        <v>82.35</v>
      </c>
      <c r="W1499">
        <v>4941</v>
      </c>
      <c r="X1499">
        <v>75.010000000000005</v>
      </c>
      <c r="Y1499">
        <v>82.35</v>
      </c>
      <c r="Z1499">
        <v>1</v>
      </c>
      <c r="AA1499">
        <v>100000</v>
      </c>
      <c r="AB1499">
        <v>4941</v>
      </c>
      <c r="AC1499">
        <v>0</v>
      </c>
      <c r="AD1499" t="s">
        <v>94</v>
      </c>
      <c r="AE1499" t="s">
        <v>94</v>
      </c>
      <c r="AF1499" t="s">
        <v>226</v>
      </c>
      <c r="AG1499" t="s">
        <v>226</v>
      </c>
      <c r="AH1499">
        <v>8</v>
      </c>
      <c r="AI1499" t="s">
        <v>3537</v>
      </c>
      <c r="AJ1499" t="s">
        <v>1976</v>
      </c>
      <c r="AK1499" t="s">
        <v>2426</v>
      </c>
      <c r="AL1499" t="s">
        <v>272</v>
      </c>
    </row>
    <row r="1500" spans="1:38">
      <c r="A1500" t="s">
        <v>6680</v>
      </c>
      <c r="B1500" t="s">
        <v>6681</v>
      </c>
      <c r="C1500" t="s">
        <v>6682</v>
      </c>
      <c r="D1500" t="s">
        <v>6682</v>
      </c>
      <c r="E1500" t="s">
        <v>6683</v>
      </c>
      <c r="F1500" t="s">
        <v>2425</v>
      </c>
      <c r="G1500">
        <v>3</v>
      </c>
      <c r="H1500">
        <v>1</v>
      </c>
      <c r="I1500">
        <v>0.01</v>
      </c>
      <c r="J1500">
        <v>1000</v>
      </c>
      <c r="K1500">
        <v>0</v>
      </c>
      <c r="L1500">
        <v>0</v>
      </c>
      <c r="M1500">
        <v>50.61</v>
      </c>
      <c r="N1500">
        <v>0</v>
      </c>
      <c r="O1500">
        <v>50.61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54.01</v>
      </c>
      <c r="Y1500">
        <v>62.9</v>
      </c>
      <c r="Z1500">
        <v>0</v>
      </c>
      <c r="AA1500">
        <v>100000</v>
      </c>
      <c r="AB1500">
        <v>0</v>
      </c>
      <c r="AC1500">
        <v>0</v>
      </c>
      <c r="AD1500" t="s">
        <v>94</v>
      </c>
      <c r="AE1500" t="s">
        <v>94</v>
      </c>
      <c r="AF1500" t="s">
        <v>226</v>
      </c>
      <c r="AG1500" t="s">
        <v>226</v>
      </c>
      <c r="AH1500">
        <v>8</v>
      </c>
      <c r="AI1500" t="s">
        <v>3537</v>
      </c>
      <c r="AJ1500" t="s">
        <v>1976</v>
      </c>
      <c r="AK1500" t="s">
        <v>2426</v>
      </c>
      <c r="AL1500" t="s">
        <v>272</v>
      </c>
    </row>
    <row r="1501" spans="1:38">
      <c r="A1501" t="s">
        <v>6684</v>
      </c>
      <c r="B1501" t="s">
        <v>6685</v>
      </c>
      <c r="C1501" t="s">
        <v>6686</v>
      </c>
      <c r="D1501" t="s">
        <v>6686</v>
      </c>
      <c r="E1501" t="s">
        <v>6687</v>
      </c>
      <c r="F1501" t="s">
        <v>2425</v>
      </c>
      <c r="G1501">
        <v>3</v>
      </c>
      <c r="H1501">
        <v>1</v>
      </c>
      <c r="I1501">
        <v>0.01</v>
      </c>
      <c r="J1501">
        <v>1000</v>
      </c>
      <c r="K1501">
        <v>0</v>
      </c>
      <c r="L1501">
        <v>0</v>
      </c>
      <c r="M1501">
        <v>56.41</v>
      </c>
      <c r="N1501">
        <v>0</v>
      </c>
      <c r="O1501">
        <v>56.41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55.56</v>
      </c>
      <c r="Y1501">
        <v>69.77</v>
      </c>
      <c r="Z1501">
        <v>0</v>
      </c>
      <c r="AA1501">
        <v>100000</v>
      </c>
      <c r="AB1501">
        <v>0</v>
      </c>
      <c r="AC1501">
        <v>0</v>
      </c>
      <c r="AD1501" t="s">
        <v>94</v>
      </c>
      <c r="AE1501" t="s">
        <v>94</v>
      </c>
      <c r="AF1501" t="s">
        <v>226</v>
      </c>
      <c r="AG1501" t="s">
        <v>226</v>
      </c>
      <c r="AH1501">
        <v>8</v>
      </c>
      <c r="AI1501" t="s">
        <v>3537</v>
      </c>
      <c r="AJ1501" t="s">
        <v>1976</v>
      </c>
      <c r="AK1501" t="s">
        <v>2426</v>
      </c>
      <c r="AL1501" t="s">
        <v>272</v>
      </c>
    </row>
    <row r="1502" spans="1:38">
      <c r="A1502" t="s">
        <v>6688</v>
      </c>
      <c r="B1502" t="s">
        <v>6689</v>
      </c>
      <c r="C1502" t="s">
        <v>6690</v>
      </c>
      <c r="D1502" t="s">
        <v>6690</v>
      </c>
      <c r="E1502" t="s">
        <v>6691</v>
      </c>
      <c r="F1502" t="s">
        <v>2425</v>
      </c>
      <c r="G1502">
        <v>3</v>
      </c>
      <c r="H1502">
        <v>1</v>
      </c>
      <c r="I1502">
        <v>0.01</v>
      </c>
      <c r="J1502">
        <v>1000</v>
      </c>
      <c r="K1502">
        <v>0.02</v>
      </c>
      <c r="L1502">
        <v>90.98</v>
      </c>
      <c r="M1502">
        <v>90.96</v>
      </c>
      <c r="N1502">
        <v>90.95</v>
      </c>
      <c r="O1502">
        <v>90.98</v>
      </c>
      <c r="P1502">
        <v>0</v>
      </c>
      <c r="Q1502">
        <v>0</v>
      </c>
      <c r="R1502">
        <v>0</v>
      </c>
      <c r="S1502">
        <v>90.98</v>
      </c>
      <c r="T1502">
        <v>90.98</v>
      </c>
      <c r="U1502">
        <v>90.98</v>
      </c>
      <c r="V1502">
        <v>90.98</v>
      </c>
      <c r="W1502">
        <v>427606</v>
      </c>
      <c r="X1502">
        <v>77.02</v>
      </c>
      <c r="Y1502">
        <v>90.98</v>
      </c>
      <c r="Z1502">
        <v>1</v>
      </c>
      <c r="AA1502">
        <v>100000</v>
      </c>
      <c r="AB1502">
        <v>427606</v>
      </c>
      <c r="AC1502">
        <v>0</v>
      </c>
      <c r="AD1502" t="s">
        <v>94</v>
      </c>
      <c r="AE1502" t="s">
        <v>94</v>
      </c>
      <c r="AF1502" t="s">
        <v>226</v>
      </c>
      <c r="AG1502" t="s">
        <v>226</v>
      </c>
      <c r="AH1502">
        <v>8</v>
      </c>
      <c r="AI1502" t="s">
        <v>3537</v>
      </c>
      <c r="AJ1502" t="s">
        <v>1976</v>
      </c>
      <c r="AK1502" t="s">
        <v>2426</v>
      </c>
      <c r="AL1502" t="s">
        <v>272</v>
      </c>
    </row>
    <row r="1503" spans="1:38">
      <c r="A1503" t="s">
        <v>6692</v>
      </c>
      <c r="B1503" t="s">
        <v>6693</v>
      </c>
      <c r="C1503" t="s">
        <v>6694</v>
      </c>
      <c r="D1503" t="s">
        <v>6694</v>
      </c>
      <c r="E1503" t="s">
        <v>6695</v>
      </c>
      <c r="F1503" t="s">
        <v>2425</v>
      </c>
      <c r="G1503">
        <v>3</v>
      </c>
      <c r="H1503">
        <v>1</v>
      </c>
      <c r="I1503">
        <v>0.01</v>
      </c>
      <c r="J1503">
        <v>1000</v>
      </c>
      <c r="K1503">
        <v>0</v>
      </c>
      <c r="L1503">
        <v>0</v>
      </c>
      <c r="M1503">
        <v>37.5</v>
      </c>
      <c r="N1503">
        <v>33.69</v>
      </c>
      <c r="O1503">
        <v>37.5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35.01</v>
      </c>
      <c r="Y1503">
        <v>40</v>
      </c>
      <c r="Z1503">
        <v>0</v>
      </c>
      <c r="AA1503">
        <v>100000</v>
      </c>
      <c r="AB1503">
        <v>0</v>
      </c>
      <c r="AC1503">
        <v>0</v>
      </c>
      <c r="AD1503" t="s">
        <v>94</v>
      </c>
      <c r="AE1503" t="s">
        <v>94</v>
      </c>
      <c r="AF1503" t="s">
        <v>226</v>
      </c>
      <c r="AG1503" t="s">
        <v>226</v>
      </c>
      <c r="AH1503">
        <v>8</v>
      </c>
      <c r="AI1503" t="s">
        <v>3537</v>
      </c>
      <c r="AJ1503" t="s">
        <v>1976</v>
      </c>
      <c r="AK1503" t="s">
        <v>2426</v>
      </c>
      <c r="AL1503" t="s">
        <v>272</v>
      </c>
    </row>
    <row r="1504" spans="1:38">
      <c r="A1504" t="s">
        <v>6696</v>
      </c>
      <c r="B1504" t="s">
        <v>6697</v>
      </c>
      <c r="C1504" t="s">
        <v>6698</v>
      </c>
      <c r="D1504" t="s">
        <v>6698</v>
      </c>
      <c r="E1504" t="s">
        <v>6699</v>
      </c>
      <c r="F1504" t="s">
        <v>2425</v>
      </c>
      <c r="G1504">
        <v>3</v>
      </c>
      <c r="H1504">
        <v>1</v>
      </c>
      <c r="I1504">
        <v>0.01</v>
      </c>
      <c r="J1504">
        <v>1000</v>
      </c>
      <c r="K1504">
        <v>-2.06</v>
      </c>
      <c r="L1504">
        <v>98.68</v>
      </c>
      <c r="M1504">
        <v>100.76</v>
      </c>
      <c r="N1504">
        <v>100.51</v>
      </c>
      <c r="O1504">
        <v>98.68</v>
      </c>
      <c r="P1504">
        <v>0</v>
      </c>
      <c r="Q1504">
        <v>0</v>
      </c>
      <c r="R1504">
        <v>0</v>
      </c>
      <c r="S1504">
        <v>98.68</v>
      </c>
      <c r="T1504">
        <v>98.68</v>
      </c>
      <c r="U1504">
        <v>98.68</v>
      </c>
      <c r="V1504">
        <v>98.68</v>
      </c>
      <c r="W1504">
        <v>979892</v>
      </c>
      <c r="X1504">
        <v>61.02</v>
      </c>
      <c r="Y1504">
        <v>98.68</v>
      </c>
      <c r="Z1504">
        <v>8</v>
      </c>
      <c r="AA1504">
        <v>100000</v>
      </c>
      <c r="AB1504">
        <v>563462.80000000005</v>
      </c>
      <c r="AC1504">
        <v>0</v>
      </c>
      <c r="AD1504" t="s">
        <v>94</v>
      </c>
      <c r="AE1504" t="s">
        <v>94</v>
      </c>
      <c r="AF1504" t="s">
        <v>226</v>
      </c>
      <c r="AG1504" t="s">
        <v>226</v>
      </c>
      <c r="AH1504">
        <v>8</v>
      </c>
      <c r="AI1504" t="s">
        <v>3537</v>
      </c>
      <c r="AJ1504" t="s">
        <v>1976</v>
      </c>
      <c r="AK1504" t="s">
        <v>2426</v>
      </c>
      <c r="AL1504" t="s">
        <v>272</v>
      </c>
    </row>
    <row r="1505" spans="1:38">
      <c r="A1505" t="s">
        <v>6700</v>
      </c>
      <c r="B1505" t="s">
        <v>6701</v>
      </c>
      <c r="C1505" t="s">
        <v>6702</v>
      </c>
      <c r="D1505" t="s">
        <v>6702</v>
      </c>
      <c r="E1505" t="s">
        <v>6703</v>
      </c>
      <c r="F1505" t="s">
        <v>2425</v>
      </c>
      <c r="G1505">
        <v>3</v>
      </c>
      <c r="H1505">
        <v>1</v>
      </c>
      <c r="I1505">
        <v>0.01</v>
      </c>
      <c r="J1505">
        <v>1000</v>
      </c>
      <c r="K1505">
        <v>-8.94</v>
      </c>
      <c r="L1505">
        <v>51</v>
      </c>
      <c r="M1505">
        <v>56.01</v>
      </c>
      <c r="N1505">
        <v>0</v>
      </c>
      <c r="O1505">
        <v>51</v>
      </c>
      <c r="P1505">
        <v>0</v>
      </c>
      <c r="Q1505">
        <v>0</v>
      </c>
      <c r="R1505">
        <v>0</v>
      </c>
      <c r="S1505">
        <v>51</v>
      </c>
      <c r="T1505">
        <v>51</v>
      </c>
      <c r="U1505">
        <v>51</v>
      </c>
      <c r="V1505">
        <v>51</v>
      </c>
      <c r="W1505">
        <v>51000</v>
      </c>
      <c r="X1505">
        <v>50.05</v>
      </c>
      <c r="Y1505">
        <v>56.01</v>
      </c>
      <c r="Z1505">
        <v>1</v>
      </c>
      <c r="AA1505">
        <v>70000</v>
      </c>
      <c r="AB1505">
        <v>51000</v>
      </c>
      <c r="AC1505">
        <v>0</v>
      </c>
      <c r="AD1505" t="s">
        <v>94</v>
      </c>
      <c r="AE1505" t="s">
        <v>94</v>
      </c>
      <c r="AF1505" t="s">
        <v>226</v>
      </c>
      <c r="AG1505" t="s">
        <v>226</v>
      </c>
      <c r="AH1505">
        <v>8</v>
      </c>
      <c r="AI1505" t="s">
        <v>3537</v>
      </c>
      <c r="AJ1505" t="s">
        <v>1976</v>
      </c>
      <c r="AK1505" t="s">
        <v>2426</v>
      </c>
      <c r="AL1505" t="s">
        <v>272</v>
      </c>
    </row>
    <row r="1506" spans="1:38">
      <c r="A1506" t="s">
        <v>6704</v>
      </c>
      <c r="B1506" t="s">
        <v>6705</v>
      </c>
      <c r="C1506" t="s">
        <v>6706</v>
      </c>
      <c r="D1506" t="s">
        <v>6706</v>
      </c>
      <c r="E1506" t="s">
        <v>6707</v>
      </c>
      <c r="F1506" t="s">
        <v>2425</v>
      </c>
      <c r="G1506">
        <v>3</v>
      </c>
      <c r="H1506">
        <v>1</v>
      </c>
      <c r="I1506">
        <v>0.01</v>
      </c>
      <c r="J1506">
        <v>1000</v>
      </c>
      <c r="K1506">
        <v>0</v>
      </c>
      <c r="L1506">
        <v>0</v>
      </c>
      <c r="M1506">
        <v>55</v>
      </c>
      <c r="N1506">
        <v>45.95</v>
      </c>
      <c r="O1506">
        <v>55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50.01</v>
      </c>
      <c r="Y1506">
        <v>60.01</v>
      </c>
      <c r="Z1506">
        <v>0</v>
      </c>
      <c r="AA1506">
        <v>70000</v>
      </c>
      <c r="AB1506">
        <v>0</v>
      </c>
      <c r="AC1506">
        <v>0</v>
      </c>
      <c r="AD1506" t="s">
        <v>94</v>
      </c>
      <c r="AE1506" t="s">
        <v>94</v>
      </c>
      <c r="AF1506" t="s">
        <v>226</v>
      </c>
      <c r="AG1506" t="s">
        <v>226</v>
      </c>
      <c r="AH1506">
        <v>8</v>
      </c>
      <c r="AI1506" t="s">
        <v>3537</v>
      </c>
      <c r="AJ1506" t="s">
        <v>1976</v>
      </c>
      <c r="AK1506" t="s">
        <v>2426</v>
      </c>
      <c r="AL1506" t="s">
        <v>272</v>
      </c>
    </row>
    <row r="1507" spans="1:38">
      <c r="A1507" t="s">
        <v>6708</v>
      </c>
      <c r="B1507" t="s">
        <v>6709</v>
      </c>
      <c r="C1507" t="s">
        <v>6710</v>
      </c>
      <c r="D1507" t="s">
        <v>6710</v>
      </c>
      <c r="E1507" t="s">
        <v>6711</v>
      </c>
      <c r="F1507" t="s">
        <v>2425</v>
      </c>
      <c r="G1507">
        <v>3</v>
      </c>
      <c r="H1507">
        <v>1</v>
      </c>
      <c r="I1507">
        <v>0.01</v>
      </c>
      <c r="J1507">
        <v>1000</v>
      </c>
      <c r="K1507">
        <v>0</v>
      </c>
      <c r="L1507">
        <v>0</v>
      </c>
      <c r="M1507">
        <v>69.5</v>
      </c>
      <c r="N1507">
        <v>64.739999999999995</v>
      </c>
      <c r="O1507">
        <v>69.5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65.010000000000005</v>
      </c>
      <c r="Y1507">
        <v>70</v>
      </c>
      <c r="Z1507">
        <v>0</v>
      </c>
      <c r="AA1507">
        <v>100000</v>
      </c>
      <c r="AB1507">
        <v>0</v>
      </c>
      <c r="AC1507">
        <v>0</v>
      </c>
      <c r="AD1507" t="s">
        <v>94</v>
      </c>
      <c r="AE1507" t="s">
        <v>94</v>
      </c>
      <c r="AF1507" t="s">
        <v>226</v>
      </c>
      <c r="AG1507" t="s">
        <v>226</v>
      </c>
      <c r="AH1507">
        <v>8</v>
      </c>
      <c r="AI1507" t="s">
        <v>3537</v>
      </c>
      <c r="AJ1507" t="s">
        <v>1976</v>
      </c>
      <c r="AK1507" t="s">
        <v>2426</v>
      </c>
      <c r="AL1507" t="s">
        <v>272</v>
      </c>
    </row>
    <row r="1508" spans="1:38">
      <c r="A1508" t="s">
        <v>6712</v>
      </c>
      <c r="B1508" t="s">
        <v>6713</v>
      </c>
      <c r="C1508" t="s">
        <v>6714</v>
      </c>
      <c r="D1508" t="s">
        <v>6714</v>
      </c>
      <c r="E1508" t="s">
        <v>6715</v>
      </c>
      <c r="F1508" t="s">
        <v>2425</v>
      </c>
      <c r="G1508">
        <v>3</v>
      </c>
      <c r="H1508">
        <v>1</v>
      </c>
      <c r="I1508">
        <v>0.01</v>
      </c>
      <c r="J1508">
        <v>1000</v>
      </c>
      <c r="K1508">
        <v>0</v>
      </c>
      <c r="L1508">
        <v>0</v>
      </c>
      <c r="M1508">
        <v>100.5</v>
      </c>
      <c r="N1508">
        <v>0</v>
      </c>
      <c r="O1508">
        <v>100.5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54</v>
      </c>
      <c r="Y1508">
        <v>0</v>
      </c>
      <c r="Z1508">
        <v>0</v>
      </c>
      <c r="AA1508">
        <v>70000</v>
      </c>
      <c r="AB1508">
        <v>0</v>
      </c>
      <c r="AC1508">
        <v>0</v>
      </c>
      <c r="AD1508" t="s">
        <v>94</v>
      </c>
      <c r="AE1508" t="s">
        <v>94</v>
      </c>
      <c r="AF1508" t="s">
        <v>226</v>
      </c>
      <c r="AG1508" t="s">
        <v>226</v>
      </c>
      <c r="AH1508">
        <v>8</v>
      </c>
      <c r="AI1508" t="s">
        <v>3537</v>
      </c>
      <c r="AJ1508" t="s">
        <v>1976</v>
      </c>
      <c r="AK1508" t="s">
        <v>2426</v>
      </c>
      <c r="AL1508" t="s">
        <v>272</v>
      </c>
    </row>
    <row r="1509" spans="1:38">
      <c r="A1509" t="s">
        <v>6716</v>
      </c>
      <c r="B1509" t="s">
        <v>6717</v>
      </c>
      <c r="C1509" t="s">
        <v>6718</v>
      </c>
      <c r="D1509" t="s">
        <v>6718</v>
      </c>
      <c r="E1509" t="s">
        <v>6719</v>
      </c>
      <c r="F1509" t="s">
        <v>2425</v>
      </c>
      <c r="G1509">
        <v>3</v>
      </c>
      <c r="H1509">
        <v>1</v>
      </c>
      <c r="I1509">
        <v>0.01</v>
      </c>
      <c r="J1509">
        <v>1000</v>
      </c>
      <c r="K1509">
        <v>-27.17</v>
      </c>
      <c r="L1509">
        <v>68.010000000000005</v>
      </c>
      <c r="M1509">
        <v>93.38</v>
      </c>
      <c r="N1509">
        <v>0</v>
      </c>
      <c r="O1509">
        <v>99.3</v>
      </c>
      <c r="P1509">
        <v>0</v>
      </c>
      <c r="Q1509">
        <v>0</v>
      </c>
      <c r="R1509">
        <v>0</v>
      </c>
      <c r="S1509">
        <v>99.3</v>
      </c>
      <c r="T1509">
        <v>130.58000000000001</v>
      </c>
      <c r="U1509">
        <v>68.010000000000005</v>
      </c>
      <c r="V1509">
        <v>130.58000000000001</v>
      </c>
      <c r="W1509">
        <v>1986</v>
      </c>
      <c r="X1509">
        <v>65.510000000000005</v>
      </c>
      <c r="Y1509">
        <v>78.010000000000005</v>
      </c>
      <c r="Z1509">
        <v>2</v>
      </c>
      <c r="AA1509">
        <v>70000</v>
      </c>
      <c r="AB1509">
        <v>680.1</v>
      </c>
      <c r="AC1509">
        <v>0</v>
      </c>
      <c r="AD1509" t="s">
        <v>94</v>
      </c>
      <c r="AE1509" t="s">
        <v>94</v>
      </c>
      <c r="AF1509" t="s">
        <v>226</v>
      </c>
      <c r="AG1509" t="s">
        <v>226</v>
      </c>
      <c r="AH1509">
        <v>8</v>
      </c>
      <c r="AI1509" t="s">
        <v>3537</v>
      </c>
      <c r="AJ1509" t="s">
        <v>1976</v>
      </c>
      <c r="AK1509" t="s">
        <v>2426</v>
      </c>
      <c r="AL1509" t="s">
        <v>272</v>
      </c>
    </row>
    <row r="1510" spans="1:38">
      <c r="A1510" t="s">
        <v>6720</v>
      </c>
      <c r="B1510" t="s">
        <v>6721</v>
      </c>
      <c r="C1510" t="s">
        <v>6722</v>
      </c>
      <c r="D1510" t="s">
        <v>6722</v>
      </c>
      <c r="E1510" t="s">
        <v>6723</v>
      </c>
      <c r="F1510" t="s">
        <v>2413</v>
      </c>
      <c r="G1510">
        <v>3</v>
      </c>
      <c r="H1510">
        <v>1</v>
      </c>
      <c r="I1510">
        <v>0.01</v>
      </c>
      <c r="J1510">
        <v>1000</v>
      </c>
      <c r="K1510">
        <v>-0.54</v>
      </c>
      <c r="L1510">
        <v>99.23</v>
      </c>
      <c r="M1510">
        <v>99.77</v>
      </c>
      <c r="N1510">
        <v>99.35</v>
      </c>
      <c r="O1510">
        <v>99.54</v>
      </c>
      <c r="P1510">
        <v>0</v>
      </c>
      <c r="Q1510">
        <v>0</v>
      </c>
      <c r="R1510">
        <v>0</v>
      </c>
      <c r="S1510">
        <v>99.63</v>
      </c>
      <c r="T1510">
        <v>99.58</v>
      </c>
      <c r="U1510">
        <v>99.23</v>
      </c>
      <c r="V1510">
        <v>99.72</v>
      </c>
      <c r="W1510">
        <v>434399</v>
      </c>
      <c r="X1510">
        <v>99.4</v>
      </c>
      <c r="Y1510">
        <v>99.62</v>
      </c>
      <c r="Z1510">
        <v>38</v>
      </c>
      <c r="AA1510">
        <v>785000</v>
      </c>
      <c r="AB1510">
        <v>8930.7000000000007</v>
      </c>
      <c r="AC1510">
        <v>0</v>
      </c>
      <c r="AD1510" t="s">
        <v>94</v>
      </c>
      <c r="AE1510" t="s">
        <v>94</v>
      </c>
      <c r="AF1510" t="s">
        <v>226</v>
      </c>
      <c r="AG1510" t="s">
        <v>226</v>
      </c>
      <c r="AH1510">
        <v>6</v>
      </c>
      <c r="AI1510" t="s">
        <v>3537</v>
      </c>
      <c r="AJ1510" t="s">
        <v>1976</v>
      </c>
      <c r="AK1510" t="s">
        <v>2416</v>
      </c>
      <c r="AL1510" t="s">
        <v>272</v>
      </c>
    </row>
    <row r="1511" spans="1:38">
      <c r="A1511" t="s">
        <v>6724</v>
      </c>
      <c r="B1511" t="s">
        <v>6725</v>
      </c>
      <c r="C1511" t="s">
        <v>6726</v>
      </c>
      <c r="D1511" t="s">
        <v>6726</v>
      </c>
      <c r="E1511" t="s">
        <v>6727</v>
      </c>
      <c r="F1511" t="s">
        <v>2413</v>
      </c>
      <c r="G1511">
        <v>3</v>
      </c>
      <c r="H1511">
        <v>1</v>
      </c>
      <c r="I1511">
        <v>0.01</v>
      </c>
      <c r="J1511">
        <v>670</v>
      </c>
      <c r="K1511">
        <v>0.94</v>
      </c>
      <c r="L1511">
        <v>94.73</v>
      </c>
      <c r="M1511">
        <v>93.85</v>
      </c>
      <c r="N1511">
        <v>95.25</v>
      </c>
      <c r="O1511">
        <v>94.73</v>
      </c>
      <c r="P1511">
        <v>0</v>
      </c>
      <c r="Q1511">
        <v>0</v>
      </c>
      <c r="R1511">
        <v>0</v>
      </c>
      <c r="S1511">
        <v>94.22</v>
      </c>
      <c r="T1511">
        <v>93.54</v>
      </c>
      <c r="U1511">
        <v>93.51</v>
      </c>
      <c r="V1511">
        <v>94.98</v>
      </c>
      <c r="W1511">
        <v>10732</v>
      </c>
      <c r="X1511">
        <v>93.51</v>
      </c>
      <c r="Y1511">
        <v>93.8</v>
      </c>
      <c r="Z1511">
        <v>7</v>
      </c>
      <c r="AA1511">
        <v>3500000</v>
      </c>
      <c r="AB1511">
        <v>3173.46</v>
      </c>
      <c r="AC1511">
        <v>0</v>
      </c>
      <c r="AD1511" t="s">
        <v>94</v>
      </c>
      <c r="AE1511" t="s">
        <v>94</v>
      </c>
      <c r="AF1511" t="s">
        <v>226</v>
      </c>
      <c r="AG1511" t="s">
        <v>226</v>
      </c>
      <c r="AH1511">
        <v>6</v>
      </c>
      <c r="AI1511" t="s">
        <v>3537</v>
      </c>
      <c r="AJ1511" t="s">
        <v>1976</v>
      </c>
      <c r="AK1511" t="s">
        <v>2416</v>
      </c>
      <c r="AL1511" t="s">
        <v>272</v>
      </c>
    </row>
    <row r="1512" spans="1:38">
      <c r="A1512" t="s">
        <v>6728</v>
      </c>
      <c r="B1512" t="s">
        <v>6729</v>
      </c>
      <c r="C1512" t="s">
        <v>6730</v>
      </c>
      <c r="D1512" t="s">
        <v>6730</v>
      </c>
      <c r="E1512" t="s">
        <v>6731</v>
      </c>
      <c r="F1512" t="s">
        <v>2413</v>
      </c>
      <c r="G1512">
        <v>3</v>
      </c>
      <c r="H1512">
        <v>1</v>
      </c>
      <c r="I1512">
        <v>0.01</v>
      </c>
      <c r="J1512">
        <v>1000</v>
      </c>
      <c r="K1512">
        <v>0.62</v>
      </c>
      <c r="L1512">
        <v>91.35</v>
      </c>
      <c r="M1512">
        <v>90.79</v>
      </c>
      <c r="N1512">
        <v>82.73</v>
      </c>
      <c r="O1512">
        <v>91.35</v>
      </c>
      <c r="P1512">
        <v>0</v>
      </c>
      <c r="Q1512">
        <v>0</v>
      </c>
      <c r="R1512">
        <v>0</v>
      </c>
      <c r="S1512">
        <v>91.19</v>
      </c>
      <c r="T1512">
        <v>90.86</v>
      </c>
      <c r="U1512">
        <v>90.86</v>
      </c>
      <c r="V1512">
        <v>91.35</v>
      </c>
      <c r="W1512">
        <v>2736</v>
      </c>
      <c r="X1512">
        <v>89.95</v>
      </c>
      <c r="Y1512">
        <v>91.34</v>
      </c>
      <c r="Z1512">
        <v>2</v>
      </c>
      <c r="AA1512">
        <v>3000000</v>
      </c>
      <c r="AB1512">
        <v>1827</v>
      </c>
      <c r="AC1512">
        <v>0</v>
      </c>
      <c r="AD1512" t="s">
        <v>94</v>
      </c>
      <c r="AE1512" t="s">
        <v>94</v>
      </c>
      <c r="AF1512" t="s">
        <v>226</v>
      </c>
      <c r="AG1512" t="s">
        <v>226</v>
      </c>
      <c r="AH1512">
        <v>6</v>
      </c>
      <c r="AI1512" t="s">
        <v>3537</v>
      </c>
      <c r="AJ1512" t="s">
        <v>1976</v>
      </c>
      <c r="AK1512" t="s">
        <v>2416</v>
      </c>
      <c r="AL1512" t="s">
        <v>272</v>
      </c>
    </row>
    <row r="1513" spans="1:38">
      <c r="A1513" t="s">
        <v>6732</v>
      </c>
      <c r="B1513" t="s">
        <v>6733</v>
      </c>
      <c r="C1513" t="s">
        <v>6734</v>
      </c>
      <c r="D1513" t="s">
        <v>6734</v>
      </c>
      <c r="E1513" t="s">
        <v>6735</v>
      </c>
      <c r="F1513" t="s">
        <v>2413</v>
      </c>
      <c r="G1513">
        <v>3</v>
      </c>
      <c r="H1513">
        <v>1</v>
      </c>
      <c r="I1513">
        <v>0.01</v>
      </c>
      <c r="J1513">
        <v>1000</v>
      </c>
      <c r="K1513">
        <v>-0.27</v>
      </c>
      <c r="L1513">
        <v>82.68</v>
      </c>
      <c r="M1513">
        <v>82.9</v>
      </c>
      <c r="N1513">
        <v>82.73</v>
      </c>
      <c r="O1513">
        <v>82.65</v>
      </c>
      <c r="P1513">
        <v>0</v>
      </c>
      <c r="Q1513">
        <v>0</v>
      </c>
      <c r="R1513">
        <v>0</v>
      </c>
      <c r="S1513">
        <v>82.62</v>
      </c>
      <c r="T1513">
        <v>83</v>
      </c>
      <c r="U1513">
        <v>81.59</v>
      </c>
      <c r="V1513">
        <v>83</v>
      </c>
      <c r="W1513">
        <v>11189838</v>
      </c>
      <c r="X1513">
        <v>82.62</v>
      </c>
      <c r="Y1513">
        <v>82.68</v>
      </c>
      <c r="Z1513">
        <v>354</v>
      </c>
      <c r="AA1513">
        <v>4500000</v>
      </c>
      <c r="AB1513">
        <v>10748.4</v>
      </c>
      <c r="AC1513">
        <v>0</v>
      </c>
      <c r="AD1513" t="s">
        <v>94</v>
      </c>
      <c r="AE1513" t="s">
        <v>94</v>
      </c>
      <c r="AF1513" t="s">
        <v>226</v>
      </c>
      <c r="AG1513" t="s">
        <v>226</v>
      </c>
      <c r="AH1513">
        <v>6</v>
      </c>
      <c r="AI1513" t="s">
        <v>3537</v>
      </c>
      <c r="AJ1513" t="s">
        <v>1976</v>
      </c>
      <c r="AK1513" t="s">
        <v>2416</v>
      </c>
      <c r="AL1513" t="s">
        <v>272</v>
      </c>
    </row>
    <row r="1514" spans="1:38">
      <c r="A1514" t="s">
        <v>6736</v>
      </c>
      <c r="B1514" t="s">
        <v>6737</v>
      </c>
      <c r="C1514" t="s">
        <v>6738</v>
      </c>
      <c r="D1514" t="s">
        <v>6738</v>
      </c>
      <c r="E1514" t="s">
        <v>6739</v>
      </c>
      <c r="F1514" t="s">
        <v>2413</v>
      </c>
      <c r="G1514">
        <v>3</v>
      </c>
      <c r="H1514">
        <v>1</v>
      </c>
      <c r="I1514">
        <v>0.01</v>
      </c>
      <c r="J1514">
        <v>960</v>
      </c>
      <c r="K1514">
        <v>-0.06</v>
      </c>
      <c r="L1514">
        <v>87.96</v>
      </c>
      <c r="M1514">
        <v>87.98</v>
      </c>
      <c r="N1514">
        <v>88</v>
      </c>
      <c r="O1514">
        <v>87.95</v>
      </c>
      <c r="P1514">
        <v>0</v>
      </c>
      <c r="Q1514">
        <v>0</v>
      </c>
      <c r="R1514">
        <v>0</v>
      </c>
      <c r="S1514">
        <v>87.96</v>
      </c>
      <c r="T1514">
        <v>88.56</v>
      </c>
      <c r="U1514">
        <v>87.81</v>
      </c>
      <c r="V1514">
        <v>88.56</v>
      </c>
      <c r="W1514">
        <v>2364267</v>
      </c>
      <c r="X1514">
        <v>87.84</v>
      </c>
      <c r="Y1514">
        <v>87.93</v>
      </c>
      <c r="Z1514">
        <v>252</v>
      </c>
      <c r="AA1514">
        <v>4500000</v>
      </c>
      <c r="AB1514">
        <v>29554.560000000001</v>
      </c>
      <c r="AC1514">
        <v>0</v>
      </c>
      <c r="AD1514" t="s">
        <v>94</v>
      </c>
      <c r="AE1514" t="s">
        <v>94</v>
      </c>
      <c r="AF1514" t="s">
        <v>226</v>
      </c>
      <c r="AG1514" t="s">
        <v>226</v>
      </c>
      <c r="AH1514">
        <v>6</v>
      </c>
      <c r="AI1514" t="s">
        <v>3537</v>
      </c>
      <c r="AJ1514" t="s">
        <v>1976</v>
      </c>
      <c r="AK1514" t="s">
        <v>2416</v>
      </c>
      <c r="AL1514" t="s">
        <v>272</v>
      </c>
    </row>
    <row r="1515" spans="1:38">
      <c r="A1515" t="s">
        <v>6740</v>
      </c>
      <c r="B1515" t="s">
        <v>6741</v>
      </c>
      <c r="C1515" t="s">
        <v>6742</v>
      </c>
      <c r="D1515" t="s">
        <v>6742</v>
      </c>
      <c r="E1515" t="s">
        <v>6743</v>
      </c>
      <c r="F1515" t="s">
        <v>2413</v>
      </c>
      <c r="G1515">
        <v>3</v>
      </c>
      <c r="H1515">
        <v>1</v>
      </c>
      <c r="I1515">
        <v>0.01</v>
      </c>
      <c r="J1515">
        <v>1000</v>
      </c>
      <c r="K1515">
        <v>0.36</v>
      </c>
      <c r="L1515">
        <v>83.3</v>
      </c>
      <c r="M1515">
        <v>83.3</v>
      </c>
      <c r="N1515">
        <v>83.49</v>
      </c>
      <c r="O1515">
        <v>83.3</v>
      </c>
      <c r="P1515">
        <v>0</v>
      </c>
      <c r="Q1515">
        <v>0</v>
      </c>
      <c r="R1515">
        <v>0</v>
      </c>
      <c r="S1515">
        <v>83.08</v>
      </c>
      <c r="T1515">
        <v>82.99</v>
      </c>
      <c r="U1515">
        <v>82.33</v>
      </c>
      <c r="V1515">
        <v>83.7</v>
      </c>
      <c r="W1515">
        <v>348916</v>
      </c>
      <c r="X1515">
        <v>83.11</v>
      </c>
      <c r="Y1515">
        <v>83.28</v>
      </c>
      <c r="Z1515">
        <v>94</v>
      </c>
      <c r="AA1515">
        <v>3000000</v>
      </c>
      <c r="AB1515">
        <v>4165</v>
      </c>
      <c r="AC1515">
        <v>0</v>
      </c>
      <c r="AD1515" t="s">
        <v>94</v>
      </c>
      <c r="AE1515" t="s">
        <v>94</v>
      </c>
      <c r="AF1515" t="s">
        <v>226</v>
      </c>
      <c r="AG1515" t="s">
        <v>226</v>
      </c>
      <c r="AH1515">
        <v>6</v>
      </c>
      <c r="AI1515" t="s">
        <v>3537</v>
      </c>
      <c r="AJ1515" t="s">
        <v>1976</v>
      </c>
      <c r="AK1515" t="s">
        <v>2416</v>
      </c>
      <c r="AL1515" t="s">
        <v>272</v>
      </c>
    </row>
    <row r="1516" spans="1:38">
      <c r="A1516" t="s">
        <v>6744</v>
      </c>
      <c r="B1516" t="s">
        <v>6745</v>
      </c>
      <c r="C1516" t="s">
        <v>6746</v>
      </c>
      <c r="D1516" t="s">
        <v>6746</v>
      </c>
      <c r="E1516" t="s">
        <v>6747</v>
      </c>
      <c r="F1516" t="s">
        <v>2413</v>
      </c>
      <c r="G1516">
        <v>2</v>
      </c>
      <c r="H1516">
        <v>1</v>
      </c>
      <c r="I1516">
        <v>0.01</v>
      </c>
      <c r="J1516">
        <v>1000</v>
      </c>
      <c r="K1516">
        <v>0.75</v>
      </c>
      <c r="L1516">
        <v>95.21</v>
      </c>
      <c r="M1516">
        <v>94.5</v>
      </c>
      <c r="N1516">
        <v>94.52</v>
      </c>
      <c r="O1516">
        <v>95.2</v>
      </c>
      <c r="P1516">
        <v>0</v>
      </c>
      <c r="Q1516">
        <v>0</v>
      </c>
      <c r="R1516">
        <v>0</v>
      </c>
      <c r="S1516">
        <v>95.1</v>
      </c>
      <c r="T1516">
        <v>94.37</v>
      </c>
      <c r="U1516">
        <v>94.37</v>
      </c>
      <c r="V1516">
        <v>95.42</v>
      </c>
      <c r="W1516">
        <v>1533090</v>
      </c>
      <c r="X1516">
        <v>94.83</v>
      </c>
      <c r="Y1516">
        <v>95.21</v>
      </c>
      <c r="Z1516">
        <v>118</v>
      </c>
      <c r="AA1516">
        <v>4700000</v>
      </c>
      <c r="AB1516">
        <v>952.1</v>
      </c>
      <c r="AC1516">
        <v>0</v>
      </c>
      <c r="AD1516" t="s">
        <v>94</v>
      </c>
      <c r="AE1516" t="s">
        <v>94</v>
      </c>
      <c r="AF1516" t="s">
        <v>226</v>
      </c>
      <c r="AG1516" t="s">
        <v>226</v>
      </c>
      <c r="AH1516">
        <v>800</v>
      </c>
      <c r="AI1516" t="s">
        <v>3537</v>
      </c>
      <c r="AJ1516" t="s">
        <v>1976</v>
      </c>
      <c r="AK1516" t="s">
        <v>2416</v>
      </c>
      <c r="AL1516" t="s">
        <v>272</v>
      </c>
    </row>
    <row r="1517" spans="1:38">
      <c r="A1517" t="s">
        <v>6748</v>
      </c>
      <c r="B1517" t="s">
        <v>6749</v>
      </c>
      <c r="C1517" t="s">
        <v>6750</v>
      </c>
      <c r="D1517" t="s">
        <v>6750</v>
      </c>
      <c r="E1517" t="s">
        <v>6751</v>
      </c>
      <c r="F1517" t="s">
        <v>2413</v>
      </c>
      <c r="G1517">
        <v>2</v>
      </c>
      <c r="H1517">
        <v>1</v>
      </c>
      <c r="I1517">
        <v>0.01</v>
      </c>
      <c r="J1517">
        <v>1000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100</v>
      </c>
      <c r="Y1517">
        <v>0</v>
      </c>
      <c r="Z1517">
        <v>0</v>
      </c>
      <c r="AA1517">
        <v>3000000</v>
      </c>
      <c r="AB1517">
        <v>0</v>
      </c>
      <c r="AC1517">
        <v>0</v>
      </c>
      <c r="AD1517" t="s">
        <v>94</v>
      </c>
      <c r="AE1517" t="s">
        <v>94</v>
      </c>
      <c r="AF1517" t="s">
        <v>226</v>
      </c>
      <c r="AG1517" t="s">
        <v>226</v>
      </c>
      <c r="AH1517">
        <v>800</v>
      </c>
      <c r="AI1517" t="s">
        <v>3537</v>
      </c>
      <c r="AJ1517" t="s">
        <v>1976</v>
      </c>
      <c r="AK1517" t="s">
        <v>2416</v>
      </c>
      <c r="AL1517" t="s">
        <v>272</v>
      </c>
    </row>
    <row r="1518" spans="1:38">
      <c r="A1518" t="s">
        <v>6752</v>
      </c>
      <c r="B1518" t="s">
        <v>6753</v>
      </c>
      <c r="C1518" t="s">
        <v>6754</v>
      </c>
      <c r="D1518" t="s">
        <v>6754</v>
      </c>
      <c r="E1518" t="s">
        <v>6755</v>
      </c>
      <c r="F1518" t="s">
        <v>2413</v>
      </c>
      <c r="G1518">
        <v>3</v>
      </c>
      <c r="H1518">
        <v>1</v>
      </c>
      <c r="I1518">
        <v>0.01</v>
      </c>
      <c r="J1518">
        <v>1000</v>
      </c>
      <c r="K1518">
        <v>0.33</v>
      </c>
      <c r="L1518">
        <v>80.12</v>
      </c>
      <c r="M1518">
        <v>79.86</v>
      </c>
      <c r="N1518">
        <v>79.319999999999993</v>
      </c>
      <c r="O1518">
        <v>80.12</v>
      </c>
      <c r="P1518">
        <v>0</v>
      </c>
      <c r="Q1518">
        <v>0</v>
      </c>
      <c r="R1518">
        <v>0</v>
      </c>
      <c r="S1518">
        <v>82.79</v>
      </c>
      <c r="T1518">
        <v>80.489999999999995</v>
      </c>
      <c r="U1518">
        <v>79.91</v>
      </c>
      <c r="V1518">
        <v>84.7</v>
      </c>
      <c r="W1518">
        <v>21526</v>
      </c>
      <c r="X1518">
        <v>80.62</v>
      </c>
      <c r="Y1518">
        <v>81.48</v>
      </c>
      <c r="Z1518">
        <v>10</v>
      </c>
      <c r="AA1518">
        <v>61460</v>
      </c>
      <c r="AB1518">
        <v>1602.4</v>
      </c>
      <c r="AC1518">
        <v>0</v>
      </c>
      <c r="AD1518" t="s">
        <v>94</v>
      </c>
      <c r="AE1518" t="s">
        <v>94</v>
      </c>
      <c r="AF1518" t="s">
        <v>226</v>
      </c>
      <c r="AG1518" t="s">
        <v>226</v>
      </c>
      <c r="AH1518">
        <v>6</v>
      </c>
      <c r="AI1518" t="s">
        <v>3537</v>
      </c>
      <c r="AJ1518" t="s">
        <v>1976</v>
      </c>
      <c r="AK1518" t="s">
        <v>2416</v>
      </c>
      <c r="AL1518" t="s">
        <v>272</v>
      </c>
    </row>
    <row r="1519" spans="1:38">
      <c r="A1519" t="s">
        <v>6756</v>
      </c>
      <c r="B1519" t="s">
        <v>6757</v>
      </c>
      <c r="C1519" t="s">
        <v>6758</v>
      </c>
      <c r="D1519" t="s">
        <v>6758</v>
      </c>
      <c r="E1519" t="s">
        <v>6759</v>
      </c>
      <c r="F1519" t="s">
        <v>2425</v>
      </c>
      <c r="G1519">
        <v>2</v>
      </c>
      <c r="H1519">
        <v>1</v>
      </c>
      <c r="I1519">
        <v>0.01</v>
      </c>
      <c r="J1519">
        <v>1000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5000000</v>
      </c>
      <c r="AB1519">
        <v>0</v>
      </c>
      <c r="AC1519">
        <v>0</v>
      </c>
      <c r="AD1519" t="s">
        <v>94</v>
      </c>
      <c r="AE1519" t="s">
        <v>94</v>
      </c>
      <c r="AF1519" t="s">
        <v>226</v>
      </c>
      <c r="AG1519" t="s">
        <v>226</v>
      </c>
      <c r="AH1519">
        <v>-100</v>
      </c>
      <c r="AI1519" t="s">
        <v>3537</v>
      </c>
      <c r="AJ1519" t="s">
        <v>1976</v>
      </c>
      <c r="AK1519" t="s">
        <v>2426</v>
      </c>
      <c r="AL1519" t="s">
        <v>272</v>
      </c>
    </row>
    <row r="1520" spans="1:38">
      <c r="A1520" t="s">
        <v>6760</v>
      </c>
      <c r="B1520" t="s">
        <v>6761</v>
      </c>
      <c r="C1520" t="s">
        <v>6762</v>
      </c>
      <c r="D1520" t="s">
        <v>6762</v>
      </c>
      <c r="E1520" t="s">
        <v>6763</v>
      </c>
      <c r="F1520" t="s">
        <v>2425</v>
      </c>
      <c r="G1520">
        <v>2</v>
      </c>
      <c r="H1520">
        <v>1</v>
      </c>
      <c r="I1520">
        <v>0.01</v>
      </c>
      <c r="J1520">
        <v>1000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3000000</v>
      </c>
      <c r="AB1520">
        <v>0</v>
      </c>
      <c r="AC1520">
        <v>0</v>
      </c>
      <c r="AD1520" t="s">
        <v>94</v>
      </c>
      <c r="AE1520" t="s">
        <v>94</v>
      </c>
      <c r="AF1520" t="s">
        <v>226</v>
      </c>
      <c r="AG1520" t="s">
        <v>226</v>
      </c>
      <c r="AH1520">
        <v>800</v>
      </c>
      <c r="AI1520" t="s">
        <v>3537</v>
      </c>
      <c r="AJ1520" t="s">
        <v>1976</v>
      </c>
      <c r="AK1520" t="s">
        <v>2426</v>
      </c>
      <c r="AL1520" t="s">
        <v>272</v>
      </c>
    </row>
    <row r="1521" spans="1:38">
      <c r="A1521" t="s">
        <v>6764</v>
      </c>
      <c r="B1521" t="s">
        <v>6765</v>
      </c>
      <c r="C1521" t="s">
        <v>6766</v>
      </c>
      <c r="D1521" t="s">
        <v>6766</v>
      </c>
      <c r="E1521" t="s">
        <v>6767</v>
      </c>
      <c r="F1521" t="s">
        <v>2425</v>
      </c>
      <c r="G1521">
        <v>2</v>
      </c>
      <c r="H1521">
        <v>1</v>
      </c>
      <c r="I1521">
        <v>0.01</v>
      </c>
      <c r="J1521">
        <v>1000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3000000</v>
      </c>
      <c r="AB1521">
        <v>0</v>
      </c>
      <c r="AC1521">
        <v>0</v>
      </c>
      <c r="AD1521" t="s">
        <v>94</v>
      </c>
      <c r="AE1521" t="s">
        <v>94</v>
      </c>
      <c r="AF1521" t="s">
        <v>226</v>
      </c>
      <c r="AG1521" t="s">
        <v>226</v>
      </c>
      <c r="AH1521">
        <v>800</v>
      </c>
      <c r="AI1521" t="s">
        <v>3537</v>
      </c>
      <c r="AJ1521" t="s">
        <v>1976</v>
      </c>
      <c r="AK1521" t="s">
        <v>2426</v>
      </c>
      <c r="AL1521" t="s">
        <v>272</v>
      </c>
    </row>
    <row r="1522" spans="1:38">
      <c r="A1522" t="s">
        <v>6768</v>
      </c>
      <c r="B1522" t="s">
        <v>6769</v>
      </c>
      <c r="C1522" t="s">
        <v>6770</v>
      </c>
      <c r="D1522" t="s">
        <v>6770</v>
      </c>
      <c r="E1522" t="s">
        <v>6771</v>
      </c>
      <c r="F1522" t="s">
        <v>2425</v>
      </c>
      <c r="G1522">
        <v>2</v>
      </c>
      <c r="H1522">
        <v>1</v>
      </c>
      <c r="I1522">
        <v>0.01</v>
      </c>
      <c r="J1522">
        <v>1000</v>
      </c>
      <c r="K1522">
        <v>-2.66</v>
      </c>
      <c r="L1522">
        <v>79.45</v>
      </c>
      <c r="M1522">
        <v>81.19</v>
      </c>
      <c r="N1522">
        <v>78.98</v>
      </c>
      <c r="O1522">
        <v>80.72</v>
      </c>
      <c r="P1522">
        <v>0</v>
      </c>
      <c r="Q1522">
        <v>0</v>
      </c>
      <c r="R1522">
        <v>0</v>
      </c>
      <c r="S1522">
        <v>82.78</v>
      </c>
      <c r="T1522">
        <v>83.48</v>
      </c>
      <c r="U1522">
        <v>79.45</v>
      </c>
      <c r="V1522">
        <v>83.48</v>
      </c>
      <c r="W1522">
        <v>256616</v>
      </c>
      <c r="X1522">
        <v>80.459999999999994</v>
      </c>
      <c r="Y1522">
        <v>81.94</v>
      </c>
      <c r="Z1522">
        <v>34</v>
      </c>
      <c r="AA1522">
        <v>3000000</v>
      </c>
      <c r="AB1522">
        <v>4767</v>
      </c>
      <c r="AC1522">
        <v>0</v>
      </c>
      <c r="AD1522" t="s">
        <v>94</v>
      </c>
      <c r="AE1522" t="s">
        <v>94</v>
      </c>
      <c r="AF1522" t="s">
        <v>226</v>
      </c>
      <c r="AG1522" t="s">
        <v>226</v>
      </c>
      <c r="AH1522">
        <v>8</v>
      </c>
      <c r="AI1522" t="s">
        <v>3537</v>
      </c>
      <c r="AJ1522" t="s">
        <v>1976</v>
      </c>
      <c r="AK1522" t="s">
        <v>2426</v>
      </c>
      <c r="AL1522" t="s">
        <v>272</v>
      </c>
    </row>
    <row r="1523" spans="1:38">
      <c r="A1523" t="s">
        <v>6772</v>
      </c>
      <c r="B1523" t="s">
        <v>6773</v>
      </c>
      <c r="C1523" t="s">
        <v>6774</v>
      </c>
      <c r="D1523" t="s">
        <v>6774</v>
      </c>
      <c r="E1523" t="s">
        <v>6775</v>
      </c>
      <c r="F1523" t="s">
        <v>2425</v>
      </c>
      <c r="G1523">
        <v>2</v>
      </c>
      <c r="H1523">
        <v>1</v>
      </c>
      <c r="I1523">
        <v>0.01</v>
      </c>
      <c r="J1523">
        <v>1000</v>
      </c>
      <c r="K1523">
        <v>-1.03</v>
      </c>
      <c r="L1523">
        <v>86.76</v>
      </c>
      <c r="M1523">
        <v>87.66</v>
      </c>
      <c r="N1523">
        <v>84.42</v>
      </c>
      <c r="O1523">
        <v>86.76</v>
      </c>
      <c r="P1523">
        <v>0</v>
      </c>
      <c r="Q1523">
        <v>0</v>
      </c>
      <c r="R1523">
        <v>0</v>
      </c>
      <c r="S1523">
        <v>86.92</v>
      </c>
      <c r="T1523">
        <v>87.96</v>
      </c>
      <c r="U1523">
        <v>85.96</v>
      </c>
      <c r="V1523">
        <v>87.96</v>
      </c>
      <c r="W1523">
        <v>131252</v>
      </c>
      <c r="X1523">
        <v>86.28</v>
      </c>
      <c r="Y1523">
        <v>87.16</v>
      </c>
      <c r="Z1523">
        <v>28</v>
      </c>
      <c r="AA1523">
        <v>3000000</v>
      </c>
      <c r="AB1523">
        <v>2602.8000000000002</v>
      </c>
      <c r="AC1523">
        <v>0</v>
      </c>
      <c r="AD1523" t="s">
        <v>94</v>
      </c>
      <c r="AE1523" t="s">
        <v>94</v>
      </c>
      <c r="AF1523" t="s">
        <v>226</v>
      </c>
      <c r="AG1523" t="s">
        <v>226</v>
      </c>
      <c r="AH1523">
        <v>8</v>
      </c>
      <c r="AI1523" t="s">
        <v>3537</v>
      </c>
      <c r="AJ1523" t="s">
        <v>1976</v>
      </c>
      <c r="AK1523" t="s">
        <v>2426</v>
      </c>
      <c r="AL1523" t="s">
        <v>272</v>
      </c>
    </row>
    <row r="1524" spans="1:38">
      <c r="A1524" t="s">
        <v>6776</v>
      </c>
      <c r="B1524" t="s">
        <v>6777</v>
      </c>
      <c r="C1524" t="s">
        <v>6778</v>
      </c>
      <c r="D1524" t="s">
        <v>6778</v>
      </c>
      <c r="E1524" t="s">
        <v>6779</v>
      </c>
      <c r="F1524" t="s">
        <v>2425</v>
      </c>
      <c r="G1524">
        <v>2</v>
      </c>
      <c r="H1524">
        <v>1</v>
      </c>
      <c r="I1524">
        <v>0.01</v>
      </c>
      <c r="J1524">
        <v>1000</v>
      </c>
      <c r="K1524">
        <v>-3.83</v>
      </c>
      <c r="L1524">
        <v>82</v>
      </c>
      <c r="M1524">
        <v>85.08</v>
      </c>
      <c r="N1524">
        <v>86.6</v>
      </c>
      <c r="O1524">
        <v>82</v>
      </c>
      <c r="P1524">
        <v>0</v>
      </c>
      <c r="Q1524">
        <v>0</v>
      </c>
      <c r="R1524">
        <v>0</v>
      </c>
      <c r="S1524">
        <v>83</v>
      </c>
      <c r="T1524">
        <v>85.02</v>
      </c>
      <c r="U1524">
        <v>82</v>
      </c>
      <c r="V1524">
        <v>85.52</v>
      </c>
      <c r="W1524">
        <v>223270</v>
      </c>
      <c r="X1524">
        <v>82.01</v>
      </c>
      <c r="Y1524">
        <v>84</v>
      </c>
      <c r="Z1524">
        <v>25</v>
      </c>
      <c r="AA1524">
        <v>3000000</v>
      </c>
      <c r="AB1524">
        <v>82000</v>
      </c>
      <c r="AC1524">
        <v>0</v>
      </c>
      <c r="AD1524" t="s">
        <v>94</v>
      </c>
      <c r="AE1524" t="s">
        <v>94</v>
      </c>
      <c r="AF1524" t="s">
        <v>226</v>
      </c>
      <c r="AG1524" t="s">
        <v>226</v>
      </c>
      <c r="AH1524">
        <v>8</v>
      </c>
      <c r="AI1524" t="s">
        <v>3537</v>
      </c>
      <c r="AJ1524" t="s">
        <v>1976</v>
      </c>
      <c r="AK1524" t="s">
        <v>2426</v>
      </c>
      <c r="AL1524" t="s">
        <v>272</v>
      </c>
    </row>
    <row r="1525" spans="1:38">
      <c r="A1525" t="s">
        <v>6780</v>
      </c>
      <c r="B1525" t="s">
        <v>6781</v>
      </c>
      <c r="C1525" t="s">
        <v>6782</v>
      </c>
      <c r="D1525" t="s">
        <v>6782</v>
      </c>
      <c r="E1525" t="s">
        <v>6783</v>
      </c>
      <c r="F1525" t="s">
        <v>2413</v>
      </c>
      <c r="G1525">
        <v>2</v>
      </c>
      <c r="H1525">
        <v>1</v>
      </c>
      <c r="I1525">
        <v>0.01</v>
      </c>
      <c r="J1525">
        <v>1000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5000000</v>
      </c>
      <c r="AB1525">
        <v>0</v>
      </c>
      <c r="AC1525">
        <v>0</v>
      </c>
      <c r="AD1525" t="s">
        <v>94</v>
      </c>
      <c r="AE1525" t="s">
        <v>94</v>
      </c>
      <c r="AF1525" t="s">
        <v>226</v>
      </c>
      <c r="AG1525" t="s">
        <v>226</v>
      </c>
      <c r="AH1525">
        <v>-100</v>
      </c>
      <c r="AI1525" t="s">
        <v>3537</v>
      </c>
      <c r="AJ1525" t="s">
        <v>1976</v>
      </c>
      <c r="AK1525" t="s">
        <v>2416</v>
      </c>
      <c r="AL1525" t="s">
        <v>272</v>
      </c>
    </row>
    <row r="1526" spans="1:38">
      <c r="A1526" t="s">
        <v>6784</v>
      </c>
      <c r="B1526" t="s">
        <v>6785</v>
      </c>
      <c r="C1526" t="s">
        <v>6786</v>
      </c>
      <c r="D1526" t="s">
        <v>6786</v>
      </c>
      <c r="E1526" t="s">
        <v>6787</v>
      </c>
      <c r="F1526" t="s">
        <v>2425</v>
      </c>
      <c r="G1526">
        <v>2</v>
      </c>
      <c r="H1526">
        <v>1</v>
      </c>
      <c r="I1526">
        <v>0.01</v>
      </c>
      <c r="J1526">
        <v>1000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5000000</v>
      </c>
      <c r="AB1526">
        <v>0</v>
      </c>
      <c r="AC1526">
        <v>0</v>
      </c>
      <c r="AD1526" t="s">
        <v>94</v>
      </c>
      <c r="AE1526" t="s">
        <v>94</v>
      </c>
      <c r="AF1526" t="s">
        <v>226</v>
      </c>
      <c r="AG1526" t="s">
        <v>226</v>
      </c>
      <c r="AH1526">
        <v>-100</v>
      </c>
      <c r="AI1526" t="s">
        <v>3537</v>
      </c>
      <c r="AJ1526" t="s">
        <v>1976</v>
      </c>
      <c r="AK1526" t="s">
        <v>2426</v>
      </c>
      <c r="AL1526" t="s">
        <v>272</v>
      </c>
    </row>
    <row r="1527" spans="1:38">
      <c r="A1527" t="s">
        <v>6788</v>
      </c>
      <c r="B1527" t="s">
        <v>6789</v>
      </c>
      <c r="C1527" t="s">
        <v>6790</v>
      </c>
      <c r="D1527" t="s">
        <v>6790</v>
      </c>
      <c r="E1527" t="s">
        <v>6791</v>
      </c>
      <c r="F1527" t="s">
        <v>2425</v>
      </c>
      <c r="G1527">
        <v>2</v>
      </c>
      <c r="H1527">
        <v>1</v>
      </c>
      <c r="I1527">
        <v>0.01</v>
      </c>
      <c r="J1527">
        <v>1000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56.19</v>
      </c>
      <c r="Y1527">
        <v>0</v>
      </c>
      <c r="Z1527">
        <v>0</v>
      </c>
      <c r="AA1527">
        <v>5000000</v>
      </c>
      <c r="AB1527">
        <v>0</v>
      </c>
      <c r="AC1527">
        <v>0</v>
      </c>
      <c r="AD1527" t="s">
        <v>94</v>
      </c>
      <c r="AE1527" t="s">
        <v>94</v>
      </c>
      <c r="AF1527" t="s">
        <v>226</v>
      </c>
      <c r="AG1527" t="s">
        <v>226</v>
      </c>
      <c r="AH1527">
        <v>-100</v>
      </c>
      <c r="AI1527" t="s">
        <v>3537</v>
      </c>
      <c r="AJ1527" t="s">
        <v>1976</v>
      </c>
      <c r="AK1527" t="s">
        <v>2426</v>
      </c>
      <c r="AL1527" t="s">
        <v>272</v>
      </c>
    </row>
    <row r="1528" spans="1:38">
      <c r="A1528" t="s">
        <v>6792</v>
      </c>
      <c r="B1528" t="s">
        <v>6793</v>
      </c>
      <c r="C1528" t="s">
        <v>6794</v>
      </c>
      <c r="D1528" t="s">
        <v>6794</v>
      </c>
      <c r="E1528" t="s">
        <v>6795</v>
      </c>
      <c r="F1528" t="s">
        <v>2413</v>
      </c>
      <c r="G1528">
        <v>3</v>
      </c>
      <c r="H1528">
        <v>1</v>
      </c>
      <c r="I1528">
        <v>0.01</v>
      </c>
      <c r="J1528">
        <v>1000</v>
      </c>
      <c r="K1528">
        <v>-0.12</v>
      </c>
      <c r="L1528">
        <v>99.92</v>
      </c>
      <c r="M1528">
        <v>100.04</v>
      </c>
      <c r="N1528">
        <v>100.02</v>
      </c>
      <c r="O1528">
        <v>99.92</v>
      </c>
      <c r="P1528">
        <v>0</v>
      </c>
      <c r="Q1528">
        <v>0</v>
      </c>
      <c r="R1528">
        <v>0</v>
      </c>
      <c r="S1528">
        <v>99.98</v>
      </c>
      <c r="T1528">
        <v>100.02</v>
      </c>
      <c r="U1528">
        <v>99.9</v>
      </c>
      <c r="V1528">
        <v>100.05</v>
      </c>
      <c r="W1528">
        <v>197951</v>
      </c>
      <c r="X1528">
        <v>99.92</v>
      </c>
      <c r="Y1528">
        <v>100</v>
      </c>
      <c r="Z1528">
        <v>27</v>
      </c>
      <c r="AA1528">
        <v>7000000</v>
      </c>
      <c r="AB1528">
        <v>1998.4</v>
      </c>
      <c r="AC1528">
        <v>0</v>
      </c>
      <c r="AD1528" t="s">
        <v>94</v>
      </c>
      <c r="AE1528" t="s">
        <v>94</v>
      </c>
      <c r="AF1528" t="s">
        <v>226</v>
      </c>
      <c r="AG1528" t="s">
        <v>226</v>
      </c>
      <c r="AH1528">
        <v>800</v>
      </c>
      <c r="AI1528" t="s">
        <v>3537</v>
      </c>
      <c r="AJ1528" t="s">
        <v>1976</v>
      </c>
      <c r="AK1528" t="s">
        <v>2416</v>
      </c>
      <c r="AL1528" t="s">
        <v>272</v>
      </c>
    </row>
    <row r="1529" spans="1:38">
      <c r="A1529" t="s">
        <v>6796</v>
      </c>
      <c r="B1529" t="s">
        <v>6797</v>
      </c>
      <c r="C1529" t="s">
        <v>6798</v>
      </c>
      <c r="D1529" t="s">
        <v>6798</v>
      </c>
      <c r="E1529" t="s">
        <v>6799</v>
      </c>
      <c r="F1529" t="s">
        <v>2413</v>
      </c>
      <c r="G1529">
        <v>3</v>
      </c>
      <c r="H1529">
        <v>1</v>
      </c>
      <c r="I1529">
        <v>0.01</v>
      </c>
      <c r="J1529">
        <v>1000</v>
      </c>
      <c r="K1529">
        <v>0.08</v>
      </c>
      <c r="L1529">
        <v>91.88</v>
      </c>
      <c r="M1529">
        <v>91.83</v>
      </c>
      <c r="N1529">
        <v>92</v>
      </c>
      <c r="O1529">
        <v>91.96</v>
      </c>
      <c r="P1529">
        <v>0</v>
      </c>
      <c r="Q1529">
        <v>0</v>
      </c>
      <c r="R1529">
        <v>0</v>
      </c>
      <c r="S1529">
        <v>92.26</v>
      </c>
      <c r="T1529">
        <v>92.2</v>
      </c>
      <c r="U1529">
        <v>91.84</v>
      </c>
      <c r="V1529">
        <v>92.35</v>
      </c>
      <c r="W1529">
        <v>25857049</v>
      </c>
      <c r="X1529">
        <v>91.88</v>
      </c>
      <c r="Y1529">
        <v>92</v>
      </c>
      <c r="Z1529">
        <v>128</v>
      </c>
      <c r="AA1529">
        <v>10000000</v>
      </c>
      <c r="AB1529">
        <v>918.8</v>
      </c>
      <c r="AC1529">
        <v>0</v>
      </c>
      <c r="AD1529" t="s">
        <v>94</v>
      </c>
      <c r="AE1529" t="s">
        <v>94</v>
      </c>
      <c r="AF1529" t="s">
        <v>226</v>
      </c>
      <c r="AG1529" t="s">
        <v>226</v>
      </c>
      <c r="AH1529">
        <v>6</v>
      </c>
      <c r="AI1529" t="s">
        <v>3537</v>
      </c>
      <c r="AJ1529" t="s">
        <v>1976</v>
      </c>
      <c r="AK1529" t="s">
        <v>2416</v>
      </c>
      <c r="AL1529" t="s">
        <v>272</v>
      </c>
    </row>
    <row r="1530" spans="1:38">
      <c r="A1530" t="s">
        <v>6800</v>
      </c>
      <c r="B1530" t="s">
        <v>6801</v>
      </c>
      <c r="C1530" t="s">
        <v>6802</v>
      </c>
      <c r="D1530" t="s">
        <v>6802</v>
      </c>
      <c r="E1530" t="s">
        <v>6803</v>
      </c>
      <c r="F1530" t="s">
        <v>2413</v>
      </c>
      <c r="G1530">
        <v>3</v>
      </c>
      <c r="H1530">
        <v>1</v>
      </c>
      <c r="I1530">
        <v>0.01</v>
      </c>
      <c r="J1530">
        <v>1000</v>
      </c>
      <c r="K1530">
        <v>-0.48</v>
      </c>
      <c r="L1530">
        <v>96.5</v>
      </c>
      <c r="M1530">
        <v>96.97</v>
      </c>
      <c r="N1530">
        <v>96.18</v>
      </c>
      <c r="O1530">
        <v>96.5</v>
      </c>
      <c r="P1530">
        <v>0</v>
      </c>
      <c r="Q1530">
        <v>0</v>
      </c>
      <c r="R1530">
        <v>0</v>
      </c>
      <c r="S1530">
        <v>96.6</v>
      </c>
      <c r="T1530">
        <v>95.6</v>
      </c>
      <c r="U1530">
        <v>95.6</v>
      </c>
      <c r="V1530">
        <v>97.79</v>
      </c>
      <c r="W1530">
        <v>1840253</v>
      </c>
      <c r="X1530">
        <v>96.4</v>
      </c>
      <c r="Y1530">
        <v>96.5</v>
      </c>
      <c r="Z1530">
        <v>44</v>
      </c>
      <c r="AA1530">
        <v>8000000</v>
      </c>
      <c r="AB1530">
        <v>139925</v>
      </c>
      <c r="AC1530">
        <v>0</v>
      </c>
      <c r="AD1530" t="s">
        <v>94</v>
      </c>
      <c r="AE1530" t="s">
        <v>94</v>
      </c>
      <c r="AF1530" t="s">
        <v>226</v>
      </c>
      <c r="AG1530" t="s">
        <v>226</v>
      </c>
      <c r="AH1530">
        <v>8</v>
      </c>
      <c r="AI1530" t="s">
        <v>3537</v>
      </c>
      <c r="AJ1530" t="s">
        <v>1976</v>
      </c>
      <c r="AK1530" t="s">
        <v>2416</v>
      </c>
      <c r="AL1530" t="s">
        <v>272</v>
      </c>
    </row>
    <row r="1531" spans="1:38">
      <c r="A1531" t="s">
        <v>6804</v>
      </c>
      <c r="B1531" t="s">
        <v>6805</v>
      </c>
      <c r="C1531" t="s">
        <v>6806</v>
      </c>
      <c r="D1531" t="s">
        <v>6806</v>
      </c>
      <c r="E1531" t="s">
        <v>6807</v>
      </c>
      <c r="F1531" t="s">
        <v>2413</v>
      </c>
      <c r="G1531">
        <v>3</v>
      </c>
      <c r="H1531">
        <v>1</v>
      </c>
      <c r="I1531">
        <v>0.01</v>
      </c>
      <c r="J1531">
        <v>1000</v>
      </c>
      <c r="K1531">
        <v>-0.05</v>
      </c>
      <c r="L1531">
        <v>98.45</v>
      </c>
      <c r="M1531">
        <v>98.5</v>
      </c>
      <c r="N1531">
        <v>98.61</v>
      </c>
      <c r="O1531">
        <v>98.43</v>
      </c>
      <c r="P1531">
        <v>0</v>
      </c>
      <c r="Q1531">
        <v>0</v>
      </c>
      <c r="R1531">
        <v>0</v>
      </c>
      <c r="S1531">
        <v>98.48</v>
      </c>
      <c r="T1531">
        <v>98.5</v>
      </c>
      <c r="U1531">
        <v>98.12</v>
      </c>
      <c r="V1531">
        <v>98.59</v>
      </c>
      <c r="W1531">
        <v>6484194</v>
      </c>
      <c r="X1531">
        <v>98.34</v>
      </c>
      <c r="Y1531">
        <v>98.45</v>
      </c>
      <c r="Z1531">
        <v>194</v>
      </c>
      <c r="AA1531">
        <v>5000000</v>
      </c>
      <c r="AB1531">
        <v>19690</v>
      </c>
      <c r="AC1531">
        <v>0</v>
      </c>
      <c r="AD1531" t="s">
        <v>94</v>
      </c>
      <c r="AE1531" t="s">
        <v>94</v>
      </c>
      <c r="AF1531" t="s">
        <v>226</v>
      </c>
      <c r="AG1531" t="s">
        <v>226</v>
      </c>
      <c r="AH1531">
        <v>8</v>
      </c>
      <c r="AI1531" t="s">
        <v>3537</v>
      </c>
      <c r="AJ1531" t="s">
        <v>1976</v>
      </c>
      <c r="AK1531" t="s">
        <v>2416</v>
      </c>
      <c r="AL1531" t="s">
        <v>272</v>
      </c>
    </row>
    <row r="1532" spans="1:38">
      <c r="A1532" t="s">
        <v>6808</v>
      </c>
      <c r="B1532" t="s">
        <v>6809</v>
      </c>
      <c r="C1532" t="s">
        <v>6810</v>
      </c>
      <c r="D1532" t="s">
        <v>6810</v>
      </c>
      <c r="E1532" t="s">
        <v>6811</v>
      </c>
      <c r="F1532" t="s">
        <v>2413</v>
      </c>
      <c r="G1532">
        <v>3</v>
      </c>
      <c r="H1532">
        <v>1</v>
      </c>
      <c r="I1532">
        <v>0.01</v>
      </c>
      <c r="J1532">
        <v>833.34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2000000</v>
      </c>
      <c r="AB1532">
        <v>0</v>
      </c>
      <c r="AC1532">
        <v>0</v>
      </c>
      <c r="AD1532" t="s">
        <v>94</v>
      </c>
      <c r="AE1532" t="s">
        <v>94</v>
      </c>
      <c r="AF1532" t="s">
        <v>226</v>
      </c>
      <c r="AG1532" t="s">
        <v>226</v>
      </c>
      <c r="AH1532">
        <v>800</v>
      </c>
      <c r="AI1532" t="s">
        <v>3537</v>
      </c>
      <c r="AJ1532" t="s">
        <v>1976</v>
      </c>
      <c r="AK1532" t="s">
        <v>2416</v>
      </c>
      <c r="AL1532" t="s">
        <v>272</v>
      </c>
    </row>
    <row r="1533" spans="1:38">
      <c r="A1533" t="s">
        <v>6812</v>
      </c>
      <c r="B1533" t="s">
        <v>6813</v>
      </c>
      <c r="C1533" t="s">
        <v>6814</v>
      </c>
      <c r="D1533" t="s">
        <v>6814</v>
      </c>
      <c r="E1533" t="s">
        <v>6815</v>
      </c>
      <c r="F1533" t="s">
        <v>2425</v>
      </c>
      <c r="G1533">
        <v>3</v>
      </c>
      <c r="H1533">
        <v>1</v>
      </c>
      <c r="I1533">
        <v>0.01</v>
      </c>
      <c r="J1533">
        <v>692.32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1150000</v>
      </c>
      <c r="AB1533">
        <v>0</v>
      </c>
      <c r="AC1533">
        <v>0</v>
      </c>
      <c r="AD1533" t="s">
        <v>94</v>
      </c>
      <c r="AE1533" t="s">
        <v>94</v>
      </c>
      <c r="AF1533" t="s">
        <v>226</v>
      </c>
      <c r="AG1533" t="s">
        <v>226</v>
      </c>
      <c r="AH1533">
        <v>800</v>
      </c>
      <c r="AI1533" t="s">
        <v>3537</v>
      </c>
      <c r="AJ1533" t="s">
        <v>1976</v>
      </c>
      <c r="AK1533" t="s">
        <v>2426</v>
      </c>
      <c r="AL1533" t="s">
        <v>272</v>
      </c>
    </row>
    <row r="1534" spans="1:38">
      <c r="A1534" t="s">
        <v>6816</v>
      </c>
      <c r="B1534" t="s">
        <v>6817</v>
      </c>
      <c r="C1534" t="s">
        <v>6818</v>
      </c>
      <c r="D1534" t="s">
        <v>6818</v>
      </c>
      <c r="E1534" t="s">
        <v>6819</v>
      </c>
      <c r="F1534" t="s">
        <v>2413</v>
      </c>
      <c r="G1534">
        <v>3</v>
      </c>
      <c r="H1534">
        <v>1</v>
      </c>
      <c r="I1534">
        <v>0.01</v>
      </c>
      <c r="J1534">
        <v>800</v>
      </c>
      <c r="K1534">
        <v>1.06</v>
      </c>
      <c r="L1534">
        <v>83.99</v>
      </c>
      <c r="M1534">
        <v>83.11</v>
      </c>
      <c r="N1534">
        <v>81.61</v>
      </c>
      <c r="O1534">
        <v>83.54</v>
      </c>
      <c r="P1534">
        <v>0</v>
      </c>
      <c r="Q1534">
        <v>0</v>
      </c>
      <c r="R1534">
        <v>0</v>
      </c>
      <c r="S1534">
        <v>83.44</v>
      </c>
      <c r="T1534">
        <v>83.37</v>
      </c>
      <c r="U1534">
        <v>82.93</v>
      </c>
      <c r="V1534">
        <v>83.99</v>
      </c>
      <c r="W1534">
        <v>102803</v>
      </c>
      <c r="X1534">
        <v>83.88</v>
      </c>
      <c r="Y1534">
        <v>84.48</v>
      </c>
      <c r="Z1534">
        <v>23</v>
      </c>
      <c r="AA1534">
        <v>200000</v>
      </c>
      <c r="AB1534">
        <v>671.92</v>
      </c>
      <c r="AC1534">
        <v>0</v>
      </c>
      <c r="AD1534" t="s">
        <v>94</v>
      </c>
      <c r="AE1534" t="s">
        <v>94</v>
      </c>
      <c r="AF1534" t="s">
        <v>226</v>
      </c>
      <c r="AG1534" t="s">
        <v>226</v>
      </c>
      <c r="AH1534">
        <v>6</v>
      </c>
      <c r="AI1534" t="s">
        <v>3537</v>
      </c>
      <c r="AJ1534" t="s">
        <v>1976</v>
      </c>
      <c r="AK1534" t="s">
        <v>2416</v>
      </c>
      <c r="AL1534" t="s">
        <v>272</v>
      </c>
    </row>
    <row r="1535" spans="1:38">
      <c r="A1535" t="s">
        <v>6820</v>
      </c>
      <c r="B1535" t="s">
        <v>6821</v>
      </c>
      <c r="C1535" t="s">
        <v>6822</v>
      </c>
      <c r="D1535" t="s">
        <v>6822</v>
      </c>
      <c r="E1535" t="s">
        <v>6823</v>
      </c>
      <c r="F1535" t="s">
        <v>2413</v>
      </c>
      <c r="G1535">
        <v>3</v>
      </c>
      <c r="H1535">
        <v>1</v>
      </c>
      <c r="I1535">
        <v>0.01</v>
      </c>
      <c r="J1535">
        <v>1000</v>
      </c>
      <c r="K1535">
        <v>1.52</v>
      </c>
      <c r="L1535">
        <v>69.55</v>
      </c>
      <c r="M1535">
        <v>68.66</v>
      </c>
      <c r="N1535">
        <v>68.989999999999995</v>
      </c>
      <c r="O1535">
        <v>69.400000000000006</v>
      </c>
      <c r="P1535">
        <v>0</v>
      </c>
      <c r="Q1535">
        <v>0</v>
      </c>
      <c r="R1535">
        <v>0</v>
      </c>
      <c r="S1535">
        <v>69.290000000000006</v>
      </c>
      <c r="T1535">
        <v>68.97</v>
      </c>
      <c r="U1535">
        <v>68.95</v>
      </c>
      <c r="V1535">
        <v>69.55</v>
      </c>
      <c r="W1535">
        <v>51274</v>
      </c>
      <c r="X1535">
        <v>69.25</v>
      </c>
      <c r="Y1535">
        <v>69.55</v>
      </c>
      <c r="Z1535">
        <v>22</v>
      </c>
      <c r="AA1535">
        <v>150000</v>
      </c>
      <c r="AB1535">
        <v>5564</v>
      </c>
      <c r="AC1535">
        <v>0</v>
      </c>
      <c r="AD1535" t="s">
        <v>94</v>
      </c>
      <c r="AE1535" t="s">
        <v>94</v>
      </c>
      <c r="AF1535" t="s">
        <v>226</v>
      </c>
      <c r="AG1535" t="s">
        <v>226</v>
      </c>
      <c r="AH1535">
        <v>6</v>
      </c>
      <c r="AI1535" t="s">
        <v>3537</v>
      </c>
      <c r="AJ1535" t="s">
        <v>1976</v>
      </c>
      <c r="AK1535" t="s">
        <v>2416</v>
      </c>
      <c r="AL1535" t="s">
        <v>272</v>
      </c>
    </row>
    <row r="1536" spans="1:38">
      <c r="A1536" t="s">
        <v>6824</v>
      </c>
      <c r="B1536" t="s">
        <v>6825</v>
      </c>
      <c r="C1536" t="s">
        <v>6826</v>
      </c>
      <c r="D1536" t="s">
        <v>6826</v>
      </c>
      <c r="E1536" t="s">
        <v>6827</v>
      </c>
      <c r="F1536" t="s">
        <v>2413</v>
      </c>
      <c r="G1536">
        <v>3</v>
      </c>
      <c r="H1536">
        <v>1</v>
      </c>
      <c r="I1536">
        <v>0.01</v>
      </c>
      <c r="J1536">
        <v>1000</v>
      </c>
      <c r="K1536">
        <v>0.91</v>
      </c>
      <c r="L1536">
        <v>100.84</v>
      </c>
      <c r="M1536">
        <v>99.92</v>
      </c>
      <c r="N1536">
        <v>84.46</v>
      </c>
      <c r="O1536">
        <v>100.77</v>
      </c>
      <c r="P1536">
        <v>0</v>
      </c>
      <c r="Q1536">
        <v>0</v>
      </c>
      <c r="R1536">
        <v>0</v>
      </c>
      <c r="S1536">
        <v>100.77</v>
      </c>
      <c r="T1536">
        <v>99.93</v>
      </c>
      <c r="U1536">
        <v>99.93</v>
      </c>
      <c r="V1536">
        <v>100.84</v>
      </c>
      <c r="W1536">
        <v>20154</v>
      </c>
      <c r="X1536">
        <v>91.18</v>
      </c>
      <c r="Y1536">
        <v>100.89</v>
      </c>
      <c r="Z1536">
        <v>7</v>
      </c>
      <c r="AA1536">
        <v>500000</v>
      </c>
      <c r="AB1536">
        <v>10084</v>
      </c>
      <c r="AC1536">
        <v>0</v>
      </c>
      <c r="AD1536" t="s">
        <v>94</v>
      </c>
      <c r="AE1536" t="s">
        <v>94</v>
      </c>
      <c r="AF1536" t="s">
        <v>226</v>
      </c>
      <c r="AG1536" t="s">
        <v>226</v>
      </c>
      <c r="AH1536">
        <v>800</v>
      </c>
      <c r="AI1536" t="s">
        <v>3537</v>
      </c>
      <c r="AJ1536" t="s">
        <v>1976</v>
      </c>
      <c r="AK1536" t="s">
        <v>2416</v>
      </c>
      <c r="AL1536" t="s">
        <v>272</v>
      </c>
    </row>
    <row r="1537" spans="1:38">
      <c r="A1537" t="s">
        <v>6828</v>
      </c>
      <c r="B1537" t="s">
        <v>6829</v>
      </c>
      <c r="C1537" t="s">
        <v>6830</v>
      </c>
      <c r="D1537" t="s">
        <v>6830</v>
      </c>
      <c r="E1537" t="s">
        <v>6831</v>
      </c>
      <c r="F1537" t="s">
        <v>2413</v>
      </c>
      <c r="G1537">
        <v>3</v>
      </c>
      <c r="H1537">
        <v>1</v>
      </c>
      <c r="I1537">
        <v>0.01</v>
      </c>
      <c r="J1537">
        <v>1000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1000000</v>
      </c>
      <c r="AB1537">
        <v>0</v>
      </c>
      <c r="AC1537">
        <v>0</v>
      </c>
      <c r="AD1537" t="s">
        <v>94</v>
      </c>
      <c r="AE1537" t="s">
        <v>94</v>
      </c>
      <c r="AF1537" t="s">
        <v>226</v>
      </c>
      <c r="AG1537" t="s">
        <v>226</v>
      </c>
      <c r="AH1537">
        <v>6</v>
      </c>
      <c r="AI1537" t="s">
        <v>3537</v>
      </c>
      <c r="AJ1537" t="s">
        <v>1976</v>
      </c>
      <c r="AK1537" t="s">
        <v>2416</v>
      </c>
      <c r="AL1537" t="s">
        <v>272</v>
      </c>
    </row>
    <row r="1538" spans="1:38">
      <c r="A1538" t="s">
        <v>6832</v>
      </c>
      <c r="B1538" t="s">
        <v>6833</v>
      </c>
      <c r="C1538" t="s">
        <v>6834</v>
      </c>
      <c r="D1538" t="s">
        <v>6834</v>
      </c>
      <c r="E1538" t="s">
        <v>6835</v>
      </c>
      <c r="F1538" t="s">
        <v>3754</v>
      </c>
      <c r="G1538">
        <v>3</v>
      </c>
      <c r="H1538">
        <v>1</v>
      </c>
      <c r="I1538">
        <v>0.01</v>
      </c>
      <c r="J1538">
        <v>250</v>
      </c>
      <c r="K1538">
        <v>-0.09</v>
      </c>
      <c r="L1538">
        <v>99.83</v>
      </c>
      <c r="M1538">
        <v>99.92</v>
      </c>
      <c r="N1538">
        <v>99.6</v>
      </c>
      <c r="O1538">
        <v>99.83</v>
      </c>
      <c r="P1538">
        <v>0</v>
      </c>
      <c r="Q1538">
        <v>0</v>
      </c>
      <c r="R1538">
        <v>0</v>
      </c>
      <c r="S1538">
        <v>99.83</v>
      </c>
      <c r="T1538">
        <v>99.93</v>
      </c>
      <c r="U1538">
        <v>99.52</v>
      </c>
      <c r="V1538">
        <v>99.94</v>
      </c>
      <c r="W1538">
        <v>88103</v>
      </c>
      <c r="X1538">
        <v>99.83</v>
      </c>
      <c r="Y1538">
        <v>99.85</v>
      </c>
      <c r="Z1538">
        <v>22</v>
      </c>
      <c r="AA1538">
        <v>2000000</v>
      </c>
      <c r="AB1538">
        <v>16721.53</v>
      </c>
      <c r="AC1538">
        <v>0</v>
      </c>
      <c r="AD1538" t="s">
        <v>94</v>
      </c>
      <c r="AE1538" t="s">
        <v>94</v>
      </c>
      <c r="AF1538" t="s">
        <v>226</v>
      </c>
      <c r="AG1538" t="s">
        <v>226</v>
      </c>
      <c r="AH1538">
        <v>-100</v>
      </c>
      <c r="AI1538" t="s">
        <v>3537</v>
      </c>
      <c r="AJ1538" t="s">
        <v>1976</v>
      </c>
      <c r="AK1538" t="s">
        <v>3755</v>
      </c>
      <c r="AL1538" t="s">
        <v>272</v>
      </c>
    </row>
    <row r="1539" spans="1:38">
      <c r="A1539" t="s">
        <v>6836</v>
      </c>
      <c r="B1539" t="s">
        <v>226</v>
      </c>
      <c r="C1539" t="s">
        <v>6837</v>
      </c>
      <c r="D1539" t="s">
        <v>6837</v>
      </c>
      <c r="E1539" t="s">
        <v>6838</v>
      </c>
      <c r="F1539" t="s">
        <v>2125</v>
      </c>
      <c r="G1539">
        <v>1</v>
      </c>
      <c r="H1539">
        <v>1</v>
      </c>
      <c r="I1539">
        <v>0.01</v>
      </c>
      <c r="J1539">
        <v>1000</v>
      </c>
      <c r="K1539">
        <v>-0.15</v>
      </c>
      <c r="L1539">
        <v>80.239999999999995</v>
      </c>
      <c r="M1539">
        <v>80.37</v>
      </c>
      <c r="N1539">
        <v>80.47</v>
      </c>
      <c r="O1539">
        <v>80.25</v>
      </c>
      <c r="P1539">
        <v>0</v>
      </c>
      <c r="Q1539">
        <v>0</v>
      </c>
      <c r="R1539">
        <v>0</v>
      </c>
      <c r="S1539">
        <v>80.47</v>
      </c>
      <c r="T1539">
        <v>82.05</v>
      </c>
      <c r="U1539">
        <v>79.680000000000007</v>
      </c>
      <c r="V1539">
        <v>82.05</v>
      </c>
      <c r="W1539">
        <v>417660</v>
      </c>
      <c r="X1539">
        <v>79.819999999999993</v>
      </c>
      <c r="Y1539">
        <v>80.239999999999995</v>
      </c>
      <c r="Z1539">
        <v>93</v>
      </c>
      <c r="AA1539">
        <v>10000000</v>
      </c>
      <c r="AB1539">
        <v>802.4</v>
      </c>
      <c r="AC1539">
        <v>0</v>
      </c>
      <c r="AD1539" t="s">
        <v>94</v>
      </c>
      <c r="AE1539" t="s">
        <v>94</v>
      </c>
      <c r="AF1539" t="s">
        <v>226</v>
      </c>
      <c r="AG1539" t="s">
        <v>226</v>
      </c>
      <c r="AH1539">
        <v>-100</v>
      </c>
      <c r="AI1539" t="s">
        <v>3537</v>
      </c>
      <c r="AJ1539" t="s">
        <v>1976</v>
      </c>
      <c r="AK1539" t="s">
        <v>2556</v>
      </c>
      <c r="AL1539" t="s">
        <v>272</v>
      </c>
    </row>
    <row r="1540" spans="1:38">
      <c r="A1540" t="s">
        <v>6839</v>
      </c>
      <c r="B1540" t="s">
        <v>226</v>
      </c>
      <c r="C1540" t="s">
        <v>6840</v>
      </c>
      <c r="D1540" t="s">
        <v>6840</v>
      </c>
      <c r="E1540" t="s">
        <v>6841</v>
      </c>
      <c r="F1540" t="s">
        <v>2125</v>
      </c>
      <c r="G1540">
        <v>1</v>
      </c>
      <c r="H1540">
        <v>1</v>
      </c>
      <c r="I1540">
        <v>0.01</v>
      </c>
      <c r="J1540">
        <v>1000</v>
      </c>
      <c r="K1540">
        <v>-0.97</v>
      </c>
      <c r="L1540">
        <v>68.33</v>
      </c>
      <c r="M1540">
        <v>69</v>
      </c>
      <c r="N1540">
        <v>69.2</v>
      </c>
      <c r="O1540">
        <v>68.319999999999993</v>
      </c>
      <c r="P1540">
        <v>0</v>
      </c>
      <c r="Q1540">
        <v>0</v>
      </c>
      <c r="R1540">
        <v>0</v>
      </c>
      <c r="S1540">
        <v>68.94</v>
      </c>
      <c r="T1540">
        <v>69.47</v>
      </c>
      <c r="U1540">
        <v>67.91</v>
      </c>
      <c r="V1540">
        <v>69.5</v>
      </c>
      <c r="W1540">
        <v>679070</v>
      </c>
      <c r="X1540">
        <v>68.290000000000006</v>
      </c>
      <c r="Y1540">
        <v>68.33</v>
      </c>
      <c r="Z1540">
        <v>93</v>
      </c>
      <c r="AA1540">
        <v>10000000</v>
      </c>
      <c r="AB1540">
        <v>683.3</v>
      </c>
      <c r="AC1540">
        <v>0</v>
      </c>
      <c r="AD1540" t="s">
        <v>94</v>
      </c>
      <c r="AE1540" t="s">
        <v>94</v>
      </c>
      <c r="AF1540" t="s">
        <v>226</v>
      </c>
      <c r="AG1540" t="s">
        <v>226</v>
      </c>
      <c r="AH1540">
        <v>-100</v>
      </c>
      <c r="AI1540" t="s">
        <v>3537</v>
      </c>
      <c r="AJ1540" t="s">
        <v>1976</v>
      </c>
      <c r="AK1540" t="s">
        <v>2556</v>
      </c>
      <c r="AL1540" t="s">
        <v>272</v>
      </c>
    </row>
    <row r="1541" spans="1:38">
      <c r="A1541" t="s">
        <v>6842</v>
      </c>
      <c r="B1541" t="s">
        <v>226</v>
      </c>
      <c r="C1541" t="s">
        <v>6843</v>
      </c>
      <c r="D1541" t="s">
        <v>6843</v>
      </c>
      <c r="E1541" t="s">
        <v>6844</v>
      </c>
      <c r="F1541" t="s">
        <v>2125</v>
      </c>
      <c r="G1541">
        <v>1</v>
      </c>
      <c r="H1541">
        <v>1</v>
      </c>
      <c r="I1541">
        <v>0.01</v>
      </c>
      <c r="J1541">
        <v>1000</v>
      </c>
      <c r="K1541">
        <v>5.04</v>
      </c>
      <c r="L1541">
        <v>68.8</v>
      </c>
      <c r="M1541">
        <v>65.599999999999994</v>
      </c>
      <c r="N1541">
        <v>69.290000000000006</v>
      </c>
      <c r="O1541">
        <v>68.8</v>
      </c>
      <c r="P1541">
        <v>0</v>
      </c>
      <c r="Q1541">
        <v>0</v>
      </c>
      <c r="R1541">
        <v>0</v>
      </c>
      <c r="S1541">
        <v>68.55</v>
      </c>
      <c r="T1541">
        <v>69.790000000000006</v>
      </c>
      <c r="U1541">
        <v>67.59</v>
      </c>
      <c r="V1541">
        <v>69.790000000000006</v>
      </c>
      <c r="W1541">
        <v>31535</v>
      </c>
      <c r="X1541">
        <v>67.97</v>
      </c>
      <c r="Y1541">
        <v>68.8</v>
      </c>
      <c r="Z1541">
        <v>20</v>
      </c>
      <c r="AA1541">
        <v>10000000</v>
      </c>
      <c r="AB1541">
        <v>688</v>
      </c>
      <c r="AC1541">
        <v>0</v>
      </c>
      <c r="AD1541" t="s">
        <v>94</v>
      </c>
      <c r="AE1541" t="s">
        <v>94</v>
      </c>
      <c r="AF1541" t="s">
        <v>226</v>
      </c>
      <c r="AG1541" t="s">
        <v>226</v>
      </c>
      <c r="AH1541">
        <v>-100</v>
      </c>
      <c r="AI1541" t="s">
        <v>3537</v>
      </c>
      <c r="AJ1541" t="s">
        <v>1976</v>
      </c>
      <c r="AK1541" t="s">
        <v>2556</v>
      </c>
      <c r="AL1541" t="s">
        <v>272</v>
      </c>
    </row>
    <row r="1542" spans="1:38">
      <c r="A1542" t="s">
        <v>6845</v>
      </c>
      <c r="B1542" t="s">
        <v>226</v>
      </c>
      <c r="C1542" t="s">
        <v>6846</v>
      </c>
      <c r="D1542" t="s">
        <v>6846</v>
      </c>
      <c r="E1542" t="s">
        <v>6847</v>
      </c>
      <c r="F1542" t="s">
        <v>2125</v>
      </c>
      <c r="G1542">
        <v>1</v>
      </c>
      <c r="H1542">
        <v>1</v>
      </c>
      <c r="I1542">
        <v>0.01</v>
      </c>
      <c r="J1542">
        <v>1000</v>
      </c>
      <c r="K1542">
        <v>-0.46</v>
      </c>
      <c r="L1542">
        <v>54.6</v>
      </c>
      <c r="M1542">
        <v>54.88</v>
      </c>
      <c r="N1542">
        <v>54.95</v>
      </c>
      <c r="O1542">
        <v>54.6</v>
      </c>
      <c r="P1542">
        <v>0</v>
      </c>
      <c r="Q1542">
        <v>0</v>
      </c>
      <c r="R1542">
        <v>0</v>
      </c>
      <c r="S1542">
        <v>54.78</v>
      </c>
      <c r="T1542">
        <v>55</v>
      </c>
      <c r="U1542">
        <v>54.57</v>
      </c>
      <c r="V1542">
        <v>55.24</v>
      </c>
      <c r="W1542">
        <v>818890</v>
      </c>
      <c r="X1542">
        <v>54.59</v>
      </c>
      <c r="Y1542">
        <v>54.6</v>
      </c>
      <c r="Z1542">
        <v>107</v>
      </c>
      <c r="AA1542">
        <v>10000000</v>
      </c>
      <c r="AB1542">
        <v>1092</v>
      </c>
      <c r="AC1542">
        <v>0</v>
      </c>
      <c r="AD1542" t="s">
        <v>94</v>
      </c>
      <c r="AE1542" t="s">
        <v>94</v>
      </c>
      <c r="AF1542" t="s">
        <v>226</v>
      </c>
      <c r="AG1542" t="s">
        <v>226</v>
      </c>
      <c r="AH1542">
        <v>-100</v>
      </c>
      <c r="AI1542" t="s">
        <v>3537</v>
      </c>
      <c r="AJ1542" t="s">
        <v>1976</v>
      </c>
      <c r="AK1542" t="s">
        <v>2556</v>
      </c>
      <c r="AL1542" t="s">
        <v>272</v>
      </c>
    </row>
    <row r="1543" spans="1:38">
      <c r="A1543" t="s">
        <v>6848</v>
      </c>
      <c r="B1543" t="s">
        <v>226</v>
      </c>
      <c r="C1543" t="s">
        <v>6849</v>
      </c>
      <c r="D1543" t="s">
        <v>6849</v>
      </c>
      <c r="E1543" t="s">
        <v>6850</v>
      </c>
      <c r="F1543" t="s">
        <v>2125</v>
      </c>
      <c r="G1543">
        <v>1</v>
      </c>
      <c r="H1543">
        <v>1</v>
      </c>
      <c r="I1543">
        <v>0.01</v>
      </c>
      <c r="J1543">
        <v>1000</v>
      </c>
      <c r="K1543">
        <v>-0.24</v>
      </c>
      <c r="L1543">
        <v>57.06</v>
      </c>
      <c r="M1543">
        <v>57.2</v>
      </c>
      <c r="N1543">
        <v>58.46</v>
      </c>
      <c r="O1543">
        <v>57.06</v>
      </c>
      <c r="P1543">
        <v>0</v>
      </c>
      <c r="Q1543">
        <v>0</v>
      </c>
      <c r="R1543">
        <v>0</v>
      </c>
      <c r="S1543">
        <v>57.16</v>
      </c>
      <c r="T1543">
        <v>57.2</v>
      </c>
      <c r="U1543">
        <v>57.01</v>
      </c>
      <c r="V1543">
        <v>57.2</v>
      </c>
      <c r="W1543">
        <v>153192</v>
      </c>
      <c r="X1543">
        <v>57.05</v>
      </c>
      <c r="Y1543">
        <v>57.06</v>
      </c>
      <c r="Z1543">
        <v>27</v>
      </c>
      <c r="AA1543">
        <v>10000000</v>
      </c>
      <c r="AB1543">
        <v>570.6</v>
      </c>
      <c r="AC1543">
        <v>0</v>
      </c>
      <c r="AD1543" t="s">
        <v>94</v>
      </c>
      <c r="AE1543" t="s">
        <v>94</v>
      </c>
      <c r="AF1543" t="s">
        <v>226</v>
      </c>
      <c r="AG1543" t="s">
        <v>226</v>
      </c>
      <c r="AH1543">
        <v>-100</v>
      </c>
      <c r="AI1543" t="s">
        <v>3537</v>
      </c>
      <c r="AJ1543" t="s">
        <v>1976</v>
      </c>
      <c r="AK1543" t="s">
        <v>2556</v>
      </c>
      <c r="AL1543" t="s">
        <v>272</v>
      </c>
    </row>
    <row r="1544" spans="1:38">
      <c r="A1544" t="s">
        <v>6851</v>
      </c>
      <c r="B1544" t="s">
        <v>226</v>
      </c>
      <c r="C1544" t="s">
        <v>6852</v>
      </c>
      <c r="D1544" t="s">
        <v>6852</v>
      </c>
      <c r="E1544" t="s">
        <v>6853</v>
      </c>
      <c r="F1544" t="s">
        <v>2125</v>
      </c>
      <c r="G1544">
        <v>1</v>
      </c>
      <c r="H1544">
        <v>1</v>
      </c>
      <c r="I1544">
        <v>0.01</v>
      </c>
      <c r="J1544">
        <v>1000</v>
      </c>
      <c r="K1544">
        <v>-0.81</v>
      </c>
      <c r="L1544">
        <v>57.53</v>
      </c>
      <c r="M1544">
        <v>58</v>
      </c>
      <c r="N1544">
        <v>58.14</v>
      </c>
      <c r="O1544">
        <v>57.53</v>
      </c>
      <c r="P1544">
        <v>0</v>
      </c>
      <c r="Q1544">
        <v>0</v>
      </c>
      <c r="R1544">
        <v>0</v>
      </c>
      <c r="S1544">
        <v>57.96</v>
      </c>
      <c r="T1544">
        <v>58.01</v>
      </c>
      <c r="U1544">
        <v>57.21</v>
      </c>
      <c r="V1544">
        <v>58.01</v>
      </c>
      <c r="W1544">
        <v>827146</v>
      </c>
      <c r="X1544">
        <v>57.51</v>
      </c>
      <c r="Y1544">
        <v>57.53</v>
      </c>
      <c r="Z1544">
        <v>35</v>
      </c>
      <c r="AA1544">
        <v>10000000</v>
      </c>
      <c r="AB1544">
        <v>575.29999999999995</v>
      </c>
      <c r="AC1544">
        <v>0</v>
      </c>
      <c r="AD1544" t="s">
        <v>94</v>
      </c>
      <c r="AE1544" t="s">
        <v>94</v>
      </c>
      <c r="AF1544" t="s">
        <v>226</v>
      </c>
      <c r="AG1544" t="s">
        <v>226</v>
      </c>
      <c r="AH1544">
        <v>-100</v>
      </c>
      <c r="AI1544" t="s">
        <v>3537</v>
      </c>
      <c r="AJ1544" t="s">
        <v>1976</v>
      </c>
      <c r="AK1544" t="s">
        <v>2556</v>
      </c>
      <c r="AL1544" t="s">
        <v>272</v>
      </c>
    </row>
    <row r="1545" spans="1:38">
      <c r="A1545" t="s">
        <v>6854</v>
      </c>
      <c r="B1545" t="s">
        <v>6855</v>
      </c>
      <c r="C1545" t="s">
        <v>6856</v>
      </c>
      <c r="D1545" t="s">
        <v>6856</v>
      </c>
      <c r="E1545" t="s">
        <v>6857</v>
      </c>
      <c r="F1545" t="s">
        <v>3754</v>
      </c>
      <c r="G1545">
        <v>1</v>
      </c>
      <c r="H1545">
        <v>1</v>
      </c>
      <c r="I1545">
        <v>0.01</v>
      </c>
      <c r="J1545">
        <v>700</v>
      </c>
      <c r="K1545">
        <v>-0.05</v>
      </c>
      <c r="L1545">
        <v>99.99</v>
      </c>
      <c r="M1545">
        <v>100.04</v>
      </c>
      <c r="N1545">
        <v>99.94</v>
      </c>
      <c r="O1545">
        <v>99.99</v>
      </c>
      <c r="P1545">
        <v>0</v>
      </c>
      <c r="Q1545">
        <v>0</v>
      </c>
      <c r="R1545">
        <v>0</v>
      </c>
      <c r="S1545">
        <v>99.87</v>
      </c>
      <c r="T1545">
        <v>100</v>
      </c>
      <c r="U1545">
        <v>99.87</v>
      </c>
      <c r="V1545">
        <v>100</v>
      </c>
      <c r="W1545">
        <v>563487</v>
      </c>
      <c r="X1545">
        <v>99.9</v>
      </c>
      <c r="Y1545">
        <v>99.99</v>
      </c>
      <c r="Z1545">
        <v>9</v>
      </c>
      <c r="AA1545">
        <v>2000000</v>
      </c>
      <c r="AB1545">
        <v>699.93</v>
      </c>
      <c r="AC1545">
        <v>0</v>
      </c>
      <c r="AD1545" t="s">
        <v>94</v>
      </c>
      <c r="AE1545" t="s">
        <v>94</v>
      </c>
      <c r="AF1545" t="s">
        <v>226</v>
      </c>
      <c r="AG1545" t="s">
        <v>226</v>
      </c>
      <c r="AH1545">
        <v>-100</v>
      </c>
      <c r="AI1545" t="s">
        <v>3537</v>
      </c>
      <c r="AJ1545" t="s">
        <v>1976</v>
      </c>
      <c r="AK1545" t="s">
        <v>3755</v>
      </c>
      <c r="AL1545" t="s">
        <v>272</v>
      </c>
    </row>
    <row r="1546" spans="1:38">
      <c r="A1546" t="s">
        <v>6858</v>
      </c>
      <c r="B1546" t="s">
        <v>6859</v>
      </c>
      <c r="C1546" t="s">
        <v>6860</v>
      </c>
      <c r="D1546" t="s">
        <v>6860</v>
      </c>
      <c r="E1546" t="s">
        <v>6861</v>
      </c>
      <c r="F1546" t="s">
        <v>3754</v>
      </c>
      <c r="G1546">
        <v>1</v>
      </c>
      <c r="H1546">
        <v>1</v>
      </c>
      <c r="I1546">
        <v>0.01</v>
      </c>
      <c r="J1546">
        <v>700</v>
      </c>
      <c r="K1546">
        <v>0.01</v>
      </c>
      <c r="L1546">
        <v>76.39</v>
      </c>
      <c r="M1546">
        <v>76.38</v>
      </c>
      <c r="N1546">
        <v>76.349999999999994</v>
      </c>
      <c r="O1546">
        <v>76.39</v>
      </c>
      <c r="P1546">
        <v>0</v>
      </c>
      <c r="Q1546">
        <v>0</v>
      </c>
      <c r="R1546">
        <v>0</v>
      </c>
      <c r="S1546">
        <v>76.36</v>
      </c>
      <c r="T1546">
        <v>76.209999999999994</v>
      </c>
      <c r="U1546">
        <v>76.209999999999994</v>
      </c>
      <c r="V1546">
        <v>76.39</v>
      </c>
      <c r="W1546">
        <v>17639</v>
      </c>
      <c r="X1546">
        <v>76.319999999999993</v>
      </c>
      <c r="Y1546">
        <v>76.38</v>
      </c>
      <c r="Z1546">
        <v>10</v>
      </c>
      <c r="AA1546">
        <v>2000000</v>
      </c>
      <c r="AB1546">
        <v>1069.46</v>
      </c>
      <c r="AC1546">
        <v>0</v>
      </c>
      <c r="AD1546" t="s">
        <v>94</v>
      </c>
      <c r="AE1546" t="s">
        <v>94</v>
      </c>
      <c r="AF1546" t="s">
        <v>226</v>
      </c>
      <c r="AG1546" t="s">
        <v>226</v>
      </c>
      <c r="AH1546">
        <v>-100</v>
      </c>
      <c r="AI1546" t="s">
        <v>3537</v>
      </c>
      <c r="AJ1546" t="s">
        <v>1976</v>
      </c>
      <c r="AK1546" t="s">
        <v>3755</v>
      </c>
      <c r="AL1546" t="s">
        <v>272</v>
      </c>
    </row>
    <row r="1547" spans="1:38">
      <c r="A1547" t="s">
        <v>6862</v>
      </c>
      <c r="B1547" t="s">
        <v>6863</v>
      </c>
      <c r="C1547" t="s">
        <v>6864</v>
      </c>
      <c r="D1547" t="s">
        <v>6864</v>
      </c>
      <c r="E1547" t="s">
        <v>6865</v>
      </c>
      <c r="F1547" t="s">
        <v>3754</v>
      </c>
      <c r="G1547">
        <v>1</v>
      </c>
      <c r="H1547">
        <v>1</v>
      </c>
      <c r="I1547">
        <v>0.01</v>
      </c>
      <c r="J1547">
        <v>1000</v>
      </c>
      <c r="K1547">
        <v>0.18</v>
      </c>
      <c r="L1547">
        <v>81.650000000000006</v>
      </c>
      <c r="M1547">
        <v>81.5</v>
      </c>
      <c r="N1547">
        <v>81.58</v>
      </c>
      <c r="O1547">
        <v>81.650000000000006</v>
      </c>
      <c r="P1547">
        <v>0</v>
      </c>
      <c r="Q1547">
        <v>0</v>
      </c>
      <c r="R1547">
        <v>0</v>
      </c>
      <c r="S1547">
        <v>81.37</v>
      </c>
      <c r="T1547">
        <v>81.319999999999993</v>
      </c>
      <c r="U1547">
        <v>80.31</v>
      </c>
      <c r="V1547">
        <v>81.650000000000006</v>
      </c>
      <c r="W1547">
        <v>43126</v>
      </c>
      <c r="X1547">
        <v>81.33</v>
      </c>
      <c r="Y1547">
        <v>81.64</v>
      </c>
      <c r="Z1547">
        <v>25</v>
      </c>
      <c r="AA1547">
        <v>2000000</v>
      </c>
      <c r="AB1547">
        <v>816.5</v>
      </c>
      <c r="AC1547">
        <v>0</v>
      </c>
      <c r="AD1547" t="s">
        <v>94</v>
      </c>
      <c r="AE1547" t="s">
        <v>94</v>
      </c>
      <c r="AF1547" t="s">
        <v>226</v>
      </c>
      <c r="AG1547" t="s">
        <v>226</v>
      </c>
      <c r="AH1547">
        <v>-100</v>
      </c>
      <c r="AI1547" t="s">
        <v>3537</v>
      </c>
      <c r="AJ1547" t="s">
        <v>1976</v>
      </c>
      <c r="AK1547" t="s">
        <v>3755</v>
      </c>
      <c r="AL1547" t="s">
        <v>272</v>
      </c>
    </row>
    <row r="1548" spans="1:38">
      <c r="A1548" t="s">
        <v>6866</v>
      </c>
      <c r="B1548" t="s">
        <v>6867</v>
      </c>
      <c r="C1548" t="s">
        <v>6868</v>
      </c>
      <c r="D1548" t="s">
        <v>6868</v>
      </c>
      <c r="E1548" t="s">
        <v>6869</v>
      </c>
      <c r="F1548" t="s">
        <v>3754</v>
      </c>
      <c r="G1548">
        <v>2</v>
      </c>
      <c r="H1548">
        <v>1</v>
      </c>
      <c r="I1548">
        <v>0.01</v>
      </c>
      <c r="J1548">
        <v>1000</v>
      </c>
      <c r="K1548">
        <v>0.11</v>
      </c>
      <c r="L1548">
        <v>78.650000000000006</v>
      </c>
      <c r="M1548">
        <v>78.56</v>
      </c>
      <c r="N1548">
        <v>80.099999999999994</v>
      </c>
      <c r="O1548">
        <v>78.64</v>
      </c>
      <c r="P1548">
        <v>0</v>
      </c>
      <c r="Q1548">
        <v>0</v>
      </c>
      <c r="R1548">
        <v>0</v>
      </c>
      <c r="S1548">
        <v>78.650000000000006</v>
      </c>
      <c r="T1548">
        <v>78.66</v>
      </c>
      <c r="U1548">
        <v>78.64</v>
      </c>
      <c r="V1548">
        <v>78.67</v>
      </c>
      <c r="W1548">
        <v>11011</v>
      </c>
      <c r="X1548">
        <v>78.64</v>
      </c>
      <c r="Y1548">
        <v>78.69</v>
      </c>
      <c r="Z1548">
        <v>5</v>
      </c>
      <c r="AA1548">
        <v>500000</v>
      </c>
      <c r="AB1548">
        <v>3932.5</v>
      </c>
      <c r="AC1548">
        <v>0</v>
      </c>
      <c r="AD1548" t="s">
        <v>94</v>
      </c>
      <c r="AE1548" t="s">
        <v>94</v>
      </c>
      <c r="AF1548" t="s">
        <v>226</v>
      </c>
      <c r="AG1548" t="s">
        <v>226</v>
      </c>
      <c r="AH1548">
        <v>-100</v>
      </c>
      <c r="AI1548" t="s">
        <v>3537</v>
      </c>
      <c r="AJ1548" t="s">
        <v>1976</v>
      </c>
      <c r="AK1548" t="s">
        <v>3755</v>
      </c>
      <c r="AL1548" t="s">
        <v>272</v>
      </c>
    </row>
    <row r="1549" spans="1:38">
      <c r="A1549" t="s">
        <v>6870</v>
      </c>
      <c r="B1549" t="s">
        <v>6871</v>
      </c>
      <c r="C1549" t="s">
        <v>6872</v>
      </c>
      <c r="D1549" t="s">
        <v>6872</v>
      </c>
      <c r="E1549" t="s">
        <v>6873</v>
      </c>
      <c r="F1549" t="s">
        <v>3754</v>
      </c>
      <c r="G1549">
        <v>3</v>
      </c>
      <c r="H1549">
        <v>1</v>
      </c>
      <c r="I1549">
        <v>0.01</v>
      </c>
      <c r="J1549">
        <v>200</v>
      </c>
      <c r="K1549">
        <v>0</v>
      </c>
      <c r="L1549">
        <v>0</v>
      </c>
      <c r="M1549">
        <v>559.37</v>
      </c>
      <c r="N1549">
        <v>0</v>
      </c>
      <c r="O1549">
        <v>559.37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352.01</v>
      </c>
      <c r="Y1549">
        <v>570.37</v>
      </c>
      <c r="Z1549">
        <v>0</v>
      </c>
      <c r="AA1549">
        <v>2000000</v>
      </c>
      <c r="AB1549">
        <v>0</v>
      </c>
      <c r="AC1549">
        <v>0</v>
      </c>
      <c r="AD1549" t="s">
        <v>94</v>
      </c>
      <c r="AE1549" t="s">
        <v>94</v>
      </c>
      <c r="AF1549" t="s">
        <v>226</v>
      </c>
      <c r="AG1549" t="s">
        <v>226</v>
      </c>
      <c r="AH1549">
        <v>-100</v>
      </c>
      <c r="AI1549" t="s">
        <v>3537</v>
      </c>
      <c r="AJ1549" t="s">
        <v>1976</v>
      </c>
      <c r="AK1549" t="s">
        <v>3755</v>
      </c>
      <c r="AL1549" t="s">
        <v>272</v>
      </c>
    </row>
    <row r="1550" spans="1:38">
      <c r="A1550" t="s">
        <v>6874</v>
      </c>
      <c r="B1550" t="s">
        <v>6875</v>
      </c>
      <c r="C1550" t="s">
        <v>6876</v>
      </c>
      <c r="D1550" t="s">
        <v>6876</v>
      </c>
      <c r="E1550" t="s">
        <v>6877</v>
      </c>
      <c r="F1550" t="s">
        <v>2413</v>
      </c>
      <c r="G1550">
        <v>3</v>
      </c>
      <c r="H1550">
        <v>1</v>
      </c>
      <c r="I1550">
        <v>0.01</v>
      </c>
      <c r="J1550">
        <v>1000</v>
      </c>
      <c r="K1550">
        <v>-0.02</v>
      </c>
      <c r="L1550">
        <v>84.47</v>
      </c>
      <c r="M1550">
        <v>84.49</v>
      </c>
      <c r="N1550">
        <v>85.23</v>
      </c>
      <c r="O1550">
        <v>84.47</v>
      </c>
      <c r="P1550">
        <v>0</v>
      </c>
      <c r="Q1550">
        <v>0</v>
      </c>
      <c r="R1550">
        <v>0</v>
      </c>
      <c r="S1550">
        <v>83.56</v>
      </c>
      <c r="T1550">
        <v>85.79</v>
      </c>
      <c r="U1550">
        <v>81.040000000000006</v>
      </c>
      <c r="V1550">
        <v>85.81</v>
      </c>
      <c r="W1550">
        <v>182986</v>
      </c>
      <c r="X1550">
        <v>84.15</v>
      </c>
      <c r="Y1550">
        <v>84.56</v>
      </c>
      <c r="Z1550">
        <v>64</v>
      </c>
      <c r="AA1550">
        <v>129456</v>
      </c>
      <c r="AB1550">
        <v>8447</v>
      </c>
      <c r="AC1550">
        <v>0</v>
      </c>
      <c r="AD1550" t="s">
        <v>94</v>
      </c>
      <c r="AE1550" t="s">
        <v>94</v>
      </c>
      <c r="AF1550" t="s">
        <v>226</v>
      </c>
      <c r="AG1550" t="s">
        <v>226</v>
      </c>
      <c r="AH1550">
        <v>6</v>
      </c>
      <c r="AI1550" t="s">
        <v>3537</v>
      </c>
      <c r="AJ1550" t="s">
        <v>1976</v>
      </c>
      <c r="AK1550" t="s">
        <v>2416</v>
      </c>
      <c r="AL1550" t="s">
        <v>272</v>
      </c>
    </row>
    <row r="1551" spans="1:38">
      <c r="A1551" t="s">
        <v>6878</v>
      </c>
      <c r="B1551" t="s">
        <v>6879</v>
      </c>
      <c r="C1551" t="s">
        <v>6880</v>
      </c>
      <c r="D1551" t="s">
        <v>6880</v>
      </c>
      <c r="E1551" t="s">
        <v>6881</v>
      </c>
      <c r="F1551" t="s">
        <v>2413</v>
      </c>
      <c r="G1551">
        <v>3</v>
      </c>
      <c r="H1551">
        <v>1</v>
      </c>
      <c r="I1551">
        <v>0.01</v>
      </c>
      <c r="J1551">
        <v>1000</v>
      </c>
      <c r="K1551">
        <v>-0.1</v>
      </c>
      <c r="L1551">
        <v>79.45</v>
      </c>
      <c r="M1551">
        <v>79.53</v>
      </c>
      <c r="N1551">
        <v>77.75</v>
      </c>
      <c r="O1551">
        <v>79.45</v>
      </c>
      <c r="P1551">
        <v>0</v>
      </c>
      <c r="Q1551">
        <v>0</v>
      </c>
      <c r="R1551">
        <v>0</v>
      </c>
      <c r="S1551">
        <v>79.02</v>
      </c>
      <c r="T1551">
        <v>78.03</v>
      </c>
      <c r="U1551">
        <v>77.06</v>
      </c>
      <c r="V1551">
        <v>79.45</v>
      </c>
      <c r="W1551">
        <v>228363</v>
      </c>
      <c r="X1551">
        <v>79</v>
      </c>
      <c r="Y1551">
        <v>79.45</v>
      </c>
      <c r="Z1551">
        <v>13</v>
      </c>
      <c r="AA1551">
        <v>300000</v>
      </c>
      <c r="AB1551">
        <v>158900</v>
      </c>
      <c r="AC1551">
        <v>0</v>
      </c>
      <c r="AD1551" t="s">
        <v>94</v>
      </c>
      <c r="AE1551" t="s">
        <v>94</v>
      </c>
      <c r="AF1551" t="s">
        <v>304</v>
      </c>
      <c r="AG1551" t="s">
        <v>226</v>
      </c>
      <c r="AH1551">
        <v>0</v>
      </c>
      <c r="AI1551" t="s">
        <v>3537</v>
      </c>
      <c r="AJ1551" t="s">
        <v>1976</v>
      </c>
      <c r="AK1551" t="s">
        <v>2416</v>
      </c>
      <c r="AL1551" t="s">
        <v>272</v>
      </c>
    </row>
    <row r="1552" spans="1:38">
      <c r="A1552" t="s">
        <v>6882</v>
      </c>
      <c r="B1552" t="s">
        <v>6883</v>
      </c>
      <c r="C1552" t="s">
        <v>6884</v>
      </c>
      <c r="D1552" t="s">
        <v>6884</v>
      </c>
      <c r="E1552" t="s">
        <v>6885</v>
      </c>
      <c r="F1552" t="s">
        <v>2413</v>
      </c>
      <c r="G1552">
        <v>3</v>
      </c>
      <c r="H1552">
        <v>1</v>
      </c>
      <c r="I1552">
        <v>0.01</v>
      </c>
      <c r="J1552">
        <v>1000</v>
      </c>
      <c r="K1552">
        <v>-1.22</v>
      </c>
      <c r="L1552">
        <v>77.13</v>
      </c>
      <c r="M1552">
        <v>78.08</v>
      </c>
      <c r="N1552">
        <v>76.989999999999995</v>
      </c>
      <c r="O1552">
        <v>77.14</v>
      </c>
      <c r="P1552">
        <v>0</v>
      </c>
      <c r="Q1552">
        <v>0</v>
      </c>
      <c r="R1552">
        <v>0</v>
      </c>
      <c r="S1552">
        <v>78.209999999999994</v>
      </c>
      <c r="T1552">
        <v>79.91</v>
      </c>
      <c r="U1552">
        <v>77.040000000000006</v>
      </c>
      <c r="V1552">
        <v>79.91</v>
      </c>
      <c r="W1552">
        <v>136861</v>
      </c>
      <c r="X1552">
        <v>77.13</v>
      </c>
      <c r="Y1552">
        <v>78</v>
      </c>
      <c r="Z1552">
        <v>27</v>
      </c>
      <c r="AA1552">
        <v>300000</v>
      </c>
      <c r="AB1552">
        <v>6941.7</v>
      </c>
      <c r="AC1552">
        <v>0</v>
      </c>
      <c r="AD1552" t="s">
        <v>94</v>
      </c>
      <c r="AE1552" t="s">
        <v>94</v>
      </c>
      <c r="AF1552" t="s">
        <v>304</v>
      </c>
      <c r="AG1552" t="s">
        <v>226</v>
      </c>
      <c r="AH1552">
        <v>0</v>
      </c>
      <c r="AI1552" t="s">
        <v>3537</v>
      </c>
      <c r="AJ1552" t="s">
        <v>1976</v>
      </c>
      <c r="AK1552" t="s">
        <v>2416</v>
      </c>
      <c r="AL1552" t="s">
        <v>272</v>
      </c>
    </row>
    <row r="1553" spans="1:38">
      <c r="A1553" t="s">
        <v>6886</v>
      </c>
      <c r="B1553" t="s">
        <v>6887</v>
      </c>
      <c r="C1553" t="s">
        <v>6888</v>
      </c>
      <c r="D1553" t="s">
        <v>6888</v>
      </c>
      <c r="E1553" t="s">
        <v>6889</v>
      </c>
      <c r="F1553" t="s">
        <v>2425</v>
      </c>
      <c r="G1553">
        <v>3</v>
      </c>
      <c r="H1553">
        <v>1</v>
      </c>
      <c r="I1553">
        <v>0.01</v>
      </c>
      <c r="J1553">
        <v>1000</v>
      </c>
      <c r="K1553">
        <v>0.22</v>
      </c>
      <c r="L1553">
        <v>94.56</v>
      </c>
      <c r="M1553">
        <v>94.35</v>
      </c>
      <c r="N1553">
        <v>93.99</v>
      </c>
      <c r="O1553">
        <v>94.58</v>
      </c>
      <c r="P1553">
        <v>0</v>
      </c>
      <c r="Q1553">
        <v>0</v>
      </c>
      <c r="R1553">
        <v>0</v>
      </c>
      <c r="S1553">
        <v>94.46</v>
      </c>
      <c r="T1553">
        <v>94.39</v>
      </c>
      <c r="U1553">
        <v>94.04</v>
      </c>
      <c r="V1553">
        <v>94.8</v>
      </c>
      <c r="W1553">
        <v>398640</v>
      </c>
      <c r="X1553">
        <v>94.56</v>
      </c>
      <c r="Y1553">
        <v>94.58</v>
      </c>
      <c r="Z1553">
        <v>69</v>
      </c>
      <c r="AA1553">
        <v>1000000</v>
      </c>
      <c r="AB1553">
        <v>2836.8</v>
      </c>
      <c r="AC1553">
        <v>0</v>
      </c>
      <c r="AD1553" t="s">
        <v>94</v>
      </c>
      <c r="AE1553" t="s">
        <v>94</v>
      </c>
      <c r="AF1553" t="s">
        <v>226</v>
      </c>
      <c r="AG1553" t="s">
        <v>226</v>
      </c>
      <c r="AH1553">
        <v>6</v>
      </c>
      <c r="AI1553" t="s">
        <v>3537</v>
      </c>
      <c r="AJ1553" t="s">
        <v>1976</v>
      </c>
      <c r="AK1553" t="s">
        <v>2426</v>
      </c>
      <c r="AL1553" t="s">
        <v>272</v>
      </c>
    </row>
    <row r="1554" spans="1:38">
      <c r="A1554" t="s">
        <v>6890</v>
      </c>
      <c r="B1554" t="s">
        <v>6891</v>
      </c>
      <c r="C1554" t="s">
        <v>6892</v>
      </c>
      <c r="D1554" t="s">
        <v>6892</v>
      </c>
      <c r="E1554" t="s">
        <v>6893</v>
      </c>
      <c r="F1554" t="s">
        <v>2425</v>
      </c>
      <c r="G1554">
        <v>3</v>
      </c>
      <c r="H1554">
        <v>1</v>
      </c>
      <c r="I1554">
        <v>0.01</v>
      </c>
      <c r="J1554">
        <v>1000</v>
      </c>
      <c r="K1554">
        <v>-0.27</v>
      </c>
      <c r="L1554">
        <v>87.74</v>
      </c>
      <c r="M1554">
        <v>87.98</v>
      </c>
      <c r="N1554">
        <v>87.15</v>
      </c>
      <c r="O1554">
        <v>87.74</v>
      </c>
      <c r="P1554">
        <v>0</v>
      </c>
      <c r="Q1554">
        <v>0</v>
      </c>
      <c r="R1554">
        <v>0</v>
      </c>
      <c r="S1554">
        <v>87.7</v>
      </c>
      <c r="T1554">
        <v>87.9</v>
      </c>
      <c r="U1554">
        <v>87</v>
      </c>
      <c r="V1554">
        <v>88.39</v>
      </c>
      <c r="W1554">
        <v>38589</v>
      </c>
      <c r="X1554">
        <v>87.57</v>
      </c>
      <c r="Y1554">
        <v>87.91</v>
      </c>
      <c r="Z1554">
        <v>17</v>
      </c>
      <c r="AA1554">
        <v>2690000</v>
      </c>
      <c r="AB1554">
        <v>8774</v>
      </c>
      <c r="AC1554">
        <v>0</v>
      </c>
      <c r="AD1554" t="s">
        <v>94</v>
      </c>
      <c r="AE1554" t="s">
        <v>94</v>
      </c>
      <c r="AF1554" t="s">
        <v>226</v>
      </c>
      <c r="AG1554" t="s">
        <v>226</v>
      </c>
      <c r="AH1554">
        <v>6</v>
      </c>
      <c r="AI1554" t="s">
        <v>3537</v>
      </c>
      <c r="AJ1554" t="s">
        <v>1976</v>
      </c>
      <c r="AK1554" t="s">
        <v>2426</v>
      </c>
      <c r="AL1554" t="s">
        <v>272</v>
      </c>
    </row>
    <row r="1555" spans="1:38">
      <c r="A1555" t="s">
        <v>6894</v>
      </c>
      <c r="B1555" t="s">
        <v>6895</v>
      </c>
      <c r="C1555" t="s">
        <v>6896</v>
      </c>
      <c r="D1555" t="s">
        <v>6896</v>
      </c>
      <c r="E1555" t="s">
        <v>6897</v>
      </c>
      <c r="F1555" t="s">
        <v>3754</v>
      </c>
      <c r="G1555">
        <v>2</v>
      </c>
      <c r="H1555">
        <v>1</v>
      </c>
      <c r="I1555">
        <v>0.01</v>
      </c>
      <c r="J1555">
        <v>500</v>
      </c>
      <c r="K1555">
        <v>0</v>
      </c>
      <c r="L1555">
        <v>0</v>
      </c>
      <c r="M1555">
        <v>104.01</v>
      </c>
      <c r="N1555">
        <v>0</v>
      </c>
      <c r="O1555">
        <v>104.01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104.01</v>
      </c>
      <c r="Y1555">
        <v>0</v>
      </c>
      <c r="Z1555">
        <v>0</v>
      </c>
      <c r="AA1555">
        <v>5000000</v>
      </c>
      <c r="AB1555">
        <v>0</v>
      </c>
      <c r="AC1555">
        <v>0</v>
      </c>
      <c r="AD1555" t="s">
        <v>94</v>
      </c>
      <c r="AE1555" t="s">
        <v>94</v>
      </c>
      <c r="AF1555" t="s">
        <v>226</v>
      </c>
      <c r="AG1555" t="s">
        <v>226</v>
      </c>
      <c r="AH1555">
        <v>-100</v>
      </c>
      <c r="AI1555" t="s">
        <v>3537</v>
      </c>
      <c r="AJ1555" t="s">
        <v>1976</v>
      </c>
      <c r="AK1555" t="s">
        <v>3755</v>
      </c>
      <c r="AL1555" t="s">
        <v>272</v>
      </c>
    </row>
    <row r="1556" spans="1:38">
      <c r="A1556" t="s">
        <v>6898</v>
      </c>
      <c r="B1556" t="s">
        <v>6899</v>
      </c>
      <c r="C1556" t="s">
        <v>6900</v>
      </c>
      <c r="D1556" t="s">
        <v>6900</v>
      </c>
      <c r="E1556" t="s">
        <v>6901</v>
      </c>
      <c r="F1556" t="s">
        <v>3754</v>
      </c>
      <c r="G1556">
        <v>1</v>
      </c>
      <c r="H1556">
        <v>1</v>
      </c>
      <c r="I1556">
        <v>0.01</v>
      </c>
      <c r="J1556">
        <v>100</v>
      </c>
      <c r="K1556">
        <v>-0.34</v>
      </c>
      <c r="L1556">
        <v>93.45</v>
      </c>
      <c r="M1556">
        <v>93.79</v>
      </c>
      <c r="N1556">
        <v>93.45</v>
      </c>
      <c r="O1556">
        <v>93.45</v>
      </c>
      <c r="P1556">
        <v>0</v>
      </c>
      <c r="Q1556">
        <v>0</v>
      </c>
      <c r="R1556">
        <v>0</v>
      </c>
      <c r="S1556">
        <v>93.54</v>
      </c>
      <c r="T1556">
        <v>93.49</v>
      </c>
      <c r="U1556">
        <v>93.44</v>
      </c>
      <c r="V1556">
        <v>94.28</v>
      </c>
      <c r="W1556">
        <v>18333</v>
      </c>
      <c r="X1556">
        <v>93.46</v>
      </c>
      <c r="Y1556">
        <v>93.8</v>
      </c>
      <c r="Z1556">
        <v>54</v>
      </c>
      <c r="AA1556">
        <v>12000000</v>
      </c>
      <c r="AB1556">
        <v>93.45</v>
      </c>
      <c r="AC1556">
        <v>0</v>
      </c>
      <c r="AD1556" t="s">
        <v>94</v>
      </c>
      <c r="AE1556" t="s">
        <v>94</v>
      </c>
      <c r="AF1556" t="s">
        <v>226</v>
      </c>
      <c r="AG1556" t="s">
        <v>226</v>
      </c>
      <c r="AH1556">
        <v>-100</v>
      </c>
      <c r="AI1556" t="s">
        <v>3537</v>
      </c>
      <c r="AJ1556" t="s">
        <v>1976</v>
      </c>
      <c r="AK1556" t="s">
        <v>3755</v>
      </c>
      <c r="AL1556" t="s">
        <v>272</v>
      </c>
    </row>
    <row r="1557" spans="1:38">
      <c r="A1557" t="s">
        <v>6902</v>
      </c>
      <c r="B1557" t="s">
        <v>6903</v>
      </c>
      <c r="C1557" t="s">
        <v>6904</v>
      </c>
      <c r="D1557" t="s">
        <v>6904</v>
      </c>
      <c r="E1557" t="s">
        <v>6905</v>
      </c>
      <c r="F1557" t="s">
        <v>3754</v>
      </c>
      <c r="G1557">
        <v>1</v>
      </c>
      <c r="H1557">
        <v>1</v>
      </c>
      <c r="I1557">
        <v>0.01</v>
      </c>
      <c r="J1557">
        <v>200</v>
      </c>
      <c r="K1557">
        <v>0</v>
      </c>
      <c r="L1557">
        <v>97.51</v>
      </c>
      <c r="M1557">
        <v>97.51</v>
      </c>
      <c r="N1557">
        <v>95.98</v>
      </c>
      <c r="O1557">
        <v>97.51</v>
      </c>
      <c r="P1557">
        <v>0</v>
      </c>
      <c r="Q1557">
        <v>0</v>
      </c>
      <c r="R1557">
        <v>0</v>
      </c>
      <c r="S1557">
        <v>97.51</v>
      </c>
      <c r="T1557">
        <v>97.51</v>
      </c>
      <c r="U1557">
        <v>97.51</v>
      </c>
      <c r="V1557">
        <v>97.51</v>
      </c>
      <c r="W1557">
        <v>5266</v>
      </c>
      <c r="X1557">
        <v>96.15</v>
      </c>
      <c r="Y1557">
        <v>97.52</v>
      </c>
      <c r="Z1557">
        <v>3</v>
      </c>
      <c r="AA1557">
        <v>12000000</v>
      </c>
      <c r="AB1557">
        <v>2730.28</v>
      </c>
      <c r="AC1557">
        <v>0</v>
      </c>
      <c r="AD1557" t="s">
        <v>94</v>
      </c>
      <c r="AE1557" t="s">
        <v>94</v>
      </c>
      <c r="AF1557" t="s">
        <v>226</v>
      </c>
      <c r="AG1557" t="s">
        <v>226</v>
      </c>
      <c r="AH1557">
        <v>-100</v>
      </c>
      <c r="AI1557" t="s">
        <v>3537</v>
      </c>
      <c r="AJ1557" t="s">
        <v>1976</v>
      </c>
      <c r="AK1557" t="s">
        <v>3755</v>
      </c>
      <c r="AL1557" t="s">
        <v>272</v>
      </c>
    </row>
    <row r="1558" spans="1:38">
      <c r="A1558" t="s">
        <v>6906</v>
      </c>
      <c r="B1558" t="s">
        <v>6907</v>
      </c>
      <c r="C1558" t="s">
        <v>6908</v>
      </c>
      <c r="D1558" t="s">
        <v>6908</v>
      </c>
      <c r="E1558" t="s">
        <v>6909</v>
      </c>
      <c r="F1558" t="s">
        <v>6910</v>
      </c>
      <c r="G1558">
        <v>1</v>
      </c>
      <c r="H1558">
        <v>1</v>
      </c>
      <c r="I1558">
        <v>0.01</v>
      </c>
      <c r="J1558">
        <v>250</v>
      </c>
      <c r="K1558">
        <v>0</v>
      </c>
      <c r="L1558">
        <v>88</v>
      </c>
      <c r="M1558">
        <v>88</v>
      </c>
      <c r="N1558">
        <v>88.82</v>
      </c>
      <c r="O1558">
        <v>88</v>
      </c>
      <c r="P1558">
        <v>0</v>
      </c>
      <c r="Q1558">
        <v>0</v>
      </c>
      <c r="R1558">
        <v>0</v>
      </c>
      <c r="S1558">
        <v>88.43</v>
      </c>
      <c r="T1558">
        <v>88.32</v>
      </c>
      <c r="U1558">
        <v>88</v>
      </c>
      <c r="V1558">
        <v>88.5</v>
      </c>
      <c r="W1558">
        <v>178628</v>
      </c>
      <c r="X1558">
        <v>87.82</v>
      </c>
      <c r="Y1558">
        <v>88</v>
      </c>
      <c r="Z1558">
        <v>31</v>
      </c>
      <c r="AA1558">
        <v>3000000</v>
      </c>
      <c r="AB1558">
        <v>14520</v>
      </c>
      <c r="AC1558">
        <v>0</v>
      </c>
      <c r="AD1558" t="s">
        <v>94</v>
      </c>
      <c r="AE1558" t="s">
        <v>94</v>
      </c>
      <c r="AF1558" t="s">
        <v>226</v>
      </c>
      <c r="AG1558" t="s">
        <v>226</v>
      </c>
      <c r="AH1558">
        <v>6</v>
      </c>
      <c r="AI1558" t="s">
        <v>3537</v>
      </c>
      <c r="AJ1558" t="s">
        <v>1976</v>
      </c>
      <c r="AK1558" t="s">
        <v>6911</v>
      </c>
      <c r="AL1558" t="s">
        <v>272</v>
      </c>
    </row>
    <row r="1559" spans="1:38">
      <c r="A1559" t="s">
        <v>6912</v>
      </c>
      <c r="B1559" t="s">
        <v>6913</v>
      </c>
      <c r="C1559" t="s">
        <v>6914</v>
      </c>
      <c r="D1559" t="s">
        <v>6914</v>
      </c>
      <c r="E1559" t="s">
        <v>6915</v>
      </c>
      <c r="F1559" t="s">
        <v>6910</v>
      </c>
      <c r="G1559">
        <v>1</v>
      </c>
      <c r="H1559">
        <v>1</v>
      </c>
      <c r="I1559">
        <v>0.01</v>
      </c>
      <c r="J1559">
        <v>600</v>
      </c>
      <c r="K1559">
        <v>-0.11</v>
      </c>
      <c r="L1559">
        <v>95.76</v>
      </c>
      <c r="M1559">
        <v>95.87</v>
      </c>
      <c r="N1559">
        <v>95.08</v>
      </c>
      <c r="O1559">
        <v>95.76</v>
      </c>
      <c r="P1559">
        <v>0</v>
      </c>
      <c r="Q1559">
        <v>0</v>
      </c>
      <c r="R1559">
        <v>0</v>
      </c>
      <c r="S1559">
        <v>95.48</v>
      </c>
      <c r="T1559">
        <v>95.22</v>
      </c>
      <c r="U1559">
        <v>95.08</v>
      </c>
      <c r="V1559">
        <v>95.76</v>
      </c>
      <c r="W1559">
        <v>17760</v>
      </c>
      <c r="X1559">
        <v>95.5</v>
      </c>
      <c r="Y1559">
        <v>95.73</v>
      </c>
      <c r="Z1559">
        <v>13</v>
      </c>
      <c r="AA1559">
        <v>1600000</v>
      </c>
      <c r="AB1559">
        <v>1723.68</v>
      </c>
      <c r="AC1559">
        <v>0</v>
      </c>
      <c r="AD1559" t="s">
        <v>94</v>
      </c>
      <c r="AE1559" t="s">
        <v>94</v>
      </c>
      <c r="AF1559" t="s">
        <v>226</v>
      </c>
      <c r="AG1559" t="s">
        <v>226</v>
      </c>
      <c r="AH1559">
        <v>6</v>
      </c>
      <c r="AI1559" t="s">
        <v>3537</v>
      </c>
      <c r="AJ1559" t="s">
        <v>1976</v>
      </c>
      <c r="AK1559" t="s">
        <v>6911</v>
      </c>
      <c r="AL1559" t="s">
        <v>272</v>
      </c>
    </row>
    <row r="1560" spans="1:38">
      <c r="A1560" t="s">
        <v>6916</v>
      </c>
      <c r="B1560" t="s">
        <v>6917</v>
      </c>
      <c r="C1560" t="s">
        <v>6918</v>
      </c>
      <c r="D1560" t="s">
        <v>6918</v>
      </c>
      <c r="E1560" t="s">
        <v>6919</v>
      </c>
      <c r="F1560" t="s">
        <v>3754</v>
      </c>
      <c r="G1560">
        <v>1</v>
      </c>
      <c r="H1560">
        <v>1</v>
      </c>
      <c r="I1560">
        <v>0.01</v>
      </c>
      <c r="J1560">
        <v>250</v>
      </c>
      <c r="K1560">
        <v>0</v>
      </c>
      <c r="L1560">
        <v>94.35</v>
      </c>
      <c r="M1560">
        <v>94.35</v>
      </c>
      <c r="N1560">
        <v>93.97</v>
      </c>
      <c r="O1560">
        <v>94.35</v>
      </c>
      <c r="P1560">
        <v>0</v>
      </c>
      <c r="Q1560">
        <v>0</v>
      </c>
      <c r="R1560">
        <v>0</v>
      </c>
      <c r="S1560">
        <v>94.97</v>
      </c>
      <c r="T1560">
        <v>94.94</v>
      </c>
      <c r="U1560">
        <v>94.19</v>
      </c>
      <c r="V1560">
        <v>96.68</v>
      </c>
      <c r="W1560">
        <v>114434</v>
      </c>
      <c r="X1560">
        <v>94.27</v>
      </c>
      <c r="Y1560">
        <v>94.31</v>
      </c>
      <c r="Z1560">
        <v>62</v>
      </c>
      <c r="AA1560">
        <v>10000000</v>
      </c>
      <c r="AB1560">
        <v>235.88</v>
      </c>
      <c r="AC1560">
        <v>0</v>
      </c>
      <c r="AD1560" t="s">
        <v>94</v>
      </c>
      <c r="AE1560" t="s">
        <v>94</v>
      </c>
      <c r="AF1560" t="s">
        <v>226</v>
      </c>
      <c r="AG1560" t="s">
        <v>226</v>
      </c>
      <c r="AH1560">
        <v>-100</v>
      </c>
      <c r="AI1560" t="s">
        <v>3537</v>
      </c>
      <c r="AJ1560" t="s">
        <v>1976</v>
      </c>
      <c r="AK1560" t="s">
        <v>3755</v>
      </c>
      <c r="AL1560" t="s">
        <v>272</v>
      </c>
    </row>
    <row r="1561" spans="1:38">
      <c r="A1561" t="s">
        <v>6920</v>
      </c>
      <c r="B1561" t="s">
        <v>6921</v>
      </c>
      <c r="C1561" t="s">
        <v>6922</v>
      </c>
      <c r="D1561" t="s">
        <v>6922</v>
      </c>
      <c r="E1561" t="s">
        <v>6923</v>
      </c>
      <c r="F1561" t="s">
        <v>3754</v>
      </c>
      <c r="G1561">
        <v>1</v>
      </c>
      <c r="H1561">
        <v>1</v>
      </c>
      <c r="I1561">
        <v>0.01</v>
      </c>
      <c r="J1561">
        <v>700</v>
      </c>
      <c r="K1561">
        <v>0</v>
      </c>
      <c r="L1561">
        <v>82.29</v>
      </c>
      <c r="M1561">
        <v>82.29</v>
      </c>
      <c r="N1561">
        <v>82.5</v>
      </c>
      <c r="O1561">
        <v>82.29</v>
      </c>
      <c r="P1561">
        <v>0</v>
      </c>
      <c r="Q1561">
        <v>0</v>
      </c>
      <c r="R1561">
        <v>0</v>
      </c>
      <c r="S1561">
        <v>82.23</v>
      </c>
      <c r="T1561">
        <v>82.29</v>
      </c>
      <c r="U1561">
        <v>82.01</v>
      </c>
      <c r="V1561">
        <v>82.29</v>
      </c>
      <c r="W1561">
        <v>33961</v>
      </c>
      <c r="X1561">
        <v>82.16</v>
      </c>
      <c r="Y1561">
        <v>82.29</v>
      </c>
      <c r="Z1561">
        <v>12</v>
      </c>
      <c r="AA1561">
        <v>10000000</v>
      </c>
      <c r="AB1561">
        <v>576.03</v>
      </c>
      <c r="AC1561">
        <v>0</v>
      </c>
      <c r="AD1561" t="s">
        <v>94</v>
      </c>
      <c r="AE1561" t="s">
        <v>94</v>
      </c>
      <c r="AF1561" t="s">
        <v>226</v>
      </c>
      <c r="AG1561" t="s">
        <v>226</v>
      </c>
      <c r="AH1561">
        <v>-100</v>
      </c>
      <c r="AI1561" t="s">
        <v>3537</v>
      </c>
      <c r="AJ1561" t="s">
        <v>1976</v>
      </c>
      <c r="AK1561" t="s">
        <v>3755</v>
      </c>
      <c r="AL1561" t="s">
        <v>272</v>
      </c>
    </row>
    <row r="1562" spans="1:38">
      <c r="A1562" t="s">
        <v>6924</v>
      </c>
      <c r="B1562" t="s">
        <v>6925</v>
      </c>
      <c r="C1562" t="s">
        <v>6926</v>
      </c>
      <c r="D1562" t="s">
        <v>6926</v>
      </c>
      <c r="E1562" t="s">
        <v>6927</v>
      </c>
      <c r="F1562" t="s">
        <v>3754</v>
      </c>
      <c r="G1562">
        <v>1</v>
      </c>
      <c r="H1562">
        <v>1</v>
      </c>
      <c r="I1562">
        <v>0.01</v>
      </c>
      <c r="J1562">
        <v>150</v>
      </c>
      <c r="K1562">
        <v>1.38</v>
      </c>
      <c r="L1562">
        <v>92.56</v>
      </c>
      <c r="M1562">
        <v>91.3</v>
      </c>
      <c r="N1562">
        <v>92.25</v>
      </c>
      <c r="O1562">
        <v>92.56</v>
      </c>
      <c r="P1562">
        <v>0</v>
      </c>
      <c r="Q1562">
        <v>0</v>
      </c>
      <c r="R1562">
        <v>0</v>
      </c>
      <c r="S1562">
        <v>91.85</v>
      </c>
      <c r="T1562">
        <v>98.99</v>
      </c>
      <c r="U1562">
        <v>90.42</v>
      </c>
      <c r="V1562">
        <v>98.99</v>
      </c>
      <c r="W1562">
        <v>37199</v>
      </c>
      <c r="X1562">
        <v>92.3</v>
      </c>
      <c r="Y1562">
        <v>92.56</v>
      </c>
      <c r="Z1562">
        <v>72</v>
      </c>
      <c r="AA1562">
        <v>4000000</v>
      </c>
      <c r="AB1562">
        <v>138.84</v>
      </c>
      <c r="AC1562">
        <v>0</v>
      </c>
      <c r="AD1562" t="s">
        <v>94</v>
      </c>
      <c r="AE1562" t="s">
        <v>94</v>
      </c>
      <c r="AF1562" t="s">
        <v>226</v>
      </c>
      <c r="AG1562" t="s">
        <v>226</v>
      </c>
      <c r="AH1562">
        <v>-100</v>
      </c>
      <c r="AI1562" t="s">
        <v>3537</v>
      </c>
      <c r="AJ1562" t="s">
        <v>1976</v>
      </c>
      <c r="AK1562" t="s">
        <v>3755</v>
      </c>
      <c r="AL1562" t="s">
        <v>272</v>
      </c>
    </row>
    <row r="1563" spans="1:38">
      <c r="A1563" t="s">
        <v>6928</v>
      </c>
      <c r="B1563" t="s">
        <v>226</v>
      </c>
      <c r="C1563" t="s">
        <v>6929</v>
      </c>
      <c r="D1563" t="s">
        <v>6929</v>
      </c>
      <c r="E1563" t="s">
        <v>6930</v>
      </c>
      <c r="F1563" t="s">
        <v>2425</v>
      </c>
      <c r="G1563">
        <v>3</v>
      </c>
      <c r="H1563">
        <v>1</v>
      </c>
      <c r="I1563">
        <v>1E-4</v>
      </c>
      <c r="J1563">
        <v>100</v>
      </c>
      <c r="K1563">
        <v>-6.32</v>
      </c>
      <c r="L1563">
        <v>89</v>
      </c>
      <c r="M1563">
        <v>95</v>
      </c>
      <c r="N1563">
        <v>0</v>
      </c>
      <c r="O1563">
        <v>89</v>
      </c>
      <c r="P1563">
        <v>0</v>
      </c>
      <c r="Q1563">
        <v>0</v>
      </c>
      <c r="R1563">
        <v>0</v>
      </c>
      <c r="S1563">
        <v>94.5</v>
      </c>
      <c r="T1563">
        <v>99.999899999999997</v>
      </c>
      <c r="U1563">
        <v>89</v>
      </c>
      <c r="V1563">
        <v>99.999899999999997</v>
      </c>
      <c r="W1563">
        <v>231</v>
      </c>
      <c r="X1563">
        <v>90</v>
      </c>
      <c r="Y1563">
        <v>99.999899999999997</v>
      </c>
      <c r="Z1563">
        <v>2</v>
      </c>
      <c r="AA1563">
        <v>10000000</v>
      </c>
      <c r="AB1563">
        <v>108.88</v>
      </c>
      <c r="AC1563">
        <v>0</v>
      </c>
      <c r="AD1563" t="s">
        <v>6931</v>
      </c>
      <c r="AE1563" t="s">
        <v>94</v>
      </c>
      <c r="AF1563" t="s">
        <v>226</v>
      </c>
      <c r="AG1563" t="s">
        <v>226</v>
      </c>
      <c r="AH1563">
        <v>-100</v>
      </c>
      <c r="AI1563" t="s">
        <v>3537</v>
      </c>
      <c r="AJ1563" t="s">
        <v>1976</v>
      </c>
      <c r="AK1563" t="s">
        <v>2426</v>
      </c>
      <c r="AL1563" t="s">
        <v>272</v>
      </c>
    </row>
    <row r="1564" spans="1:38">
      <c r="A1564" t="s">
        <v>6932</v>
      </c>
      <c r="B1564" t="s">
        <v>226</v>
      </c>
      <c r="C1564" t="s">
        <v>6933</v>
      </c>
      <c r="D1564" t="s">
        <v>6933</v>
      </c>
      <c r="E1564" t="s">
        <v>6934</v>
      </c>
      <c r="F1564" t="s">
        <v>2425</v>
      </c>
      <c r="G1564">
        <v>3</v>
      </c>
      <c r="H1564">
        <v>1</v>
      </c>
      <c r="I1564">
        <v>0.01</v>
      </c>
      <c r="J1564">
        <v>100</v>
      </c>
      <c r="K1564">
        <v>-1.1100000000000001</v>
      </c>
      <c r="L1564">
        <v>92.92</v>
      </c>
      <c r="M1564">
        <v>93.96</v>
      </c>
      <c r="N1564">
        <v>92.9</v>
      </c>
      <c r="O1564">
        <v>92.93</v>
      </c>
      <c r="P1564">
        <v>0</v>
      </c>
      <c r="Q1564">
        <v>0</v>
      </c>
      <c r="R1564">
        <v>0</v>
      </c>
      <c r="S1564">
        <v>93.25</v>
      </c>
      <c r="T1564">
        <v>93.98</v>
      </c>
      <c r="U1564">
        <v>92.55</v>
      </c>
      <c r="V1564">
        <v>94.45</v>
      </c>
      <c r="W1564">
        <v>171479</v>
      </c>
      <c r="X1564">
        <v>92.75</v>
      </c>
      <c r="Y1564">
        <v>92.94</v>
      </c>
      <c r="Z1564">
        <v>283</v>
      </c>
      <c r="AA1564">
        <v>10000000</v>
      </c>
      <c r="AB1564">
        <v>929.2</v>
      </c>
      <c r="AC1564">
        <v>0</v>
      </c>
      <c r="AD1564" t="s">
        <v>94</v>
      </c>
      <c r="AE1564" t="s">
        <v>94</v>
      </c>
      <c r="AF1564" t="s">
        <v>226</v>
      </c>
      <c r="AG1564" t="s">
        <v>226</v>
      </c>
      <c r="AH1564">
        <v>-100</v>
      </c>
      <c r="AI1564" t="s">
        <v>3537</v>
      </c>
      <c r="AJ1564" t="s">
        <v>1976</v>
      </c>
      <c r="AK1564" t="s">
        <v>2426</v>
      </c>
      <c r="AL1564" t="s">
        <v>272</v>
      </c>
    </row>
    <row r="1565" spans="1:38">
      <c r="A1565" t="s">
        <v>6935</v>
      </c>
      <c r="B1565" t="s">
        <v>6936</v>
      </c>
      <c r="C1565" t="s">
        <v>6937</v>
      </c>
      <c r="D1565" t="s">
        <v>6937</v>
      </c>
      <c r="E1565" t="s">
        <v>6938</v>
      </c>
      <c r="F1565" t="s">
        <v>2413</v>
      </c>
      <c r="G1565">
        <v>3</v>
      </c>
      <c r="H1565">
        <v>1</v>
      </c>
      <c r="I1565">
        <v>0.01</v>
      </c>
      <c r="J1565">
        <v>1000</v>
      </c>
      <c r="K1565">
        <v>-1.41</v>
      </c>
      <c r="L1565">
        <v>94.1</v>
      </c>
      <c r="M1565">
        <v>95.45</v>
      </c>
      <c r="N1565">
        <v>93.86</v>
      </c>
      <c r="O1565">
        <v>94.1</v>
      </c>
      <c r="P1565">
        <v>0</v>
      </c>
      <c r="Q1565">
        <v>0</v>
      </c>
      <c r="R1565">
        <v>0</v>
      </c>
      <c r="S1565">
        <v>93.54</v>
      </c>
      <c r="T1565">
        <v>93.51</v>
      </c>
      <c r="U1565">
        <v>93.01</v>
      </c>
      <c r="V1565">
        <v>94.15</v>
      </c>
      <c r="W1565">
        <v>345167</v>
      </c>
      <c r="X1565">
        <v>93.8</v>
      </c>
      <c r="Y1565">
        <v>94.09</v>
      </c>
      <c r="Z1565">
        <v>43</v>
      </c>
      <c r="AA1565">
        <v>200000</v>
      </c>
      <c r="AB1565">
        <v>6587</v>
      </c>
      <c r="AC1565">
        <v>0</v>
      </c>
      <c r="AD1565" t="s">
        <v>94</v>
      </c>
      <c r="AE1565" t="s">
        <v>94</v>
      </c>
      <c r="AF1565" t="s">
        <v>226</v>
      </c>
      <c r="AG1565" t="s">
        <v>226</v>
      </c>
      <c r="AH1565">
        <v>800</v>
      </c>
      <c r="AI1565" t="s">
        <v>3537</v>
      </c>
      <c r="AJ1565" t="s">
        <v>1976</v>
      </c>
      <c r="AK1565" t="s">
        <v>2416</v>
      </c>
      <c r="AL1565" t="s">
        <v>272</v>
      </c>
    </row>
    <row r="1566" spans="1:38">
      <c r="A1566" t="s">
        <v>6939</v>
      </c>
      <c r="B1566" t="s">
        <v>6940</v>
      </c>
      <c r="C1566" t="s">
        <v>6941</v>
      </c>
      <c r="D1566" t="s">
        <v>6941</v>
      </c>
      <c r="E1566" t="s">
        <v>6942</v>
      </c>
      <c r="F1566" t="s">
        <v>2413</v>
      </c>
      <c r="G1566">
        <v>3</v>
      </c>
      <c r="H1566">
        <v>1</v>
      </c>
      <c r="I1566">
        <v>0.01</v>
      </c>
      <c r="J1566">
        <v>300</v>
      </c>
      <c r="K1566">
        <v>-0.12</v>
      </c>
      <c r="L1566">
        <v>96.34</v>
      </c>
      <c r="M1566">
        <v>96.46</v>
      </c>
      <c r="N1566">
        <v>95.9</v>
      </c>
      <c r="O1566">
        <v>96.34</v>
      </c>
      <c r="P1566">
        <v>0</v>
      </c>
      <c r="Q1566">
        <v>0</v>
      </c>
      <c r="R1566">
        <v>0</v>
      </c>
      <c r="S1566">
        <v>96.39</v>
      </c>
      <c r="T1566">
        <v>96.46</v>
      </c>
      <c r="U1566">
        <v>96.3</v>
      </c>
      <c r="V1566">
        <v>96.49</v>
      </c>
      <c r="W1566">
        <v>412631</v>
      </c>
      <c r="X1566">
        <v>96.3</v>
      </c>
      <c r="Y1566">
        <v>96.34</v>
      </c>
      <c r="Z1566">
        <v>84</v>
      </c>
      <c r="AA1566">
        <v>4000000</v>
      </c>
      <c r="AB1566">
        <v>14161.98</v>
      </c>
      <c r="AC1566">
        <v>0</v>
      </c>
      <c r="AD1566" t="s">
        <v>94</v>
      </c>
      <c r="AE1566" t="s">
        <v>94</v>
      </c>
      <c r="AF1566" t="s">
        <v>226</v>
      </c>
      <c r="AG1566" t="s">
        <v>226</v>
      </c>
      <c r="AH1566">
        <v>6</v>
      </c>
      <c r="AI1566" t="s">
        <v>3537</v>
      </c>
      <c r="AJ1566" t="s">
        <v>1976</v>
      </c>
      <c r="AK1566" t="s">
        <v>2416</v>
      </c>
      <c r="AL1566" t="s">
        <v>272</v>
      </c>
    </row>
    <row r="1567" spans="1:38">
      <c r="A1567" t="s">
        <v>6943</v>
      </c>
      <c r="B1567" t="s">
        <v>6944</v>
      </c>
      <c r="C1567" t="s">
        <v>6945</v>
      </c>
      <c r="D1567" t="s">
        <v>6945</v>
      </c>
      <c r="E1567" t="s">
        <v>6946</v>
      </c>
      <c r="F1567" t="s">
        <v>2413</v>
      </c>
      <c r="G1567">
        <v>3</v>
      </c>
      <c r="H1567">
        <v>1</v>
      </c>
      <c r="I1567">
        <v>0.01</v>
      </c>
      <c r="J1567">
        <v>1000</v>
      </c>
      <c r="K1567">
        <v>-0.04</v>
      </c>
      <c r="L1567">
        <v>92.78</v>
      </c>
      <c r="M1567">
        <v>92.82</v>
      </c>
      <c r="N1567">
        <v>92.72</v>
      </c>
      <c r="O1567">
        <v>92.78</v>
      </c>
      <c r="P1567">
        <v>0</v>
      </c>
      <c r="Q1567">
        <v>0</v>
      </c>
      <c r="R1567">
        <v>0</v>
      </c>
      <c r="S1567">
        <v>92.63</v>
      </c>
      <c r="T1567">
        <v>92.8</v>
      </c>
      <c r="U1567">
        <v>92.34</v>
      </c>
      <c r="V1567">
        <v>92.8</v>
      </c>
      <c r="W1567">
        <v>383479</v>
      </c>
      <c r="X1567">
        <v>92.43</v>
      </c>
      <c r="Y1567">
        <v>92.78</v>
      </c>
      <c r="Z1567">
        <v>37</v>
      </c>
      <c r="AA1567">
        <v>2000000</v>
      </c>
      <c r="AB1567">
        <v>1855.6</v>
      </c>
      <c r="AC1567">
        <v>0</v>
      </c>
      <c r="AD1567" t="s">
        <v>94</v>
      </c>
      <c r="AE1567" t="s">
        <v>94</v>
      </c>
      <c r="AF1567" t="s">
        <v>226</v>
      </c>
      <c r="AG1567" t="s">
        <v>226</v>
      </c>
      <c r="AH1567">
        <v>800</v>
      </c>
      <c r="AI1567" t="s">
        <v>3537</v>
      </c>
      <c r="AJ1567" t="s">
        <v>1976</v>
      </c>
      <c r="AK1567" t="s">
        <v>2416</v>
      </c>
      <c r="AL1567" t="s">
        <v>272</v>
      </c>
    </row>
    <row r="1568" spans="1:38">
      <c r="A1568" t="s">
        <v>6947</v>
      </c>
      <c r="B1568" t="s">
        <v>6948</v>
      </c>
      <c r="C1568" t="s">
        <v>6949</v>
      </c>
      <c r="D1568" t="s">
        <v>6949</v>
      </c>
      <c r="E1568" t="s">
        <v>6950</v>
      </c>
      <c r="F1568" t="s">
        <v>2413</v>
      </c>
      <c r="G1568">
        <v>3</v>
      </c>
      <c r="H1568">
        <v>1</v>
      </c>
      <c r="I1568">
        <v>0.01</v>
      </c>
      <c r="J1568">
        <v>1000</v>
      </c>
      <c r="K1568">
        <v>-2.88</v>
      </c>
      <c r="L1568">
        <v>98.07</v>
      </c>
      <c r="M1568">
        <v>100.98</v>
      </c>
      <c r="N1568">
        <v>97.9</v>
      </c>
      <c r="O1568">
        <v>98.07</v>
      </c>
      <c r="P1568">
        <v>0</v>
      </c>
      <c r="Q1568">
        <v>0</v>
      </c>
      <c r="R1568">
        <v>0</v>
      </c>
      <c r="S1568">
        <v>98.06</v>
      </c>
      <c r="T1568">
        <v>98.01</v>
      </c>
      <c r="U1568">
        <v>98</v>
      </c>
      <c r="V1568">
        <v>101.98</v>
      </c>
      <c r="W1568">
        <v>70605</v>
      </c>
      <c r="X1568">
        <v>98.21</v>
      </c>
      <c r="Y1568">
        <v>101.98</v>
      </c>
      <c r="Z1568">
        <v>9</v>
      </c>
      <c r="AA1568">
        <v>100000</v>
      </c>
      <c r="AB1568">
        <v>980.7</v>
      </c>
      <c r="AC1568">
        <v>0</v>
      </c>
      <c r="AD1568" t="s">
        <v>94</v>
      </c>
      <c r="AE1568" t="s">
        <v>94</v>
      </c>
      <c r="AF1568" t="s">
        <v>226</v>
      </c>
      <c r="AG1568" t="s">
        <v>226</v>
      </c>
      <c r="AH1568">
        <v>6</v>
      </c>
      <c r="AI1568" t="s">
        <v>3537</v>
      </c>
      <c r="AJ1568" t="s">
        <v>1976</v>
      </c>
      <c r="AK1568" t="s">
        <v>2416</v>
      </c>
      <c r="AL1568" t="s">
        <v>272</v>
      </c>
    </row>
    <row r="1569" spans="1:38">
      <c r="A1569" t="s">
        <v>6951</v>
      </c>
      <c r="B1569" t="s">
        <v>6952</v>
      </c>
      <c r="C1569" t="s">
        <v>6953</v>
      </c>
      <c r="D1569" t="s">
        <v>6953</v>
      </c>
      <c r="E1569" t="s">
        <v>6954</v>
      </c>
      <c r="F1569" t="s">
        <v>2413</v>
      </c>
      <c r="G1569">
        <v>3</v>
      </c>
      <c r="H1569">
        <v>1</v>
      </c>
      <c r="I1569">
        <v>0.01</v>
      </c>
      <c r="J1569">
        <v>750.1</v>
      </c>
      <c r="K1569">
        <v>-0.02</v>
      </c>
      <c r="L1569">
        <v>90.69</v>
      </c>
      <c r="M1569">
        <v>90.68</v>
      </c>
      <c r="N1569">
        <v>90.3</v>
      </c>
      <c r="O1569">
        <v>90.69</v>
      </c>
      <c r="P1569">
        <v>0</v>
      </c>
      <c r="Q1569">
        <v>0</v>
      </c>
      <c r="R1569">
        <v>0</v>
      </c>
      <c r="S1569">
        <v>90.62</v>
      </c>
      <c r="T1569">
        <v>90.71</v>
      </c>
      <c r="U1569">
        <v>90.5</v>
      </c>
      <c r="V1569">
        <v>91.23</v>
      </c>
      <c r="W1569">
        <v>69337</v>
      </c>
      <c r="X1569">
        <v>90.7</v>
      </c>
      <c r="Y1569">
        <v>91.07</v>
      </c>
      <c r="Z1569">
        <v>14</v>
      </c>
      <c r="AA1569">
        <v>1000000</v>
      </c>
      <c r="AB1569">
        <v>21768.5</v>
      </c>
      <c r="AC1569">
        <v>0</v>
      </c>
      <c r="AD1569" t="s">
        <v>94</v>
      </c>
      <c r="AE1569" t="s">
        <v>94</v>
      </c>
      <c r="AF1569" t="s">
        <v>226</v>
      </c>
      <c r="AG1569" t="s">
        <v>226</v>
      </c>
      <c r="AH1569">
        <v>6</v>
      </c>
      <c r="AI1569" t="s">
        <v>3537</v>
      </c>
      <c r="AJ1569" t="s">
        <v>1976</v>
      </c>
      <c r="AK1569" t="s">
        <v>2416</v>
      </c>
      <c r="AL1569" t="s">
        <v>272</v>
      </c>
    </row>
    <row r="1570" spans="1:38">
      <c r="A1570" t="s">
        <v>6955</v>
      </c>
      <c r="B1570" t="s">
        <v>6956</v>
      </c>
      <c r="C1570" t="s">
        <v>6957</v>
      </c>
      <c r="D1570" t="s">
        <v>6957</v>
      </c>
      <c r="E1570" t="s">
        <v>6958</v>
      </c>
      <c r="F1570" t="s">
        <v>2413</v>
      </c>
      <c r="G1570">
        <v>1</v>
      </c>
      <c r="H1570">
        <v>1</v>
      </c>
      <c r="I1570">
        <v>0.01</v>
      </c>
      <c r="J1570">
        <v>800</v>
      </c>
      <c r="K1570">
        <v>-0.18</v>
      </c>
      <c r="L1570">
        <v>86.49</v>
      </c>
      <c r="M1570">
        <v>86.65</v>
      </c>
      <c r="N1570">
        <v>86.67</v>
      </c>
      <c r="O1570">
        <v>86.49</v>
      </c>
      <c r="P1570">
        <v>0</v>
      </c>
      <c r="Q1570">
        <v>0</v>
      </c>
      <c r="R1570">
        <v>0</v>
      </c>
      <c r="S1570">
        <v>86.43</v>
      </c>
      <c r="T1570">
        <v>86.97</v>
      </c>
      <c r="U1570">
        <v>86.25</v>
      </c>
      <c r="V1570">
        <v>86.97</v>
      </c>
      <c r="W1570">
        <v>298698</v>
      </c>
      <c r="X1570">
        <v>86.48</v>
      </c>
      <c r="Y1570">
        <v>86.49</v>
      </c>
      <c r="Z1570">
        <v>55</v>
      </c>
      <c r="AA1570">
        <v>5000000</v>
      </c>
      <c r="AB1570">
        <v>691.92</v>
      </c>
      <c r="AC1570">
        <v>0</v>
      </c>
      <c r="AD1570" t="s">
        <v>94</v>
      </c>
      <c r="AE1570" t="s">
        <v>94</v>
      </c>
      <c r="AF1570" t="s">
        <v>226</v>
      </c>
      <c r="AG1570" t="s">
        <v>226</v>
      </c>
      <c r="AH1570">
        <v>6</v>
      </c>
      <c r="AI1570" t="s">
        <v>3537</v>
      </c>
      <c r="AJ1570" t="s">
        <v>1976</v>
      </c>
      <c r="AK1570" t="s">
        <v>2416</v>
      </c>
      <c r="AL1570" t="s">
        <v>272</v>
      </c>
    </row>
    <row r="1571" spans="1:38">
      <c r="A1571" t="s">
        <v>6959</v>
      </c>
      <c r="B1571" t="s">
        <v>6960</v>
      </c>
      <c r="C1571" t="s">
        <v>6961</v>
      </c>
      <c r="D1571" t="s">
        <v>6961</v>
      </c>
      <c r="E1571" t="s">
        <v>6962</v>
      </c>
      <c r="F1571" t="s">
        <v>2413</v>
      </c>
      <c r="G1571">
        <v>1</v>
      </c>
      <c r="H1571">
        <v>1</v>
      </c>
      <c r="I1571">
        <v>0.01</v>
      </c>
      <c r="J1571">
        <v>800</v>
      </c>
      <c r="K1571">
        <v>0.23</v>
      </c>
      <c r="L1571">
        <v>76.930000000000007</v>
      </c>
      <c r="M1571">
        <v>76.739999999999995</v>
      </c>
      <c r="N1571">
        <v>76.73</v>
      </c>
      <c r="O1571">
        <v>76.89</v>
      </c>
      <c r="P1571">
        <v>0</v>
      </c>
      <c r="Q1571">
        <v>0</v>
      </c>
      <c r="R1571">
        <v>0</v>
      </c>
      <c r="S1571">
        <v>76.83</v>
      </c>
      <c r="T1571">
        <v>76.75</v>
      </c>
      <c r="U1571">
        <v>76.7</v>
      </c>
      <c r="V1571">
        <v>77.290000000000006</v>
      </c>
      <c r="W1571">
        <v>1473851</v>
      </c>
      <c r="X1571">
        <v>76.72</v>
      </c>
      <c r="Y1571">
        <v>76.89</v>
      </c>
      <c r="Z1571">
        <v>165</v>
      </c>
      <c r="AA1571">
        <v>10000000</v>
      </c>
      <c r="AB1571">
        <v>24617.599999999999</v>
      </c>
      <c r="AC1571">
        <v>0</v>
      </c>
      <c r="AD1571" t="s">
        <v>94</v>
      </c>
      <c r="AE1571" t="s">
        <v>94</v>
      </c>
      <c r="AF1571" t="s">
        <v>226</v>
      </c>
      <c r="AG1571" t="s">
        <v>226</v>
      </c>
      <c r="AH1571">
        <v>6</v>
      </c>
      <c r="AI1571" t="s">
        <v>3537</v>
      </c>
      <c r="AJ1571" t="s">
        <v>1976</v>
      </c>
      <c r="AK1571" t="s">
        <v>2416</v>
      </c>
      <c r="AL1571" t="s">
        <v>272</v>
      </c>
    </row>
    <row r="1572" spans="1:38">
      <c r="A1572" t="s">
        <v>6963</v>
      </c>
      <c r="B1572" t="s">
        <v>6964</v>
      </c>
      <c r="C1572" t="s">
        <v>6965</v>
      </c>
      <c r="D1572" t="s">
        <v>6965</v>
      </c>
      <c r="E1572" t="s">
        <v>6966</v>
      </c>
      <c r="F1572" t="s">
        <v>2413</v>
      </c>
      <c r="G1572">
        <v>1</v>
      </c>
      <c r="H1572">
        <v>1</v>
      </c>
      <c r="I1572">
        <v>0.01</v>
      </c>
      <c r="J1572">
        <v>1000</v>
      </c>
      <c r="K1572">
        <v>0.33</v>
      </c>
      <c r="L1572">
        <v>80.260000000000005</v>
      </c>
      <c r="M1572">
        <v>80</v>
      </c>
      <c r="N1572">
        <v>80.17</v>
      </c>
      <c r="O1572">
        <v>80.260000000000005</v>
      </c>
      <c r="P1572">
        <v>0</v>
      </c>
      <c r="Q1572">
        <v>0</v>
      </c>
      <c r="R1572">
        <v>0</v>
      </c>
      <c r="S1572">
        <v>80.11</v>
      </c>
      <c r="T1572">
        <v>80</v>
      </c>
      <c r="U1572">
        <v>80</v>
      </c>
      <c r="V1572">
        <v>80.569999999999993</v>
      </c>
      <c r="W1572">
        <v>804341</v>
      </c>
      <c r="X1572">
        <v>80.2</v>
      </c>
      <c r="Y1572">
        <v>80.27</v>
      </c>
      <c r="Z1572">
        <v>159</v>
      </c>
      <c r="AA1572">
        <v>7000000</v>
      </c>
      <c r="AB1572">
        <v>1605.2</v>
      </c>
      <c r="AC1572">
        <v>0</v>
      </c>
      <c r="AD1572" t="s">
        <v>94</v>
      </c>
      <c r="AE1572" t="s">
        <v>94</v>
      </c>
      <c r="AF1572" t="s">
        <v>226</v>
      </c>
      <c r="AG1572" t="s">
        <v>226</v>
      </c>
      <c r="AH1572">
        <v>6</v>
      </c>
      <c r="AI1572" t="s">
        <v>3537</v>
      </c>
      <c r="AJ1572" t="s">
        <v>1976</v>
      </c>
      <c r="AK1572" t="s">
        <v>2416</v>
      </c>
      <c r="AL1572" t="s">
        <v>272</v>
      </c>
    </row>
    <row r="1573" spans="1:38">
      <c r="A1573" t="s">
        <v>6967</v>
      </c>
      <c r="B1573" t="s">
        <v>6968</v>
      </c>
      <c r="C1573" t="s">
        <v>6969</v>
      </c>
      <c r="D1573" t="s">
        <v>6969</v>
      </c>
      <c r="E1573" t="s">
        <v>6970</v>
      </c>
      <c r="F1573" t="s">
        <v>2413</v>
      </c>
      <c r="G1573">
        <v>1</v>
      </c>
      <c r="H1573">
        <v>1</v>
      </c>
      <c r="I1573">
        <v>0.01</v>
      </c>
      <c r="J1573">
        <v>1000</v>
      </c>
      <c r="K1573">
        <v>0.33</v>
      </c>
      <c r="L1573">
        <v>82.23</v>
      </c>
      <c r="M1573">
        <v>81.87</v>
      </c>
      <c r="N1573">
        <v>81.77</v>
      </c>
      <c r="O1573">
        <v>82.21</v>
      </c>
      <c r="P1573">
        <v>0</v>
      </c>
      <c r="Q1573">
        <v>0</v>
      </c>
      <c r="R1573">
        <v>0</v>
      </c>
      <c r="S1573">
        <v>82.19</v>
      </c>
      <c r="T1573">
        <v>82.61</v>
      </c>
      <c r="U1573">
        <v>81.86</v>
      </c>
      <c r="V1573">
        <v>82.64</v>
      </c>
      <c r="W1573">
        <v>503022</v>
      </c>
      <c r="X1573">
        <v>82.21</v>
      </c>
      <c r="Y1573">
        <v>82.63</v>
      </c>
      <c r="Z1573">
        <v>104</v>
      </c>
      <c r="AA1573">
        <v>3000000</v>
      </c>
      <c r="AB1573">
        <v>9867.6</v>
      </c>
      <c r="AC1573">
        <v>0</v>
      </c>
      <c r="AD1573" t="s">
        <v>94</v>
      </c>
      <c r="AE1573" t="s">
        <v>94</v>
      </c>
      <c r="AF1573" t="s">
        <v>226</v>
      </c>
      <c r="AG1573" t="s">
        <v>226</v>
      </c>
      <c r="AH1573">
        <v>6</v>
      </c>
      <c r="AI1573" t="s">
        <v>3537</v>
      </c>
      <c r="AJ1573" t="s">
        <v>1976</v>
      </c>
      <c r="AK1573" t="s">
        <v>2416</v>
      </c>
      <c r="AL1573" t="s">
        <v>272</v>
      </c>
    </row>
    <row r="1574" spans="1:38">
      <c r="A1574" t="s">
        <v>6971</v>
      </c>
      <c r="B1574" t="s">
        <v>6972</v>
      </c>
      <c r="C1574" t="s">
        <v>6973</v>
      </c>
      <c r="D1574" t="s">
        <v>6973</v>
      </c>
      <c r="E1574" t="s">
        <v>6974</v>
      </c>
      <c r="F1574" t="s">
        <v>2413</v>
      </c>
      <c r="G1574">
        <v>3</v>
      </c>
      <c r="H1574">
        <v>1</v>
      </c>
      <c r="I1574">
        <v>0.01</v>
      </c>
      <c r="J1574">
        <v>1000</v>
      </c>
      <c r="K1574">
        <v>0.85</v>
      </c>
      <c r="L1574">
        <v>78.650000000000006</v>
      </c>
      <c r="M1574">
        <v>77.98</v>
      </c>
      <c r="N1574">
        <v>77.87</v>
      </c>
      <c r="O1574">
        <v>78.650000000000006</v>
      </c>
      <c r="P1574">
        <v>0</v>
      </c>
      <c r="Q1574">
        <v>0</v>
      </c>
      <c r="R1574">
        <v>0</v>
      </c>
      <c r="S1574">
        <v>78.14</v>
      </c>
      <c r="T1574">
        <v>78.67</v>
      </c>
      <c r="U1574">
        <v>77.77</v>
      </c>
      <c r="V1574">
        <v>78.69</v>
      </c>
      <c r="W1574">
        <v>315694</v>
      </c>
      <c r="X1574">
        <v>78.31</v>
      </c>
      <c r="Y1574">
        <v>78.64</v>
      </c>
      <c r="Z1574">
        <v>38</v>
      </c>
      <c r="AA1574">
        <v>500000</v>
      </c>
      <c r="AB1574">
        <v>2359.5</v>
      </c>
      <c r="AC1574">
        <v>0</v>
      </c>
      <c r="AD1574" t="s">
        <v>94</v>
      </c>
      <c r="AE1574" t="s">
        <v>94</v>
      </c>
      <c r="AF1574" t="s">
        <v>226</v>
      </c>
      <c r="AG1574" t="s">
        <v>226</v>
      </c>
      <c r="AH1574">
        <v>6</v>
      </c>
      <c r="AI1574" t="s">
        <v>3537</v>
      </c>
      <c r="AJ1574" t="s">
        <v>1976</v>
      </c>
      <c r="AK1574" t="s">
        <v>2416</v>
      </c>
      <c r="AL1574" t="s">
        <v>272</v>
      </c>
    </row>
    <row r="1575" spans="1:38">
      <c r="A1575" t="s">
        <v>6975</v>
      </c>
      <c r="B1575" t="s">
        <v>6976</v>
      </c>
      <c r="C1575" t="s">
        <v>6977</v>
      </c>
      <c r="D1575" t="s">
        <v>6977</v>
      </c>
      <c r="E1575" t="s">
        <v>6978</v>
      </c>
      <c r="F1575" t="s">
        <v>2413</v>
      </c>
      <c r="G1575">
        <v>3</v>
      </c>
      <c r="H1575">
        <v>1</v>
      </c>
      <c r="I1575">
        <v>0.01</v>
      </c>
      <c r="J1575">
        <v>1000</v>
      </c>
      <c r="K1575">
        <v>1.85</v>
      </c>
      <c r="L1575">
        <v>71.05</v>
      </c>
      <c r="M1575">
        <v>69.760000000000005</v>
      </c>
      <c r="N1575">
        <v>70.89</v>
      </c>
      <c r="O1575">
        <v>70.41</v>
      </c>
      <c r="P1575">
        <v>0</v>
      </c>
      <c r="Q1575">
        <v>0</v>
      </c>
      <c r="R1575">
        <v>0</v>
      </c>
      <c r="S1575">
        <v>71.180000000000007</v>
      </c>
      <c r="T1575">
        <v>69.010000000000005</v>
      </c>
      <c r="U1575">
        <v>69.010000000000005</v>
      </c>
      <c r="V1575">
        <v>74.790000000000006</v>
      </c>
      <c r="W1575">
        <v>61212</v>
      </c>
      <c r="X1575">
        <v>70.63</v>
      </c>
      <c r="Y1575">
        <v>70.959999999999994</v>
      </c>
      <c r="Z1575">
        <v>45</v>
      </c>
      <c r="AA1575">
        <v>100000</v>
      </c>
      <c r="AB1575">
        <v>710.5</v>
      </c>
      <c r="AC1575">
        <v>0</v>
      </c>
      <c r="AD1575" t="s">
        <v>94</v>
      </c>
      <c r="AE1575" t="s">
        <v>94</v>
      </c>
      <c r="AF1575" t="s">
        <v>226</v>
      </c>
      <c r="AG1575" t="s">
        <v>226</v>
      </c>
      <c r="AH1575">
        <v>6</v>
      </c>
      <c r="AI1575" t="s">
        <v>3537</v>
      </c>
      <c r="AJ1575" t="s">
        <v>1976</v>
      </c>
      <c r="AK1575" t="s">
        <v>2416</v>
      </c>
      <c r="AL1575" t="s">
        <v>272</v>
      </c>
    </row>
    <row r="1576" spans="1:38">
      <c r="A1576" t="s">
        <v>6979</v>
      </c>
      <c r="B1576" t="s">
        <v>6980</v>
      </c>
      <c r="C1576" t="s">
        <v>6981</v>
      </c>
      <c r="D1576" t="s">
        <v>6981</v>
      </c>
      <c r="E1576" t="s">
        <v>6982</v>
      </c>
      <c r="F1576" t="s">
        <v>2413</v>
      </c>
      <c r="G1576">
        <v>3</v>
      </c>
      <c r="H1576">
        <v>1</v>
      </c>
      <c r="I1576">
        <v>0.01</v>
      </c>
      <c r="J1576">
        <v>1000</v>
      </c>
      <c r="K1576">
        <v>-0.08</v>
      </c>
      <c r="L1576">
        <v>73.8</v>
      </c>
      <c r="M1576">
        <v>73.87</v>
      </c>
      <c r="N1576">
        <v>73.88</v>
      </c>
      <c r="O1576">
        <v>73.8</v>
      </c>
      <c r="P1576">
        <v>0</v>
      </c>
      <c r="Q1576">
        <v>0</v>
      </c>
      <c r="R1576">
        <v>0</v>
      </c>
      <c r="S1576">
        <v>73.81</v>
      </c>
      <c r="T1576">
        <v>73.86</v>
      </c>
      <c r="U1576">
        <v>73.53</v>
      </c>
      <c r="V1576">
        <v>73.86</v>
      </c>
      <c r="W1576">
        <v>77496</v>
      </c>
      <c r="X1576">
        <v>73.62</v>
      </c>
      <c r="Y1576">
        <v>73.8</v>
      </c>
      <c r="Z1576">
        <v>41</v>
      </c>
      <c r="AA1576">
        <v>100000</v>
      </c>
      <c r="AB1576">
        <v>3690</v>
      </c>
      <c r="AC1576">
        <v>0</v>
      </c>
      <c r="AD1576" t="s">
        <v>94</v>
      </c>
      <c r="AE1576" t="s">
        <v>94</v>
      </c>
      <c r="AF1576" t="s">
        <v>226</v>
      </c>
      <c r="AG1576" t="s">
        <v>226</v>
      </c>
      <c r="AH1576">
        <v>6</v>
      </c>
      <c r="AI1576" t="s">
        <v>3537</v>
      </c>
      <c r="AJ1576" t="s">
        <v>1976</v>
      </c>
      <c r="AK1576" t="s">
        <v>2416</v>
      </c>
      <c r="AL1576" t="s">
        <v>272</v>
      </c>
    </row>
    <row r="1577" spans="1:38">
      <c r="A1577" t="s">
        <v>6983</v>
      </c>
      <c r="B1577" t="s">
        <v>6984</v>
      </c>
      <c r="C1577" t="s">
        <v>6985</v>
      </c>
      <c r="D1577" t="s">
        <v>6985</v>
      </c>
      <c r="E1577" t="s">
        <v>6986</v>
      </c>
      <c r="F1577" t="s">
        <v>2413</v>
      </c>
      <c r="G1577">
        <v>3</v>
      </c>
      <c r="H1577">
        <v>1</v>
      </c>
      <c r="I1577">
        <v>0.01</v>
      </c>
      <c r="J1577">
        <v>1000</v>
      </c>
      <c r="K1577">
        <v>-0.82</v>
      </c>
      <c r="L1577">
        <v>67.430000000000007</v>
      </c>
      <c r="M1577">
        <v>67.989999999999995</v>
      </c>
      <c r="N1577">
        <v>67.94</v>
      </c>
      <c r="O1577">
        <v>67.430000000000007</v>
      </c>
      <c r="P1577">
        <v>0</v>
      </c>
      <c r="Q1577">
        <v>0</v>
      </c>
      <c r="R1577">
        <v>0</v>
      </c>
      <c r="S1577">
        <v>66.98</v>
      </c>
      <c r="T1577">
        <v>67.14</v>
      </c>
      <c r="U1577">
        <v>66.84</v>
      </c>
      <c r="V1577">
        <v>67.540000000000006</v>
      </c>
      <c r="W1577">
        <v>89088</v>
      </c>
      <c r="X1577">
        <v>67.099999999999994</v>
      </c>
      <c r="Y1577">
        <v>67.37</v>
      </c>
      <c r="Z1577">
        <v>23</v>
      </c>
      <c r="AA1577">
        <v>150000</v>
      </c>
      <c r="AB1577">
        <v>2697.2</v>
      </c>
      <c r="AC1577">
        <v>0</v>
      </c>
      <c r="AD1577" t="s">
        <v>94</v>
      </c>
      <c r="AE1577" t="s">
        <v>94</v>
      </c>
      <c r="AF1577" t="s">
        <v>226</v>
      </c>
      <c r="AG1577" t="s">
        <v>226</v>
      </c>
      <c r="AH1577">
        <v>6</v>
      </c>
      <c r="AI1577" t="s">
        <v>3537</v>
      </c>
      <c r="AJ1577" t="s">
        <v>1976</v>
      </c>
      <c r="AK1577" t="s">
        <v>2416</v>
      </c>
      <c r="AL1577" t="s">
        <v>272</v>
      </c>
    </row>
    <row r="1578" spans="1:38">
      <c r="A1578" t="s">
        <v>6987</v>
      </c>
      <c r="B1578" t="s">
        <v>6988</v>
      </c>
      <c r="C1578" t="s">
        <v>6989</v>
      </c>
      <c r="D1578" t="s">
        <v>6989</v>
      </c>
      <c r="E1578" t="s">
        <v>6990</v>
      </c>
      <c r="F1578" t="s">
        <v>2413</v>
      </c>
      <c r="G1578">
        <v>3</v>
      </c>
      <c r="H1578">
        <v>1</v>
      </c>
      <c r="I1578">
        <v>0.01</v>
      </c>
      <c r="J1578">
        <v>1000</v>
      </c>
      <c r="K1578">
        <v>0.27</v>
      </c>
      <c r="L1578">
        <v>65.790000000000006</v>
      </c>
      <c r="M1578">
        <v>65.599999999999994</v>
      </c>
      <c r="N1578">
        <v>66.7</v>
      </c>
      <c r="O1578">
        <v>65.790000000000006</v>
      </c>
      <c r="P1578">
        <v>0</v>
      </c>
      <c r="Q1578">
        <v>0</v>
      </c>
      <c r="R1578">
        <v>0</v>
      </c>
      <c r="S1578">
        <v>65.5</v>
      </c>
      <c r="T1578">
        <v>66.650000000000006</v>
      </c>
      <c r="U1578">
        <v>65</v>
      </c>
      <c r="V1578">
        <v>66.650000000000006</v>
      </c>
      <c r="W1578">
        <v>142794</v>
      </c>
      <c r="X1578">
        <v>65.37</v>
      </c>
      <c r="Y1578">
        <v>65.790000000000006</v>
      </c>
      <c r="Z1578">
        <v>65</v>
      </c>
      <c r="AA1578">
        <v>150000</v>
      </c>
      <c r="AB1578">
        <v>657.9</v>
      </c>
      <c r="AC1578">
        <v>0</v>
      </c>
      <c r="AD1578" t="s">
        <v>94</v>
      </c>
      <c r="AE1578" t="s">
        <v>94</v>
      </c>
      <c r="AF1578" t="s">
        <v>226</v>
      </c>
      <c r="AG1578" t="s">
        <v>226</v>
      </c>
      <c r="AH1578">
        <v>6</v>
      </c>
      <c r="AI1578" t="s">
        <v>3537</v>
      </c>
      <c r="AJ1578" t="s">
        <v>1976</v>
      </c>
      <c r="AK1578" t="s">
        <v>2416</v>
      </c>
      <c r="AL1578" t="s">
        <v>272</v>
      </c>
    </row>
    <row r="1579" spans="1:38">
      <c r="A1579" t="s">
        <v>6991</v>
      </c>
      <c r="B1579" t="s">
        <v>6992</v>
      </c>
      <c r="C1579" t="s">
        <v>6993</v>
      </c>
      <c r="D1579" t="s">
        <v>6993</v>
      </c>
      <c r="E1579" t="s">
        <v>6994</v>
      </c>
      <c r="F1579" t="s">
        <v>2413</v>
      </c>
      <c r="G1579">
        <v>3</v>
      </c>
      <c r="H1579">
        <v>1</v>
      </c>
      <c r="I1579">
        <v>0.01</v>
      </c>
      <c r="J1579">
        <v>1000</v>
      </c>
      <c r="K1579">
        <v>0.77</v>
      </c>
      <c r="L1579">
        <v>65.39</v>
      </c>
      <c r="M1579">
        <v>64.89</v>
      </c>
      <c r="N1579">
        <v>64.19</v>
      </c>
      <c r="O1579">
        <v>65.39</v>
      </c>
      <c r="P1579">
        <v>0</v>
      </c>
      <c r="Q1579">
        <v>0</v>
      </c>
      <c r="R1579">
        <v>0</v>
      </c>
      <c r="S1579">
        <v>64.78</v>
      </c>
      <c r="T1579">
        <v>64.89</v>
      </c>
      <c r="U1579">
        <v>64.010000000000005</v>
      </c>
      <c r="V1579">
        <v>66.28</v>
      </c>
      <c r="W1579">
        <v>202754</v>
      </c>
      <c r="X1579">
        <v>65.010000000000005</v>
      </c>
      <c r="Y1579">
        <v>65.39</v>
      </c>
      <c r="Z1579">
        <v>61</v>
      </c>
      <c r="AA1579">
        <v>200000</v>
      </c>
      <c r="AB1579">
        <v>1961.7</v>
      </c>
      <c r="AC1579">
        <v>0</v>
      </c>
      <c r="AD1579" t="s">
        <v>94</v>
      </c>
      <c r="AE1579" t="s">
        <v>94</v>
      </c>
      <c r="AF1579" t="s">
        <v>226</v>
      </c>
      <c r="AG1579" t="s">
        <v>226</v>
      </c>
      <c r="AH1579">
        <v>6</v>
      </c>
      <c r="AI1579" t="s">
        <v>3537</v>
      </c>
      <c r="AJ1579" t="s">
        <v>1976</v>
      </c>
      <c r="AK1579" t="s">
        <v>2416</v>
      </c>
      <c r="AL1579" t="s">
        <v>272</v>
      </c>
    </row>
    <row r="1580" spans="1:38">
      <c r="A1580" t="s">
        <v>6995</v>
      </c>
      <c r="B1580" t="s">
        <v>6996</v>
      </c>
      <c r="C1580" t="s">
        <v>6997</v>
      </c>
      <c r="D1580" t="s">
        <v>6997</v>
      </c>
      <c r="E1580" t="s">
        <v>6998</v>
      </c>
      <c r="F1580" t="s">
        <v>2413</v>
      </c>
      <c r="G1580">
        <v>3</v>
      </c>
      <c r="H1580">
        <v>1</v>
      </c>
      <c r="I1580">
        <v>0.01</v>
      </c>
      <c r="J1580">
        <v>1000</v>
      </c>
      <c r="K1580">
        <v>-0.48</v>
      </c>
      <c r="L1580">
        <v>64.900000000000006</v>
      </c>
      <c r="M1580">
        <v>65.209999999999994</v>
      </c>
      <c r="N1580">
        <v>65.17</v>
      </c>
      <c r="O1580">
        <v>64.89</v>
      </c>
      <c r="P1580">
        <v>0</v>
      </c>
      <c r="Q1580">
        <v>0</v>
      </c>
      <c r="R1580">
        <v>0</v>
      </c>
      <c r="S1580">
        <v>64.72</v>
      </c>
      <c r="T1580">
        <v>65.209999999999994</v>
      </c>
      <c r="U1580">
        <v>64.5</v>
      </c>
      <c r="V1580">
        <v>65.209999999999994</v>
      </c>
      <c r="W1580">
        <v>427137</v>
      </c>
      <c r="X1580">
        <v>64.53</v>
      </c>
      <c r="Y1580">
        <v>64.900000000000006</v>
      </c>
      <c r="Z1580">
        <v>83</v>
      </c>
      <c r="AA1580">
        <v>300000</v>
      </c>
      <c r="AB1580">
        <v>1298</v>
      </c>
      <c r="AC1580">
        <v>0</v>
      </c>
      <c r="AD1580" t="s">
        <v>94</v>
      </c>
      <c r="AE1580" t="s">
        <v>94</v>
      </c>
      <c r="AF1580" t="s">
        <v>226</v>
      </c>
      <c r="AG1580" t="s">
        <v>226</v>
      </c>
      <c r="AH1580">
        <v>6</v>
      </c>
      <c r="AI1580" t="s">
        <v>3537</v>
      </c>
      <c r="AJ1580" t="s">
        <v>1976</v>
      </c>
      <c r="AK1580" t="s">
        <v>2416</v>
      </c>
      <c r="AL1580" t="s">
        <v>272</v>
      </c>
    </row>
    <row r="1581" spans="1:38">
      <c r="A1581" t="s">
        <v>6999</v>
      </c>
      <c r="B1581" t="s">
        <v>7000</v>
      </c>
      <c r="C1581" t="s">
        <v>7001</v>
      </c>
      <c r="D1581" t="s">
        <v>7001</v>
      </c>
      <c r="E1581" t="s">
        <v>7002</v>
      </c>
      <c r="F1581" t="s">
        <v>2413</v>
      </c>
      <c r="G1581">
        <v>3</v>
      </c>
      <c r="H1581">
        <v>1</v>
      </c>
      <c r="I1581">
        <v>0.01</v>
      </c>
      <c r="J1581">
        <v>1000</v>
      </c>
      <c r="K1581">
        <v>1.41</v>
      </c>
      <c r="L1581">
        <v>66</v>
      </c>
      <c r="M1581">
        <v>65.08</v>
      </c>
      <c r="N1581">
        <v>65.290000000000006</v>
      </c>
      <c r="O1581">
        <v>65.87</v>
      </c>
      <c r="P1581">
        <v>0</v>
      </c>
      <c r="Q1581">
        <v>0</v>
      </c>
      <c r="R1581">
        <v>0</v>
      </c>
      <c r="S1581">
        <v>64.989999999999995</v>
      </c>
      <c r="T1581">
        <v>66.45</v>
      </c>
      <c r="U1581">
        <v>64.430000000000007</v>
      </c>
      <c r="V1581">
        <v>66.45</v>
      </c>
      <c r="W1581">
        <v>765544</v>
      </c>
      <c r="X1581">
        <v>65.540000000000006</v>
      </c>
      <c r="Y1581">
        <v>66</v>
      </c>
      <c r="Z1581">
        <v>87</v>
      </c>
      <c r="AA1581">
        <v>200000</v>
      </c>
      <c r="AB1581">
        <v>1320</v>
      </c>
      <c r="AC1581">
        <v>0</v>
      </c>
      <c r="AD1581" t="s">
        <v>94</v>
      </c>
      <c r="AE1581" t="s">
        <v>94</v>
      </c>
      <c r="AF1581" t="s">
        <v>226</v>
      </c>
      <c r="AG1581" t="s">
        <v>226</v>
      </c>
      <c r="AH1581">
        <v>6</v>
      </c>
      <c r="AI1581" t="s">
        <v>3537</v>
      </c>
      <c r="AJ1581" t="s">
        <v>1976</v>
      </c>
      <c r="AK1581" t="s">
        <v>2416</v>
      </c>
      <c r="AL1581" t="s">
        <v>272</v>
      </c>
    </row>
    <row r="1582" spans="1:38">
      <c r="A1582" t="s">
        <v>7003</v>
      </c>
      <c r="B1582" t="s">
        <v>7004</v>
      </c>
      <c r="C1582" t="s">
        <v>7005</v>
      </c>
      <c r="D1582" t="s">
        <v>7005</v>
      </c>
      <c r="E1582" t="s">
        <v>7006</v>
      </c>
      <c r="F1582" t="s">
        <v>2413</v>
      </c>
      <c r="G1582">
        <v>3</v>
      </c>
      <c r="H1582">
        <v>1</v>
      </c>
      <c r="I1582">
        <v>0.01</v>
      </c>
      <c r="J1582">
        <v>1000</v>
      </c>
      <c r="K1582">
        <v>-0.41</v>
      </c>
      <c r="L1582">
        <v>68.13</v>
      </c>
      <c r="M1582">
        <v>68.41</v>
      </c>
      <c r="N1582">
        <v>68.48</v>
      </c>
      <c r="O1582">
        <v>68.13</v>
      </c>
      <c r="P1582">
        <v>0</v>
      </c>
      <c r="Q1582">
        <v>0</v>
      </c>
      <c r="R1582">
        <v>0</v>
      </c>
      <c r="S1582">
        <v>68.3</v>
      </c>
      <c r="T1582">
        <v>68.010000000000005</v>
      </c>
      <c r="U1582">
        <v>68</v>
      </c>
      <c r="V1582">
        <v>68.94</v>
      </c>
      <c r="W1582">
        <v>320330</v>
      </c>
      <c r="X1582">
        <v>68.06</v>
      </c>
      <c r="Y1582">
        <v>68.2</v>
      </c>
      <c r="Z1582">
        <v>89</v>
      </c>
      <c r="AA1582">
        <v>200000</v>
      </c>
      <c r="AB1582">
        <v>3406.5</v>
      </c>
      <c r="AC1582">
        <v>0</v>
      </c>
      <c r="AD1582" t="s">
        <v>94</v>
      </c>
      <c r="AE1582" t="s">
        <v>94</v>
      </c>
      <c r="AF1582" t="s">
        <v>226</v>
      </c>
      <c r="AG1582" t="s">
        <v>226</v>
      </c>
      <c r="AH1582">
        <v>6</v>
      </c>
      <c r="AI1582" t="s">
        <v>3537</v>
      </c>
      <c r="AJ1582" t="s">
        <v>1976</v>
      </c>
      <c r="AK1582" t="s">
        <v>2416</v>
      </c>
      <c r="AL1582" t="s">
        <v>272</v>
      </c>
    </row>
    <row r="1583" spans="1:38">
      <c r="A1583" t="s">
        <v>7007</v>
      </c>
      <c r="B1583" t="s">
        <v>7008</v>
      </c>
      <c r="C1583" t="s">
        <v>7009</v>
      </c>
      <c r="D1583" t="s">
        <v>7009</v>
      </c>
      <c r="E1583" t="s">
        <v>7010</v>
      </c>
      <c r="F1583" t="s">
        <v>2425</v>
      </c>
      <c r="G1583">
        <v>3</v>
      </c>
      <c r="H1583">
        <v>1</v>
      </c>
      <c r="I1583">
        <v>1E-4</v>
      </c>
      <c r="J1583">
        <v>1000</v>
      </c>
      <c r="K1583">
        <v>0.54</v>
      </c>
      <c r="L1583">
        <v>92.498999999999995</v>
      </c>
      <c r="M1583">
        <v>92.948800000000006</v>
      </c>
      <c r="N1583">
        <v>92.7547</v>
      </c>
      <c r="O1583">
        <v>92.499799999999993</v>
      </c>
      <c r="P1583">
        <v>0</v>
      </c>
      <c r="Q1583">
        <v>0</v>
      </c>
      <c r="R1583">
        <v>0</v>
      </c>
      <c r="S1583">
        <v>92.003399999999999</v>
      </c>
      <c r="T1583">
        <v>91.999899999999997</v>
      </c>
      <c r="U1583">
        <v>90.617099999999994</v>
      </c>
      <c r="V1583">
        <v>92.5</v>
      </c>
      <c r="W1583">
        <v>312823928</v>
      </c>
      <c r="X1583">
        <v>92.498999999999995</v>
      </c>
      <c r="Y1583">
        <v>92.5</v>
      </c>
      <c r="Z1583">
        <v>28</v>
      </c>
      <c r="AA1583">
        <v>315760</v>
      </c>
      <c r="AB1583">
        <v>98222.65</v>
      </c>
      <c r="AC1583">
        <v>0</v>
      </c>
      <c r="AD1583" t="s">
        <v>2</v>
      </c>
      <c r="AE1583" t="s">
        <v>94</v>
      </c>
      <c r="AF1583" t="s">
        <v>226</v>
      </c>
      <c r="AG1583" t="s">
        <v>226</v>
      </c>
      <c r="AH1583">
        <v>-100</v>
      </c>
      <c r="AI1583" t="s">
        <v>3537</v>
      </c>
      <c r="AJ1583" t="s">
        <v>1976</v>
      </c>
      <c r="AK1583" t="s">
        <v>2426</v>
      </c>
      <c r="AL1583" t="s">
        <v>272</v>
      </c>
    </row>
    <row r="1584" spans="1:38">
      <c r="A1584" t="s">
        <v>7011</v>
      </c>
      <c r="B1584" t="s">
        <v>7012</v>
      </c>
      <c r="C1584" t="s">
        <v>7013</v>
      </c>
      <c r="D1584" t="s">
        <v>7013</v>
      </c>
      <c r="E1584" t="s">
        <v>7014</v>
      </c>
      <c r="F1584" t="s">
        <v>2425</v>
      </c>
      <c r="G1584">
        <v>3</v>
      </c>
      <c r="H1584">
        <v>1</v>
      </c>
      <c r="I1584">
        <v>1E-4</v>
      </c>
      <c r="J1584">
        <v>1000</v>
      </c>
      <c r="K1584">
        <v>-3.94</v>
      </c>
      <c r="L1584">
        <v>84.330100000000002</v>
      </c>
      <c r="M1584">
        <v>87.767499999999998</v>
      </c>
      <c r="N1584">
        <v>86.515299999999996</v>
      </c>
      <c r="O1584">
        <v>84.330100000000002</v>
      </c>
      <c r="P1584">
        <v>0</v>
      </c>
      <c r="Q1584">
        <v>0</v>
      </c>
      <c r="R1584">
        <v>0</v>
      </c>
      <c r="S1584">
        <v>84.315899999999999</v>
      </c>
      <c r="T1584">
        <v>84.003</v>
      </c>
      <c r="U1584">
        <v>83.5</v>
      </c>
      <c r="V1584">
        <v>86.999300000000005</v>
      </c>
      <c r="W1584">
        <v>895332</v>
      </c>
      <c r="X1584">
        <v>84.950199999999995</v>
      </c>
      <c r="Y1584">
        <v>86.249799999999993</v>
      </c>
      <c r="Z1584">
        <v>9</v>
      </c>
      <c r="AA1584">
        <v>257441</v>
      </c>
      <c r="AB1584">
        <v>89548.28</v>
      </c>
      <c r="AC1584">
        <v>0</v>
      </c>
      <c r="AD1584" t="s">
        <v>2</v>
      </c>
      <c r="AE1584" t="s">
        <v>94</v>
      </c>
      <c r="AF1584" t="s">
        <v>226</v>
      </c>
      <c r="AG1584" t="s">
        <v>226</v>
      </c>
      <c r="AH1584">
        <v>-100</v>
      </c>
      <c r="AI1584" t="s">
        <v>3537</v>
      </c>
      <c r="AJ1584" t="s">
        <v>1976</v>
      </c>
      <c r="AK1584" t="s">
        <v>2426</v>
      </c>
      <c r="AL1584" t="s">
        <v>272</v>
      </c>
    </row>
    <row r="1585" spans="1:38">
      <c r="A1585" t="s">
        <v>7015</v>
      </c>
      <c r="B1585" t="s">
        <v>7016</v>
      </c>
      <c r="C1585" t="s">
        <v>7017</v>
      </c>
      <c r="D1585" t="s">
        <v>7017</v>
      </c>
      <c r="E1585" t="s">
        <v>7018</v>
      </c>
      <c r="F1585" t="s">
        <v>2425</v>
      </c>
      <c r="G1585">
        <v>3</v>
      </c>
      <c r="H1585">
        <v>1</v>
      </c>
      <c r="I1585">
        <v>1E-4</v>
      </c>
      <c r="J1585">
        <v>1000</v>
      </c>
      <c r="K1585">
        <v>4.7</v>
      </c>
      <c r="L1585">
        <v>77.788799999999995</v>
      </c>
      <c r="M1585">
        <v>74.180300000000003</v>
      </c>
      <c r="N1585">
        <v>77.402000000000001</v>
      </c>
      <c r="O1585">
        <v>77.788799999999995</v>
      </c>
      <c r="P1585">
        <v>0</v>
      </c>
      <c r="Q1585">
        <v>0</v>
      </c>
      <c r="R1585">
        <v>0</v>
      </c>
      <c r="S1585">
        <v>74.152699999999996</v>
      </c>
      <c r="T1585">
        <v>74.486400000000003</v>
      </c>
      <c r="U1585">
        <v>73.201300000000003</v>
      </c>
      <c r="V1585">
        <v>77.788799999999995</v>
      </c>
      <c r="W1585">
        <v>18267937</v>
      </c>
      <c r="X1585">
        <v>73.602199999999996</v>
      </c>
      <c r="Y1585">
        <v>76</v>
      </c>
      <c r="Z1585">
        <v>32</v>
      </c>
      <c r="AA1585">
        <v>287279</v>
      </c>
      <c r="AB1585">
        <v>82602.22</v>
      </c>
      <c r="AC1585">
        <v>0</v>
      </c>
      <c r="AD1585" t="s">
        <v>2</v>
      </c>
      <c r="AE1585" t="s">
        <v>94</v>
      </c>
      <c r="AF1585" t="s">
        <v>226</v>
      </c>
      <c r="AG1585" t="s">
        <v>226</v>
      </c>
      <c r="AH1585">
        <v>-100</v>
      </c>
      <c r="AI1585" t="s">
        <v>3537</v>
      </c>
      <c r="AJ1585" t="s">
        <v>1976</v>
      </c>
      <c r="AK1585" t="s">
        <v>2426</v>
      </c>
      <c r="AL1585" t="s">
        <v>272</v>
      </c>
    </row>
    <row r="1586" spans="1:38">
      <c r="A1586" t="s">
        <v>7019</v>
      </c>
      <c r="B1586" t="s">
        <v>7020</v>
      </c>
      <c r="C1586" t="s">
        <v>7021</v>
      </c>
      <c r="D1586" t="s">
        <v>7021</v>
      </c>
      <c r="E1586" t="s">
        <v>7022</v>
      </c>
      <c r="F1586" t="s">
        <v>2425</v>
      </c>
      <c r="G1586">
        <v>3</v>
      </c>
      <c r="H1586">
        <v>1</v>
      </c>
      <c r="I1586">
        <v>1E-4</v>
      </c>
      <c r="J1586">
        <v>1000</v>
      </c>
      <c r="K1586">
        <v>1.51</v>
      </c>
      <c r="L1586">
        <v>70.75</v>
      </c>
      <c r="M1586">
        <v>71.7196</v>
      </c>
      <c r="N1586">
        <v>71.594099999999997</v>
      </c>
      <c r="O1586">
        <v>70.749300000000005</v>
      </c>
      <c r="P1586">
        <v>0</v>
      </c>
      <c r="Q1586">
        <v>0</v>
      </c>
      <c r="R1586">
        <v>0</v>
      </c>
      <c r="S1586">
        <v>70.746300000000005</v>
      </c>
      <c r="T1586">
        <v>69.646600000000007</v>
      </c>
      <c r="U1586">
        <v>69.646600000000007</v>
      </c>
      <c r="V1586">
        <v>71.100399999999993</v>
      </c>
      <c r="W1586">
        <v>19306860</v>
      </c>
      <c r="X1586">
        <v>69.917699999999996</v>
      </c>
      <c r="Y1586">
        <v>71.100300000000004</v>
      </c>
      <c r="Z1586">
        <v>9</v>
      </c>
      <c r="AA1586">
        <v>253992</v>
      </c>
      <c r="AB1586">
        <v>9841750.7699999996</v>
      </c>
      <c r="AC1586">
        <v>0</v>
      </c>
      <c r="AD1586" t="s">
        <v>2</v>
      </c>
      <c r="AE1586" t="s">
        <v>94</v>
      </c>
      <c r="AF1586" t="s">
        <v>226</v>
      </c>
      <c r="AG1586" t="s">
        <v>226</v>
      </c>
      <c r="AH1586">
        <v>-100</v>
      </c>
      <c r="AI1586" t="s">
        <v>3537</v>
      </c>
      <c r="AJ1586" t="s">
        <v>1976</v>
      </c>
      <c r="AK1586" t="s">
        <v>2426</v>
      </c>
      <c r="AL1586" t="s">
        <v>272</v>
      </c>
    </row>
    <row r="1587" spans="1:38">
      <c r="A1587" t="s">
        <v>7023</v>
      </c>
      <c r="B1587" t="s">
        <v>7024</v>
      </c>
      <c r="C1587" t="s">
        <v>7025</v>
      </c>
      <c r="D1587" t="s">
        <v>7025</v>
      </c>
      <c r="E1587" t="s">
        <v>7026</v>
      </c>
      <c r="F1587" t="s">
        <v>2413</v>
      </c>
      <c r="G1587">
        <v>3</v>
      </c>
      <c r="H1587">
        <v>1</v>
      </c>
      <c r="I1587">
        <v>0.01</v>
      </c>
      <c r="J1587">
        <v>1000</v>
      </c>
      <c r="K1587">
        <v>0.21</v>
      </c>
      <c r="L1587">
        <v>70.33</v>
      </c>
      <c r="M1587">
        <v>70.180000000000007</v>
      </c>
      <c r="N1587">
        <v>70.400000000000006</v>
      </c>
      <c r="O1587">
        <v>70.33</v>
      </c>
      <c r="P1587">
        <v>0</v>
      </c>
      <c r="Q1587">
        <v>0</v>
      </c>
      <c r="R1587">
        <v>0</v>
      </c>
      <c r="S1587">
        <v>70.58</v>
      </c>
      <c r="T1587">
        <v>70.650000000000006</v>
      </c>
      <c r="U1587">
        <v>70.31</v>
      </c>
      <c r="V1587">
        <v>70.709999999999994</v>
      </c>
      <c r="W1587">
        <v>30350</v>
      </c>
      <c r="X1587">
        <v>70.3</v>
      </c>
      <c r="Y1587">
        <v>70.33</v>
      </c>
      <c r="Z1587">
        <v>11</v>
      </c>
      <c r="AA1587">
        <v>500000</v>
      </c>
      <c r="AB1587">
        <v>5626.4</v>
      </c>
      <c r="AC1587">
        <v>0</v>
      </c>
      <c r="AD1587" t="s">
        <v>94</v>
      </c>
      <c r="AE1587" t="s">
        <v>94</v>
      </c>
      <c r="AF1587" t="s">
        <v>226</v>
      </c>
      <c r="AG1587" t="s">
        <v>226</v>
      </c>
      <c r="AH1587">
        <v>6</v>
      </c>
      <c r="AI1587" t="s">
        <v>3537</v>
      </c>
      <c r="AJ1587" t="s">
        <v>1976</v>
      </c>
      <c r="AK1587" t="s">
        <v>2416</v>
      </c>
      <c r="AL1587" t="s">
        <v>272</v>
      </c>
    </row>
    <row r="1588" spans="1:38">
      <c r="A1588" t="s">
        <v>7027</v>
      </c>
      <c r="B1588" t="s">
        <v>7028</v>
      </c>
      <c r="C1588" t="s">
        <v>7029</v>
      </c>
      <c r="D1588" t="s">
        <v>7029</v>
      </c>
      <c r="E1588" t="s">
        <v>7030</v>
      </c>
      <c r="F1588" t="s">
        <v>2413</v>
      </c>
      <c r="G1588">
        <v>3</v>
      </c>
      <c r="H1588">
        <v>1</v>
      </c>
      <c r="I1588">
        <v>0.01</v>
      </c>
      <c r="J1588">
        <v>1000</v>
      </c>
      <c r="K1588">
        <v>-0.23</v>
      </c>
      <c r="L1588">
        <v>77.59</v>
      </c>
      <c r="M1588">
        <v>77.77</v>
      </c>
      <c r="N1588">
        <v>79.14</v>
      </c>
      <c r="O1588">
        <v>77.58</v>
      </c>
      <c r="P1588">
        <v>0</v>
      </c>
      <c r="Q1588">
        <v>0</v>
      </c>
      <c r="R1588">
        <v>0</v>
      </c>
      <c r="S1588">
        <v>77.58</v>
      </c>
      <c r="T1588">
        <v>77.53</v>
      </c>
      <c r="U1588">
        <v>77.53</v>
      </c>
      <c r="V1588">
        <v>77.59</v>
      </c>
      <c r="W1588">
        <v>36463</v>
      </c>
      <c r="X1588">
        <v>77.52</v>
      </c>
      <c r="Y1588">
        <v>77.58</v>
      </c>
      <c r="Z1588">
        <v>8</v>
      </c>
      <c r="AA1588">
        <v>100000</v>
      </c>
      <c r="AB1588">
        <v>19397.5</v>
      </c>
      <c r="AC1588">
        <v>0</v>
      </c>
      <c r="AD1588" t="s">
        <v>94</v>
      </c>
      <c r="AE1588" t="s">
        <v>94</v>
      </c>
      <c r="AF1588" t="s">
        <v>226</v>
      </c>
      <c r="AG1588" t="s">
        <v>226</v>
      </c>
      <c r="AH1588">
        <v>6</v>
      </c>
      <c r="AI1588" t="s">
        <v>3537</v>
      </c>
      <c r="AJ1588" t="s">
        <v>1976</v>
      </c>
      <c r="AK1588" t="s">
        <v>2416</v>
      </c>
      <c r="AL1588" t="s">
        <v>272</v>
      </c>
    </row>
    <row r="1589" spans="1:38">
      <c r="A1589" t="s">
        <v>7031</v>
      </c>
      <c r="B1589" t="s">
        <v>7032</v>
      </c>
      <c r="C1589" t="s">
        <v>7033</v>
      </c>
      <c r="D1589" t="s">
        <v>7033</v>
      </c>
      <c r="E1589" t="s">
        <v>7034</v>
      </c>
      <c r="F1589" t="s">
        <v>3754</v>
      </c>
      <c r="G1589">
        <v>1</v>
      </c>
      <c r="H1589">
        <v>1</v>
      </c>
      <c r="I1589">
        <v>0.01</v>
      </c>
      <c r="J1589">
        <v>150</v>
      </c>
      <c r="K1589">
        <v>-0.25</v>
      </c>
      <c r="L1589">
        <v>90.41</v>
      </c>
      <c r="M1589">
        <v>90.64</v>
      </c>
      <c r="N1589">
        <v>90.51</v>
      </c>
      <c r="O1589">
        <v>90.47</v>
      </c>
      <c r="P1589">
        <v>0</v>
      </c>
      <c r="Q1589">
        <v>0</v>
      </c>
      <c r="R1589">
        <v>0</v>
      </c>
      <c r="S1589">
        <v>90.57</v>
      </c>
      <c r="T1589">
        <v>90.67</v>
      </c>
      <c r="U1589">
        <v>90.41</v>
      </c>
      <c r="V1589">
        <v>90.77</v>
      </c>
      <c r="W1589">
        <v>33419</v>
      </c>
      <c r="X1589">
        <v>90.41</v>
      </c>
      <c r="Y1589">
        <v>90.62</v>
      </c>
      <c r="Z1589">
        <v>37</v>
      </c>
      <c r="AA1589">
        <v>3000000</v>
      </c>
      <c r="AB1589">
        <v>3254.76</v>
      </c>
      <c r="AC1589">
        <v>0</v>
      </c>
      <c r="AD1589" t="s">
        <v>94</v>
      </c>
      <c r="AE1589" t="s">
        <v>94</v>
      </c>
      <c r="AF1589" t="s">
        <v>226</v>
      </c>
      <c r="AG1589" t="s">
        <v>226</v>
      </c>
      <c r="AH1589">
        <v>-100</v>
      </c>
      <c r="AI1589" t="s">
        <v>3537</v>
      </c>
      <c r="AJ1589" t="s">
        <v>1976</v>
      </c>
      <c r="AK1589" t="s">
        <v>3755</v>
      </c>
      <c r="AL1589" t="s">
        <v>272</v>
      </c>
    </row>
    <row r="1590" spans="1:38">
      <c r="A1590" t="s">
        <v>7035</v>
      </c>
      <c r="B1590" t="s">
        <v>7036</v>
      </c>
      <c r="C1590" t="s">
        <v>7037</v>
      </c>
      <c r="D1590" t="s">
        <v>7037</v>
      </c>
      <c r="E1590" t="s">
        <v>7038</v>
      </c>
      <c r="F1590" t="s">
        <v>3754</v>
      </c>
      <c r="G1590">
        <v>1</v>
      </c>
      <c r="H1590">
        <v>1</v>
      </c>
      <c r="I1590">
        <v>0.01</v>
      </c>
      <c r="J1590">
        <v>200</v>
      </c>
      <c r="K1590">
        <v>0</v>
      </c>
      <c r="L1590">
        <v>90</v>
      </c>
      <c r="M1590">
        <v>90</v>
      </c>
      <c r="N1590">
        <v>90.31</v>
      </c>
      <c r="O1590">
        <v>90</v>
      </c>
      <c r="P1590">
        <v>0</v>
      </c>
      <c r="Q1590">
        <v>0</v>
      </c>
      <c r="R1590">
        <v>0</v>
      </c>
      <c r="S1590">
        <v>90</v>
      </c>
      <c r="T1590">
        <v>90</v>
      </c>
      <c r="U1590">
        <v>90</v>
      </c>
      <c r="V1590">
        <v>90</v>
      </c>
      <c r="W1590">
        <v>10440</v>
      </c>
      <c r="X1590">
        <v>89.06</v>
      </c>
      <c r="Y1590">
        <v>90</v>
      </c>
      <c r="Z1590">
        <v>4</v>
      </c>
      <c r="AA1590">
        <v>2500000</v>
      </c>
      <c r="AB1590">
        <v>180</v>
      </c>
      <c r="AC1590">
        <v>0</v>
      </c>
      <c r="AD1590" t="s">
        <v>94</v>
      </c>
      <c r="AE1590" t="s">
        <v>94</v>
      </c>
      <c r="AF1590" t="s">
        <v>226</v>
      </c>
      <c r="AG1590" t="s">
        <v>226</v>
      </c>
      <c r="AH1590">
        <v>-100</v>
      </c>
      <c r="AI1590" t="s">
        <v>3537</v>
      </c>
      <c r="AJ1590" t="s">
        <v>1976</v>
      </c>
      <c r="AK1590" t="s">
        <v>3755</v>
      </c>
      <c r="AL1590" t="s">
        <v>272</v>
      </c>
    </row>
    <row r="1591" spans="1:38">
      <c r="A1591" t="s">
        <v>7039</v>
      </c>
      <c r="B1591" t="s">
        <v>7040</v>
      </c>
      <c r="C1591" t="s">
        <v>7041</v>
      </c>
      <c r="D1591" t="s">
        <v>7041</v>
      </c>
      <c r="E1591" t="s">
        <v>7042</v>
      </c>
      <c r="F1591" t="s">
        <v>2425</v>
      </c>
      <c r="G1591">
        <v>3</v>
      </c>
      <c r="H1591">
        <v>1</v>
      </c>
      <c r="I1591">
        <v>0.01</v>
      </c>
      <c r="J1591">
        <v>155</v>
      </c>
      <c r="K1591">
        <v>0</v>
      </c>
      <c r="L1591">
        <v>0</v>
      </c>
      <c r="M1591">
        <v>100.06</v>
      </c>
      <c r="N1591">
        <v>0</v>
      </c>
      <c r="O1591">
        <v>100.06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4373000</v>
      </c>
      <c r="AB1591">
        <v>0</v>
      </c>
      <c r="AC1591">
        <v>0</v>
      </c>
      <c r="AD1591" t="s">
        <v>94</v>
      </c>
      <c r="AE1591" t="s">
        <v>94</v>
      </c>
      <c r="AF1591" t="s">
        <v>226</v>
      </c>
      <c r="AG1591" t="s">
        <v>226</v>
      </c>
      <c r="AH1591">
        <v>6</v>
      </c>
      <c r="AI1591" t="s">
        <v>3537</v>
      </c>
      <c r="AJ1591" t="s">
        <v>1976</v>
      </c>
      <c r="AK1591" t="s">
        <v>2426</v>
      </c>
      <c r="AL1591" t="s">
        <v>272</v>
      </c>
    </row>
    <row r="1592" spans="1:38">
      <c r="A1592" t="s">
        <v>7043</v>
      </c>
      <c r="B1592" t="s">
        <v>226</v>
      </c>
      <c r="C1592" t="s">
        <v>7044</v>
      </c>
      <c r="D1592" t="s">
        <v>7044</v>
      </c>
      <c r="E1592" t="s">
        <v>7045</v>
      </c>
      <c r="F1592" t="s">
        <v>2413</v>
      </c>
      <c r="G1592">
        <v>3</v>
      </c>
      <c r="H1592">
        <v>1</v>
      </c>
      <c r="I1592">
        <v>0.01</v>
      </c>
      <c r="J1592">
        <v>1000</v>
      </c>
      <c r="K1592">
        <v>-0.24</v>
      </c>
      <c r="L1592">
        <v>90.38</v>
      </c>
      <c r="M1592">
        <v>90.6</v>
      </c>
      <c r="N1592">
        <v>90.55</v>
      </c>
      <c r="O1592">
        <v>90.38</v>
      </c>
      <c r="P1592">
        <v>0</v>
      </c>
      <c r="Q1592">
        <v>0</v>
      </c>
      <c r="R1592">
        <v>0</v>
      </c>
      <c r="S1592">
        <v>90.5</v>
      </c>
      <c r="T1592">
        <v>91.39</v>
      </c>
      <c r="U1592">
        <v>90.38</v>
      </c>
      <c r="V1592">
        <v>91.39</v>
      </c>
      <c r="W1592">
        <v>896839</v>
      </c>
      <c r="X1592">
        <v>90.4</v>
      </c>
      <c r="Y1592">
        <v>90.64</v>
      </c>
      <c r="Z1592">
        <v>27</v>
      </c>
      <c r="AA1592">
        <v>7000000</v>
      </c>
      <c r="AB1592">
        <v>903.8</v>
      </c>
      <c r="AC1592">
        <v>0</v>
      </c>
      <c r="AD1592" t="s">
        <v>94</v>
      </c>
      <c r="AE1592" t="s">
        <v>94</v>
      </c>
      <c r="AF1592" t="s">
        <v>226</v>
      </c>
      <c r="AG1592" t="s">
        <v>226</v>
      </c>
      <c r="AH1592">
        <v>-100</v>
      </c>
      <c r="AI1592" t="s">
        <v>3537</v>
      </c>
      <c r="AJ1592" t="s">
        <v>1976</v>
      </c>
      <c r="AK1592" t="s">
        <v>2416</v>
      </c>
      <c r="AL1592" t="s">
        <v>272</v>
      </c>
    </row>
    <row r="1593" spans="1:38">
      <c r="A1593" t="s">
        <v>7046</v>
      </c>
      <c r="B1593" t="s">
        <v>226</v>
      </c>
      <c r="C1593" t="s">
        <v>7047</v>
      </c>
      <c r="D1593" t="s">
        <v>7047</v>
      </c>
      <c r="E1593" t="s">
        <v>7048</v>
      </c>
      <c r="F1593" t="s">
        <v>2425</v>
      </c>
      <c r="G1593">
        <v>3</v>
      </c>
      <c r="H1593">
        <v>1</v>
      </c>
      <c r="I1593">
        <v>0.01</v>
      </c>
      <c r="J1593">
        <v>1000</v>
      </c>
      <c r="K1593">
        <v>1.24</v>
      </c>
      <c r="L1593">
        <v>97.7</v>
      </c>
      <c r="M1593">
        <v>96.49</v>
      </c>
      <c r="N1593">
        <v>96.14</v>
      </c>
      <c r="O1593">
        <v>97.63</v>
      </c>
      <c r="P1593">
        <v>0</v>
      </c>
      <c r="Q1593">
        <v>0</v>
      </c>
      <c r="R1593">
        <v>0</v>
      </c>
      <c r="S1593">
        <v>97.32</v>
      </c>
      <c r="T1593">
        <v>96.5</v>
      </c>
      <c r="U1593">
        <v>94.39</v>
      </c>
      <c r="V1593">
        <v>98.88</v>
      </c>
      <c r="W1593">
        <v>703654</v>
      </c>
      <c r="X1593">
        <v>96.11</v>
      </c>
      <c r="Y1593">
        <v>97.7</v>
      </c>
      <c r="Z1593">
        <v>145</v>
      </c>
      <c r="AA1593">
        <v>5000000</v>
      </c>
      <c r="AB1593">
        <v>17586</v>
      </c>
      <c r="AC1593">
        <v>0</v>
      </c>
      <c r="AD1593" t="s">
        <v>94</v>
      </c>
      <c r="AE1593" t="s">
        <v>94</v>
      </c>
      <c r="AF1593" t="s">
        <v>226</v>
      </c>
      <c r="AG1593" t="s">
        <v>226</v>
      </c>
      <c r="AH1593">
        <v>-100</v>
      </c>
      <c r="AI1593" t="s">
        <v>3537</v>
      </c>
      <c r="AJ1593" t="s">
        <v>1976</v>
      </c>
      <c r="AK1593" t="s">
        <v>2426</v>
      </c>
      <c r="AL1593" t="s">
        <v>272</v>
      </c>
    </row>
    <row r="1594" spans="1:38">
      <c r="A1594" t="s">
        <v>7049</v>
      </c>
      <c r="B1594" t="s">
        <v>226</v>
      </c>
      <c r="C1594" t="s">
        <v>7050</v>
      </c>
      <c r="D1594" t="s">
        <v>7050</v>
      </c>
      <c r="E1594" t="s">
        <v>7051</v>
      </c>
      <c r="F1594" t="s">
        <v>2425</v>
      </c>
      <c r="G1594">
        <v>3</v>
      </c>
      <c r="H1594">
        <v>1</v>
      </c>
      <c r="I1594">
        <v>0.01</v>
      </c>
      <c r="J1594">
        <v>1000</v>
      </c>
      <c r="K1594">
        <v>0.28000000000000003</v>
      </c>
      <c r="L1594">
        <v>82.56</v>
      </c>
      <c r="M1594">
        <v>82.33</v>
      </c>
      <c r="N1594">
        <v>81.77</v>
      </c>
      <c r="O1594">
        <v>82.56</v>
      </c>
      <c r="P1594">
        <v>0</v>
      </c>
      <c r="Q1594">
        <v>0</v>
      </c>
      <c r="R1594">
        <v>0</v>
      </c>
      <c r="S1594">
        <v>83.83</v>
      </c>
      <c r="T1594">
        <v>84.99</v>
      </c>
      <c r="U1594">
        <v>81.84</v>
      </c>
      <c r="V1594">
        <v>85</v>
      </c>
      <c r="W1594">
        <v>18444</v>
      </c>
      <c r="X1594">
        <v>82.39</v>
      </c>
      <c r="Y1594">
        <v>82.9</v>
      </c>
      <c r="Z1594">
        <v>8</v>
      </c>
      <c r="AA1594">
        <v>1700000</v>
      </c>
      <c r="AB1594">
        <v>825.6</v>
      </c>
      <c r="AC1594">
        <v>0</v>
      </c>
      <c r="AD1594" t="s">
        <v>94</v>
      </c>
      <c r="AE1594" t="s">
        <v>94</v>
      </c>
      <c r="AF1594" t="s">
        <v>226</v>
      </c>
      <c r="AG1594" t="s">
        <v>226</v>
      </c>
      <c r="AH1594">
        <v>-100</v>
      </c>
      <c r="AI1594" t="s">
        <v>3537</v>
      </c>
      <c r="AJ1594" t="s">
        <v>1976</v>
      </c>
      <c r="AK1594" t="s">
        <v>2426</v>
      </c>
      <c r="AL1594" t="s">
        <v>272</v>
      </c>
    </row>
    <row r="1595" spans="1:38">
      <c r="A1595" t="s">
        <v>7052</v>
      </c>
      <c r="B1595" t="s">
        <v>226</v>
      </c>
      <c r="C1595" t="s">
        <v>7053</v>
      </c>
      <c r="D1595" t="s">
        <v>7053</v>
      </c>
      <c r="E1595" t="s">
        <v>7054</v>
      </c>
      <c r="F1595" t="s">
        <v>2425</v>
      </c>
      <c r="G1595">
        <v>3</v>
      </c>
      <c r="H1595">
        <v>1</v>
      </c>
      <c r="I1595">
        <v>0.01</v>
      </c>
      <c r="J1595">
        <v>1000</v>
      </c>
      <c r="K1595">
        <v>0.2</v>
      </c>
      <c r="L1595">
        <v>98.9</v>
      </c>
      <c r="M1595">
        <v>98.7</v>
      </c>
      <c r="N1595">
        <v>99</v>
      </c>
      <c r="O1595">
        <v>98.9</v>
      </c>
      <c r="P1595">
        <v>0</v>
      </c>
      <c r="Q1595">
        <v>0</v>
      </c>
      <c r="R1595">
        <v>0</v>
      </c>
      <c r="S1595">
        <v>98.21</v>
      </c>
      <c r="T1595">
        <v>98.73</v>
      </c>
      <c r="U1595">
        <v>97.79</v>
      </c>
      <c r="V1595">
        <v>99.31</v>
      </c>
      <c r="W1595">
        <v>852481</v>
      </c>
      <c r="X1595">
        <v>98.71</v>
      </c>
      <c r="Y1595">
        <v>98.9</v>
      </c>
      <c r="Z1595">
        <v>74</v>
      </c>
      <c r="AA1595">
        <v>5500000</v>
      </c>
      <c r="AB1595">
        <v>989</v>
      </c>
      <c r="AC1595">
        <v>0</v>
      </c>
      <c r="AD1595" t="s">
        <v>94</v>
      </c>
      <c r="AE1595" t="s">
        <v>94</v>
      </c>
      <c r="AF1595" t="s">
        <v>226</v>
      </c>
      <c r="AG1595" t="s">
        <v>226</v>
      </c>
      <c r="AH1595">
        <v>8</v>
      </c>
      <c r="AI1595" t="s">
        <v>3537</v>
      </c>
      <c r="AJ1595" t="s">
        <v>1976</v>
      </c>
      <c r="AK1595" t="s">
        <v>2426</v>
      </c>
      <c r="AL1595" t="s">
        <v>272</v>
      </c>
    </row>
    <row r="1596" spans="1:38">
      <c r="A1596" t="s">
        <v>7055</v>
      </c>
      <c r="B1596" t="s">
        <v>226</v>
      </c>
      <c r="C1596" t="s">
        <v>7056</v>
      </c>
      <c r="D1596" t="s">
        <v>7056</v>
      </c>
      <c r="E1596" t="s">
        <v>7057</v>
      </c>
      <c r="F1596" t="s">
        <v>2425</v>
      </c>
      <c r="G1596">
        <v>3</v>
      </c>
      <c r="H1596">
        <v>1</v>
      </c>
      <c r="I1596">
        <v>0.01</v>
      </c>
      <c r="J1596">
        <v>1000</v>
      </c>
      <c r="K1596">
        <v>0.31</v>
      </c>
      <c r="L1596">
        <v>94.47</v>
      </c>
      <c r="M1596">
        <v>94.18</v>
      </c>
      <c r="N1596">
        <v>94.22</v>
      </c>
      <c r="O1596">
        <v>94.44</v>
      </c>
      <c r="P1596">
        <v>0</v>
      </c>
      <c r="Q1596">
        <v>0</v>
      </c>
      <c r="R1596">
        <v>0</v>
      </c>
      <c r="S1596">
        <v>94.34</v>
      </c>
      <c r="T1596">
        <v>94.38</v>
      </c>
      <c r="U1596">
        <v>94.01</v>
      </c>
      <c r="V1596">
        <v>94.48</v>
      </c>
      <c r="W1596">
        <v>279251</v>
      </c>
      <c r="X1596">
        <v>94.4</v>
      </c>
      <c r="Y1596">
        <v>94.45</v>
      </c>
      <c r="Z1596">
        <v>42</v>
      </c>
      <c r="AA1596">
        <v>5000000</v>
      </c>
      <c r="AB1596">
        <v>9447</v>
      </c>
      <c r="AC1596">
        <v>0</v>
      </c>
      <c r="AD1596" t="s">
        <v>94</v>
      </c>
      <c r="AE1596" t="s">
        <v>94</v>
      </c>
      <c r="AF1596" t="s">
        <v>226</v>
      </c>
      <c r="AG1596" t="s">
        <v>226</v>
      </c>
      <c r="AH1596">
        <v>8</v>
      </c>
      <c r="AI1596" t="s">
        <v>3537</v>
      </c>
      <c r="AJ1596" t="s">
        <v>1976</v>
      </c>
      <c r="AK1596" t="s">
        <v>2426</v>
      </c>
      <c r="AL1596" t="s">
        <v>272</v>
      </c>
    </row>
    <row r="1597" spans="1:38">
      <c r="A1597" t="s">
        <v>7058</v>
      </c>
      <c r="B1597" t="s">
        <v>7059</v>
      </c>
      <c r="C1597" t="s">
        <v>7060</v>
      </c>
      <c r="D1597" t="s">
        <v>7060</v>
      </c>
      <c r="E1597" t="s">
        <v>7061</v>
      </c>
      <c r="F1597" t="s">
        <v>2413</v>
      </c>
      <c r="G1597">
        <v>2</v>
      </c>
      <c r="H1597">
        <v>1</v>
      </c>
      <c r="I1597">
        <v>0.01</v>
      </c>
      <c r="J1597">
        <v>1000</v>
      </c>
      <c r="K1597">
        <v>-2.63</v>
      </c>
      <c r="L1597">
        <v>84.7</v>
      </c>
      <c r="M1597">
        <v>86.99</v>
      </c>
      <c r="N1597">
        <v>87.1</v>
      </c>
      <c r="O1597">
        <v>84.95</v>
      </c>
      <c r="P1597">
        <v>0</v>
      </c>
      <c r="Q1597">
        <v>0</v>
      </c>
      <c r="R1597">
        <v>0</v>
      </c>
      <c r="S1597">
        <v>86.81</v>
      </c>
      <c r="T1597">
        <v>86.99</v>
      </c>
      <c r="U1597">
        <v>84.33</v>
      </c>
      <c r="V1597">
        <v>87.5</v>
      </c>
      <c r="W1597">
        <v>20016122</v>
      </c>
      <c r="X1597">
        <v>84.71</v>
      </c>
      <c r="Y1597">
        <v>85.36</v>
      </c>
      <c r="Z1597">
        <v>576</v>
      </c>
      <c r="AA1597">
        <v>5000000</v>
      </c>
      <c r="AB1597">
        <v>11011</v>
      </c>
      <c r="AC1597">
        <v>0</v>
      </c>
      <c r="AD1597" t="s">
        <v>94</v>
      </c>
      <c r="AE1597" t="s">
        <v>94</v>
      </c>
      <c r="AF1597" t="s">
        <v>226</v>
      </c>
      <c r="AG1597" t="s">
        <v>226</v>
      </c>
      <c r="AH1597">
        <v>6</v>
      </c>
      <c r="AI1597" t="s">
        <v>3537</v>
      </c>
      <c r="AJ1597" t="s">
        <v>1976</v>
      </c>
      <c r="AK1597" t="s">
        <v>2416</v>
      </c>
      <c r="AL1597" t="s">
        <v>272</v>
      </c>
    </row>
    <row r="1598" spans="1:38">
      <c r="A1598" t="s">
        <v>7062</v>
      </c>
      <c r="B1598" t="s">
        <v>7063</v>
      </c>
      <c r="C1598" t="s">
        <v>7064</v>
      </c>
      <c r="D1598" t="s">
        <v>7064</v>
      </c>
      <c r="E1598" t="s">
        <v>7065</v>
      </c>
      <c r="F1598" t="s">
        <v>2413</v>
      </c>
      <c r="G1598">
        <v>3</v>
      </c>
      <c r="H1598">
        <v>1</v>
      </c>
      <c r="I1598">
        <v>0.01</v>
      </c>
      <c r="J1598">
        <v>1000</v>
      </c>
      <c r="K1598">
        <v>0.01</v>
      </c>
      <c r="L1598">
        <v>87.28</v>
      </c>
      <c r="M1598">
        <v>87.27</v>
      </c>
      <c r="N1598">
        <v>87.33</v>
      </c>
      <c r="O1598">
        <v>87.28</v>
      </c>
      <c r="P1598">
        <v>0</v>
      </c>
      <c r="Q1598">
        <v>0</v>
      </c>
      <c r="R1598">
        <v>0</v>
      </c>
      <c r="S1598">
        <v>87.36</v>
      </c>
      <c r="T1598">
        <v>87.49</v>
      </c>
      <c r="U1598">
        <v>87.23</v>
      </c>
      <c r="V1598">
        <v>87.78</v>
      </c>
      <c r="W1598">
        <v>8864437</v>
      </c>
      <c r="X1598">
        <v>87.27</v>
      </c>
      <c r="Y1598">
        <v>87.28</v>
      </c>
      <c r="Z1598">
        <v>337</v>
      </c>
      <c r="AA1598">
        <v>7000000</v>
      </c>
      <c r="AB1598">
        <v>872.8</v>
      </c>
      <c r="AC1598">
        <v>0</v>
      </c>
      <c r="AD1598" t="s">
        <v>94</v>
      </c>
      <c r="AE1598" t="s">
        <v>94</v>
      </c>
      <c r="AF1598" t="s">
        <v>226</v>
      </c>
      <c r="AG1598" t="s">
        <v>226</v>
      </c>
      <c r="AH1598">
        <v>6</v>
      </c>
      <c r="AI1598" t="s">
        <v>3537</v>
      </c>
      <c r="AJ1598" t="s">
        <v>1976</v>
      </c>
      <c r="AK1598" t="s">
        <v>2416</v>
      </c>
      <c r="AL1598" t="s">
        <v>272</v>
      </c>
    </row>
    <row r="1599" spans="1:38">
      <c r="A1599" t="s">
        <v>7066</v>
      </c>
      <c r="B1599" t="s">
        <v>7067</v>
      </c>
      <c r="C1599" t="s">
        <v>7068</v>
      </c>
      <c r="D1599" t="s">
        <v>7068</v>
      </c>
      <c r="E1599" t="s">
        <v>7069</v>
      </c>
      <c r="F1599" t="s">
        <v>2413</v>
      </c>
      <c r="G1599">
        <v>3</v>
      </c>
      <c r="H1599">
        <v>1</v>
      </c>
      <c r="I1599">
        <v>0.01</v>
      </c>
      <c r="J1599">
        <v>1000</v>
      </c>
      <c r="K1599">
        <v>0.35</v>
      </c>
      <c r="L1599">
        <v>86.6</v>
      </c>
      <c r="M1599">
        <v>86.3</v>
      </c>
      <c r="N1599">
        <v>86.31</v>
      </c>
      <c r="O1599">
        <v>86.6</v>
      </c>
      <c r="P1599">
        <v>0</v>
      </c>
      <c r="Q1599">
        <v>0</v>
      </c>
      <c r="R1599">
        <v>0</v>
      </c>
      <c r="S1599">
        <v>86.64</v>
      </c>
      <c r="T1599">
        <v>86.97</v>
      </c>
      <c r="U1599">
        <v>86.15</v>
      </c>
      <c r="V1599">
        <v>86.97</v>
      </c>
      <c r="W1599">
        <v>4312942</v>
      </c>
      <c r="X1599">
        <v>86.52</v>
      </c>
      <c r="Y1599">
        <v>86.6</v>
      </c>
      <c r="Z1599">
        <v>240</v>
      </c>
      <c r="AA1599">
        <v>3750000</v>
      </c>
      <c r="AB1599">
        <v>4330</v>
      </c>
      <c r="AC1599">
        <v>0</v>
      </c>
      <c r="AD1599" t="s">
        <v>94</v>
      </c>
      <c r="AE1599" t="s">
        <v>94</v>
      </c>
      <c r="AF1599" t="s">
        <v>226</v>
      </c>
      <c r="AG1599" t="s">
        <v>226</v>
      </c>
      <c r="AH1599">
        <v>800</v>
      </c>
      <c r="AI1599" t="s">
        <v>3537</v>
      </c>
      <c r="AJ1599" t="s">
        <v>1976</v>
      </c>
      <c r="AK1599" t="s">
        <v>2416</v>
      </c>
      <c r="AL1599" t="s">
        <v>272</v>
      </c>
    </row>
    <row r="1600" spans="1:38">
      <c r="A1600" t="s">
        <v>7070</v>
      </c>
      <c r="B1600" t="s">
        <v>7071</v>
      </c>
      <c r="C1600" t="s">
        <v>7072</v>
      </c>
      <c r="D1600" t="s">
        <v>7072</v>
      </c>
      <c r="E1600" t="s">
        <v>7073</v>
      </c>
      <c r="F1600" t="s">
        <v>2413</v>
      </c>
      <c r="G1600">
        <v>3</v>
      </c>
      <c r="H1600">
        <v>1</v>
      </c>
      <c r="I1600">
        <v>0.01</v>
      </c>
      <c r="J1600">
        <v>1000</v>
      </c>
      <c r="K1600">
        <v>0.96</v>
      </c>
      <c r="L1600">
        <v>107.41</v>
      </c>
      <c r="M1600">
        <v>106.39</v>
      </c>
      <c r="N1600">
        <v>106.32</v>
      </c>
      <c r="O1600">
        <v>107.41</v>
      </c>
      <c r="P1600">
        <v>0</v>
      </c>
      <c r="Q1600">
        <v>0</v>
      </c>
      <c r="R1600">
        <v>0</v>
      </c>
      <c r="S1600">
        <v>106.81</v>
      </c>
      <c r="T1600">
        <v>105.73</v>
      </c>
      <c r="U1600">
        <v>105.02</v>
      </c>
      <c r="V1600">
        <v>107.41</v>
      </c>
      <c r="W1600">
        <v>566119</v>
      </c>
      <c r="X1600">
        <v>106.43</v>
      </c>
      <c r="Y1600">
        <v>107.41</v>
      </c>
      <c r="Z1600">
        <v>23</v>
      </c>
      <c r="AA1600">
        <v>150000</v>
      </c>
      <c r="AB1600">
        <v>37593.5</v>
      </c>
      <c r="AC1600">
        <v>0</v>
      </c>
      <c r="AD1600" t="s">
        <v>94</v>
      </c>
      <c r="AE1600" t="s">
        <v>94</v>
      </c>
      <c r="AF1600" t="s">
        <v>304</v>
      </c>
      <c r="AG1600" t="s">
        <v>226</v>
      </c>
      <c r="AH1600">
        <v>0</v>
      </c>
      <c r="AI1600" t="s">
        <v>3537</v>
      </c>
      <c r="AJ1600" t="s">
        <v>1976</v>
      </c>
      <c r="AK1600" t="s">
        <v>2416</v>
      </c>
      <c r="AL1600" t="s">
        <v>272</v>
      </c>
    </row>
    <row r="1601" spans="1:38">
      <c r="A1601" t="s">
        <v>7074</v>
      </c>
      <c r="B1601" t="s">
        <v>7075</v>
      </c>
      <c r="C1601" t="s">
        <v>7076</v>
      </c>
      <c r="D1601" t="s">
        <v>7076</v>
      </c>
      <c r="E1601" t="s">
        <v>7077</v>
      </c>
      <c r="F1601" t="s">
        <v>2413</v>
      </c>
      <c r="G1601">
        <v>3</v>
      </c>
      <c r="H1601">
        <v>1</v>
      </c>
      <c r="I1601">
        <v>0.01</v>
      </c>
      <c r="J1601">
        <v>1000</v>
      </c>
      <c r="K1601">
        <v>11.22</v>
      </c>
      <c r="L1601">
        <v>99.15</v>
      </c>
      <c r="M1601">
        <v>89.15</v>
      </c>
      <c r="N1601">
        <v>0</v>
      </c>
      <c r="O1601">
        <v>99.15</v>
      </c>
      <c r="P1601">
        <v>0</v>
      </c>
      <c r="Q1601">
        <v>0</v>
      </c>
      <c r="R1601">
        <v>0</v>
      </c>
      <c r="S1601">
        <v>99.15</v>
      </c>
      <c r="T1601">
        <v>99.15</v>
      </c>
      <c r="U1601">
        <v>99.15</v>
      </c>
      <c r="V1601">
        <v>99.15</v>
      </c>
      <c r="W1601">
        <v>992</v>
      </c>
      <c r="X1601">
        <v>89.15</v>
      </c>
      <c r="Y1601">
        <v>100</v>
      </c>
      <c r="Z1601">
        <v>1</v>
      </c>
      <c r="AA1601">
        <v>150000</v>
      </c>
      <c r="AB1601">
        <v>991.5</v>
      </c>
      <c r="AC1601">
        <v>0</v>
      </c>
      <c r="AD1601" t="s">
        <v>94</v>
      </c>
      <c r="AE1601" t="s">
        <v>94</v>
      </c>
      <c r="AF1601" t="s">
        <v>304</v>
      </c>
      <c r="AG1601" t="s">
        <v>226</v>
      </c>
      <c r="AH1601">
        <v>0</v>
      </c>
      <c r="AI1601" t="s">
        <v>3537</v>
      </c>
      <c r="AJ1601" t="s">
        <v>1976</v>
      </c>
      <c r="AK1601" t="s">
        <v>2416</v>
      </c>
      <c r="AL1601" t="s">
        <v>272</v>
      </c>
    </row>
    <row r="1602" spans="1:38">
      <c r="A1602" t="s">
        <v>7078</v>
      </c>
      <c r="B1602" t="s">
        <v>7079</v>
      </c>
      <c r="C1602" t="s">
        <v>7080</v>
      </c>
      <c r="D1602" t="s">
        <v>7080</v>
      </c>
      <c r="E1602" t="s">
        <v>7081</v>
      </c>
      <c r="F1602" t="s">
        <v>2413</v>
      </c>
      <c r="G1602">
        <v>3</v>
      </c>
      <c r="H1602">
        <v>1</v>
      </c>
      <c r="I1602">
        <v>0.01</v>
      </c>
      <c r="J1602">
        <v>1000</v>
      </c>
      <c r="K1602">
        <v>2.06</v>
      </c>
      <c r="L1602">
        <v>76.760000000000005</v>
      </c>
      <c r="M1602">
        <v>75.209999999999994</v>
      </c>
      <c r="N1602">
        <v>76.94</v>
      </c>
      <c r="O1602">
        <v>76.760000000000005</v>
      </c>
      <c r="P1602">
        <v>0</v>
      </c>
      <c r="Q1602">
        <v>0</v>
      </c>
      <c r="R1602">
        <v>0</v>
      </c>
      <c r="S1602">
        <v>76.650000000000006</v>
      </c>
      <c r="T1602">
        <v>76.989999999999995</v>
      </c>
      <c r="U1602">
        <v>75.2</v>
      </c>
      <c r="V1602">
        <v>77</v>
      </c>
      <c r="W1602">
        <v>83553</v>
      </c>
      <c r="X1602">
        <v>76.680000000000007</v>
      </c>
      <c r="Y1602">
        <v>76.760000000000005</v>
      </c>
      <c r="Z1602">
        <v>15</v>
      </c>
      <c r="AA1602">
        <v>250000</v>
      </c>
      <c r="AB1602">
        <v>37612.400000000001</v>
      </c>
      <c r="AC1602">
        <v>0</v>
      </c>
      <c r="AD1602" t="s">
        <v>94</v>
      </c>
      <c r="AE1602" t="s">
        <v>94</v>
      </c>
      <c r="AF1602" t="s">
        <v>304</v>
      </c>
      <c r="AG1602" t="s">
        <v>226</v>
      </c>
      <c r="AH1602">
        <v>0</v>
      </c>
      <c r="AI1602" t="s">
        <v>3537</v>
      </c>
      <c r="AJ1602" t="s">
        <v>1976</v>
      </c>
      <c r="AK1602" t="s">
        <v>2416</v>
      </c>
      <c r="AL1602" t="s">
        <v>272</v>
      </c>
    </row>
    <row r="1603" spans="1:38">
      <c r="A1603" t="s">
        <v>7082</v>
      </c>
      <c r="B1603" t="s">
        <v>7083</v>
      </c>
      <c r="C1603" t="s">
        <v>7084</v>
      </c>
      <c r="D1603" t="s">
        <v>7084</v>
      </c>
      <c r="E1603" t="s">
        <v>7085</v>
      </c>
      <c r="F1603" t="s">
        <v>2413</v>
      </c>
      <c r="G1603">
        <v>3</v>
      </c>
      <c r="H1603">
        <v>1</v>
      </c>
      <c r="I1603">
        <v>0.01</v>
      </c>
      <c r="J1603">
        <v>1000</v>
      </c>
      <c r="K1603">
        <v>1.81</v>
      </c>
      <c r="L1603">
        <v>73.099999999999994</v>
      </c>
      <c r="M1603">
        <v>71.81</v>
      </c>
      <c r="N1603">
        <v>71.959999999999994</v>
      </c>
      <c r="O1603">
        <v>73.09</v>
      </c>
      <c r="P1603">
        <v>0</v>
      </c>
      <c r="Q1603">
        <v>0</v>
      </c>
      <c r="R1603">
        <v>0</v>
      </c>
      <c r="S1603">
        <v>72.59</v>
      </c>
      <c r="T1603">
        <v>72.44</v>
      </c>
      <c r="U1603">
        <v>71.709999999999994</v>
      </c>
      <c r="V1603">
        <v>73.099999999999994</v>
      </c>
      <c r="W1603">
        <v>759318</v>
      </c>
      <c r="X1603">
        <v>72.55</v>
      </c>
      <c r="Y1603">
        <v>73.099999999999994</v>
      </c>
      <c r="Z1603">
        <v>45</v>
      </c>
      <c r="AA1603">
        <v>300000</v>
      </c>
      <c r="AB1603">
        <v>26316</v>
      </c>
      <c r="AC1603">
        <v>0</v>
      </c>
      <c r="AD1603" t="s">
        <v>94</v>
      </c>
      <c r="AE1603" t="s">
        <v>94</v>
      </c>
      <c r="AF1603" t="s">
        <v>304</v>
      </c>
      <c r="AG1603" t="s">
        <v>226</v>
      </c>
      <c r="AH1603">
        <v>0</v>
      </c>
      <c r="AI1603" t="s">
        <v>3537</v>
      </c>
      <c r="AJ1603" t="s">
        <v>1976</v>
      </c>
      <c r="AK1603" t="s">
        <v>2416</v>
      </c>
      <c r="AL1603" t="s">
        <v>272</v>
      </c>
    </row>
    <row r="1604" spans="1:38">
      <c r="A1604" t="s">
        <v>7086</v>
      </c>
      <c r="B1604" t="s">
        <v>7087</v>
      </c>
      <c r="C1604" t="s">
        <v>7088</v>
      </c>
      <c r="D1604" t="s">
        <v>7088</v>
      </c>
      <c r="E1604" t="s">
        <v>7089</v>
      </c>
      <c r="F1604" t="s">
        <v>2413</v>
      </c>
      <c r="G1604">
        <v>3</v>
      </c>
      <c r="H1604">
        <v>1</v>
      </c>
      <c r="I1604">
        <v>0.01</v>
      </c>
      <c r="J1604">
        <v>1000</v>
      </c>
      <c r="K1604">
        <v>0.05</v>
      </c>
      <c r="L1604">
        <v>80.67</v>
      </c>
      <c r="M1604">
        <v>80.19</v>
      </c>
      <c r="N1604">
        <v>80.11</v>
      </c>
      <c r="O1604">
        <v>80.67</v>
      </c>
      <c r="P1604">
        <v>0</v>
      </c>
      <c r="Q1604">
        <v>0</v>
      </c>
      <c r="R1604">
        <v>0</v>
      </c>
      <c r="S1604">
        <v>80.55</v>
      </c>
      <c r="T1604">
        <v>80.63</v>
      </c>
      <c r="U1604">
        <v>79.69</v>
      </c>
      <c r="V1604">
        <v>80.69</v>
      </c>
      <c r="W1604">
        <v>603313</v>
      </c>
      <c r="X1604">
        <v>80.22</v>
      </c>
      <c r="Y1604">
        <v>80.67</v>
      </c>
      <c r="Z1604">
        <v>37</v>
      </c>
      <c r="AA1604">
        <v>500000</v>
      </c>
      <c r="AB1604">
        <v>806.7</v>
      </c>
      <c r="AC1604">
        <v>0</v>
      </c>
      <c r="AD1604" t="s">
        <v>94</v>
      </c>
      <c r="AE1604" t="s">
        <v>94</v>
      </c>
      <c r="AF1604" t="s">
        <v>304</v>
      </c>
      <c r="AG1604" t="s">
        <v>226</v>
      </c>
      <c r="AH1604">
        <v>0</v>
      </c>
      <c r="AI1604" t="s">
        <v>3537</v>
      </c>
      <c r="AJ1604" t="s">
        <v>1976</v>
      </c>
      <c r="AK1604" t="s">
        <v>2416</v>
      </c>
      <c r="AL1604" t="s">
        <v>272</v>
      </c>
    </row>
    <row r="1605" spans="1:38">
      <c r="A1605" t="s">
        <v>7090</v>
      </c>
      <c r="B1605" t="s">
        <v>7091</v>
      </c>
      <c r="C1605" t="s">
        <v>7092</v>
      </c>
      <c r="D1605" t="s">
        <v>7092</v>
      </c>
      <c r="E1605" t="s">
        <v>7093</v>
      </c>
      <c r="F1605" t="s">
        <v>2413</v>
      </c>
      <c r="G1605">
        <v>3</v>
      </c>
      <c r="H1605">
        <v>1</v>
      </c>
      <c r="I1605">
        <v>0.01</v>
      </c>
      <c r="J1605">
        <v>1000</v>
      </c>
      <c r="K1605">
        <v>-0.04</v>
      </c>
      <c r="L1605">
        <v>90.41</v>
      </c>
      <c r="M1605">
        <v>90.45</v>
      </c>
      <c r="N1605">
        <v>90.35</v>
      </c>
      <c r="O1605">
        <v>90.49</v>
      </c>
      <c r="P1605">
        <v>0</v>
      </c>
      <c r="Q1605">
        <v>0</v>
      </c>
      <c r="R1605">
        <v>0</v>
      </c>
      <c r="S1605">
        <v>90.5</v>
      </c>
      <c r="T1605">
        <v>90.45</v>
      </c>
      <c r="U1605">
        <v>90.23</v>
      </c>
      <c r="V1605">
        <v>90.69</v>
      </c>
      <c r="W1605">
        <v>1600036</v>
      </c>
      <c r="X1605">
        <v>90.5</v>
      </c>
      <c r="Y1605">
        <v>90.59</v>
      </c>
      <c r="Z1605">
        <v>144</v>
      </c>
      <c r="AA1605">
        <v>500000</v>
      </c>
      <c r="AB1605">
        <v>17177.900000000001</v>
      </c>
      <c r="AC1605">
        <v>0</v>
      </c>
      <c r="AD1605" t="s">
        <v>94</v>
      </c>
      <c r="AE1605" t="s">
        <v>94</v>
      </c>
      <c r="AF1605" t="s">
        <v>304</v>
      </c>
      <c r="AG1605" t="s">
        <v>226</v>
      </c>
      <c r="AH1605">
        <v>0</v>
      </c>
      <c r="AI1605" t="s">
        <v>3537</v>
      </c>
      <c r="AJ1605" t="s">
        <v>1976</v>
      </c>
      <c r="AK1605" t="s">
        <v>2416</v>
      </c>
      <c r="AL1605" t="s">
        <v>272</v>
      </c>
    </row>
    <row r="1606" spans="1:38">
      <c r="A1606" t="s">
        <v>7094</v>
      </c>
      <c r="B1606" t="s">
        <v>7095</v>
      </c>
      <c r="C1606" t="s">
        <v>7096</v>
      </c>
      <c r="D1606" t="s">
        <v>7096</v>
      </c>
      <c r="E1606" t="s">
        <v>7097</v>
      </c>
      <c r="F1606" t="s">
        <v>3754</v>
      </c>
      <c r="G1606">
        <v>1</v>
      </c>
      <c r="H1606">
        <v>1</v>
      </c>
      <c r="I1606">
        <v>0.01</v>
      </c>
      <c r="J1606">
        <v>1000</v>
      </c>
      <c r="K1606">
        <v>-0.79</v>
      </c>
      <c r="L1606">
        <v>86.49</v>
      </c>
      <c r="M1606">
        <v>86.82</v>
      </c>
      <c r="N1606">
        <v>87.28</v>
      </c>
      <c r="O1606">
        <v>85.08</v>
      </c>
      <c r="P1606">
        <v>0</v>
      </c>
      <c r="Q1606">
        <v>0</v>
      </c>
      <c r="R1606">
        <v>0</v>
      </c>
      <c r="S1606">
        <v>85.2</v>
      </c>
      <c r="T1606">
        <v>84.82</v>
      </c>
      <c r="U1606">
        <v>84.68</v>
      </c>
      <c r="V1606">
        <v>86.92</v>
      </c>
      <c r="W1606">
        <v>53678</v>
      </c>
      <c r="X1606">
        <v>85.59</v>
      </c>
      <c r="Y1606">
        <v>86.22</v>
      </c>
      <c r="Z1606">
        <v>20</v>
      </c>
      <c r="AA1606">
        <v>70000000</v>
      </c>
      <c r="AB1606">
        <v>864.9</v>
      </c>
      <c r="AC1606">
        <v>0</v>
      </c>
      <c r="AD1606" t="s">
        <v>94</v>
      </c>
      <c r="AE1606" t="s">
        <v>94</v>
      </c>
      <c r="AF1606" t="s">
        <v>226</v>
      </c>
      <c r="AG1606" t="s">
        <v>226</v>
      </c>
      <c r="AH1606">
        <v>-100</v>
      </c>
      <c r="AI1606" t="s">
        <v>3537</v>
      </c>
      <c r="AJ1606" t="s">
        <v>1976</v>
      </c>
      <c r="AK1606" t="s">
        <v>3755</v>
      </c>
      <c r="AL1606" t="s">
        <v>272</v>
      </c>
    </row>
    <row r="1607" spans="1:38">
      <c r="A1607" t="s">
        <v>7098</v>
      </c>
      <c r="B1607" t="s">
        <v>7099</v>
      </c>
      <c r="C1607" t="s">
        <v>7100</v>
      </c>
      <c r="D1607" t="s">
        <v>7100</v>
      </c>
      <c r="E1607" t="s">
        <v>7101</v>
      </c>
      <c r="F1607" t="s">
        <v>2425</v>
      </c>
      <c r="G1607">
        <v>1</v>
      </c>
      <c r="H1607">
        <v>1</v>
      </c>
      <c r="I1607">
        <v>0.01</v>
      </c>
      <c r="J1607">
        <v>1000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7500000</v>
      </c>
      <c r="AB1607">
        <v>0</v>
      </c>
      <c r="AC1607">
        <v>0</v>
      </c>
      <c r="AD1607" t="s">
        <v>94</v>
      </c>
      <c r="AE1607" t="s">
        <v>94</v>
      </c>
      <c r="AF1607" t="s">
        <v>226</v>
      </c>
      <c r="AG1607" t="s">
        <v>226</v>
      </c>
      <c r="AH1607">
        <v>8</v>
      </c>
      <c r="AI1607" t="s">
        <v>3537</v>
      </c>
      <c r="AJ1607" t="s">
        <v>1976</v>
      </c>
      <c r="AK1607" t="s">
        <v>2426</v>
      </c>
      <c r="AL1607" t="s">
        <v>272</v>
      </c>
    </row>
    <row r="1608" spans="1:38">
      <c r="A1608" t="s">
        <v>7102</v>
      </c>
      <c r="B1608" t="s">
        <v>7103</v>
      </c>
      <c r="C1608" t="s">
        <v>7104</v>
      </c>
      <c r="D1608" t="s">
        <v>7104</v>
      </c>
      <c r="E1608" t="s">
        <v>7105</v>
      </c>
      <c r="F1608" t="s">
        <v>2425</v>
      </c>
      <c r="G1608">
        <v>1</v>
      </c>
      <c r="H1608">
        <v>1</v>
      </c>
      <c r="I1608">
        <v>0.01</v>
      </c>
      <c r="J1608">
        <v>1000</v>
      </c>
      <c r="K1608">
        <v>0</v>
      </c>
      <c r="L1608">
        <v>0</v>
      </c>
      <c r="M1608">
        <v>106</v>
      </c>
      <c r="N1608">
        <v>0</v>
      </c>
      <c r="O1608">
        <v>106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91.01</v>
      </c>
      <c r="Y1608">
        <v>0</v>
      </c>
      <c r="Z1608">
        <v>0</v>
      </c>
      <c r="AA1608">
        <v>5500000</v>
      </c>
      <c r="AB1608">
        <v>0</v>
      </c>
      <c r="AC1608">
        <v>0</v>
      </c>
      <c r="AD1608" t="s">
        <v>94</v>
      </c>
      <c r="AE1608" t="s">
        <v>94</v>
      </c>
      <c r="AF1608" t="s">
        <v>226</v>
      </c>
      <c r="AG1608" t="s">
        <v>226</v>
      </c>
      <c r="AH1608">
        <v>8</v>
      </c>
      <c r="AI1608" t="s">
        <v>3537</v>
      </c>
      <c r="AJ1608" t="s">
        <v>1976</v>
      </c>
      <c r="AK1608" t="s">
        <v>2426</v>
      </c>
      <c r="AL1608" t="s">
        <v>272</v>
      </c>
    </row>
    <row r="1609" spans="1:38">
      <c r="A1609" t="s">
        <v>7106</v>
      </c>
      <c r="B1609" t="s">
        <v>7107</v>
      </c>
      <c r="C1609" t="s">
        <v>7108</v>
      </c>
      <c r="D1609" t="s">
        <v>7108</v>
      </c>
      <c r="E1609" t="s">
        <v>7109</v>
      </c>
      <c r="F1609" t="s">
        <v>2413</v>
      </c>
      <c r="G1609">
        <v>3</v>
      </c>
      <c r="H1609">
        <v>1</v>
      </c>
      <c r="I1609">
        <v>0.01</v>
      </c>
      <c r="J1609">
        <v>1000</v>
      </c>
      <c r="K1609">
        <v>1</v>
      </c>
      <c r="L1609">
        <v>72.69</v>
      </c>
      <c r="M1609">
        <v>71.97</v>
      </c>
      <c r="N1609">
        <v>72.489999999999995</v>
      </c>
      <c r="O1609">
        <v>72.69</v>
      </c>
      <c r="P1609">
        <v>0</v>
      </c>
      <c r="Q1609">
        <v>0</v>
      </c>
      <c r="R1609">
        <v>0</v>
      </c>
      <c r="S1609">
        <v>72.040000000000006</v>
      </c>
      <c r="T1609">
        <v>72</v>
      </c>
      <c r="U1609">
        <v>71.180000000000007</v>
      </c>
      <c r="V1609">
        <v>72.7</v>
      </c>
      <c r="W1609">
        <v>577048</v>
      </c>
      <c r="X1609">
        <v>72.45</v>
      </c>
      <c r="Y1609">
        <v>72.69</v>
      </c>
      <c r="Z1609">
        <v>53</v>
      </c>
      <c r="AA1609">
        <v>250000</v>
      </c>
      <c r="AB1609">
        <v>4361.3999999999996</v>
      </c>
      <c r="AC1609">
        <v>0</v>
      </c>
      <c r="AD1609" t="s">
        <v>94</v>
      </c>
      <c r="AE1609" t="s">
        <v>94</v>
      </c>
      <c r="AF1609" t="s">
        <v>226</v>
      </c>
      <c r="AG1609" t="s">
        <v>226</v>
      </c>
      <c r="AH1609">
        <v>6</v>
      </c>
      <c r="AI1609" t="s">
        <v>3537</v>
      </c>
      <c r="AJ1609" t="s">
        <v>1976</v>
      </c>
      <c r="AK1609" t="s">
        <v>2416</v>
      </c>
      <c r="AL1609" t="s">
        <v>272</v>
      </c>
    </row>
    <row r="1610" spans="1:38">
      <c r="A1610" t="s">
        <v>7110</v>
      </c>
      <c r="B1610" t="s">
        <v>7111</v>
      </c>
      <c r="C1610" t="s">
        <v>7112</v>
      </c>
      <c r="D1610" t="s">
        <v>7112</v>
      </c>
      <c r="E1610" t="s">
        <v>7113</v>
      </c>
      <c r="F1610" t="s">
        <v>2425</v>
      </c>
      <c r="G1610">
        <v>3</v>
      </c>
      <c r="H1610">
        <v>1</v>
      </c>
      <c r="I1610">
        <v>1E-4</v>
      </c>
      <c r="J1610">
        <v>1000</v>
      </c>
      <c r="K1610">
        <v>-2.12</v>
      </c>
      <c r="L1610">
        <v>74.729200000000006</v>
      </c>
      <c r="M1610">
        <v>75.516300000000001</v>
      </c>
      <c r="N1610">
        <v>75.952600000000004</v>
      </c>
      <c r="O1610">
        <v>74.729200000000006</v>
      </c>
      <c r="P1610">
        <v>0</v>
      </c>
      <c r="Q1610">
        <v>0</v>
      </c>
      <c r="R1610">
        <v>0</v>
      </c>
      <c r="S1610">
        <v>76.130300000000005</v>
      </c>
      <c r="T1610">
        <v>74.771900000000002</v>
      </c>
      <c r="U1610">
        <v>74.729200000000006</v>
      </c>
      <c r="V1610">
        <v>76.200100000000006</v>
      </c>
      <c r="W1610">
        <v>44220052</v>
      </c>
      <c r="X1610">
        <v>74.729600000000005</v>
      </c>
      <c r="Y1610">
        <v>75.497900000000001</v>
      </c>
      <c r="Z1610">
        <v>23</v>
      </c>
      <c r="AA1610">
        <v>285780</v>
      </c>
      <c r="AB1610">
        <v>79353.289999999994</v>
      </c>
      <c r="AC1610">
        <v>0</v>
      </c>
      <c r="AD1610" t="s">
        <v>2</v>
      </c>
      <c r="AE1610" t="s">
        <v>94</v>
      </c>
      <c r="AF1610" t="s">
        <v>226</v>
      </c>
      <c r="AG1610" t="s">
        <v>226</v>
      </c>
      <c r="AH1610">
        <v>-100</v>
      </c>
      <c r="AI1610" t="s">
        <v>3537</v>
      </c>
      <c r="AJ1610" t="s">
        <v>1976</v>
      </c>
      <c r="AK1610" t="s">
        <v>2426</v>
      </c>
      <c r="AL1610" t="s">
        <v>272</v>
      </c>
    </row>
    <row r="1611" spans="1:38">
      <c r="A1611" t="s">
        <v>7114</v>
      </c>
      <c r="B1611" t="s">
        <v>2451</v>
      </c>
      <c r="C1611" t="s">
        <v>2452</v>
      </c>
      <c r="D1611" t="s">
        <v>2452</v>
      </c>
      <c r="E1611" t="s">
        <v>2453</v>
      </c>
      <c r="F1611" t="s">
        <v>2413</v>
      </c>
      <c r="G1611">
        <v>3</v>
      </c>
      <c r="H1611">
        <v>1</v>
      </c>
      <c r="I1611">
        <v>1E-4</v>
      </c>
      <c r="J1611">
        <v>1000</v>
      </c>
      <c r="K1611">
        <v>0</v>
      </c>
      <c r="L1611">
        <v>0</v>
      </c>
      <c r="M1611">
        <v>79.4375</v>
      </c>
      <c r="N1611">
        <v>78.169499999999999</v>
      </c>
      <c r="O1611">
        <v>78.849900000000005</v>
      </c>
      <c r="P1611">
        <v>0</v>
      </c>
      <c r="Q1611">
        <v>0</v>
      </c>
      <c r="R1611">
        <v>0</v>
      </c>
      <c r="S1611">
        <v>78.124499999999998</v>
      </c>
      <c r="T1611">
        <v>0</v>
      </c>
      <c r="U1611">
        <v>0</v>
      </c>
      <c r="V1611">
        <v>0</v>
      </c>
      <c r="W1611">
        <v>0</v>
      </c>
      <c r="X1611">
        <v>76.253299999999996</v>
      </c>
      <c r="Y1611">
        <v>77.497900000000001</v>
      </c>
      <c r="Z1611">
        <v>0</v>
      </c>
      <c r="AA1611">
        <v>1000000</v>
      </c>
      <c r="AB1611">
        <v>0</v>
      </c>
      <c r="AC1611">
        <v>0</v>
      </c>
      <c r="AD1611" t="s">
        <v>1663</v>
      </c>
      <c r="AE1611" t="s">
        <v>94</v>
      </c>
      <c r="AF1611" t="s">
        <v>226</v>
      </c>
      <c r="AG1611" t="s">
        <v>226</v>
      </c>
      <c r="AH1611">
        <v>-100</v>
      </c>
      <c r="AI1611" t="s">
        <v>3537</v>
      </c>
      <c r="AJ1611" t="s">
        <v>1976</v>
      </c>
      <c r="AK1611" t="s">
        <v>2416</v>
      </c>
      <c r="AL1611" t="s">
        <v>272</v>
      </c>
    </row>
    <row r="1612" spans="1:38">
      <c r="A1612" t="s">
        <v>7115</v>
      </c>
      <c r="B1612" t="s">
        <v>2455</v>
      </c>
      <c r="C1612" t="s">
        <v>2456</v>
      </c>
      <c r="D1612" t="s">
        <v>2456</v>
      </c>
      <c r="E1612" t="s">
        <v>2457</v>
      </c>
      <c r="F1612" t="s">
        <v>2413</v>
      </c>
      <c r="G1612">
        <v>3</v>
      </c>
      <c r="H1612">
        <v>1</v>
      </c>
      <c r="I1612">
        <v>1E-4</v>
      </c>
      <c r="J1612">
        <v>1000</v>
      </c>
      <c r="K1612">
        <v>1.1100000000000001</v>
      </c>
      <c r="L1612">
        <v>89.315899999999999</v>
      </c>
      <c r="M1612">
        <v>91.6999</v>
      </c>
      <c r="N1612">
        <v>90.1845</v>
      </c>
      <c r="O1612">
        <v>89.315799999999996</v>
      </c>
      <c r="P1612">
        <v>0</v>
      </c>
      <c r="Q1612">
        <v>0</v>
      </c>
      <c r="R1612">
        <v>0</v>
      </c>
      <c r="S1612">
        <v>89.978999999999999</v>
      </c>
      <c r="T1612">
        <v>89.315600000000003</v>
      </c>
      <c r="U1612">
        <v>89.315600000000003</v>
      </c>
      <c r="V1612">
        <v>89.315899999999999</v>
      </c>
      <c r="W1612">
        <v>194992</v>
      </c>
      <c r="X1612">
        <v>87.271000000000001</v>
      </c>
      <c r="Y1612">
        <v>89.1</v>
      </c>
      <c r="Z1612">
        <v>3</v>
      </c>
      <c r="AA1612">
        <v>1000000</v>
      </c>
      <c r="AB1612">
        <v>116995.34</v>
      </c>
      <c r="AC1612">
        <v>0</v>
      </c>
      <c r="AD1612" t="s">
        <v>1663</v>
      </c>
      <c r="AE1612" t="s">
        <v>94</v>
      </c>
      <c r="AF1612" t="s">
        <v>226</v>
      </c>
      <c r="AG1612" t="s">
        <v>226</v>
      </c>
      <c r="AH1612">
        <v>-100</v>
      </c>
      <c r="AI1612" t="s">
        <v>3537</v>
      </c>
      <c r="AJ1612" t="s">
        <v>1976</v>
      </c>
      <c r="AK1612" t="s">
        <v>2416</v>
      </c>
      <c r="AL1612" t="s">
        <v>272</v>
      </c>
    </row>
    <row r="1613" spans="1:38">
      <c r="A1613" t="s">
        <v>7116</v>
      </c>
      <c r="B1613" t="s">
        <v>7117</v>
      </c>
      <c r="C1613" t="s">
        <v>7118</v>
      </c>
      <c r="D1613" t="s">
        <v>7118</v>
      </c>
      <c r="E1613" t="s">
        <v>7119</v>
      </c>
      <c r="F1613" t="s">
        <v>2413</v>
      </c>
      <c r="G1613">
        <v>3</v>
      </c>
      <c r="H1613">
        <v>1</v>
      </c>
      <c r="I1613">
        <v>0.01</v>
      </c>
      <c r="J1613">
        <v>1000</v>
      </c>
      <c r="K1613">
        <v>0</v>
      </c>
      <c r="L1613">
        <v>0</v>
      </c>
      <c r="M1613">
        <v>99</v>
      </c>
      <c r="N1613">
        <v>99</v>
      </c>
      <c r="O1613">
        <v>99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97.5</v>
      </c>
      <c r="Y1613">
        <v>98.99</v>
      </c>
      <c r="Z1613">
        <v>0</v>
      </c>
      <c r="AA1613">
        <v>7000000</v>
      </c>
      <c r="AB1613">
        <v>0</v>
      </c>
      <c r="AC1613">
        <v>0</v>
      </c>
      <c r="AD1613" t="s">
        <v>94</v>
      </c>
      <c r="AE1613" t="s">
        <v>94</v>
      </c>
      <c r="AF1613" t="s">
        <v>304</v>
      </c>
      <c r="AG1613" t="s">
        <v>226</v>
      </c>
      <c r="AH1613">
        <v>8</v>
      </c>
      <c r="AI1613" t="s">
        <v>3537</v>
      </c>
      <c r="AJ1613" t="s">
        <v>1976</v>
      </c>
      <c r="AK1613" t="s">
        <v>2416</v>
      </c>
      <c r="AL1613" t="s">
        <v>272</v>
      </c>
    </row>
    <row r="1614" spans="1:38">
      <c r="A1614" t="s">
        <v>7120</v>
      </c>
      <c r="B1614" t="s">
        <v>2459</v>
      </c>
      <c r="C1614" t="s">
        <v>2460</v>
      </c>
      <c r="D1614" t="s">
        <v>2460</v>
      </c>
      <c r="E1614" t="s">
        <v>2461</v>
      </c>
      <c r="F1614" t="s">
        <v>2413</v>
      </c>
      <c r="G1614">
        <v>3</v>
      </c>
      <c r="H1614">
        <v>1</v>
      </c>
      <c r="I1614">
        <v>1E-4</v>
      </c>
      <c r="J1614">
        <v>1000</v>
      </c>
      <c r="K1614">
        <v>0.8</v>
      </c>
      <c r="L1614">
        <v>90.717699999999994</v>
      </c>
      <c r="M1614">
        <v>89.611800000000002</v>
      </c>
      <c r="N1614">
        <v>92.577600000000004</v>
      </c>
      <c r="O1614">
        <v>90.717699999999994</v>
      </c>
      <c r="P1614">
        <v>0</v>
      </c>
      <c r="Q1614">
        <v>0</v>
      </c>
      <c r="R1614">
        <v>0</v>
      </c>
      <c r="S1614">
        <v>92.363299999999995</v>
      </c>
      <c r="T1614">
        <v>90</v>
      </c>
      <c r="U1614">
        <v>90</v>
      </c>
      <c r="V1614">
        <v>90.717699999999994</v>
      </c>
      <c r="W1614">
        <v>26303</v>
      </c>
      <c r="X1614">
        <v>88.444699999999997</v>
      </c>
      <c r="Y1614">
        <v>90.717699999999994</v>
      </c>
      <c r="Z1614">
        <v>2</v>
      </c>
      <c r="AA1614">
        <v>1000000</v>
      </c>
      <c r="AB1614">
        <v>13203.51</v>
      </c>
      <c r="AC1614">
        <v>0</v>
      </c>
      <c r="AD1614" t="s">
        <v>1663</v>
      </c>
      <c r="AE1614" t="s">
        <v>94</v>
      </c>
      <c r="AF1614" t="s">
        <v>226</v>
      </c>
      <c r="AG1614" t="s">
        <v>226</v>
      </c>
      <c r="AH1614">
        <v>-100</v>
      </c>
      <c r="AI1614" t="s">
        <v>3537</v>
      </c>
      <c r="AJ1614" t="s">
        <v>1976</v>
      </c>
      <c r="AK1614" t="s">
        <v>2416</v>
      </c>
      <c r="AL1614" t="s">
        <v>272</v>
      </c>
    </row>
    <row r="1615" spans="1:38">
      <c r="A1615" t="s">
        <v>7121</v>
      </c>
      <c r="B1615" t="s">
        <v>7122</v>
      </c>
      <c r="C1615" t="s">
        <v>7123</v>
      </c>
      <c r="D1615" t="s">
        <v>7123</v>
      </c>
      <c r="E1615" t="s">
        <v>7124</v>
      </c>
      <c r="F1615" t="s">
        <v>2413</v>
      </c>
      <c r="G1615">
        <v>3</v>
      </c>
      <c r="H1615">
        <v>1</v>
      </c>
      <c r="I1615">
        <v>0.01</v>
      </c>
      <c r="J1615">
        <v>1000</v>
      </c>
      <c r="K1615">
        <v>-7.0000000000000007E-2</v>
      </c>
      <c r="L1615">
        <v>96.08</v>
      </c>
      <c r="M1615">
        <v>96.15</v>
      </c>
      <c r="N1615">
        <v>96.03</v>
      </c>
      <c r="O1615">
        <v>96.08</v>
      </c>
      <c r="P1615">
        <v>0</v>
      </c>
      <c r="Q1615">
        <v>0</v>
      </c>
      <c r="R1615">
        <v>0</v>
      </c>
      <c r="S1615">
        <v>96.04</v>
      </c>
      <c r="T1615">
        <v>96.24</v>
      </c>
      <c r="U1615">
        <v>95.96</v>
      </c>
      <c r="V1615">
        <v>96.26</v>
      </c>
      <c r="W1615">
        <v>2051329</v>
      </c>
      <c r="X1615">
        <v>96.01</v>
      </c>
      <c r="Y1615">
        <v>96.09</v>
      </c>
      <c r="Z1615">
        <v>36</v>
      </c>
      <c r="AA1615">
        <v>15000000</v>
      </c>
      <c r="AB1615">
        <v>4804</v>
      </c>
      <c r="AC1615">
        <v>0</v>
      </c>
      <c r="AD1615" t="s">
        <v>94</v>
      </c>
      <c r="AE1615" t="s">
        <v>94</v>
      </c>
      <c r="AF1615" t="s">
        <v>226</v>
      </c>
      <c r="AG1615" t="s">
        <v>226</v>
      </c>
      <c r="AH1615">
        <v>8</v>
      </c>
      <c r="AI1615" t="s">
        <v>3537</v>
      </c>
      <c r="AJ1615" t="s">
        <v>1976</v>
      </c>
      <c r="AK1615" t="s">
        <v>2416</v>
      </c>
      <c r="AL1615" t="s">
        <v>272</v>
      </c>
    </row>
    <row r="1616" spans="1:38">
      <c r="A1616" t="s">
        <v>7125</v>
      </c>
      <c r="B1616" t="s">
        <v>7126</v>
      </c>
      <c r="C1616" t="s">
        <v>7127</v>
      </c>
      <c r="D1616" t="s">
        <v>7127</v>
      </c>
      <c r="E1616" t="s">
        <v>7128</v>
      </c>
      <c r="F1616" t="s">
        <v>2413</v>
      </c>
      <c r="G1616">
        <v>2</v>
      </c>
      <c r="H1616">
        <v>1</v>
      </c>
      <c r="I1616">
        <v>0.01</v>
      </c>
      <c r="J1616">
        <v>1000</v>
      </c>
      <c r="K1616">
        <v>-0.01</v>
      </c>
      <c r="L1616">
        <v>98.84</v>
      </c>
      <c r="M1616">
        <v>98.81</v>
      </c>
      <c r="N1616">
        <v>98.05</v>
      </c>
      <c r="O1616">
        <v>98.85</v>
      </c>
      <c r="P1616">
        <v>0</v>
      </c>
      <c r="Q1616">
        <v>0</v>
      </c>
      <c r="R1616">
        <v>0</v>
      </c>
      <c r="S1616">
        <v>99.94</v>
      </c>
      <c r="T1616">
        <v>98.9</v>
      </c>
      <c r="U1616">
        <v>98.22</v>
      </c>
      <c r="V1616">
        <v>100</v>
      </c>
      <c r="W1616">
        <v>10371029</v>
      </c>
      <c r="X1616">
        <v>98.84</v>
      </c>
      <c r="Y1616">
        <v>98.85</v>
      </c>
      <c r="Z1616">
        <v>30</v>
      </c>
      <c r="AA1616">
        <v>10000000</v>
      </c>
      <c r="AB1616">
        <v>3953.6</v>
      </c>
      <c r="AC1616">
        <v>0</v>
      </c>
      <c r="AD1616" t="s">
        <v>94</v>
      </c>
      <c r="AE1616" t="s">
        <v>94</v>
      </c>
      <c r="AF1616" t="s">
        <v>226</v>
      </c>
      <c r="AG1616" t="s">
        <v>226</v>
      </c>
      <c r="AH1616">
        <v>8</v>
      </c>
      <c r="AI1616" t="s">
        <v>3537</v>
      </c>
      <c r="AJ1616" t="s">
        <v>1976</v>
      </c>
      <c r="AK1616" t="s">
        <v>2416</v>
      </c>
      <c r="AL1616" t="s">
        <v>272</v>
      </c>
    </row>
    <row r="1617" spans="1:38">
      <c r="A1617" t="s">
        <v>7129</v>
      </c>
      <c r="B1617" t="s">
        <v>7130</v>
      </c>
      <c r="C1617" t="s">
        <v>7131</v>
      </c>
      <c r="D1617" t="s">
        <v>7131</v>
      </c>
      <c r="E1617" t="s">
        <v>7132</v>
      </c>
      <c r="F1617" t="s">
        <v>2413</v>
      </c>
      <c r="G1617">
        <v>2</v>
      </c>
      <c r="H1617">
        <v>1</v>
      </c>
      <c r="I1617">
        <v>0.01</v>
      </c>
      <c r="J1617">
        <v>1000</v>
      </c>
      <c r="K1617">
        <v>0</v>
      </c>
      <c r="L1617">
        <v>94.19</v>
      </c>
      <c r="M1617">
        <v>94.19</v>
      </c>
      <c r="N1617">
        <v>94.23</v>
      </c>
      <c r="O1617">
        <v>94.19</v>
      </c>
      <c r="P1617">
        <v>0</v>
      </c>
      <c r="Q1617">
        <v>0</v>
      </c>
      <c r="R1617">
        <v>0</v>
      </c>
      <c r="S1617">
        <v>94.24</v>
      </c>
      <c r="T1617">
        <v>94.15</v>
      </c>
      <c r="U1617">
        <v>93.65</v>
      </c>
      <c r="V1617">
        <v>94.25</v>
      </c>
      <c r="W1617">
        <v>234669</v>
      </c>
      <c r="X1617">
        <v>93.77</v>
      </c>
      <c r="Y1617">
        <v>94.25</v>
      </c>
      <c r="Z1617">
        <v>8</v>
      </c>
      <c r="AA1617">
        <v>10000000</v>
      </c>
      <c r="AB1617">
        <v>941.9</v>
      </c>
      <c r="AC1617">
        <v>0</v>
      </c>
      <c r="AD1617" t="s">
        <v>94</v>
      </c>
      <c r="AE1617" t="s">
        <v>94</v>
      </c>
      <c r="AF1617" t="s">
        <v>226</v>
      </c>
      <c r="AG1617" t="s">
        <v>226</v>
      </c>
      <c r="AH1617">
        <v>-100</v>
      </c>
      <c r="AI1617" t="s">
        <v>3537</v>
      </c>
      <c r="AJ1617" t="s">
        <v>1976</v>
      </c>
      <c r="AK1617" t="s">
        <v>2416</v>
      </c>
      <c r="AL1617" t="s">
        <v>272</v>
      </c>
    </row>
    <row r="1618" spans="1:38">
      <c r="A1618" t="s">
        <v>7133</v>
      </c>
      <c r="B1618" t="s">
        <v>7134</v>
      </c>
      <c r="C1618" t="s">
        <v>7135</v>
      </c>
      <c r="D1618" t="s">
        <v>7135</v>
      </c>
      <c r="E1618" t="s">
        <v>7136</v>
      </c>
      <c r="F1618" t="s">
        <v>2413</v>
      </c>
      <c r="G1618">
        <v>2</v>
      </c>
      <c r="H1618">
        <v>1</v>
      </c>
      <c r="I1618">
        <v>0.01</v>
      </c>
      <c r="J1618">
        <v>1000</v>
      </c>
      <c r="K1618">
        <v>-0.06</v>
      </c>
      <c r="L1618">
        <v>83.91</v>
      </c>
      <c r="M1618">
        <v>83.96</v>
      </c>
      <c r="N1618">
        <v>83.62</v>
      </c>
      <c r="O1618">
        <v>83.91</v>
      </c>
      <c r="P1618">
        <v>0</v>
      </c>
      <c r="Q1618">
        <v>0</v>
      </c>
      <c r="R1618">
        <v>0</v>
      </c>
      <c r="S1618">
        <v>83.76</v>
      </c>
      <c r="T1618">
        <v>83.59</v>
      </c>
      <c r="U1618">
        <v>83.58</v>
      </c>
      <c r="V1618">
        <v>83.96</v>
      </c>
      <c r="W1618">
        <v>24290</v>
      </c>
      <c r="X1618">
        <v>83.75</v>
      </c>
      <c r="Y1618">
        <v>83.99</v>
      </c>
      <c r="Z1618">
        <v>16</v>
      </c>
      <c r="AA1618">
        <v>10000000</v>
      </c>
      <c r="AB1618">
        <v>839.1</v>
      </c>
      <c r="AC1618">
        <v>0</v>
      </c>
      <c r="AD1618" t="s">
        <v>94</v>
      </c>
      <c r="AE1618" t="s">
        <v>94</v>
      </c>
      <c r="AF1618" t="s">
        <v>226</v>
      </c>
      <c r="AG1618" t="s">
        <v>226</v>
      </c>
      <c r="AH1618">
        <v>-100</v>
      </c>
      <c r="AI1618" t="s">
        <v>3537</v>
      </c>
      <c r="AJ1618" t="s">
        <v>1976</v>
      </c>
      <c r="AK1618" t="s">
        <v>2416</v>
      </c>
      <c r="AL1618" t="s">
        <v>272</v>
      </c>
    </row>
    <row r="1619" spans="1:38">
      <c r="A1619" t="s">
        <v>7137</v>
      </c>
      <c r="B1619" t="s">
        <v>7138</v>
      </c>
      <c r="C1619" t="s">
        <v>7139</v>
      </c>
      <c r="D1619" t="s">
        <v>7139</v>
      </c>
      <c r="E1619" t="s">
        <v>7140</v>
      </c>
      <c r="F1619" t="s">
        <v>2413</v>
      </c>
      <c r="G1619">
        <v>2</v>
      </c>
      <c r="H1619">
        <v>1</v>
      </c>
      <c r="I1619">
        <v>0.01</v>
      </c>
      <c r="J1619">
        <v>1000</v>
      </c>
      <c r="K1619">
        <v>0</v>
      </c>
      <c r="L1619">
        <v>0</v>
      </c>
      <c r="M1619">
        <v>100.02</v>
      </c>
      <c r="N1619">
        <v>0</v>
      </c>
      <c r="O1619">
        <v>100.02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5000000</v>
      </c>
      <c r="AB1619">
        <v>0</v>
      </c>
      <c r="AC1619">
        <v>0</v>
      </c>
      <c r="AD1619" t="s">
        <v>94</v>
      </c>
      <c r="AE1619" t="s">
        <v>94</v>
      </c>
      <c r="AF1619" t="s">
        <v>226</v>
      </c>
      <c r="AG1619" t="s">
        <v>226</v>
      </c>
      <c r="AH1619">
        <v>-100</v>
      </c>
      <c r="AI1619" t="s">
        <v>3537</v>
      </c>
      <c r="AJ1619" t="s">
        <v>1976</v>
      </c>
      <c r="AK1619" t="s">
        <v>2416</v>
      </c>
      <c r="AL1619" t="s">
        <v>272</v>
      </c>
    </row>
    <row r="1620" spans="1:38">
      <c r="A1620" t="s">
        <v>7141</v>
      </c>
      <c r="B1620" t="s">
        <v>7142</v>
      </c>
      <c r="C1620" t="s">
        <v>7143</v>
      </c>
      <c r="D1620" t="s">
        <v>7143</v>
      </c>
      <c r="E1620" t="s">
        <v>7144</v>
      </c>
      <c r="F1620" t="s">
        <v>2413</v>
      </c>
      <c r="G1620">
        <v>2</v>
      </c>
      <c r="H1620">
        <v>1</v>
      </c>
      <c r="I1620">
        <v>0.01</v>
      </c>
      <c r="J1620">
        <v>1000</v>
      </c>
      <c r="K1620">
        <v>0</v>
      </c>
      <c r="L1620">
        <v>0</v>
      </c>
      <c r="M1620">
        <v>91.43</v>
      </c>
      <c r="N1620">
        <v>91.56</v>
      </c>
      <c r="O1620">
        <v>91.43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91.89</v>
      </c>
      <c r="Y1620">
        <v>94.33</v>
      </c>
      <c r="Z1620">
        <v>0</v>
      </c>
      <c r="AA1620">
        <v>5000000</v>
      </c>
      <c r="AB1620">
        <v>0</v>
      </c>
      <c r="AC1620">
        <v>0</v>
      </c>
      <c r="AD1620" t="s">
        <v>94</v>
      </c>
      <c r="AE1620" t="s">
        <v>94</v>
      </c>
      <c r="AF1620" t="s">
        <v>226</v>
      </c>
      <c r="AG1620" t="s">
        <v>226</v>
      </c>
      <c r="AH1620">
        <v>-100</v>
      </c>
      <c r="AI1620" t="s">
        <v>3537</v>
      </c>
      <c r="AJ1620" t="s">
        <v>1976</v>
      </c>
      <c r="AK1620" t="s">
        <v>2416</v>
      </c>
      <c r="AL1620" t="s">
        <v>272</v>
      </c>
    </row>
    <row r="1621" spans="1:38">
      <c r="A1621" t="s">
        <v>7145</v>
      </c>
      <c r="B1621" t="s">
        <v>7146</v>
      </c>
      <c r="C1621" t="s">
        <v>7147</v>
      </c>
      <c r="D1621" t="s">
        <v>7147</v>
      </c>
      <c r="E1621" t="s">
        <v>7148</v>
      </c>
      <c r="F1621" t="s">
        <v>2413</v>
      </c>
      <c r="G1621">
        <v>3</v>
      </c>
      <c r="H1621">
        <v>1</v>
      </c>
      <c r="I1621">
        <v>0.01</v>
      </c>
      <c r="J1621">
        <v>1000</v>
      </c>
      <c r="K1621">
        <v>1.51</v>
      </c>
      <c r="L1621">
        <v>76.14</v>
      </c>
      <c r="M1621">
        <v>75.28</v>
      </c>
      <c r="N1621">
        <v>75.86</v>
      </c>
      <c r="O1621">
        <v>76.14</v>
      </c>
      <c r="P1621">
        <v>0</v>
      </c>
      <c r="Q1621">
        <v>0</v>
      </c>
      <c r="R1621">
        <v>0</v>
      </c>
      <c r="S1621">
        <v>76.09</v>
      </c>
      <c r="T1621">
        <v>78.55</v>
      </c>
      <c r="U1621">
        <v>75.84</v>
      </c>
      <c r="V1621">
        <v>78.55</v>
      </c>
      <c r="W1621">
        <v>92068</v>
      </c>
      <c r="X1621">
        <v>75.510000000000005</v>
      </c>
      <c r="Y1621">
        <v>76.13</v>
      </c>
      <c r="Z1621">
        <v>20</v>
      </c>
      <c r="AA1621">
        <v>500000</v>
      </c>
      <c r="AB1621">
        <v>42638.400000000001</v>
      </c>
      <c r="AC1621">
        <v>0</v>
      </c>
      <c r="AD1621" t="s">
        <v>94</v>
      </c>
      <c r="AE1621" t="s">
        <v>94</v>
      </c>
      <c r="AF1621" t="s">
        <v>226</v>
      </c>
      <c r="AG1621" t="s">
        <v>226</v>
      </c>
      <c r="AH1621">
        <v>6</v>
      </c>
      <c r="AI1621" t="s">
        <v>3537</v>
      </c>
      <c r="AJ1621" t="s">
        <v>1976</v>
      </c>
      <c r="AK1621" t="s">
        <v>2416</v>
      </c>
      <c r="AL1621" t="s">
        <v>272</v>
      </c>
    </row>
    <row r="1622" spans="1:38">
      <c r="A1622" t="s">
        <v>7149</v>
      </c>
      <c r="B1622" t="s">
        <v>7150</v>
      </c>
      <c r="C1622" t="s">
        <v>7151</v>
      </c>
      <c r="D1622" t="s">
        <v>7151</v>
      </c>
      <c r="E1622" t="s">
        <v>7152</v>
      </c>
      <c r="F1622" t="s">
        <v>2413</v>
      </c>
      <c r="G1622">
        <v>3</v>
      </c>
      <c r="H1622">
        <v>1</v>
      </c>
      <c r="I1622">
        <v>0.01</v>
      </c>
      <c r="J1622">
        <v>1000</v>
      </c>
      <c r="K1622">
        <v>-1.02</v>
      </c>
      <c r="L1622">
        <v>87.5</v>
      </c>
      <c r="M1622">
        <v>88.4</v>
      </c>
      <c r="N1622">
        <v>87.83</v>
      </c>
      <c r="O1622">
        <v>87.5</v>
      </c>
      <c r="P1622">
        <v>0</v>
      </c>
      <c r="Q1622">
        <v>0</v>
      </c>
      <c r="R1622">
        <v>0</v>
      </c>
      <c r="S1622">
        <v>87.21</v>
      </c>
      <c r="T1622">
        <v>87.12</v>
      </c>
      <c r="U1622">
        <v>86.3</v>
      </c>
      <c r="V1622">
        <v>88.29</v>
      </c>
      <c r="W1622">
        <v>221511</v>
      </c>
      <c r="X1622">
        <v>87.46</v>
      </c>
      <c r="Y1622">
        <v>88.03</v>
      </c>
      <c r="Z1622">
        <v>30</v>
      </c>
      <c r="AA1622">
        <v>500000</v>
      </c>
      <c r="AB1622">
        <v>875</v>
      </c>
      <c r="AC1622">
        <v>0</v>
      </c>
      <c r="AD1622" t="s">
        <v>94</v>
      </c>
      <c r="AE1622" t="s">
        <v>94</v>
      </c>
      <c r="AF1622" t="s">
        <v>226</v>
      </c>
      <c r="AG1622" t="s">
        <v>226</v>
      </c>
      <c r="AH1622">
        <v>800</v>
      </c>
      <c r="AI1622" t="s">
        <v>3537</v>
      </c>
      <c r="AJ1622" t="s">
        <v>1976</v>
      </c>
      <c r="AK1622" t="s">
        <v>2416</v>
      </c>
      <c r="AL1622" t="s">
        <v>272</v>
      </c>
    </row>
    <row r="1623" spans="1:38">
      <c r="A1623" t="s">
        <v>7153</v>
      </c>
      <c r="B1623" t="s">
        <v>7154</v>
      </c>
      <c r="C1623" t="s">
        <v>7155</v>
      </c>
      <c r="D1623" t="s">
        <v>7155</v>
      </c>
      <c r="E1623" t="s">
        <v>7156</v>
      </c>
      <c r="F1623" t="s">
        <v>2413</v>
      </c>
      <c r="G1623">
        <v>1</v>
      </c>
      <c r="H1623">
        <v>1</v>
      </c>
      <c r="I1623">
        <v>0.01</v>
      </c>
      <c r="J1623">
        <v>1000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20000000</v>
      </c>
      <c r="AB1623">
        <v>0</v>
      </c>
      <c r="AC1623">
        <v>0</v>
      </c>
      <c r="AD1623" t="s">
        <v>94</v>
      </c>
      <c r="AE1623" t="s">
        <v>94</v>
      </c>
      <c r="AF1623" t="s">
        <v>226</v>
      </c>
      <c r="AG1623" t="s">
        <v>226</v>
      </c>
      <c r="AH1623">
        <v>6</v>
      </c>
      <c r="AI1623" t="s">
        <v>3537</v>
      </c>
      <c r="AJ1623" t="s">
        <v>1976</v>
      </c>
      <c r="AK1623" t="s">
        <v>2416</v>
      </c>
      <c r="AL1623" t="s">
        <v>272</v>
      </c>
    </row>
    <row r="1624" spans="1:38">
      <c r="A1624" t="s">
        <v>7157</v>
      </c>
      <c r="B1624" t="s">
        <v>7158</v>
      </c>
      <c r="C1624" t="s">
        <v>7159</v>
      </c>
      <c r="D1624" t="s">
        <v>7159</v>
      </c>
      <c r="E1624" t="s">
        <v>7160</v>
      </c>
      <c r="F1624" t="s">
        <v>2425</v>
      </c>
      <c r="G1624">
        <v>3</v>
      </c>
      <c r="H1624">
        <v>1</v>
      </c>
      <c r="I1624">
        <v>1E-4</v>
      </c>
      <c r="J1624">
        <v>1000</v>
      </c>
      <c r="K1624">
        <v>0</v>
      </c>
      <c r="L1624">
        <v>0</v>
      </c>
      <c r="M1624">
        <v>60.243899999999996</v>
      </c>
      <c r="N1624">
        <v>64.1708</v>
      </c>
      <c r="O1624">
        <v>60.243899999999996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60.742600000000003</v>
      </c>
      <c r="Y1624">
        <v>67.953999999999994</v>
      </c>
      <c r="Z1624">
        <v>0</v>
      </c>
      <c r="AA1624">
        <v>137204</v>
      </c>
      <c r="AB1624">
        <v>0</v>
      </c>
      <c r="AC1624">
        <v>0</v>
      </c>
      <c r="AD1624" t="s">
        <v>2</v>
      </c>
      <c r="AE1624" t="s">
        <v>94</v>
      </c>
      <c r="AF1624" t="s">
        <v>304</v>
      </c>
      <c r="AG1624" t="s">
        <v>226</v>
      </c>
      <c r="AH1624">
        <v>0</v>
      </c>
      <c r="AI1624" t="s">
        <v>3537</v>
      </c>
      <c r="AJ1624" t="s">
        <v>1976</v>
      </c>
      <c r="AK1624" t="s">
        <v>2426</v>
      </c>
      <c r="AL1624" t="s">
        <v>272</v>
      </c>
    </row>
    <row r="1625" spans="1:38">
      <c r="A1625" t="s">
        <v>7161</v>
      </c>
      <c r="B1625" t="s">
        <v>7162</v>
      </c>
      <c r="C1625" t="s">
        <v>7163</v>
      </c>
      <c r="D1625" t="s">
        <v>7163</v>
      </c>
      <c r="E1625" t="s">
        <v>7164</v>
      </c>
      <c r="F1625" t="s">
        <v>2425</v>
      </c>
      <c r="G1625">
        <v>3</v>
      </c>
      <c r="H1625">
        <v>1</v>
      </c>
      <c r="I1625">
        <v>1E-4</v>
      </c>
      <c r="J1625">
        <v>1000</v>
      </c>
      <c r="K1625">
        <v>0</v>
      </c>
      <c r="L1625">
        <v>0</v>
      </c>
      <c r="M1625">
        <v>61.739699999999999</v>
      </c>
      <c r="N1625">
        <v>58.037999999999997</v>
      </c>
      <c r="O1625">
        <v>61.739699999999999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50.000399999999999</v>
      </c>
      <c r="Y1625">
        <v>58.3797</v>
      </c>
      <c r="Z1625">
        <v>0</v>
      </c>
      <c r="AA1625">
        <v>91996</v>
      </c>
      <c r="AB1625">
        <v>0</v>
      </c>
      <c r="AC1625">
        <v>0</v>
      </c>
      <c r="AD1625" t="s">
        <v>2</v>
      </c>
      <c r="AE1625" t="s">
        <v>94</v>
      </c>
      <c r="AF1625" t="s">
        <v>304</v>
      </c>
      <c r="AG1625" t="s">
        <v>226</v>
      </c>
      <c r="AH1625">
        <v>0</v>
      </c>
      <c r="AI1625" t="s">
        <v>3537</v>
      </c>
      <c r="AJ1625" t="s">
        <v>1976</v>
      </c>
      <c r="AK1625" t="s">
        <v>2426</v>
      </c>
      <c r="AL1625" t="s">
        <v>272</v>
      </c>
    </row>
    <row r="1626" spans="1:38">
      <c r="A1626" t="s">
        <v>7165</v>
      </c>
      <c r="B1626" t="s">
        <v>7166</v>
      </c>
      <c r="C1626" t="s">
        <v>7167</v>
      </c>
      <c r="D1626" t="s">
        <v>7167</v>
      </c>
      <c r="E1626" t="s">
        <v>7168</v>
      </c>
      <c r="F1626" t="s">
        <v>2425</v>
      </c>
      <c r="G1626">
        <v>3</v>
      </c>
      <c r="H1626">
        <v>1</v>
      </c>
      <c r="I1626">
        <v>1E-4</v>
      </c>
      <c r="J1626">
        <v>1000</v>
      </c>
      <c r="K1626">
        <v>0</v>
      </c>
      <c r="L1626">
        <v>0</v>
      </c>
      <c r="M1626">
        <v>87.949100000000001</v>
      </c>
      <c r="N1626">
        <v>88.144900000000007</v>
      </c>
      <c r="O1626">
        <v>87.949100000000001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81.634100000000004</v>
      </c>
      <c r="Y1626">
        <v>85.590900000000005</v>
      </c>
      <c r="Z1626">
        <v>0</v>
      </c>
      <c r="AA1626">
        <v>77965</v>
      </c>
      <c r="AB1626">
        <v>0</v>
      </c>
      <c r="AC1626">
        <v>0</v>
      </c>
      <c r="AD1626" t="s">
        <v>2</v>
      </c>
      <c r="AE1626" t="s">
        <v>94</v>
      </c>
      <c r="AF1626" t="s">
        <v>304</v>
      </c>
      <c r="AG1626" t="s">
        <v>226</v>
      </c>
      <c r="AH1626">
        <v>0</v>
      </c>
      <c r="AI1626" t="s">
        <v>3537</v>
      </c>
      <c r="AJ1626" t="s">
        <v>1976</v>
      </c>
      <c r="AK1626" t="s">
        <v>2426</v>
      </c>
      <c r="AL1626" t="s">
        <v>272</v>
      </c>
    </row>
    <row r="1627" spans="1:38">
      <c r="A1627" t="s">
        <v>7169</v>
      </c>
      <c r="B1627" t="s">
        <v>7170</v>
      </c>
      <c r="C1627" t="s">
        <v>7171</v>
      </c>
      <c r="D1627" t="s">
        <v>7171</v>
      </c>
      <c r="E1627" t="s">
        <v>7172</v>
      </c>
      <c r="F1627" t="s">
        <v>2425</v>
      </c>
      <c r="G1627">
        <v>3</v>
      </c>
      <c r="H1627">
        <v>1</v>
      </c>
      <c r="I1627">
        <v>0.01</v>
      </c>
      <c r="J1627">
        <v>100000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222</v>
      </c>
      <c r="AB1627">
        <v>0</v>
      </c>
      <c r="AC1627">
        <v>0</v>
      </c>
      <c r="AD1627" t="s">
        <v>94</v>
      </c>
      <c r="AE1627" t="s">
        <v>94</v>
      </c>
      <c r="AF1627" t="s">
        <v>304</v>
      </c>
      <c r="AG1627" t="s">
        <v>226</v>
      </c>
      <c r="AH1627">
        <v>0</v>
      </c>
      <c r="AI1627" t="s">
        <v>3537</v>
      </c>
      <c r="AJ1627" t="s">
        <v>1976</v>
      </c>
      <c r="AK1627" t="s">
        <v>2426</v>
      </c>
      <c r="AL1627" t="s">
        <v>272</v>
      </c>
    </row>
    <row r="1628" spans="1:38">
      <c r="A1628" t="s">
        <v>7173</v>
      </c>
      <c r="B1628" t="s">
        <v>7174</v>
      </c>
      <c r="C1628" t="s">
        <v>7175</v>
      </c>
      <c r="D1628" t="s">
        <v>7175</v>
      </c>
      <c r="E1628" t="s">
        <v>7176</v>
      </c>
      <c r="F1628" t="s">
        <v>2425</v>
      </c>
      <c r="G1628">
        <v>3</v>
      </c>
      <c r="H1628">
        <v>1</v>
      </c>
      <c r="I1628">
        <v>1E-4</v>
      </c>
      <c r="J1628">
        <v>1000</v>
      </c>
      <c r="K1628">
        <v>0.1</v>
      </c>
      <c r="L1628">
        <v>95.8</v>
      </c>
      <c r="M1628">
        <v>95.700199999999995</v>
      </c>
      <c r="N1628">
        <v>96.673299999999998</v>
      </c>
      <c r="O1628">
        <v>95.8</v>
      </c>
      <c r="P1628">
        <v>0</v>
      </c>
      <c r="Q1628">
        <v>0</v>
      </c>
      <c r="R1628">
        <v>0</v>
      </c>
      <c r="S1628">
        <v>95.524199999999993</v>
      </c>
      <c r="T1628">
        <v>94.500100000000003</v>
      </c>
      <c r="U1628">
        <v>94.01</v>
      </c>
      <c r="V1628">
        <v>96.5</v>
      </c>
      <c r="W1628">
        <v>2535877</v>
      </c>
      <c r="X1628">
        <v>95.100099999999998</v>
      </c>
      <c r="Y1628">
        <v>96.5</v>
      </c>
      <c r="Z1628">
        <v>16</v>
      </c>
      <c r="AA1628">
        <v>130069</v>
      </c>
      <c r="AB1628">
        <v>101727.91</v>
      </c>
      <c r="AC1628">
        <v>0</v>
      </c>
      <c r="AD1628" t="s">
        <v>2</v>
      </c>
      <c r="AE1628" t="s">
        <v>94</v>
      </c>
      <c r="AF1628" t="s">
        <v>226</v>
      </c>
      <c r="AG1628" t="s">
        <v>226</v>
      </c>
      <c r="AH1628">
        <v>6</v>
      </c>
      <c r="AI1628" t="s">
        <v>3537</v>
      </c>
      <c r="AJ1628" t="s">
        <v>1976</v>
      </c>
      <c r="AK1628" t="s">
        <v>2426</v>
      </c>
      <c r="AL1628" t="s">
        <v>272</v>
      </c>
    </row>
    <row r="1629" spans="1:38">
      <c r="A1629" t="s">
        <v>7177</v>
      </c>
      <c r="B1629" t="s">
        <v>7178</v>
      </c>
      <c r="C1629" t="s">
        <v>7179</v>
      </c>
      <c r="D1629" t="s">
        <v>7179</v>
      </c>
      <c r="E1629" t="s">
        <v>7180</v>
      </c>
      <c r="F1629" t="s">
        <v>2425</v>
      </c>
      <c r="G1629">
        <v>3</v>
      </c>
      <c r="H1629">
        <v>1</v>
      </c>
      <c r="I1629">
        <v>1E-4</v>
      </c>
      <c r="J1629">
        <v>1000</v>
      </c>
      <c r="K1629">
        <v>1.1599999999999999</v>
      </c>
      <c r="L1629">
        <v>87.499700000000004</v>
      </c>
      <c r="M1629">
        <v>86.5</v>
      </c>
      <c r="N1629">
        <v>87.018299999999996</v>
      </c>
      <c r="O1629">
        <v>87.499700000000004</v>
      </c>
      <c r="P1629">
        <v>0</v>
      </c>
      <c r="Q1629">
        <v>0</v>
      </c>
      <c r="R1629">
        <v>0</v>
      </c>
      <c r="S1629">
        <v>87.499700000000004</v>
      </c>
      <c r="T1629">
        <v>87.499700000000004</v>
      </c>
      <c r="U1629">
        <v>87.499700000000004</v>
      </c>
      <c r="V1629">
        <v>87.499700000000004</v>
      </c>
      <c r="W1629">
        <v>98017</v>
      </c>
      <c r="X1629">
        <v>86.25</v>
      </c>
      <c r="Y1629">
        <v>87.497200000000007</v>
      </c>
      <c r="Z1629">
        <v>1</v>
      </c>
      <c r="AA1629">
        <v>160839</v>
      </c>
      <c r="AB1629">
        <v>98017.16</v>
      </c>
      <c r="AC1629">
        <v>0</v>
      </c>
      <c r="AD1629" t="s">
        <v>4</v>
      </c>
      <c r="AE1629" t="s">
        <v>94</v>
      </c>
      <c r="AF1629" t="s">
        <v>226</v>
      </c>
      <c r="AG1629" t="s">
        <v>226</v>
      </c>
      <c r="AH1629">
        <v>6</v>
      </c>
      <c r="AI1629" t="s">
        <v>3537</v>
      </c>
      <c r="AJ1629" t="s">
        <v>1976</v>
      </c>
      <c r="AK1629" t="s">
        <v>2426</v>
      </c>
      <c r="AL1629" t="s">
        <v>272</v>
      </c>
    </row>
    <row r="1630" spans="1:38">
      <c r="A1630" t="s">
        <v>7181</v>
      </c>
      <c r="B1630" t="s">
        <v>7182</v>
      </c>
      <c r="C1630" t="s">
        <v>7183</v>
      </c>
      <c r="D1630" t="s">
        <v>7183</v>
      </c>
      <c r="E1630" t="s">
        <v>7184</v>
      </c>
      <c r="F1630" t="s">
        <v>2425</v>
      </c>
      <c r="G1630">
        <v>3</v>
      </c>
      <c r="H1630">
        <v>1</v>
      </c>
      <c r="I1630">
        <v>1E-4</v>
      </c>
      <c r="J1630">
        <v>1000</v>
      </c>
      <c r="K1630">
        <v>-2.29</v>
      </c>
      <c r="L1630">
        <v>81.459400000000002</v>
      </c>
      <c r="M1630">
        <v>83.547300000000007</v>
      </c>
      <c r="N1630">
        <v>84.304199999999994</v>
      </c>
      <c r="O1630">
        <v>82.182000000000002</v>
      </c>
      <c r="P1630">
        <v>0</v>
      </c>
      <c r="Q1630">
        <v>0</v>
      </c>
      <c r="R1630">
        <v>0</v>
      </c>
      <c r="S1630">
        <v>82.182000000000002</v>
      </c>
      <c r="T1630">
        <v>82.000299999999996</v>
      </c>
      <c r="U1630">
        <v>81.459400000000002</v>
      </c>
      <c r="V1630">
        <v>82.5</v>
      </c>
      <c r="W1630">
        <v>2618016</v>
      </c>
      <c r="X1630">
        <v>81.459400000000002</v>
      </c>
      <c r="Y1630">
        <v>82.49</v>
      </c>
      <c r="Z1630">
        <v>19</v>
      </c>
      <c r="AA1630">
        <v>160108</v>
      </c>
      <c r="AB1630">
        <v>86499.94</v>
      </c>
      <c r="AC1630">
        <v>0</v>
      </c>
      <c r="AD1630" t="s">
        <v>2</v>
      </c>
      <c r="AE1630" t="s">
        <v>94</v>
      </c>
      <c r="AF1630" t="s">
        <v>226</v>
      </c>
      <c r="AG1630" t="s">
        <v>226</v>
      </c>
      <c r="AH1630">
        <v>6</v>
      </c>
      <c r="AI1630" t="s">
        <v>3537</v>
      </c>
      <c r="AJ1630" t="s">
        <v>1976</v>
      </c>
      <c r="AK1630" t="s">
        <v>2426</v>
      </c>
      <c r="AL1630" t="s">
        <v>272</v>
      </c>
    </row>
    <row r="1631" spans="1:38">
      <c r="A1631" t="s">
        <v>7185</v>
      </c>
      <c r="B1631" t="s">
        <v>7186</v>
      </c>
      <c r="C1631" t="s">
        <v>7187</v>
      </c>
      <c r="D1631" t="s">
        <v>7187</v>
      </c>
      <c r="E1631" t="s">
        <v>7188</v>
      </c>
      <c r="F1631" t="s">
        <v>2413</v>
      </c>
      <c r="G1631">
        <v>3</v>
      </c>
      <c r="H1631">
        <v>1</v>
      </c>
      <c r="I1631">
        <v>0.01</v>
      </c>
      <c r="J1631">
        <v>1000</v>
      </c>
      <c r="K1631">
        <v>0.01</v>
      </c>
      <c r="L1631">
        <v>85.71</v>
      </c>
      <c r="M1631">
        <v>85.71</v>
      </c>
      <c r="N1631">
        <v>85.76</v>
      </c>
      <c r="O1631">
        <v>85.71</v>
      </c>
      <c r="P1631">
        <v>0</v>
      </c>
      <c r="Q1631">
        <v>0</v>
      </c>
      <c r="R1631">
        <v>0</v>
      </c>
      <c r="S1631">
        <v>85.6</v>
      </c>
      <c r="T1631">
        <v>85.51</v>
      </c>
      <c r="U1631">
        <v>85.5</v>
      </c>
      <c r="V1631">
        <v>85.94</v>
      </c>
      <c r="W1631">
        <v>244802</v>
      </c>
      <c r="X1631">
        <v>85.71</v>
      </c>
      <c r="Y1631">
        <v>85.91</v>
      </c>
      <c r="Z1631">
        <v>15</v>
      </c>
      <c r="AA1631">
        <v>350000</v>
      </c>
      <c r="AB1631">
        <v>9428.1</v>
      </c>
      <c r="AC1631">
        <v>0</v>
      </c>
      <c r="AD1631" t="s">
        <v>94</v>
      </c>
      <c r="AE1631" t="s">
        <v>94</v>
      </c>
      <c r="AF1631" t="s">
        <v>226</v>
      </c>
      <c r="AG1631" t="s">
        <v>226</v>
      </c>
      <c r="AH1631">
        <v>6</v>
      </c>
      <c r="AI1631" t="s">
        <v>3537</v>
      </c>
      <c r="AJ1631" t="s">
        <v>1976</v>
      </c>
      <c r="AK1631" t="s">
        <v>2416</v>
      </c>
      <c r="AL1631" t="s">
        <v>272</v>
      </c>
    </row>
    <row r="1632" spans="1:38">
      <c r="A1632" t="s">
        <v>7189</v>
      </c>
      <c r="B1632" t="s">
        <v>7190</v>
      </c>
      <c r="C1632" t="s">
        <v>7191</v>
      </c>
      <c r="D1632" t="s">
        <v>7191</v>
      </c>
      <c r="E1632" t="s">
        <v>7192</v>
      </c>
      <c r="F1632" t="s">
        <v>2413</v>
      </c>
      <c r="G1632">
        <v>3</v>
      </c>
      <c r="H1632">
        <v>1</v>
      </c>
      <c r="I1632">
        <v>0.01</v>
      </c>
      <c r="J1632">
        <v>900</v>
      </c>
      <c r="K1632">
        <v>0.22</v>
      </c>
      <c r="L1632">
        <v>100.45</v>
      </c>
      <c r="M1632">
        <v>100.23</v>
      </c>
      <c r="N1632">
        <v>100.2</v>
      </c>
      <c r="O1632">
        <v>100.45</v>
      </c>
      <c r="P1632">
        <v>0</v>
      </c>
      <c r="Q1632">
        <v>0</v>
      </c>
      <c r="R1632">
        <v>0</v>
      </c>
      <c r="S1632">
        <v>100.42</v>
      </c>
      <c r="T1632">
        <v>100.41</v>
      </c>
      <c r="U1632">
        <v>100.2</v>
      </c>
      <c r="V1632">
        <v>100.45</v>
      </c>
      <c r="W1632">
        <v>24402</v>
      </c>
      <c r="X1632">
        <v>100.18</v>
      </c>
      <c r="Y1632">
        <v>100.45</v>
      </c>
      <c r="Z1632">
        <v>7</v>
      </c>
      <c r="AA1632">
        <v>70000</v>
      </c>
      <c r="AB1632">
        <v>14464.8</v>
      </c>
      <c r="AC1632">
        <v>0</v>
      </c>
      <c r="AD1632" t="s">
        <v>94</v>
      </c>
      <c r="AE1632" t="s">
        <v>94</v>
      </c>
      <c r="AF1632" t="s">
        <v>226</v>
      </c>
      <c r="AG1632" t="s">
        <v>226</v>
      </c>
      <c r="AH1632">
        <v>6</v>
      </c>
      <c r="AI1632" t="s">
        <v>3537</v>
      </c>
      <c r="AJ1632" t="s">
        <v>1976</v>
      </c>
      <c r="AK1632" t="s">
        <v>2416</v>
      </c>
      <c r="AL1632" t="s">
        <v>272</v>
      </c>
    </row>
    <row r="1633" spans="1:38">
      <c r="A1633" t="s">
        <v>7193</v>
      </c>
      <c r="B1633" t="s">
        <v>7194</v>
      </c>
      <c r="C1633" t="s">
        <v>7195</v>
      </c>
      <c r="D1633" t="s">
        <v>7195</v>
      </c>
      <c r="E1633" t="s">
        <v>7196</v>
      </c>
      <c r="F1633" t="s">
        <v>2413</v>
      </c>
      <c r="G1633">
        <v>3</v>
      </c>
      <c r="H1633">
        <v>1</v>
      </c>
      <c r="I1633">
        <v>0.01</v>
      </c>
      <c r="J1633">
        <v>1000</v>
      </c>
      <c r="K1633">
        <v>-2.58</v>
      </c>
      <c r="L1633">
        <v>90.39</v>
      </c>
      <c r="M1633">
        <v>92.59</v>
      </c>
      <c r="N1633">
        <v>89.93</v>
      </c>
      <c r="O1633">
        <v>90.39</v>
      </c>
      <c r="P1633">
        <v>0</v>
      </c>
      <c r="Q1633">
        <v>0</v>
      </c>
      <c r="R1633">
        <v>0</v>
      </c>
      <c r="S1633">
        <v>90.39</v>
      </c>
      <c r="T1633">
        <v>90.39</v>
      </c>
      <c r="U1633">
        <v>90.39</v>
      </c>
      <c r="V1633">
        <v>90.39</v>
      </c>
      <c r="W1633">
        <v>5423</v>
      </c>
      <c r="X1633">
        <v>90.39</v>
      </c>
      <c r="Y1633">
        <v>90.4</v>
      </c>
      <c r="Z1633">
        <v>2</v>
      </c>
      <c r="AA1633">
        <v>30000</v>
      </c>
      <c r="AB1633">
        <v>4519.5</v>
      </c>
      <c r="AC1633">
        <v>0</v>
      </c>
      <c r="AD1633" t="s">
        <v>94</v>
      </c>
      <c r="AE1633" t="s">
        <v>94</v>
      </c>
      <c r="AF1633" t="s">
        <v>226</v>
      </c>
      <c r="AG1633" t="s">
        <v>226</v>
      </c>
      <c r="AH1633">
        <v>6</v>
      </c>
      <c r="AI1633" t="s">
        <v>3537</v>
      </c>
      <c r="AJ1633" t="s">
        <v>1976</v>
      </c>
      <c r="AK1633" t="s">
        <v>2416</v>
      </c>
      <c r="AL1633" t="s">
        <v>272</v>
      </c>
    </row>
    <row r="1634" spans="1:38">
      <c r="A1634" t="s">
        <v>7197</v>
      </c>
      <c r="B1634" t="s">
        <v>7198</v>
      </c>
      <c r="C1634" t="s">
        <v>7199</v>
      </c>
      <c r="D1634" t="s">
        <v>7199</v>
      </c>
      <c r="E1634" t="s">
        <v>7200</v>
      </c>
      <c r="F1634" t="s">
        <v>2413</v>
      </c>
      <c r="G1634">
        <v>3</v>
      </c>
      <c r="H1634">
        <v>1</v>
      </c>
      <c r="I1634">
        <v>0.01</v>
      </c>
      <c r="J1634">
        <v>1000</v>
      </c>
      <c r="K1634">
        <v>0.62</v>
      </c>
      <c r="L1634">
        <v>76.47</v>
      </c>
      <c r="M1634">
        <v>76.22</v>
      </c>
      <c r="N1634">
        <v>76.98</v>
      </c>
      <c r="O1634">
        <v>76.47</v>
      </c>
      <c r="P1634">
        <v>0</v>
      </c>
      <c r="Q1634">
        <v>0</v>
      </c>
      <c r="R1634">
        <v>0</v>
      </c>
      <c r="S1634">
        <v>76.55</v>
      </c>
      <c r="T1634">
        <v>77.23</v>
      </c>
      <c r="U1634">
        <v>76.260000000000005</v>
      </c>
      <c r="V1634">
        <v>77.23</v>
      </c>
      <c r="W1634">
        <v>148505</v>
      </c>
      <c r="X1634">
        <v>76.290000000000006</v>
      </c>
      <c r="Y1634">
        <v>76.47</v>
      </c>
      <c r="Z1634">
        <v>18</v>
      </c>
      <c r="AA1634">
        <v>200000</v>
      </c>
      <c r="AB1634">
        <v>22941</v>
      </c>
      <c r="AC1634">
        <v>0</v>
      </c>
      <c r="AD1634" t="s">
        <v>94</v>
      </c>
      <c r="AE1634" t="s">
        <v>94</v>
      </c>
      <c r="AF1634" t="s">
        <v>226</v>
      </c>
      <c r="AG1634" t="s">
        <v>226</v>
      </c>
      <c r="AH1634">
        <v>6</v>
      </c>
      <c r="AI1634" t="s">
        <v>3537</v>
      </c>
      <c r="AJ1634" t="s">
        <v>1976</v>
      </c>
      <c r="AK1634" t="s">
        <v>2416</v>
      </c>
      <c r="AL1634" t="s">
        <v>272</v>
      </c>
    </row>
    <row r="1635" spans="1:38">
      <c r="A1635" t="s">
        <v>7201</v>
      </c>
      <c r="B1635" t="s">
        <v>7202</v>
      </c>
      <c r="C1635" t="s">
        <v>7203</v>
      </c>
      <c r="D1635" t="s">
        <v>7203</v>
      </c>
      <c r="E1635" t="s">
        <v>7204</v>
      </c>
      <c r="F1635" t="s">
        <v>2413</v>
      </c>
      <c r="G1635">
        <v>2</v>
      </c>
      <c r="H1635">
        <v>1</v>
      </c>
      <c r="I1635">
        <v>0.01</v>
      </c>
      <c r="J1635">
        <v>1000</v>
      </c>
      <c r="K1635">
        <v>-0.08</v>
      </c>
      <c r="L1635">
        <v>97.92</v>
      </c>
      <c r="M1635">
        <v>98</v>
      </c>
      <c r="N1635">
        <v>98.03</v>
      </c>
      <c r="O1635">
        <v>97.92</v>
      </c>
      <c r="P1635">
        <v>0</v>
      </c>
      <c r="Q1635">
        <v>0</v>
      </c>
      <c r="R1635">
        <v>0</v>
      </c>
      <c r="S1635">
        <v>97.73</v>
      </c>
      <c r="T1635">
        <v>98.24</v>
      </c>
      <c r="U1635">
        <v>97.33</v>
      </c>
      <c r="V1635">
        <v>98.24</v>
      </c>
      <c r="W1635">
        <v>471053</v>
      </c>
      <c r="X1635">
        <v>97.37</v>
      </c>
      <c r="Y1635">
        <v>97.87</v>
      </c>
      <c r="Z1635">
        <v>66</v>
      </c>
      <c r="AA1635">
        <v>500000</v>
      </c>
      <c r="AB1635">
        <v>1958.4</v>
      </c>
      <c r="AC1635">
        <v>0</v>
      </c>
      <c r="AD1635" t="s">
        <v>94</v>
      </c>
      <c r="AE1635" t="s">
        <v>94</v>
      </c>
      <c r="AF1635" t="s">
        <v>226</v>
      </c>
      <c r="AG1635" t="s">
        <v>226</v>
      </c>
      <c r="AH1635">
        <v>800</v>
      </c>
      <c r="AI1635" t="s">
        <v>3537</v>
      </c>
      <c r="AJ1635" t="s">
        <v>1976</v>
      </c>
      <c r="AK1635" t="s">
        <v>2416</v>
      </c>
      <c r="AL1635" t="s">
        <v>272</v>
      </c>
    </row>
    <row r="1636" spans="1:38">
      <c r="A1636" t="s">
        <v>7205</v>
      </c>
      <c r="B1636" t="s">
        <v>7206</v>
      </c>
      <c r="C1636" t="s">
        <v>7207</v>
      </c>
      <c r="D1636" t="s">
        <v>7207</v>
      </c>
      <c r="E1636" t="s">
        <v>7208</v>
      </c>
      <c r="F1636" t="s">
        <v>2425</v>
      </c>
      <c r="G1636">
        <v>3</v>
      </c>
      <c r="H1636">
        <v>1</v>
      </c>
      <c r="I1636">
        <v>0.01</v>
      </c>
      <c r="J1636">
        <v>174.12</v>
      </c>
      <c r="K1636">
        <v>-0.01</v>
      </c>
      <c r="L1636">
        <v>99.97</v>
      </c>
      <c r="M1636">
        <v>99.98</v>
      </c>
      <c r="N1636">
        <v>97.33</v>
      </c>
      <c r="O1636">
        <v>99.98</v>
      </c>
      <c r="P1636">
        <v>0</v>
      </c>
      <c r="Q1636">
        <v>0</v>
      </c>
      <c r="R1636">
        <v>0</v>
      </c>
      <c r="S1636">
        <v>98.75</v>
      </c>
      <c r="T1636">
        <v>100</v>
      </c>
      <c r="U1636">
        <v>98.04</v>
      </c>
      <c r="V1636">
        <v>100</v>
      </c>
      <c r="W1636">
        <v>5674</v>
      </c>
      <c r="X1636">
        <v>98.03</v>
      </c>
      <c r="Y1636">
        <v>99.97</v>
      </c>
      <c r="Z1636">
        <v>9</v>
      </c>
      <c r="AA1636">
        <v>4000000</v>
      </c>
      <c r="AB1636">
        <v>174.07</v>
      </c>
      <c r="AC1636">
        <v>0</v>
      </c>
      <c r="AD1636" t="s">
        <v>94</v>
      </c>
      <c r="AE1636" t="s">
        <v>94</v>
      </c>
      <c r="AF1636" t="s">
        <v>226</v>
      </c>
      <c r="AG1636" t="s">
        <v>226</v>
      </c>
      <c r="AH1636">
        <v>-100</v>
      </c>
      <c r="AI1636" t="s">
        <v>3537</v>
      </c>
      <c r="AJ1636" t="s">
        <v>1976</v>
      </c>
      <c r="AK1636" t="s">
        <v>2426</v>
      </c>
      <c r="AL1636" t="s">
        <v>272</v>
      </c>
    </row>
    <row r="1637" spans="1:38">
      <c r="A1637" t="s">
        <v>7209</v>
      </c>
      <c r="B1637" t="s">
        <v>7210</v>
      </c>
      <c r="C1637" t="s">
        <v>7211</v>
      </c>
      <c r="D1637" t="s">
        <v>7211</v>
      </c>
      <c r="E1637" t="s">
        <v>7212</v>
      </c>
      <c r="F1637" t="s">
        <v>2425</v>
      </c>
      <c r="G1637">
        <v>3</v>
      </c>
      <c r="H1637">
        <v>1</v>
      </c>
      <c r="I1637">
        <v>0.01</v>
      </c>
      <c r="J1637">
        <v>1000</v>
      </c>
      <c r="K1637">
        <v>2.93</v>
      </c>
      <c r="L1637">
        <v>102.96</v>
      </c>
      <c r="M1637">
        <v>100.05</v>
      </c>
      <c r="N1637">
        <v>101.12</v>
      </c>
      <c r="O1637">
        <v>102.96</v>
      </c>
      <c r="P1637">
        <v>0</v>
      </c>
      <c r="Q1637">
        <v>0</v>
      </c>
      <c r="R1637">
        <v>0</v>
      </c>
      <c r="S1637">
        <v>100.69</v>
      </c>
      <c r="T1637">
        <v>100.06</v>
      </c>
      <c r="U1637">
        <v>100.03</v>
      </c>
      <c r="V1637">
        <v>102.96</v>
      </c>
      <c r="W1637">
        <v>9062</v>
      </c>
      <c r="X1637">
        <v>99.11</v>
      </c>
      <c r="Y1637">
        <v>101.78</v>
      </c>
      <c r="Z1637">
        <v>5</v>
      </c>
      <c r="AA1637">
        <v>4000000</v>
      </c>
      <c r="AB1637">
        <v>1029.5999999999999</v>
      </c>
      <c r="AC1637">
        <v>0</v>
      </c>
      <c r="AD1637" t="s">
        <v>94</v>
      </c>
      <c r="AE1637" t="s">
        <v>94</v>
      </c>
      <c r="AF1637" t="s">
        <v>226</v>
      </c>
      <c r="AG1637" t="s">
        <v>226</v>
      </c>
      <c r="AH1637">
        <v>-100</v>
      </c>
      <c r="AI1637" t="s">
        <v>3537</v>
      </c>
      <c r="AJ1637" t="s">
        <v>1976</v>
      </c>
      <c r="AK1637" t="s">
        <v>2426</v>
      </c>
      <c r="AL1637" t="s">
        <v>272</v>
      </c>
    </row>
    <row r="1638" spans="1:38">
      <c r="A1638" t="s">
        <v>7213</v>
      </c>
      <c r="B1638" t="s">
        <v>7214</v>
      </c>
      <c r="C1638" t="s">
        <v>7215</v>
      </c>
      <c r="D1638" t="s">
        <v>7215</v>
      </c>
      <c r="E1638" t="s">
        <v>7216</v>
      </c>
      <c r="F1638" t="s">
        <v>2425</v>
      </c>
      <c r="G1638">
        <v>3</v>
      </c>
      <c r="H1638">
        <v>1</v>
      </c>
      <c r="I1638">
        <v>0.01</v>
      </c>
      <c r="J1638">
        <v>1000</v>
      </c>
      <c r="K1638">
        <v>-0.35</v>
      </c>
      <c r="L1638">
        <v>68.7</v>
      </c>
      <c r="M1638">
        <v>68.900000000000006</v>
      </c>
      <c r="N1638">
        <v>68.650000000000006</v>
      </c>
      <c r="O1638">
        <v>68.7</v>
      </c>
      <c r="P1638">
        <v>0</v>
      </c>
      <c r="Q1638">
        <v>0</v>
      </c>
      <c r="R1638">
        <v>0</v>
      </c>
      <c r="S1638">
        <v>68.569999999999993</v>
      </c>
      <c r="T1638">
        <v>68.62</v>
      </c>
      <c r="U1638">
        <v>68.25</v>
      </c>
      <c r="V1638">
        <v>68.7</v>
      </c>
      <c r="W1638">
        <v>47313</v>
      </c>
      <c r="X1638">
        <v>68.7</v>
      </c>
      <c r="Y1638">
        <v>68.92</v>
      </c>
      <c r="Z1638">
        <v>11</v>
      </c>
      <c r="AA1638">
        <v>5000000</v>
      </c>
      <c r="AB1638">
        <v>8244</v>
      </c>
      <c r="AC1638">
        <v>0</v>
      </c>
      <c r="AD1638" t="s">
        <v>94</v>
      </c>
      <c r="AE1638" t="s">
        <v>94</v>
      </c>
      <c r="AF1638" t="s">
        <v>226</v>
      </c>
      <c r="AG1638" t="s">
        <v>226</v>
      </c>
      <c r="AH1638">
        <v>6</v>
      </c>
      <c r="AI1638" t="s">
        <v>3537</v>
      </c>
      <c r="AJ1638" t="s">
        <v>1976</v>
      </c>
      <c r="AK1638" t="s">
        <v>2426</v>
      </c>
      <c r="AL1638" t="s">
        <v>272</v>
      </c>
    </row>
    <row r="1639" spans="1:38">
      <c r="A1639" t="s">
        <v>7217</v>
      </c>
      <c r="B1639" t="s">
        <v>7218</v>
      </c>
      <c r="C1639" t="s">
        <v>7219</v>
      </c>
      <c r="D1639" t="s">
        <v>7219</v>
      </c>
      <c r="E1639" t="s">
        <v>7220</v>
      </c>
      <c r="F1639" t="s">
        <v>2425</v>
      </c>
      <c r="G1639">
        <v>3</v>
      </c>
      <c r="H1639">
        <v>1</v>
      </c>
      <c r="I1639">
        <v>0.01</v>
      </c>
      <c r="J1639">
        <v>1000</v>
      </c>
      <c r="K1639">
        <v>-2.74</v>
      </c>
      <c r="L1639">
        <v>68.069999999999993</v>
      </c>
      <c r="M1639">
        <v>69.78</v>
      </c>
      <c r="N1639">
        <v>71.239999999999995</v>
      </c>
      <c r="O1639">
        <v>68.069999999999993</v>
      </c>
      <c r="P1639">
        <v>0</v>
      </c>
      <c r="Q1639">
        <v>0</v>
      </c>
      <c r="R1639">
        <v>0</v>
      </c>
      <c r="S1639">
        <v>68.069999999999993</v>
      </c>
      <c r="T1639">
        <v>68.069999999999993</v>
      </c>
      <c r="U1639">
        <v>68.069999999999993</v>
      </c>
      <c r="V1639">
        <v>68.069999999999993</v>
      </c>
      <c r="W1639">
        <v>1361</v>
      </c>
      <c r="X1639">
        <v>68.09</v>
      </c>
      <c r="Y1639">
        <v>68.5</v>
      </c>
      <c r="Z1639">
        <v>2</v>
      </c>
      <c r="AA1639">
        <v>5000000</v>
      </c>
      <c r="AB1639">
        <v>680.7</v>
      </c>
      <c r="AC1639">
        <v>0</v>
      </c>
      <c r="AD1639" t="s">
        <v>94</v>
      </c>
      <c r="AE1639" t="s">
        <v>94</v>
      </c>
      <c r="AF1639" t="s">
        <v>226</v>
      </c>
      <c r="AG1639" t="s">
        <v>226</v>
      </c>
      <c r="AH1639">
        <v>6</v>
      </c>
      <c r="AI1639" t="s">
        <v>3537</v>
      </c>
      <c r="AJ1639" t="s">
        <v>1976</v>
      </c>
      <c r="AK1639" t="s">
        <v>2426</v>
      </c>
      <c r="AL1639" t="s">
        <v>272</v>
      </c>
    </row>
    <row r="1640" spans="1:38">
      <c r="A1640" t="s">
        <v>7221</v>
      </c>
      <c r="B1640" t="s">
        <v>7222</v>
      </c>
      <c r="C1640" t="s">
        <v>7223</v>
      </c>
      <c r="D1640" t="s">
        <v>7223</v>
      </c>
      <c r="E1640" t="s">
        <v>7224</v>
      </c>
      <c r="F1640" t="s">
        <v>2413</v>
      </c>
      <c r="G1640">
        <v>2</v>
      </c>
      <c r="H1640">
        <v>1</v>
      </c>
      <c r="I1640">
        <v>0.01</v>
      </c>
      <c r="J1640">
        <v>1000</v>
      </c>
      <c r="K1640">
        <v>-0.72</v>
      </c>
      <c r="L1640">
        <v>97.4</v>
      </c>
      <c r="M1640">
        <v>98.11</v>
      </c>
      <c r="N1640">
        <v>97.99</v>
      </c>
      <c r="O1640">
        <v>97.39</v>
      </c>
      <c r="P1640">
        <v>0</v>
      </c>
      <c r="Q1640">
        <v>0</v>
      </c>
      <c r="R1640">
        <v>0</v>
      </c>
      <c r="S1640">
        <v>96.27</v>
      </c>
      <c r="T1640">
        <v>98.32</v>
      </c>
      <c r="U1640">
        <v>94.01</v>
      </c>
      <c r="V1640">
        <v>98.39</v>
      </c>
      <c r="W1640">
        <v>12866494</v>
      </c>
      <c r="X1640">
        <v>97.02</v>
      </c>
      <c r="Y1640">
        <v>97.4</v>
      </c>
      <c r="Z1640">
        <v>236</v>
      </c>
      <c r="AA1640">
        <v>3500000</v>
      </c>
      <c r="AB1640">
        <v>974</v>
      </c>
      <c r="AC1640">
        <v>0</v>
      </c>
      <c r="AD1640" t="s">
        <v>94</v>
      </c>
      <c r="AE1640" t="s">
        <v>94</v>
      </c>
      <c r="AF1640" t="s">
        <v>226</v>
      </c>
      <c r="AG1640" t="s">
        <v>226</v>
      </c>
      <c r="AH1640">
        <v>8</v>
      </c>
      <c r="AI1640" t="s">
        <v>3537</v>
      </c>
      <c r="AJ1640" t="s">
        <v>1976</v>
      </c>
      <c r="AK1640" t="s">
        <v>2416</v>
      </c>
      <c r="AL1640" t="s">
        <v>272</v>
      </c>
    </row>
    <row r="1641" spans="1:38">
      <c r="A1641" t="s">
        <v>7225</v>
      </c>
      <c r="B1641" t="s">
        <v>7226</v>
      </c>
      <c r="C1641" t="s">
        <v>7227</v>
      </c>
      <c r="D1641" t="s">
        <v>7227</v>
      </c>
      <c r="E1641" t="s">
        <v>7228</v>
      </c>
      <c r="F1641" t="s">
        <v>2413</v>
      </c>
      <c r="G1641">
        <v>2</v>
      </c>
      <c r="H1641">
        <v>1</v>
      </c>
      <c r="I1641">
        <v>0.01</v>
      </c>
      <c r="J1641">
        <v>1000</v>
      </c>
      <c r="K1641">
        <v>0.33</v>
      </c>
      <c r="L1641">
        <v>98.32</v>
      </c>
      <c r="M1641">
        <v>98</v>
      </c>
      <c r="N1641">
        <v>97.8</v>
      </c>
      <c r="O1641">
        <v>97.87</v>
      </c>
      <c r="P1641">
        <v>0</v>
      </c>
      <c r="Q1641">
        <v>0</v>
      </c>
      <c r="R1641">
        <v>0</v>
      </c>
      <c r="S1641">
        <v>97.58</v>
      </c>
      <c r="T1641">
        <v>97.75</v>
      </c>
      <c r="U1641">
        <v>97.49</v>
      </c>
      <c r="V1641">
        <v>98.32</v>
      </c>
      <c r="W1641">
        <v>132715</v>
      </c>
      <c r="X1641">
        <v>97.83</v>
      </c>
      <c r="Y1641">
        <v>98.12</v>
      </c>
      <c r="Z1641">
        <v>27</v>
      </c>
      <c r="AA1641">
        <v>5000000</v>
      </c>
      <c r="AB1641">
        <v>3932.8</v>
      </c>
      <c r="AC1641">
        <v>0</v>
      </c>
      <c r="AD1641" t="s">
        <v>94</v>
      </c>
      <c r="AE1641" t="s">
        <v>94</v>
      </c>
      <c r="AF1641" t="s">
        <v>226</v>
      </c>
      <c r="AG1641" t="s">
        <v>226</v>
      </c>
      <c r="AH1641">
        <v>-100</v>
      </c>
      <c r="AI1641" t="s">
        <v>3537</v>
      </c>
      <c r="AJ1641" t="s">
        <v>1976</v>
      </c>
      <c r="AK1641" t="s">
        <v>2416</v>
      </c>
      <c r="AL1641" t="s">
        <v>272</v>
      </c>
    </row>
    <row r="1642" spans="1:38">
      <c r="A1642" t="s">
        <v>7229</v>
      </c>
      <c r="B1642" t="s">
        <v>7230</v>
      </c>
      <c r="C1642" t="s">
        <v>7231</v>
      </c>
      <c r="D1642" t="s">
        <v>7231</v>
      </c>
      <c r="E1642" t="s">
        <v>7232</v>
      </c>
      <c r="F1642" t="s">
        <v>2413</v>
      </c>
      <c r="G1642">
        <v>2</v>
      </c>
      <c r="H1642">
        <v>1</v>
      </c>
      <c r="I1642">
        <v>0.01</v>
      </c>
      <c r="J1642">
        <v>1000</v>
      </c>
      <c r="K1642">
        <v>0</v>
      </c>
      <c r="L1642">
        <v>97.17</v>
      </c>
      <c r="M1642">
        <v>97.17</v>
      </c>
      <c r="N1642">
        <v>96.82</v>
      </c>
      <c r="O1642">
        <v>97.17</v>
      </c>
      <c r="P1642">
        <v>0</v>
      </c>
      <c r="Q1642">
        <v>0</v>
      </c>
      <c r="R1642">
        <v>0</v>
      </c>
      <c r="S1642">
        <v>97.17</v>
      </c>
      <c r="T1642">
        <v>97.17</v>
      </c>
      <c r="U1642">
        <v>97.17</v>
      </c>
      <c r="V1642">
        <v>97.17</v>
      </c>
      <c r="W1642">
        <v>972</v>
      </c>
      <c r="X1642">
        <v>96.45</v>
      </c>
      <c r="Y1642">
        <v>97.19</v>
      </c>
      <c r="Z1642">
        <v>1</v>
      </c>
      <c r="AA1642">
        <v>5000000</v>
      </c>
      <c r="AB1642">
        <v>971.7</v>
      </c>
      <c r="AC1642">
        <v>0</v>
      </c>
      <c r="AD1642" t="s">
        <v>94</v>
      </c>
      <c r="AE1642" t="s">
        <v>94</v>
      </c>
      <c r="AF1642" t="s">
        <v>226</v>
      </c>
      <c r="AG1642" t="s">
        <v>226</v>
      </c>
      <c r="AH1642">
        <v>-100</v>
      </c>
      <c r="AI1642" t="s">
        <v>3537</v>
      </c>
      <c r="AJ1642" t="s">
        <v>1976</v>
      </c>
      <c r="AK1642" t="s">
        <v>2416</v>
      </c>
      <c r="AL1642" t="s">
        <v>272</v>
      </c>
    </row>
    <row r="1643" spans="1:38">
      <c r="A1643" t="s">
        <v>7233</v>
      </c>
      <c r="B1643" t="s">
        <v>7234</v>
      </c>
      <c r="C1643" t="s">
        <v>7235</v>
      </c>
      <c r="D1643" t="s">
        <v>7235</v>
      </c>
      <c r="E1643" t="s">
        <v>7236</v>
      </c>
      <c r="F1643" t="s">
        <v>2413</v>
      </c>
      <c r="G1643">
        <v>2</v>
      </c>
      <c r="H1643">
        <v>1</v>
      </c>
      <c r="I1643">
        <v>0.01</v>
      </c>
      <c r="J1643">
        <v>1000</v>
      </c>
      <c r="K1643">
        <v>-0.02</v>
      </c>
      <c r="L1643">
        <v>100.68</v>
      </c>
      <c r="M1643">
        <v>100.7</v>
      </c>
      <c r="N1643">
        <v>100.83</v>
      </c>
      <c r="O1643">
        <v>100.68</v>
      </c>
      <c r="P1643">
        <v>0</v>
      </c>
      <c r="Q1643">
        <v>0</v>
      </c>
      <c r="R1643">
        <v>0</v>
      </c>
      <c r="S1643">
        <v>100.69</v>
      </c>
      <c r="T1643">
        <v>100.83</v>
      </c>
      <c r="U1643">
        <v>100.61</v>
      </c>
      <c r="V1643">
        <v>100.83</v>
      </c>
      <c r="W1643">
        <v>398717</v>
      </c>
      <c r="X1643">
        <v>100.63</v>
      </c>
      <c r="Y1643">
        <v>100.68</v>
      </c>
      <c r="Z1643">
        <v>24</v>
      </c>
      <c r="AA1643">
        <v>5000000</v>
      </c>
      <c r="AB1643">
        <v>1006.8</v>
      </c>
      <c r="AC1643">
        <v>0</v>
      </c>
      <c r="AD1643" t="s">
        <v>94</v>
      </c>
      <c r="AE1643" t="s">
        <v>94</v>
      </c>
      <c r="AF1643" t="s">
        <v>226</v>
      </c>
      <c r="AG1643" t="s">
        <v>226</v>
      </c>
      <c r="AH1643">
        <v>-100</v>
      </c>
      <c r="AI1643" t="s">
        <v>3537</v>
      </c>
      <c r="AJ1643" t="s">
        <v>1976</v>
      </c>
      <c r="AK1643" t="s">
        <v>2416</v>
      </c>
      <c r="AL1643" t="s">
        <v>272</v>
      </c>
    </row>
    <row r="1644" spans="1:38">
      <c r="A1644" t="s">
        <v>7237</v>
      </c>
      <c r="B1644" t="s">
        <v>7238</v>
      </c>
      <c r="C1644" t="s">
        <v>7239</v>
      </c>
      <c r="D1644" t="s">
        <v>7239</v>
      </c>
      <c r="E1644" t="s">
        <v>7240</v>
      </c>
      <c r="F1644" t="s">
        <v>2413</v>
      </c>
      <c r="G1644">
        <v>2</v>
      </c>
      <c r="H1644">
        <v>1</v>
      </c>
      <c r="I1644">
        <v>0.01</v>
      </c>
      <c r="J1644">
        <v>1000</v>
      </c>
      <c r="K1644">
        <v>0.17</v>
      </c>
      <c r="L1644">
        <v>93.08</v>
      </c>
      <c r="M1644">
        <v>92.92</v>
      </c>
      <c r="N1644">
        <v>92.89</v>
      </c>
      <c r="O1644">
        <v>93.08</v>
      </c>
      <c r="P1644">
        <v>0</v>
      </c>
      <c r="Q1644">
        <v>0</v>
      </c>
      <c r="R1644">
        <v>0</v>
      </c>
      <c r="S1644">
        <v>92.08</v>
      </c>
      <c r="T1644">
        <v>92.03</v>
      </c>
      <c r="U1644">
        <v>92</v>
      </c>
      <c r="V1644">
        <v>93.08</v>
      </c>
      <c r="W1644">
        <v>14732</v>
      </c>
      <c r="X1644">
        <v>92.73</v>
      </c>
      <c r="Y1644">
        <v>93.06</v>
      </c>
      <c r="Z1644">
        <v>5</v>
      </c>
      <c r="AA1644">
        <v>5000000</v>
      </c>
      <c r="AB1644">
        <v>930.8</v>
      </c>
      <c r="AC1644">
        <v>0</v>
      </c>
      <c r="AD1644" t="s">
        <v>94</v>
      </c>
      <c r="AE1644" t="s">
        <v>94</v>
      </c>
      <c r="AF1644" t="s">
        <v>226</v>
      </c>
      <c r="AG1644" t="s">
        <v>226</v>
      </c>
      <c r="AH1644">
        <v>-100</v>
      </c>
      <c r="AI1644" t="s">
        <v>3537</v>
      </c>
      <c r="AJ1644" t="s">
        <v>1976</v>
      </c>
      <c r="AK1644" t="s">
        <v>2416</v>
      </c>
      <c r="AL1644" t="s">
        <v>272</v>
      </c>
    </row>
    <row r="1645" spans="1:38">
      <c r="A1645" t="s">
        <v>7241</v>
      </c>
      <c r="B1645" t="s">
        <v>7242</v>
      </c>
      <c r="C1645" t="s">
        <v>7243</v>
      </c>
      <c r="D1645" t="s">
        <v>7243</v>
      </c>
      <c r="E1645" t="s">
        <v>7244</v>
      </c>
      <c r="F1645" t="s">
        <v>2413</v>
      </c>
      <c r="G1645">
        <v>3</v>
      </c>
      <c r="H1645">
        <v>1</v>
      </c>
      <c r="I1645">
        <v>0.01</v>
      </c>
      <c r="J1645">
        <v>1000</v>
      </c>
      <c r="K1645">
        <v>2.8</v>
      </c>
      <c r="L1645">
        <v>92.51</v>
      </c>
      <c r="M1645">
        <v>89.99</v>
      </c>
      <c r="N1645">
        <v>90</v>
      </c>
      <c r="O1645">
        <v>92.51</v>
      </c>
      <c r="P1645">
        <v>0</v>
      </c>
      <c r="Q1645">
        <v>0</v>
      </c>
      <c r="R1645">
        <v>0</v>
      </c>
      <c r="S1645">
        <v>92.51</v>
      </c>
      <c r="T1645">
        <v>92.51</v>
      </c>
      <c r="U1645">
        <v>92.51</v>
      </c>
      <c r="V1645">
        <v>92.51</v>
      </c>
      <c r="W1645">
        <v>925</v>
      </c>
      <c r="X1645">
        <v>89.21</v>
      </c>
      <c r="Y1645">
        <v>0</v>
      </c>
      <c r="Z1645">
        <v>1</v>
      </c>
      <c r="AA1645">
        <v>5000000</v>
      </c>
      <c r="AB1645">
        <v>925.1</v>
      </c>
      <c r="AC1645">
        <v>0</v>
      </c>
      <c r="AD1645" t="s">
        <v>94</v>
      </c>
      <c r="AE1645" t="s">
        <v>94</v>
      </c>
      <c r="AF1645" t="s">
        <v>226</v>
      </c>
      <c r="AG1645" t="s">
        <v>226</v>
      </c>
      <c r="AH1645">
        <v>-100</v>
      </c>
      <c r="AI1645" t="s">
        <v>3537</v>
      </c>
      <c r="AJ1645" t="s">
        <v>1976</v>
      </c>
      <c r="AK1645" t="s">
        <v>2416</v>
      </c>
      <c r="AL1645" t="s">
        <v>272</v>
      </c>
    </row>
    <row r="1646" spans="1:38">
      <c r="A1646" t="s">
        <v>7245</v>
      </c>
      <c r="B1646" t="s">
        <v>7246</v>
      </c>
      <c r="C1646" t="s">
        <v>7247</v>
      </c>
      <c r="D1646" t="s">
        <v>7247</v>
      </c>
      <c r="E1646" t="s">
        <v>7248</v>
      </c>
      <c r="F1646" t="s">
        <v>2413</v>
      </c>
      <c r="G1646">
        <v>3</v>
      </c>
      <c r="H1646">
        <v>1</v>
      </c>
      <c r="I1646">
        <v>0.01</v>
      </c>
      <c r="J1646">
        <v>611.08000000000004</v>
      </c>
      <c r="K1646">
        <v>0.2</v>
      </c>
      <c r="L1646">
        <v>87.07</v>
      </c>
      <c r="M1646">
        <v>86.89</v>
      </c>
      <c r="N1646">
        <v>86.57</v>
      </c>
      <c r="O1646">
        <v>87.07</v>
      </c>
      <c r="P1646">
        <v>0</v>
      </c>
      <c r="Q1646">
        <v>0</v>
      </c>
      <c r="R1646">
        <v>0</v>
      </c>
      <c r="S1646">
        <v>87.26</v>
      </c>
      <c r="T1646">
        <v>89.52</v>
      </c>
      <c r="U1646">
        <v>87.02</v>
      </c>
      <c r="V1646">
        <v>89.52</v>
      </c>
      <c r="W1646">
        <v>19730</v>
      </c>
      <c r="X1646">
        <v>87.01</v>
      </c>
      <c r="Y1646">
        <v>87.08</v>
      </c>
      <c r="Z1646">
        <v>14</v>
      </c>
      <c r="AA1646">
        <v>96142</v>
      </c>
      <c r="AB1646">
        <v>532.07000000000005</v>
      </c>
      <c r="AC1646">
        <v>0</v>
      </c>
      <c r="AD1646" t="s">
        <v>94</v>
      </c>
      <c r="AE1646" t="s">
        <v>94</v>
      </c>
      <c r="AF1646" t="s">
        <v>226</v>
      </c>
      <c r="AG1646" t="s">
        <v>226</v>
      </c>
      <c r="AH1646">
        <v>6</v>
      </c>
      <c r="AI1646" t="s">
        <v>3537</v>
      </c>
      <c r="AJ1646" t="s">
        <v>1976</v>
      </c>
      <c r="AK1646" t="s">
        <v>2416</v>
      </c>
      <c r="AL1646" t="s">
        <v>272</v>
      </c>
    </row>
    <row r="1647" spans="1:38">
      <c r="A1647" t="s">
        <v>7249</v>
      </c>
      <c r="B1647" t="s">
        <v>7250</v>
      </c>
      <c r="C1647" t="s">
        <v>7251</v>
      </c>
      <c r="D1647" t="s">
        <v>7251</v>
      </c>
      <c r="E1647" t="s">
        <v>7252</v>
      </c>
      <c r="F1647" t="s">
        <v>2413</v>
      </c>
      <c r="G1647">
        <v>3</v>
      </c>
      <c r="H1647">
        <v>1</v>
      </c>
      <c r="I1647">
        <v>0.01</v>
      </c>
      <c r="J1647">
        <v>749.98</v>
      </c>
      <c r="K1647">
        <v>0.35</v>
      </c>
      <c r="L1647">
        <v>88.6</v>
      </c>
      <c r="M1647">
        <v>88.29</v>
      </c>
      <c r="N1647">
        <v>88.08</v>
      </c>
      <c r="O1647">
        <v>88.6</v>
      </c>
      <c r="P1647">
        <v>0</v>
      </c>
      <c r="Q1647">
        <v>0</v>
      </c>
      <c r="R1647">
        <v>0</v>
      </c>
      <c r="S1647">
        <v>88.34</v>
      </c>
      <c r="T1647">
        <v>89.45</v>
      </c>
      <c r="U1647">
        <v>88.03</v>
      </c>
      <c r="V1647">
        <v>89.45</v>
      </c>
      <c r="W1647">
        <v>330586</v>
      </c>
      <c r="X1647">
        <v>88.41</v>
      </c>
      <c r="Y1647">
        <v>88.7</v>
      </c>
      <c r="Z1647">
        <v>53</v>
      </c>
      <c r="AA1647">
        <v>300000</v>
      </c>
      <c r="AB1647">
        <v>664.48</v>
      </c>
      <c r="AC1647">
        <v>0</v>
      </c>
      <c r="AD1647" t="s">
        <v>94</v>
      </c>
      <c r="AE1647" t="s">
        <v>94</v>
      </c>
      <c r="AF1647" t="s">
        <v>226</v>
      </c>
      <c r="AG1647" t="s">
        <v>226</v>
      </c>
      <c r="AH1647">
        <v>6</v>
      </c>
      <c r="AI1647" t="s">
        <v>3537</v>
      </c>
      <c r="AJ1647" t="s">
        <v>1976</v>
      </c>
      <c r="AK1647" t="s">
        <v>2416</v>
      </c>
      <c r="AL1647" t="s">
        <v>272</v>
      </c>
    </row>
    <row r="1648" spans="1:38">
      <c r="A1648" t="s">
        <v>7253</v>
      </c>
      <c r="B1648" t="s">
        <v>7254</v>
      </c>
      <c r="C1648" t="s">
        <v>7255</v>
      </c>
      <c r="D1648" t="s">
        <v>7255</v>
      </c>
      <c r="E1648" t="s">
        <v>7256</v>
      </c>
      <c r="F1648" t="s">
        <v>2413</v>
      </c>
      <c r="G1648">
        <v>3</v>
      </c>
      <c r="H1648">
        <v>1</v>
      </c>
      <c r="I1648">
        <v>0.01</v>
      </c>
      <c r="J1648">
        <v>800.02</v>
      </c>
      <c r="K1648">
        <v>-0.14000000000000001</v>
      </c>
      <c r="L1648">
        <v>87.45</v>
      </c>
      <c r="M1648">
        <v>87.57</v>
      </c>
      <c r="N1648">
        <v>87.31</v>
      </c>
      <c r="O1648">
        <v>87.47</v>
      </c>
      <c r="P1648">
        <v>0</v>
      </c>
      <c r="Q1648">
        <v>0</v>
      </c>
      <c r="R1648">
        <v>0</v>
      </c>
      <c r="S1648">
        <v>87.69</v>
      </c>
      <c r="T1648">
        <v>88.45</v>
      </c>
      <c r="U1648">
        <v>87.35</v>
      </c>
      <c r="V1648">
        <v>88.45</v>
      </c>
      <c r="W1648">
        <v>390754</v>
      </c>
      <c r="X1648">
        <v>87.46</v>
      </c>
      <c r="Y1648">
        <v>87.78</v>
      </c>
      <c r="Z1648">
        <v>69</v>
      </c>
      <c r="AA1648">
        <v>300000</v>
      </c>
      <c r="AB1648">
        <v>17490.439999999999</v>
      </c>
      <c r="AC1648">
        <v>0</v>
      </c>
      <c r="AD1648" t="s">
        <v>94</v>
      </c>
      <c r="AE1648" t="s">
        <v>94</v>
      </c>
      <c r="AF1648" t="s">
        <v>226</v>
      </c>
      <c r="AG1648" t="s">
        <v>226</v>
      </c>
      <c r="AH1648">
        <v>6</v>
      </c>
      <c r="AI1648" t="s">
        <v>3537</v>
      </c>
      <c r="AJ1648" t="s">
        <v>1976</v>
      </c>
      <c r="AK1648" t="s">
        <v>2416</v>
      </c>
      <c r="AL1648" t="s">
        <v>272</v>
      </c>
    </row>
    <row r="1649" spans="1:38">
      <c r="A1649" t="s">
        <v>7257</v>
      </c>
      <c r="B1649" t="s">
        <v>7258</v>
      </c>
      <c r="C1649" t="s">
        <v>7259</v>
      </c>
      <c r="D1649" t="s">
        <v>7259</v>
      </c>
      <c r="E1649" t="s">
        <v>7260</v>
      </c>
      <c r="F1649" t="s">
        <v>2413</v>
      </c>
      <c r="G1649">
        <v>3</v>
      </c>
      <c r="H1649">
        <v>1</v>
      </c>
      <c r="I1649">
        <v>0.01</v>
      </c>
      <c r="J1649">
        <v>966.67</v>
      </c>
      <c r="K1649">
        <v>-0.14000000000000001</v>
      </c>
      <c r="L1649">
        <v>87.5</v>
      </c>
      <c r="M1649">
        <v>87.62</v>
      </c>
      <c r="N1649">
        <v>87.79</v>
      </c>
      <c r="O1649">
        <v>87.57</v>
      </c>
      <c r="P1649">
        <v>0</v>
      </c>
      <c r="Q1649">
        <v>0</v>
      </c>
      <c r="R1649">
        <v>0</v>
      </c>
      <c r="S1649">
        <v>87.53</v>
      </c>
      <c r="T1649">
        <v>87.7</v>
      </c>
      <c r="U1649">
        <v>86.54</v>
      </c>
      <c r="V1649">
        <v>87.7</v>
      </c>
      <c r="W1649">
        <v>209832</v>
      </c>
      <c r="X1649">
        <v>87.33</v>
      </c>
      <c r="Y1649">
        <v>87.5</v>
      </c>
      <c r="Z1649">
        <v>40</v>
      </c>
      <c r="AA1649">
        <v>278894</v>
      </c>
      <c r="AB1649">
        <v>2537.5100000000002</v>
      </c>
      <c r="AC1649">
        <v>0</v>
      </c>
      <c r="AD1649" t="s">
        <v>94</v>
      </c>
      <c r="AE1649" t="s">
        <v>94</v>
      </c>
      <c r="AF1649" t="s">
        <v>226</v>
      </c>
      <c r="AG1649" t="s">
        <v>226</v>
      </c>
      <c r="AH1649">
        <v>6</v>
      </c>
      <c r="AI1649" t="s">
        <v>3537</v>
      </c>
      <c r="AJ1649" t="s">
        <v>1976</v>
      </c>
      <c r="AK1649" t="s">
        <v>2416</v>
      </c>
      <c r="AL1649" t="s">
        <v>272</v>
      </c>
    </row>
    <row r="1650" spans="1:38">
      <c r="A1650" t="s">
        <v>7261</v>
      </c>
      <c r="B1650" t="s">
        <v>7262</v>
      </c>
      <c r="C1650" t="s">
        <v>7263</v>
      </c>
      <c r="D1650" t="s">
        <v>7263</v>
      </c>
      <c r="E1650" t="s">
        <v>7264</v>
      </c>
      <c r="F1650" t="s">
        <v>2413</v>
      </c>
      <c r="G1650">
        <v>3</v>
      </c>
      <c r="H1650">
        <v>1</v>
      </c>
      <c r="I1650">
        <v>0.01</v>
      </c>
      <c r="J1650">
        <v>1000</v>
      </c>
      <c r="K1650">
        <v>0</v>
      </c>
      <c r="L1650">
        <v>99.9</v>
      </c>
      <c r="M1650">
        <v>99.9</v>
      </c>
      <c r="N1650">
        <v>100</v>
      </c>
      <c r="O1650">
        <v>99.9</v>
      </c>
      <c r="P1650">
        <v>0</v>
      </c>
      <c r="Q1650">
        <v>0</v>
      </c>
      <c r="R1650">
        <v>0</v>
      </c>
      <c r="S1650">
        <v>99.95</v>
      </c>
      <c r="T1650">
        <v>100</v>
      </c>
      <c r="U1650">
        <v>99.9</v>
      </c>
      <c r="V1650">
        <v>100</v>
      </c>
      <c r="W1650">
        <v>1999</v>
      </c>
      <c r="X1650">
        <v>99.9</v>
      </c>
      <c r="Y1650">
        <v>100</v>
      </c>
      <c r="Z1650">
        <v>2</v>
      </c>
      <c r="AA1650">
        <v>5000000</v>
      </c>
      <c r="AB1650">
        <v>999</v>
      </c>
      <c r="AC1650">
        <v>0</v>
      </c>
      <c r="AD1650" t="s">
        <v>94</v>
      </c>
      <c r="AE1650" t="s">
        <v>94</v>
      </c>
      <c r="AF1650" t="s">
        <v>226</v>
      </c>
      <c r="AG1650" t="s">
        <v>226</v>
      </c>
      <c r="AH1650">
        <v>800</v>
      </c>
      <c r="AI1650" t="s">
        <v>3537</v>
      </c>
      <c r="AJ1650" t="s">
        <v>1976</v>
      </c>
      <c r="AK1650" t="s">
        <v>2416</v>
      </c>
      <c r="AL1650" t="s">
        <v>272</v>
      </c>
    </row>
    <row r="1651" spans="1:38">
      <c r="A1651" t="s">
        <v>7265</v>
      </c>
      <c r="B1651" t="s">
        <v>7266</v>
      </c>
      <c r="C1651" t="s">
        <v>7267</v>
      </c>
      <c r="D1651" t="s">
        <v>7267</v>
      </c>
      <c r="E1651" t="s">
        <v>7268</v>
      </c>
      <c r="F1651" t="s">
        <v>2413</v>
      </c>
      <c r="G1651">
        <v>3</v>
      </c>
      <c r="H1651">
        <v>1</v>
      </c>
      <c r="I1651">
        <v>0.01</v>
      </c>
      <c r="J1651">
        <v>1000</v>
      </c>
      <c r="K1651">
        <v>-0.61</v>
      </c>
      <c r="L1651">
        <v>96.27</v>
      </c>
      <c r="M1651">
        <v>96.86</v>
      </c>
      <c r="N1651">
        <v>95.62</v>
      </c>
      <c r="O1651">
        <v>96.29</v>
      </c>
      <c r="P1651">
        <v>0</v>
      </c>
      <c r="Q1651">
        <v>0</v>
      </c>
      <c r="R1651">
        <v>0</v>
      </c>
      <c r="S1651">
        <v>96.8</v>
      </c>
      <c r="T1651">
        <v>96.88</v>
      </c>
      <c r="U1651">
        <v>96.27</v>
      </c>
      <c r="V1651">
        <v>96.88</v>
      </c>
      <c r="W1651">
        <v>611777</v>
      </c>
      <c r="X1651">
        <v>96.27</v>
      </c>
      <c r="Y1651">
        <v>96.28</v>
      </c>
      <c r="Z1651">
        <v>36</v>
      </c>
      <c r="AA1651">
        <v>7500000</v>
      </c>
      <c r="AB1651">
        <v>962.7</v>
      </c>
      <c r="AC1651">
        <v>0</v>
      </c>
      <c r="AD1651" t="s">
        <v>94</v>
      </c>
      <c r="AE1651" t="s">
        <v>94</v>
      </c>
      <c r="AF1651" t="s">
        <v>226</v>
      </c>
      <c r="AG1651" t="s">
        <v>226</v>
      </c>
      <c r="AH1651">
        <v>800</v>
      </c>
      <c r="AI1651" t="s">
        <v>3537</v>
      </c>
      <c r="AJ1651" t="s">
        <v>1976</v>
      </c>
      <c r="AK1651" t="s">
        <v>2416</v>
      </c>
      <c r="AL1651" t="s">
        <v>272</v>
      </c>
    </row>
    <row r="1652" spans="1:38">
      <c r="A1652" t="s">
        <v>7269</v>
      </c>
      <c r="B1652" t="s">
        <v>7270</v>
      </c>
      <c r="C1652" t="s">
        <v>7271</v>
      </c>
      <c r="D1652" t="s">
        <v>7271</v>
      </c>
      <c r="E1652" t="s">
        <v>7272</v>
      </c>
      <c r="F1652" t="s">
        <v>2425</v>
      </c>
      <c r="G1652">
        <v>3</v>
      </c>
      <c r="H1652">
        <v>1</v>
      </c>
      <c r="I1652">
        <v>0.01</v>
      </c>
      <c r="J1652">
        <v>10000000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99.99</v>
      </c>
      <c r="Z1652">
        <v>0</v>
      </c>
      <c r="AA1652">
        <v>72</v>
      </c>
      <c r="AB1652">
        <v>0</v>
      </c>
      <c r="AC1652">
        <v>0</v>
      </c>
      <c r="AD1652" t="s">
        <v>94</v>
      </c>
      <c r="AE1652" t="s">
        <v>94</v>
      </c>
      <c r="AF1652" t="s">
        <v>304</v>
      </c>
      <c r="AG1652" t="s">
        <v>226</v>
      </c>
      <c r="AH1652">
        <v>0</v>
      </c>
      <c r="AI1652" t="s">
        <v>3537</v>
      </c>
      <c r="AJ1652" t="s">
        <v>1976</v>
      </c>
      <c r="AK1652" t="s">
        <v>2426</v>
      </c>
      <c r="AL1652" t="s">
        <v>272</v>
      </c>
    </row>
    <row r="1653" spans="1:38">
      <c r="A1653" t="s">
        <v>7273</v>
      </c>
      <c r="B1653" t="s">
        <v>7274</v>
      </c>
      <c r="C1653" t="s">
        <v>7275</v>
      </c>
      <c r="D1653" t="s">
        <v>7275</v>
      </c>
      <c r="E1653" t="s">
        <v>7276</v>
      </c>
      <c r="F1653" t="s">
        <v>2413</v>
      </c>
      <c r="G1653">
        <v>1</v>
      </c>
      <c r="H1653">
        <v>1</v>
      </c>
      <c r="I1653">
        <v>0.01</v>
      </c>
      <c r="J1653">
        <v>1000</v>
      </c>
      <c r="K1653">
        <v>0.02</v>
      </c>
      <c r="L1653">
        <v>97.43</v>
      </c>
      <c r="M1653">
        <v>97.41</v>
      </c>
      <c r="N1653">
        <v>97.2</v>
      </c>
      <c r="O1653">
        <v>97.42</v>
      </c>
      <c r="P1653">
        <v>0</v>
      </c>
      <c r="Q1653">
        <v>0</v>
      </c>
      <c r="R1653">
        <v>0</v>
      </c>
      <c r="S1653">
        <v>97.53</v>
      </c>
      <c r="T1653">
        <v>97.46</v>
      </c>
      <c r="U1653">
        <v>97.23</v>
      </c>
      <c r="V1653">
        <v>97.96</v>
      </c>
      <c r="W1653">
        <v>2351806</v>
      </c>
      <c r="X1653">
        <v>97.43</v>
      </c>
      <c r="Y1653">
        <v>97.45</v>
      </c>
      <c r="Z1653">
        <v>92</v>
      </c>
      <c r="AA1653">
        <v>10000000</v>
      </c>
      <c r="AB1653">
        <v>7794.4</v>
      </c>
      <c r="AC1653">
        <v>0</v>
      </c>
      <c r="AD1653" t="s">
        <v>94</v>
      </c>
      <c r="AE1653" t="s">
        <v>94</v>
      </c>
      <c r="AF1653" t="s">
        <v>226</v>
      </c>
      <c r="AG1653" t="s">
        <v>226</v>
      </c>
      <c r="AH1653">
        <v>-100</v>
      </c>
      <c r="AI1653" t="s">
        <v>3537</v>
      </c>
      <c r="AJ1653" t="s">
        <v>1976</v>
      </c>
      <c r="AK1653" t="s">
        <v>2416</v>
      </c>
      <c r="AL1653" t="s">
        <v>272</v>
      </c>
    </row>
    <row r="1654" spans="1:38">
      <c r="A1654" t="s">
        <v>7277</v>
      </c>
      <c r="B1654" t="s">
        <v>7278</v>
      </c>
      <c r="C1654" t="s">
        <v>7279</v>
      </c>
      <c r="D1654" t="s">
        <v>7279</v>
      </c>
      <c r="E1654" t="s">
        <v>7280</v>
      </c>
      <c r="F1654" t="s">
        <v>2413</v>
      </c>
      <c r="G1654">
        <v>1</v>
      </c>
      <c r="H1654">
        <v>1</v>
      </c>
      <c r="I1654">
        <v>0.01</v>
      </c>
      <c r="J1654">
        <v>1000</v>
      </c>
      <c r="K1654">
        <v>-0.33</v>
      </c>
      <c r="L1654">
        <v>92.98</v>
      </c>
      <c r="M1654">
        <v>93.29</v>
      </c>
      <c r="N1654">
        <v>93.25</v>
      </c>
      <c r="O1654">
        <v>92.89</v>
      </c>
      <c r="P1654">
        <v>0</v>
      </c>
      <c r="Q1654">
        <v>0</v>
      </c>
      <c r="R1654">
        <v>0</v>
      </c>
      <c r="S1654">
        <v>93.02</v>
      </c>
      <c r="T1654">
        <v>92.88</v>
      </c>
      <c r="U1654">
        <v>92.79</v>
      </c>
      <c r="V1654">
        <v>93.29</v>
      </c>
      <c r="W1654">
        <v>1880823</v>
      </c>
      <c r="X1654">
        <v>92.85</v>
      </c>
      <c r="Y1654">
        <v>92.99</v>
      </c>
      <c r="Z1654">
        <v>126</v>
      </c>
      <c r="AA1654">
        <v>15000000</v>
      </c>
      <c r="AB1654">
        <v>1859.6</v>
      </c>
      <c r="AC1654">
        <v>0</v>
      </c>
      <c r="AD1654" t="s">
        <v>94</v>
      </c>
      <c r="AE1654" t="s">
        <v>94</v>
      </c>
      <c r="AF1654" t="s">
        <v>226</v>
      </c>
      <c r="AG1654" t="s">
        <v>226</v>
      </c>
      <c r="AH1654">
        <v>-100</v>
      </c>
      <c r="AI1654" t="s">
        <v>3537</v>
      </c>
      <c r="AJ1654" t="s">
        <v>1976</v>
      </c>
      <c r="AK1654" t="s">
        <v>2416</v>
      </c>
      <c r="AL1654" t="s">
        <v>272</v>
      </c>
    </row>
    <row r="1655" spans="1:38">
      <c r="A1655" t="s">
        <v>7281</v>
      </c>
      <c r="B1655" t="s">
        <v>7282</v>
      </c>
      <c r="C1655" t="s">
        <v>7283</v>
      </c>
      <c r="D1655" t="s">
        <v>7283</v>
      </c>
      <c r="E1655" t="s">
        <v>7284</v>
      </c>
      <c r="F1655" t="s">
        <v>2413</v>
      </c>
      <c r="G1655">
        <v>1</v>
      </c>
      <c r="H1655">
        <v>1</v>
      </c>
      <c r="I1655">
        <v>0.01</v>
      </c>
      <c r="J1655">
        <v>1000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10000000</v>
      </c>
      <c r="AB1655">
        <v>0</v>
      </c>
      <c r="AC1655">
        <v>0</v>
      </c>
      <c r="AD1655" t="s">
        <v>94</v>
      </c>
      <c r="AE1655" t="s">
        <v>94</v>
      </c>
      <c r="AF1655" t="s">
        <v>226</v>
      </c>
      <c r="AG1655" t="s">
        <v>226</v>
      </c>
      <c r="AH1655">
        <v>-100</v>
      </c>
      <c r="AI1655" t="s">
        <v>3537</v>
      </c>
      <c r="AJ1655" t="s">
        <v>1976</v>
      </c>
      <c r="AK1655" t="s">
        <v>2416</v>
      </c>
      <c r="AL1655" t="s">
        <v>272</v>
      </c>
    </row>
    <row r="1656" spans="1:38">
      <c r="A1656" t="s">
        <v>7285</v>
      </c>
      <c r="B1656" t="s">
        <v>7286</v>
      </c>
      <c r="C1656" t="s">
        <v>7287</v>
      </c>
      <c r="D1656" t="s">
        <v>7287</v>
      </c>
      <c r="E1656" t="s">
        <v>7288</v>
      </c>
      <c r="F1656" t="s">
        <v>2413</v>
      </c>
      <c r="G1656">
        <v>1</v>
      </c>
      <c r="H1656">
        <v>1</v>
      </c>
      <c r="I1656">
        <v>0.01</v>
      </c>
      <c r="J1656">
        <v>1000</v>
      </c>
      <c r="K1656">
        <v>-0.17</v>
      </c>
      <c r="L1656">
        <v>72.53</v>
      </c>
      <c r="M1656">
        <v>72.650000000000006</v>
      </c>
      <c r="N1656">
        <v>73</v>
      </c>
      <c r="O1656">
        <v>72.55</v>
      </c>
      <c r="P1656">
        <v>0</v>
      </c>
      <c r="Q1656">
        <v>0</v>
      </c>
      <c r="R1656">
        <v>0</v>
      </c>
      <c r="S1656">
        <v>72.599999999999994</v>
      </c>
      <c r="T1656">
        <v>72.61</v>
      </c>
      <c r="U1656">
        <v>72.349999999999994</v>
      </c>
      <c r="V1656">
        <v>72.650000000000006</v>
      </c>
      <c r="W1656">
        <v>1462834</v>
      </c>
      <c r="X1656">
        <v>72.53</v>
      </c>
      <c r="Y1656">
        <v>72.59</v>
      </c>
      <c r="Z1656">
        <v>161</v>
      </c>
      <c r="AA1656">
        <v>15000000</v>
      </c>
      <c r="AB1656">
        <v>4351.8</v>
      </c>
      <c r="AC1656">
        <v>0</v>
      </c>
      <c r="AD1656" t="s">
        <v>94</v>
      </c>
      <c r="AE1656" t="s">
        <v>94</v>
      </c>
      <c r="AF1656" t="s">
        <v>226</v>
      </c>
      <c r="AG1656" t="s">
        <v>226</v>
      </c>
      <c r="AH1656">
        <v>-100</v>
      </c>
      <c r="AI1656" t="s">
        <v>3537</v>
      </c>
      <c r="AJ1656" t="s">
        <v>1976</v>
      </c>
      <c r="AK1656" t="s">
        <v>2416</v>
      </c>
      <c r="AL1656" t="s">
        <v>272</v>
      </c>
    </row>
    <row r="1657" spans="1:38">
      <c r="A1657" t="s">
        <v>7289</v>
      </c>
      <c r="B1657" t="s">
        <v>7290</v>
      </c>
      <c r="C1657" t="s">
        <v>7291</v>
      </c>
      <c r="D1657" t="s">
        <v>7291</v>
      </c>
      <c r="E1657" t="s">
        <v>7292</v>
      </c>
      <c r="F1657" t="s">
        <v>2413</v>
      </c>
      <c r="G1657">
        <v>1</v>
      </c>
      <c r="H1657">
        <v>1</v>
      </c>
      <c r="I1657">
        <v>0.01</v>
      </c>
      <c r="J1657">
        <v>1000</v>
      </c>
      <c r="K1657">
        <v>1.68</v>
      </c>
      <c r="L1657">
        <v>78.209999999999994</v>
      </c>
      <c r="M1657">
        <v>76.92</v>
      </c>
      <c r="N1657">
        <v>77.28</v>
      </c>
      <c r="O1657">
        <v>78.209999999999994</v>
      </c>
      <c r="P1657">
        <v>0</v>
      </c>
      <c r="Q1657">
        <v>0</v>
      </c>
      <c r="R1657">
        <v>0</v>
      </c>
      <c r="S1657">
        <v>78.37</v>
      </c>
      <c r="T1657">
        <v>75.5</v>
      </c>
      <c r="U1657">
        <v>75.5</v>
      </c>
      <c r="V1657">
        <v>79</v>
      </c>
      <c r="W1657">
        <v>463142</v>
      </c>
      <c r="X1657">
        <v>78.17</v>
      </c>
      <c r="Y1657">
        <v>78.38</v>
      </c>
      <c r="Z1657">
        <v>67</v>
      </c>
      <c r="AA1657">
        <v>5000000</v>
      </c>
      <c r="AB1657">
        <v>7038.9</v>
      </c>
      <c r="AC1657">
        <v>0</v>
      </c>
      <c r="AD1657" t="s">
        <v>94</v>
      </c>
      <c r="AE1657" t="s">
        <v>94</v>
      </c>
      <c r="AF1657" t="s">
        <v>226</v>
      </c>
      <c r="AG1657" t="s">
        <v>226</v>
      </c>
      <c r="AH1657">
        <v>-100</v>
      </c>
      <c r="AI1657" t="s">
        <v>3537</v>
      </c>
      <c r="AJ1657" t="s">
        <v>1976</v>
      </c>
      <c r="AK1657" t="s">
        <v>2416</v>
      </c>
      <c r="AL1657" t="s">
        <v>272</v>
      </c>
    </row>
    <row r="1658" spans="1:38">
      <c r="A1658" t="s">
        <v>7293</v>
      </c>
      <c r="B1658" t="s">
        <v>7294</v>
      </c>
      <c r="C1658" t="s">
        <v>7295</v>
      </c>
      <c r="D1658" t="s">
        <v>7295</v>
      </c>
      <c r="E1658" t="s">
        <v>7296</v>
      </c>
      <c r="F1658" t="s">
        <v>2413</v>
      </c>
      <c r="G1658">
        <v>1</v>
      </c>
      <c r="H1658">
        <v>1</v>
      </c>
      <c r="I1658">
        <v>0.01</v>
      </c>
      <c r="J1658">
        <v>1000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7000000</v>
      </c>
      <c r="AB1658">
        <v>0</v>
      </c>
      <c r="AC1658">
        <v>0</v>
      </c>
      <c r="AD1658" t="s">
        <v>94</v>
      </c>
      <c r="AE1658" t="s">
        <v>94</v>
      </c>
      <c r="AF1658" t="s">
        <v>226</v>
      </c>
      <c r="AG1658" t="s">
        <v>226</v>
      </c>
      <c r="AH1658">
        <v>-100</v>
      </c>
      <c r="AI1658" t="s">
        <v>3537</v>
      </c>
      <c r="AJ1658" t="s">
        <v>1976</v>
      </c>
      <c r="AK1658" t="s">
        <v>2416</v>
      </c>
      <c r="AL1658" t="s">
        <v>272</v>
      </c>
    </row>
    <row r="1659" spans="1:38">
      <c r="A1659" t="s">
        <v>7297</v>
      </c>
      <c r="B1659" t="s">
        <v>7298</v>
      </c>
      <c r="C1659" t="s">
        <v>7299</v>
      </c>
      <c r="D1659" t="s">
        <v>7299</v>
      </c>
      <c r="E1659" t="s">
        <v>7300</v>
      </c>
      <c r="F1659" t="s">
        <v>2413</v>
      </c>
      <c r="G1659">
        <v>1</v>
      </c>
      <c r="H1659">
        <v>1</v>
      </c>
      <c r="I1659">
        <v>0.01</v>
      </c>
      <c r="J1659">
        <v>1000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10000000</v>
      </c>
      <c r="AB1659">
        <v>0</v>
      </c>
      <c r="AC1659">
        <v>0</v>
      </c>
      <c r="AD1659" t="s">
        <v>94</v>
      </c>
      <c r="AE1659" t="s">
        <v>94</v>
      </c>
      <c r="AF1659" t="s">
        <v>226</v>
      </c>
      <c r="AG1659" t="s">
        <v>226</v>
      </c>
      <c r="AH1659">
        <v>-100</v>
      </c>
      <c r="AI1659" t="s">
        <v>3537</v>
      </c>
      <c r="AJ1659" t="s">
        <v>1976</v>
      </c>
      <c r="AK1659" t="s">
        <v>2416</v>
      </c>
      <c r="AL1659" t="s">
        <v>272</v>
      </c>
    </row>
    <row r="1660" spans="1:38">
      <c r="A1660" t="s">
        <v>7301</v>
      </c>
      <c r="B1660" t="s">
        <v>7302</v>
      </c>
      <c r="C1660" t="s">
        <v>7303</v>
      </c>
      <c r="D1660" t="s">
        <v>7303</v>
      </c>
      <c r="E1660" t="s">
        <v>7304</v>
      </c>
      <c r="F1660" t="s">
        <v>2413</v>
      </c>
      <c r="G1660">
        <v>1</v>
      </c>
      <c r="H1660">
        <v>1</v>
      </c>
      <c r="I1660">
        <v>0.01</v>
      </c>
      <c r="J1660">
        <v>1000</v>
      </c>
      <c r="K1660">
        <v>2.09</v>
      </c>
      <c r="L1660">
        <v>88</v>
      </c>
      <c r="M1660">
        <v>86.2</v>
      </c>
      <c r="N1660">
        <v>86.47</v>
      </c>
      <c r="O1660">
        <v>88</v>
      </c>
      <c r="P1660">
        <v>0</v>
      </c>
      <c r="Q1660">
        <v>0</v>
      </c>
      <c r="R1660">
        <v>0</v>
      </c>
      <c r="S1660">
        <v>87.66</v>
      </c>
      <c r="T1660">
        <v>86.99</v>
      </c>
      <c r="U1660">
        <v>86.2</v>
      </c>
      <c r="V1660">
        <v>88.03</v>
      </c>
      <c r="W1660">
        <v>6240431</v>
      </c>
      <c r="X1660">
        <v>88</v>
      </c>
      <c r="Y1660">
        <v>88.03</v>
      </c>
      <c r="Z1660">
        <v>275</v>
      </c>
      <c r="AA1660">
        <v>10000000</v>
      </c>
      <c r="AB1660">
        <v>1760</v>
      </c>
      <c r="AC1660">
        <v>0</v>
      </c>
      <c r="AD1660" t="s">
        <v>94</v>
      </c>
      <c r="AE1660" t="s">
        <v>94</v>
      </c>
      <c r="AF1660" t="s">
        <v>226</v>
      </c>
      <c r="AG1660" t="s">
        <v>226</v>
      </c>
      <c r="AH1660">
        <v>-100</v>
      </c>
      <c r="AI1660" t="s">
        <v>3537</v>
      </c>
      <c r="AJ1660" t="s">
        <v>1976</v>
      </c>
      <c r="AK1660" t="s">
        <v>2416</v>
      </c>
      <c r="AL1660" t="s">
        <v>272</v>
      </c>
    </row>
    <row r="1661" spans="1:38">
      <c r="A1661" t="s">
        <v>7305</v>
      </c>
      <c r="B1661" t="s">
        <v>7306</v>
      </c>
      <c r="C1661" t="s">
        <v>7307</v>
      </c>
      <c r="D1661" t="s">
        <v>7307</v>
      </c>
      <c r="E1661" t="s">
        <v>7308</v>
      </c>
      <c r="F1661" t="s">
        <v>2413</v>
      </c>
      <c r="G1661">
        <v>1</v>
      </c>
      <c r="H1661">
        <v>1</v>
      </c>
      <c r="I1661">
        <v>0.01</v>
      </c>
      <c r="J1661">
        <v>1000</v>
      </c>
      <c r="K1661">
        <v>0.13</v>
      </c>
      <c r="L1661">
        <v>84.49</v>
      </c>
      <c r="M1661">
        <v>84.38</v>
      </c>
      <c r="N1661">
        <v>84.38</v>
      </c>
      <c r="O1661">
        <v>84.49</v>
      </c>
      <c r="P1661">
        <v>0</v>
      </c>
      <c r="Q1661">
        <v>0</v>
      </c>
      <c r="R1661">
        <v>0</v>
      </c>
      <c r="S1661">
        <v>84.49</v>
      </c>
      <c r="T1661">
        <v>84.75</v>
      </c>
      <c r="U1661">
        <v>84.33</v>
      </c>
      <c r="V1661">
        <v>84.75</v>
      </c>
      <c r="W1661">
        <v>121662</v>
      </c>
      <c r="X1661">
        <v>84.48</v>
      </c>
      <c r="Y1661">
        <v>84.49</v>
      </c>
      <c r="Z1661">
        <v>44</v>
      </c>
      <c r="AA1661">
        <v>10000000</v>
      </c>
      <c r="AB1661">
        <v>844.9</v>
      </c>
      <c r="AC1661">
        <v>0</v>
      </c>
      <c r="AD1661" t="s">
        <v>94</v>
      </c>
      <c r="AE1661" t="s">
        <v>94</v>
      </c>
      <c r="AF1661" t="s">
        <v>226</v>
      </c>
      <c r="AG1661" t="s">
        <v>226</v>
      </c>
      <c r="AH1661">
        <v>-100</v>
      </c>
      <c r="AI1661" t="s">
        <v>3537</v>
      </c>
      <c r="AJ1661" t="s">
        <v>1976</v>
      </c>
      <c r="AK1661" t="s">
        <v>2416</v>
      </c>
      <c r="AL1661" t="s">
        <v>272</v>
      </c>
    </row>
    <row r="1662" spans="1:38">
      <c r="A1662" t="s">
        <v>7309</v>
      </c>
      <c r="B1662" t="s">
        <v>7310</v>
      </c>
      <c r="C1662" t="s">
        <v>7311</v>
      </c>
      <c r="D1662" t="s">
        <v>7311</v>
      </c>
      <c r="E1662" t="s">
        <v>7312</v>
      </c>
      <c r="F1662" t="s">
        <v>2413</v>
      </c>
      <c r="G1662">
        <v>1</v>
      </c>
      <c r="H1662">
        <v>1</v>
      </c>
      <c r="I1662">
        <v>0.01</v>
      </c>
      <c r="J1662">
        <v>1000</v>
      </c>
      <c r="K1662">
        <v>0.04</v>
      </c>
      <c r="L1662">
        <v>99.54</v>
      </c>
      <c r="M1662">
        <v>99.5</v>
      </c>
      <c r="N1662">
        <v>99.51</v>
      </c>
      <c r="O1662">
        <v>99.55</v>
      </c>
      <c r="P1662">
        <v>0</v>
      </c>
      <c r="Q1662">
        <v>0</v>
      </c>
      <c r="R1662">
        <v>0</v>
      </c>
      <c r="S1662">
        <v>99.6</v>
      </c>
      <c r="T1662">
        <v>99.57</v>
      </c>
      <c r="U1662">
        <v>99.5</v>
      </c>
      <c r="V1662">
        <v>99.77</v>
      </c>
      <c r="W1662">
        <v>41889365</v>
      </c>
      <c r="X1662">
        <v>99.54</v>
      </c>
      <c r="Y1662">
        <v>99.56</v>
      </c>
      <c r="Z1662">
        <v>440</v>
      </c>
      <c r="AA1662">
        <v>15000000</v>
      </c>
      <c r="AB1662">
        <v>10949.4</v>
      </c>
      <c r="AC1662">
        <v>0</v>
      </c>
      <c r="AD1662" t="s">
        <v>94</v>
      </c>
      <c r="AE1662" t="s">
        <v>94</v>
      </c>
      <c r="AF1662" t="s">
        <v>226</v>
      </c>
      <c r="AG1662" t="s">
        <v>226</v>
      </c>
      <c r="AH1662">
        <v>-100</v>
      </c>
      <c r="AI1662" t="s">
        <v>3537</v>
      </c>
      <c r="AJ1662" t="s">
        <v>1976</v>
      </c>
      <c r="AK1662" t="s">
        <v>2416</v>
      </c>
      <c r="AL1662" t="s">
        <v>272</v>
      </c>
    </row>
    <row r="1663" spans="1:38">
      <c r="A1663" t="s">
        <v>7313</v>
      </c>
      <c r="B1663" t="s">
        <v>7314</v>
      </c>
      <c r="C1663" t="s">
        <v>7315</v>
      </c>
      <c r="D1663" t="s">
        <v>7315</v>
      </c>
      <c r="E1663" t="s">
        <v>7316</v>
      </c>
      <c r="F1663" t="s">
        <v>2413</v>
      </c>
      <c r="G1663">
        <v>1</v>
      </c>
      <c r="H1663">
        <v>1</v>
      </c>
      <c r="I1663">
        <v>0.01</v>
      </c>
      <c r="J1663">
        <v>1000</v>
      </c>
      <c r="K1663">
        <v>0.04</v>
      </c>
      <c r="L1663">
        <v>96.68</v>
      </c>
      <c r="M1663">
        <v>96.64</v>
      </c>
      <c r="N1663">
        <v>96.6</v>
      </c>
      <c r="O1663">
        <v>96.7</v>
      </c>
      <c r="P1663">
        <v>0</v>
      </c>
      <c r="Q1663">
        <v>0</v>
      </c>
      <c r="R1663">
        <v>0</v>
      </c>
      <c r="S1663">
        <v>96.73</v>
      </c>
      <c r="T1663">
        <v>96.9</v>
      </c>
      <c r="U1663">
        <v>96.66</v>
      </c>
      <c r="V1663">
        <v>96.94</v>
      </c>
      <c r="W1663">
        <v>2291420</v>
      </c>
      <c r="X1663">
        <v>96.68</v>
      </c>
      <c r="Y1663">
        <v>96.7</v>
      </c>
      <c r="Z1663">
        <v>77</v>
      </c>
      <c r="AA1663">
        <v>20000000</v>
      </c>
      <c r="AB1663">
        <v>966.8</v>
      </c>
      <c r="AC1663">
        <v>0</v>
      </c>
      <c r="AD1663" t="s">
        <v>94</v>
      </c>
      <c r="AE1663" t="s">
        <v>94</v>
      </c>
      <c r="AF1663" t="s">
        <v>226</v>
      </c>
      <c r="AG1663" t="s">
        <v>226</v>
      </c>
      <c r="AH1663">
        <v>-100</v>
      </c>
      <c r="AI1663" t="s">
        <v>3537</v>
      </c>
      <c r="AJ1663" t="s">
        <v>1976</v>
      </c>
      <c r="AK1663" t="s">
        <v>2416</v>
      </c>
      <c r="AL1663" t="s">
        <v>272</v>
      </c>
    </row>
    <row r="1664" spans="1:38">
      <c r="A1664" t="s">
        <v>7317</v>
      </c>
      <c r="B1664" t="s">
        <v>7318</v>
      </c>
      <c r="C1664" t="s">
        <v>7319</v>
      </c>
      <c r="D1664" t="s">
        <v>7319</v>
      </c>
      <c r="E1664" t="s">
        <v>7320</v>
      </c>
      <c r="F1664" t="s">
        <v>2413</v>
      </c>
      <c r="G1664">
        <v>3</v>
      </c>
      <c r="H1664">
        <v>1</v>
      </c>
      <c r="I1664">
        <v>0.01</v>
      </c>
      <c r="J1664">
        <v>1000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5000000</v>
      </c>
      <c r="AB1664">
        <v>0</v>
      </c>
      <c r="AC1664">
        <v>0</v>
      </c>
      <c r="AD1664" t="s">
        <v>94</v>
      </c>
      <c r="AE1664" t="s">
        <v>94</v>
      </c>
      <c r="AF1664" t="s">
        <v>226</v>
      </c>
      <c r="AG1664" t="s">
        <v>226</v>
      </c>
      <c r="AH1664">
        <v>-100</v>
      </c>
      <c r="AI1664" t="s">
        <v>3537</v>
      </c>
      <c r="AJ1664" t="s">
        <v>1976</v>
      </c>
      <c r="AK1664" t="s">
        <v>2416</v>
      </c>
      <c r="AL1664" t="s">
        <v>272</v>
      </c>
    </row>
    <row r="1665" spans="1:38">
      <c r="A1665" t="s">
        <v>7321</v>
      </c>
      <c r="B1665" t="s">
        <v>7322</v>
      </c>
      <c r="C1665" t="s">
        <v>7323</v>
      </c>
      <c r="D1665" t="s">
        <v>7323</v>
      </c>
      <c r="E1665" t="s">
        <v>7324</v>
      </c>
      <c r="F1665" t="s">
        <v>2413</v>
      </c>
      <c r="G1665">
        <v>1</v>
      </c>
      <c r="H1665">
        <v>1</v>
      </c>
      <c r="I1665">
        <v>0.01</v>
      </c>
      <c r="J1665">
        <v>1000</v>
      </c>
      <c r="K1665">
        <v>0</v>
      </c>
      <c r="L1665">
        <v>0</v>
      </c>
      <c r="M1665">
        <v>100</v>
      </c>
      <c r="N1665">
        <v>0</v>
      </c>
      <c r="O1665">
        <v>100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100.7</v>
      </c>
      <c r="Y1665">
        <v>0</v>
      </c>
      <c r="Z1665">
        <v>0</v>
      </c>
      <c r="AA1665">
        <v>10000000</v>
      </c>
      <c r="AB1665">
        <v>0</v>
      </c>
      <c r="AC1665">
        <v>0</v>
      </c>
      <c r="AD1665" t="s">
        <v>94</v>
      </c>
      <c r="AE1665" t="s">
        <v>94</v>
      </c>
      <c r="AF1665" t="s">
        <v>226</v>
      </c>
      <c r="AG1665" t="s">
        <v>226</v>
      </c>
      <c r="AH1665">
        <v>-100</v>
      </c>
      <c r="AI1665" t="s">
        <v>3537</v>
      </c>
      <c r="AJ1665" t="s">
        <v>1976</v>
      </c>
      <c r="AK1665" t="s">
        <v>2416</v>
      </c>
      <c r="AL1665" t="s">
        <v>272</v>
      </c>
    </row>
    <row r="1666" spans="1:38">
      <c r="A1666" t="s">
        <v>7325</v>
      </c>
      <c r="B1666" t="s">
        <v>7326</v>
      </c>
      <c r="C1666" t="s">
        <v>7327</v>
      </c>
      <c r="D1666" t="s">
        <v>7327</v>
      </c>
      <c r="E1666" t="s">
        <v>7328</v>
      </c>
      <c r="F1666" t="s">
        <v>2413</v>
      </c>
      <c r="G1666">
        <v>3</v>
      </c>
      <c r="H1666">
        <v>1</v>
      </c>
      <c r="I1666">
        <v>0.01</v>
      </c>
      <c r="J1666">
        <v>1000</v>
      </c>
      <c r="K1666">
        <v>-0.14000000000000001</v>
      </c>
      <c r="L1666">
        <v>91</v>
      </c>
      <c r="M1666">
        <v>91.13</v>
      </c>
      <c r="N1666">
        <v>90.77</v>
      </c>
      <c r="O1666">
        <v>90.99</v>
      </c>
      <c r="P1666">
        <v>0</v>
      </c>
      <c r="Q1666">
        <v>0</v>
      </c>
      <c r="R1666">
        <v>0</v>
      </c>
      <c r="S1666">
        <v>90.92</v>
      </c>
      <c r="T1666">
        <v>90.61</v>
      </c>
      <c r="U1666">
        <v>90.6</v>
      </c>
      <c r="V1666">
        <v>91.44</v>
      </c>
      <c r="W1666">
        <v>320962</v>
      </c>
      <c r="X1666">
        <v>90.8</v>
      </c>
      <c r="Y1666">
        <v>91</v>
      </c>
      <c r="Z1666">
        <v>80</v>
      </c>
      <c r="AA1666">
        <v>25000000</v>
      </c>
      <c r="AB1666">
        <v>9100</v>
      </c>
      <c r="AC1666">
        <v>0</v>
      </c>
      <c r="AD1666" t="s">
        <v>94</v>
      </c>
      <c r="AE1666" t="s">
        <v>94</v>
      </c>
      <c r="AF1666" t="s">
        <v>226</v>
      </c>
      <c r="AG1666" t="s">
        <v>226</v>
      </c>
      <c r="AH1666">
        <v>8</v>
      </c>
      <c r="AI1666" t="s">
        <v>3537</v>
      </c>
      <c r="AJ1666" t="s">
        <v>1976</v>
      </c>
      <c r="AK1666" t="s">
        <v>2416</v>
      </c>
      <c r="AL1666" t="s">
        <v>272</v>
      </c>
    </row>
    <row r="1667" spans="1:38">
      <c r="A1667" t="s">
        <v>7329</v>
      </c>
      <c r="B1667" t="s">
        <v>7330</v>
      </c>
      <c r="C1667" t="s">
        <v>7331</v>
      </c>
      <c r="D1667" t="s">
        <v>7331</v>
      </c>
      <c r="E1667" t="s">
        <v>7332</v>
      </c>
      <c r="F1667" t="s">
        <v>2413</v>
      </c>
      <c r="G1667">
        <v>1</v>
      </c>
      <c r="H1667">
        <v>1</v>
      </c>
      <c r="I1667">
        <v>0.01</v>
      </c>
      <c r="J1667">
        <v>1000</v>
      </c>
      <c r="K1667">
        <v>-0.89</v>
      </c>
      <c r="L1667">
        <v>89.07</v>
      </c>
      <c r="M1667">
        <v>89.87</v>
      </c>
      <c r="N1667">
        <v>89.66</v>
      </c>
      <c r="O1667">
        <v>89.46</v>
      </c>
      <c r="P1667">
        <v>0</v>
      </c>
      <c r="Q1667">
        <v>0</v>
      </c>
      <c r="R1667">
        <v>0</v>
      </c>
      <c r="S1667">
        <v>89.18</v>
      </c>
      <c r="T1667">
        <v>89.09</v>
      </c>
      <c r="U1667">
        <v>88</v>
      </c>
      <c r="V1667">
        <v>90.55</v>
      </c>
      <c r="W1667">
        <v>3738274</v>
      </c>
      <c r="X1667">
        <v>88.74</v>
      </c>
      <c r="Y1667">
        <v>89.38</v>
      </c>
      <c r="Z1667">
        <v>149</v>
      </c>
      <c r="AA1667">
        <v>13500000</v>
      </c>
      <c r="AB1667">
        <v>890.7</v>
      </c>
      <c r="AC1667">
        <v>0</v>
      </c>
      <c r="AD1667" t="s">
        <v>94</v>
      </c>
      <c r="AE1667" t="s">
        <v>94</v>
      </c>
      <c r="AF1667" t="s">
        <v>226</v>
      </c>
      <c r="AG1667" t="s">
        <v>226</v>
      </c>
      <c r="AH1667">
        <v>8</v>
      </c>
      <c r="AI1667" t="s">
        <v>3537</v>
      </c>
      <c r="AJ1667" t="s">
        <v>1976</v>
      </c>
      <c r="AK1667" t="s">
        <v>2416</v>
      </c>
      <c r="AL1667" t="s">
        <v>272</v>
      </c>
    </row>
    <row r="1668" spans="1:38">
      <c r="A1668" t="s">
        <v>7333</v>
      </c>
      <c r="B1668" t="s">
        <v>7334</v>
      </c>
      <c r="C1668" t="s">
        <v>7335</v>
      </c>
      <c r="D1668" t="s">
        <v>7335</v>
      </c>
      <c r="E1668" t="s">
        <v>7336</v>
      </c>
      <c r="F1668" t="s">
        <v>2413</v>
      </c>
      <c r="G1668">
        <v>1</v>
      </c>
      <c r="H1668">
        <v>1</v>
      </c>
      <c r="I1668">
        <v>0.01</v>
      </c>
      <c r="J1668">
        <v>1000</v>
      </c>
      <c r="K1668">
        <v>-0.06</v>
      </c>
      <c r="L1668">
        <v>93.64</v>
      </c>
      <c r="M1668">
        <v>93.7</v>
      </c>
      <c r="N1668">
        <v>94.49</v>
      </c>
      <c r="O1668">
        <v>93.64</v>
      </c>
      <c r="P1668">
        <v>0</v>
      </c>
      <c r="Q1668">
        <v>0</v>
      </c>
      <c r="R1668">
        <v>0</v>
      </c>
      <c r="S1668">
        <v>93.83</v>
      </c>
      <c r="T1668">
        <v>94.56</v>
      </c>
      <c r="U1668">
        <v>93.16</v>
      </c>
      <c r="V1668">
        <v>94.56</v>
      </c>
      <c r="W1668">
        <v>144506</v>
      </c>
      <c r="X1668">
        <v>93.5</v>
      </c>
      <c r="Y1668">
        <v>93.64</v>
      </c>
      <c r="Z1668">
        <v>33</v>
      </c>
      <c r="AA1668">
        <v>17000000</v>
      </c>
      <c r="AB1668">
        <v>1872.8</v>
      </c>
      <c r="AC1668">
        <v>0</v>
      </c>
      <c r="AD1668" t="s">
        <v>94</v>
      </c>
      <c r="AE1668" t="s">
        <v>94</v>
      </c>
      <c r="AF1668" t="s">
        <v>226</v>
      </c>
      <c r="AG1668" t="s">
        <v>226</v>
      </c>
      <c r="AH1668">
        <v>8</v>
      </c>
      <c r="AI1668" t="s">
        <v>3537</v>
      </c>
      <c r="AJ1668" t="s">
        <v>1976</v>
      </c>
      <c r="AK1668" t="s">
        <v>2416</v>
      </c>
      <c r="AL1668" t="s">
        <v>272</v>
      </c>
    </row>
    <row r="1669" spans="1:38">
      <c r="A1669" t="s">
        <v>7337</v>
      </c>
      <c r="B1669" t="s">
        <v>7338</v>
      </c>
      <c r="C1669" t="s">
        <v>7339</v>
      </c>
      <c r="D1669" t="s">
        <v>7339</v>
      </c>
      <c r="E1669" t="s">
        <v>7340</v>
      </c>
      <c r="F1669" t="s">
        <v>2413</v>
      </c>
      <c r="G1669">
        <v>1</v>
      </c>
      <c r="H1669">
        <v>1</v>
      </c>
      <c r="I1669">
        <v>0.01</v>
      </c>
      <c r="J1669">
        <v>1000</v>
      </c>
      <c r="K1669">
        <v>-7.0000000000000007E-2</v>
      </c>
      <c r="L1669">
        <v>92.03</v>
      </c>
      <c r="M1669">
        <v>92.09</v>
      </c>
      <c r="N1669">
        <v>91.74</v>
      </c>
      <c r="O1669">
        <v>92.03</v>
      </c>
      <c r="P1669">
        <v>0</v>
      </c>
      <c r="Q1669">
        <v>0</v>
      </c>
      <c r="R1669">
        <v>0</v>
      </c>
      <c r="S1669">
        <v>91.76</v>
      </c>
      <c r="T1669">
        <v>92.06</v>
      </c>
      <c r="U1669">
        <v>91.51</v>
      </c>
      <c r="V1669">
        <v>92.12</v>
      </c>
      <c r="W1669">
        <v>1656326</v>
      </c>
      <c r="X1669">
        <v>91.9</v>
      </c>
      <c r="Y1669">
        <v>92.02</v>
      </c>
      <c r="Z1669">
        <v>121</v>
      </c>
      <c r="AA1669">
        <v>25000000</v>
      </c>
      <c r="AB1669">
        <v>33130.800000000003</v>
      </c>
      <c r="AC1669">
        <v>0</v>
      </c>
      <c r="AD1669" t="s">
        <v>94</v>
      </c>
      <c r="AE1669" t="s">
        <v>94</v>
      </c>
      <c r="AF1669" t="s">
        <v>226</v>
      </c>
      <c r="AG1669" t="s">
        <v>226</v>
      </c>
      <c r="AH1669">
        <v>8</v>
      </c>
      <c r="AI1669" t="s">
        <v>3537</v>
      </c>
      <c r="AJ1669" t="s">
        <v>1976</v>
      </c>
      <c r="AK1669" t="s">
        <v>2416</v>
      </c>
      <c r="AL1669" t="s">
        <v>272</v>
      </c>
    </row>
    <row r="1670" spans="1:38">
      <c r="A1670" t="s">
        <v>7341</v>
      </c>
      <c r="B1670" t="s">
        <v>7342</v>
      </c>
      <c r="C1670" t="s">
        <v>7343</v>
      </c>
      <c r="D1670" t="s">
        <v>7343</v>
      </c>
      <c r="E1670" t="s">
        <v>7344</v>
      </c>
      <c r="F1670" t="s">
        <v>2413</v>
      </c>
      <c r="G1670">
        <v>1</v>
      </c>
      <c r="H1670">
        <v>1</v>
      </c>
      <c r="I1670">
        <v>0.01</v>
      </c>
      <c r="J1670">
        <v>1000</v>
      </c>
      <c r="K1670">
        <v>0.54</v>
      </c>
      <c r="L1670">
        <v>92.3</v>
      </c>
      <c r="M1670">
        <v>91.95</v>
      </c>
      <c r="N1670">
        <v>91.43</v>
      </c>
      <c r="O1670">
        <v>92.34</v>
      </c>
      <c r="P1670">
        <v>0</v>
      </c>
      <c r="Q1670">
        <v>0</v>
      </c>
      <c r="R1670">
        <v>0</v>
      </c>
      <c r="S1670">
        <v>92.1</v>
      </c>
      <c r="T1670">
        <v>92.01</v>
      </c>
      <c r="U1670">
        <v>91.61</v>
      </c>
      <c r="V1670">
        <v>93.99</v>
      </c>
      <c r="W1670">
        <v>1250664</v>
      </c>
      <c r="X1670">
        <v>92.3</v>
      </c>
      <c r="Y1670">
        <v>92.83</v>
      </c>
      <c r="Z1670">
        <v>81</v>
      </c>
      <c r="AA1670">
        <v>17000000</v>
      </c>
      <c r="AB1670">
        <v>9230</v>
      </c>
      <c r="AC1670">
        <v>0</v>
      </c>
      <c r="AD1670" t="s">
        <v>94</v>
      </c>
      <c r="AE1670" t="s">
        <v>94</v>
      </c>
      <c r="AF1670" t="s">
        <v>226</v>
      </c>
      <c r="AG1670" t="s">
        <v>226</v>
      </c>
      <c r="AH1670">
        <v>8</v>
      </c>
      <c r="AI1670" t="s">
        <v>3537</v>
      </c>
      <c r="AJ1670" t="s">
        <v>1976</v>
      </c>
      <c r="AK1670" t="s">
        <v>2416</v>
      </c>
      <c r="AL1670" t="s">
        <v>272</v>
      </c>
    </row>
    <row r="1671" spans="1:38">
      <c r="A1671" t="s">
        <v>7345</v>
      </c>
      <c r="B1671" t="s">
        <v>7346</v>
      </c>
      <c r="C1671" t="s">
        <v>7347</v>
      </c>
      <c r="D1671" t="s">
        <v>7347</v>
      </c>
      <c r="E1671" t="s">
        <v>7348</v>
      </c>
      <c r="F1671" t="s">
        <v>2413</v>
      </c>
      <c r="G1671">
        <v>1</v>
      </c>
      <c r="H1671">
        <v>1</v>
      </c>
      <c r="I1671">
        <v>0.01</v>
      </c>
      <c r="J1671">
        <v>1000</v>
      </c>
      <c r="K1671">
        <v>0</v>
      </c>
      <c r="L1671">
        <v>0</v>
      </c>
      <c r="M1671">
        <v>84.94</v>
      </c>
      <c r="N1671">
        <v>86.9</v>
      </c>
      <c r="O1671">
        <v>84.94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84.16</v>
      </c>
      <c r="Y1671">
        <v>85.34</v>
      </c>
      <c r="Z1671">
        <v>0</v>
      </c>
      <c r="AA1671">
        <v>10000000</v>
      </c>
      <c r="AB1671">
        <v>0</v>
      </c>
      <c r="AC1671">
        <v>0</v>
      </c>
      <c r="AD1671" t="s">
        <v>94</v>
      </c>
      <c r="AE1671" t="s">
        <v>94</v>
      </c>
      <c r="AF1671" t="s">
        <v>226</v>
      </c>
      <c r="AG1671" t="s">
        <v>226</v>
      </c>
      <c r="AH1671">
        <v>-100</v>
      </c>
      <c r="AI1671" t="s">
        <v>3537</v>
      </c>
      <c r="AJ1671" t="s">
        <v>1976</v>
      </c>
      <c r="AK1671" t="s">
        <v>2416</v>
      </c>
      <c r="AL1671" t="s">
        <v>272</v>
      </c>
    </row>
    <row r="1672" spans="1:38">
      <c r="A1672" t="s">
        <v>7349</v>
      </c>
      <c r="B1672" t="s">
        <v>7350</v>
      </c>
      <c r="C1672" t="s">
        <v>7351</v>
      </c>
      <c r="D1672" t="s">
        <v>7351</v>
      </c>
      <c r="E1672" t="s">
        <v>7352</v>
      </c>
      <c r="F1672" t="s">
        <v>2413</v>
      </c>
      <c r="G1672">
        <v>3</v>
      </c>
      <c r="H1672">
        <v>1</v>
      </c>
      <c r="I1672">
        <v>0.01</v>
      </c>
      <c r="J1672">
        <v>1000</v>
      </c>
      <c r="K1672">
        <v>0.34</v>
      </c>
      <c r="L1672">
        <v>91.71</v>
      </c>
      <c r="M1672">
        <v>91.4</v>
      </c>
      <c r="N1672">
        <v>91.42</v>
      </c>
      <c r="O1672">
        <v>91.8</v>
      </c>
      <c r="P1672">
        <v>0</v>
      </c>
      <c r="Q1672">
        <v>0</v>
      </c>
      <c r="R1672">
        <v>0</v>
      </c>
      <c r="S1672">
        <v>91.58</v>
      </c>
      <c r="T1672">
        <v>91.59</v>
      </c>
      <c r="U1672">
        <v>91.3</v>
      </c>
      <c r="V1672">
        <v>91.87</v>
      </c>
      <c r="W1672">
        <v>1527521</v>
      </c>
      <c r="X1672">
        <v>91.74</v>
      </c>
      <c r="Y1672">
        <v>91.82</v>
      </c>
      <c r="Z1672">
        <v>167</v>
      </c>
      <c r="AA1672">
        <v>7000000</v>
      </c>
      <c r="AB1672">
        <v>917.1</v>
      </c>
      <c r="AC1672">
        <v>0</v>
      </c>
      <c r="AD1672" t="s">
        <v>94</v>
      </c>
      <c r="AE1672" t="s">
        <v>94</v>
      </c>
      <c r="AF1672" t="s">
        <v>226</v>
      </c>
      <c r="AG1672" t="s">
        <v>226</v>
      </c>
      <c r="AH1672">
        <v>6</v>
      </c>
      <c r="AI1672" t="s">
        <v>3537</v>
      </c>
      <c r="AJ1672" t="s">
        <v>1976</v>
      </c>
      <c r="AK1672" t="s">
        <v>2416</v>
      </c>
      <c r="AL1672" t="s">
        <v>272</v>
      </c>
    </row>
    <row r="1673" spans="1:38">
      <c r="A1673" t="s">
        <v>7353</v>
      </c>
      <c r="B1673" t="s">
        <v>7354</v>
      </c>
      <c r="C1673" t="s">
        <v>7355</v>
      </c>
      <c r="D1673" t="s">
        <v>7355</v>
      </c>
      <c r="E1673" t="s">
        <v>7356</v>
      </c>
      <c r="F1673" t="s">
        <v>2413</v>
      </c>
      <c r="G1673">
        <v>3</v>
      </c>
      <c r="H1673">
        <v>1</v>
      </c>
      <c r="I1673">
        <v>0.01</v>
      </c>
      <c r="J1673">
        <v>1000</v>
      </c>
      <c r="K1673">
        <v>0.12</v>
      </c>
      <c r="L1673">
        <v>93.63</v>
      </c>
      <c r="M1673">
        <v>93.52</v>
      </c>
      <c r="N1673">
        <v>92.86</v>
      </c>
      <c r="O1673">
        <v>93.63</v>
      </c>
      <c r="P1673">
        <v>0</v>
      </c>
      <c r="Q1673">
        <v>0</v>
      </c>
      <c r="R1673">
        <v>0</v>
      </c>
      <c r="S1673">
        <v>93.06</v>
      </c>
      <c r="T1673">
        <v>94</v>
      </c>
      <c r="U1673">
        <v>93</v>
      </c>
      <c r="V1673">
        <v>94.29</v>
      </c>
      <c r="W1673">
        <v>20139677</v>
      </c>
      <c r="X1673">
        <v>93.63</v>
      </c>
      <c r="Y1673">
        <v>93.65</v>
      </c>
      <c r="Z1673">
        <v>58</v>
      </c>
      <c r="AA1673">
        <v>10000000</v>
      </c>
      <c r="AB1673">
        <v>234075</v>
      </c>
      <c r="AC1673">
        <v>0</v>
      </c>
      <c r="AD1673" t="s">
        <v>94</v>
      </c>
      <c r="AE1673" t="s">
        <v>94</v>
      </c>
      <c r="AF1673" t="s">
        <v>226</v>
      </c>
      <c r="AG1673" t="s">
        <v>226</v>
      </c>
      <c r="AH1673">
        <v>800</v>
      </c>
      <c r="AI1673" t="s">
        <v>3537</v>
      </c>
      <c r="AJ1673" t="s">
        <v>1976</v>
      </c>
      <c r="AK1673" t="s">
        <v>2416</v>
      </c>
      <c r="AL1673" t="s">
        <v>272</v>
      </c>
    </row>
    <row r="1674" spans="1:38">
      <c r="A1674" t="s">
        <v>7357</v>
      </c>
      <c r="B1674" t="s">
        <v>7358</v>
      </c>
      <c r="C1674" t="s">
        <v>7359</v>
      </c>
      <c r="D1674" t="s">
        <v>7359</v>
      </c>
      <c r="E1674" t="s">
        <v>7360</v>
      </c>
      <c r="F1674" t="s">
        <v>2413</v>
      </c>
      <c r="G1674">
        <v>3</v>
      </c>
      <c r="H1674">
        <v>1</v>
      </c>
      <c r="I1674">
        <v>0.01</v>
      </c>
      <c r="J1674">
        <v>1000</v>
      </c>
      <c r="K1674">
        <v>-2.61</v>
      </c>
      <c r="L1674">
        <v>92.5</v>
      </c>
      <c r="M1674">
        <v>94.98</v>
      </c>
      <c r="N1674">
        <v>94.62</v>
      </c>
      <c r="O1674">
        <v>92.84</v>
      </c>
      <c r="P1674">
        <v>0</v>
      </c>
      <c r="Q1674">
        <v>0</v>
      </c>
      <c r="R1674">
        <v>0</v>
      </c>
      <c r="S1674">
        <v>92.6</v>
      </c>
      <c r="T1674">
        <v>95.24</v>
      </c>
      <c r="U1674">
        <v>90.3</v>
      </c>
      <c r="V1674">
        <v>95.38</v>
      </c>
      <c r="W1674">
        <v>2641826</v>
      </c>
      <c r="X1674">
        <v>92.45</v>
      </c>
      <c r="Y1674">
        <v>92.96</v>
      </c>
      <c r="Z1674">
        <v>377</v>
      </c>
      <c r="AA1674">
        <v>300000</v>
      </c>
      <c r="AB1674">
        <v>8325</v>
      </c>
      <c r="AC1674">
        <v>0</v>
      </c>
      <c r="AD1674" t="s">
        <v>94</v>
      </c>
      <c r="AE1674" t="s">
        <v>94</v>
      </c>
      <c r="AF1674" t="s">
        <v>226</v>
      </c>
      <c r="AG1674" t="s">
        <v>226</v>
      </c>
      <c r="AH1674">
        <v>6</v>
      </c>
      <c r="AI1674" t="s">
        <v>3537</v>
      </c>
      <c r="AJ1674" t="s">
        <v>1976</v>
      </c>
      <c r="AK1674" t="s">
        <v>2416</v>
      </c>
      <c r="AL1674" t="s">
        <v>272</v>
      </c>
    </row>
    <row r="1675" spans="1:38">
      <c r="A1675" t="s">
        <v>7361</v>
      </c>
      <c r="B1675" t="s">
        <v>7362</v>
      </c>
      <c r="C1675" t="s">
        <v>7363</v>
      </c>
      <c r="D1675" t="s">
        <v>7363</v>
      </c>
      <c r="E1675" t="s">
        <v>7364</v>
      </c>
      <c r="F1675" t="s">
        <v>2413</v>
      </c>
      <c r="G1675">
        <v>2</v>
      </c>
      <c r="H1675">
        <v>1</v>
      </c>
      <c r="I1675">
        <v>0.01</v>
      </c>
      <c r="J1675">
        <v>1000</v>
      </c>
      <c r="K1675">
        <v>0.15</v>
      </c>
      <c r="L1675">
        <v>90.49</v>
      </c>
      <c r="M1675">
        <v>90.35</v>
      </c>
      <c r="N1675">
        <v>90.39</v>
      </c>
      <c r="O1675">
        <v>90.49</v>
      </c>
      <c r="P1675">
        <v>0</v>
      </c>
      <c r="Q1675">
        <v>0</v>
      </c>
      <c r="R1675">
        <v>0</v>
      </c>
      <c r="S1675">
        <v>90.45</v>
      </c>
      <c r="T1675">
        <v>90.35</v>
      </c>
      <c r="U1675">
        <v>90.11</v>
      </c>
      <c r="V1675">
        <v>90.59</v>
      </c>
      <c r="W1675">
        <v>1039267</v>
      </c>
      <c r="X1675">
        <v>90.23</v>
      </c>
      <c r="Y1675">
        <v>90.49</v>
      </c>
      <c r="Z1675">
        <v>129</v>
      </c>
      <c r="AA1675">
        <v>20000000</v>
      </c>
      <c r="AB1675">
        <v>904.9</v>
      </c>
      <c r="AC1675">
        <v>0</v>
      </c>
      <c r="AD1675" t="s">
        <v>94</v>
      </c>
      <c r="AE1675" t="s">
        <v>94</v>
      </c>
      <c r="AF1675" t="s">
        <v>226</v>
      </c>
      <c r="AG1675" t="s">
        <v>226</v>
      </c>
      <c r="AH1675">
        <v>-100</v>
      </c>
      <c r="AI1675" t="s">
        <v>3537</v>
      </c>
      <c r="AJ1675" t="s">
        <v>1976</v>
      </c>
      <c r="AK1675" t="s">
        <v>2416</v>
      </c>
      <c r="AL1675" t="s">
        <v>272</v>
      </c>
    </row>
    <row r="1676" spans="1:38">
      <c r="A1676" t="s">
        <v>7365</v>
      </c>
      <c r="B1676" t="s">
        <v>7366</v>
      </c>
      <c r="C1676" t="s">
        <v>7367</v>
      </c>
      <c r="D1676" t="s">
        <v>7367</v>
      </c>
      <c r="E1676" t="s">
        <v>7368</v>
      </c>
      <c r="F1676" t="s">
        <v>2413</v>
      </c>
      <c r="G1676">
        <v>3</v>
      </c>
      <c r="H1676">
        <v>1</v>
      </c>
      <c r="I1676">
        <v>0.01</v>
      </c>
      <c r="J1676">
        <v>1000</v>
      </c>
      <c r="K1676">
        <v>7.0000000000000007E-2</v>
      </c>
      <c r="L1676">
        <v>86.57</v>
      </c>
      <c r="M1676">
        <v>86.51</v>
      </c>
      <c r="N1676">
        <v>85.45</v>
      </c>
      <c r="O1676">
        <v>86.57</v>
      </c>
      <c r="P1676">
        <v>0</v>
      </c>
      <c r="Q1676">
        <v>0</v>
      </c>
      <c r="R1676">
        <v>0</v>
      </c>
      <c r="S1676">
        <v>86.19</v>
      </c>
      <c r="T1676">
        <v>86.79</v>
      </c>
      <c r="U1676">
        <v>85.8</v>
      </c>
      <c r="V1676">
        <v>86.84</v>
      </c>
      <c r="W1676">
        <v>189622</v>
      </c>
      <c r="X1676">
        <v>86.42</v>
      </c>
      <c r="Y1676">
        <v>86.57</v>
      </c>
      <c r="Z1676">
        <v>30</v>
      </c>
      <c r="AA1676">
        <v>30000000</v>
      </c>
      <c r="AB1676">
        <v>4328.5</v>
      </c>
      <c r="AC1676">
        <v>0</v>
      </c>
      <c r="AD1676" t="s">
        <v>94</v>
      </c>
      <c r="AE1676" t="s">
        <v>94</v>
      </c>
      <c r="AF1676" t="s">
        <v>226</v>
      </c>
      <c r="AG1676" t="s">
        <v>226</v>
      </c>
      <c r="AH1676">
        <v>-100</v>
      </c>
      <c r="AI1676" t="s">
        <v>3537</v>
      </c>
      <c r="AJ1676" t="s">
        <v>1976</v>
      </c>
      <c r="AK1676" t="s">
        <v>2416</v>
      </c>
      <c r="AL1676" t="s">
        <v>272</v>
      </c>
    </row>
    <row r="1677" spans="1:38">
      <c r="A1677" t="s">
        <v>7369</v>
      </c>
      <c r="B1677" t="s">
        <v>7370</v>
      </c>
      <c r="C1677" t="s">
        <v>7371</v>
      </c>
      <c r="D1677" t="s">
        <v>7371</v>
      </c>
      <c r="E1677" t="s">
        <v>7372</v>
      </c>
      <c r="F1677" t="s">
        <v>2413</v>
      </c>
      <c r="G1677">
        <v>2</v>
      </c>
      <c r="H1677">
        <v>1</v>
      </c>
      <c r="I1677">
        <v>0.01</v>
      </c>
      <c r="J1677">
        <v>1000</v>
      </c>
      <c r="K1677">
        <v>-0.03</v>
      </c>
      <c r="L1677">
        <v>99.92</v>
      </c>
      <c r="M1677">
        <v>99.95</v>
      </c>
      <c r="N1677">
        <v>99.56</v>
      </c>
      <c r="O1677">
        <v>99.92</v>
      </c>
      <c r="P1677">
        <v>0</v>
      </c>
      <c r="Q1677">
        <v>0</v>
      </c>
      <c r="R1677">
        <v>0</v>
      </c>
      <c r="S1677">
        <v>99.51</v>
      </c>
      <c r="T1677">
        <v>99.95</v>
      </c>
      <c r="U1677">
        <v>99</v>
      </c>
      <c r="V1677">
        <v>99.95</v>
      </c>
      <c r="W1677">
        <v>2200211</v>
      </c>
      <c r="X1677">
        <v>99.91</v>
      </c>
      <c r="Y1677">
        <v>99.92</v>
      </c>
      <c r="Z1677">
        <v>38</v>
      </c>
      <c r="AA1677">
        <v>25000000</v>
      </c>
      <c r="AB1677">
        <v>999.2</v>
      </c>
      <c r="AC1677">
        <v>0</v>
      </c>
      <c r="AD1677" t="s">
        <v>94</v>
      </c>
      <c r="AE1677" t="s">
        <v>94</v>
      </c>
      <c r="AF1677" t="s">
        <v>226</v>
      </c>
      <c r="AG1677" t="s">
        <v>226</v>
      </c>
      <c r="AH1677">
        <v>800</v>
      </c>
      <c r="AI1677" t="s">
        <v>3537</v>
      </c>
      <c r="AJ1677" t="s">
        <v>1976</v>
      </c>
      <c r="AK1677" t="s">
        <v>2416</v>
      </c>
      <c r="AL1677" t="s">
        <v>272</v>
      </c>
    </row>
    <row r="1678" spans="1:38">
      <c r="A1678" t="s">
        <v>7373</v>
      </c>
      <c r="B1678" t="s">
        <v>7374</v>
      </c>
      <c r="C1678" t="s">
        <v>7375</v>
      </c>
      <c r="D1678" t="s">
        <v>7375</v>
      </c>
      <c r="E1678" t="s">
        <v>7376</v>
      </c>
      <c r="F1678" t="s">
        <v>2413</v>
      </c>
      <c r="G1678">
        <v>3</v>
      </c>
      <c r="H1678">
        <v>1</v>
      </c>
      <c r="I1678">
        <v>0.01</v>
      </c>
      <c r="J1678">
        <v>500</v>
      </c>
      <c r="K1678">
        <v>-0.08</v>
      </c>
      <c r="L1678">
        <v>95.8</v>
      </c>
      <c r="M1678">
        <v>95.88</v>
      </c>
      <c r="N1678">
        <v>95.48</v>
      </c>
      <c r="O1678">
        <v>95.82</v>
      </c>
      <c r="P1678">
        <v>0</v>
      </c>
      <c r="Q1678">
        <v>0</v>
      </c>
      <c r="R1678">
        <v>0</v>
      </c>
      <c r="S1678">
        <v>95.77</v>
      </c>
      <c r="T1678">
        <v>95.65</v>
      </c>
      <c r="U1678">
        <v>95.5</v>
      </c>
      <c r="V1678">
        <v>95.99</v>
      </c>
      <c r="W1678">
        <v>100075</v>
      </c>
      <c r="X1678">
        <v>95.8</v>
      </c>
      <c r="Y1678">
        <v>95.88</v>
      </c>
      <c r="Z1678">
        <v>79</v>
      </c>
      <c r="AA1678">
        <v>300000</v>
      </c>
      <c r="AB1678">
        <v>1916</v>
      </c>
      <c r="AC1678">
        <v>0</v>
      </c>
      <c r="AD1678" t="s">
        <v>94</v>
      </c>
      <c r="AE1678" t="s">
        <v>94</v>
      </c>
      <c r="AF1678" t="s">
        <v>226</v>
      </c>
      <c r="AG1678" t="s">
        <v>226</v>
      </c>
      <c r="AH1678">
        <v>6</v>
      </c>
      <c r="AI1678" t="s">
        <v>3537</v>
      </c>
      <c r="AJ1678" t="s">
        <v>1976</v>
      </c>
      <c r="AK1678" t="s">
        <v>2416</v>
      </c>
      <c r="AL1678" t="s">
        <v>272</v>
      </c>
    </row>
    <row r="1679" spans="1:38">
      <c r="A1679" t="s">
        <v>7377</v>
      </c>
      <c r="B1679" t="s">
        <v>7378</v>
      </c>
      <c r="C1679" t="s">
        <v>7379</v>
      </c>
      <c r="D1679" t="s">
        <v>7379</v>
      </c>
      <c r="E1679" t="s">
        <v>7380</v>
      </c>
      <c r="F1679" t="s">
        <v>2425</v>
      </c>
      <c r="G1679">
        <v>3</v>
      </c>
      <c r="H1679">
        <v>1</v>
      </c>
      <c r="I1679">
        <v>0.01</v>
      </c>
      <c r="J1679">
        <v>1000</v>
      </c>
      <c r="K1679">
        <v>0</v>
      </c>
      <c r="L1679">
        <v>0</v>
      </c>
      <c r="M1679">
        <v>86.95</v>
      </c>
      <c r="N1679">
        <v>88.07</v>
      </c>
      <c r="O1679">
        <v>86.95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86.68</v>
      </c>
      <c r="Y1679">
        <v>86.95</v>
      </c>
      <c r="Z1679">
        <v>0</v>
      </c>
      <c r="AA1679">
        <v>200000</v>
      </c>
      <c r="AB1679">
        <v>0</v>
      </c>
      <c r="AC1679">
        <v>0</v>
      </c>
      <c r="AD1679" t="s">
        <v>94</v>
      </c>
      <c r="AE1679" t="s">
        <v>94</v>
      </c>
      <c r="AF1679" t="s">
        <v>304</v>
      </c>
      <c r="AG1679" t="s">
        <v>226</v>
      </c>
      <c r="AH1679">
        <v>0</v>
      </c>
      <c r="AI1679" t="s">
        <v>3537</v>
      </c>
      <c r="AJ1679" t="s">
        <v>1976</v>
      </c>
      <c r="AK1679" t="s">
        <v>2426</v>
      </c>
      <c r="AL1679" t="s">
        <v>272</v>
      </c>
    </row>
    <row r="1680" spans="1:38">
      <c r="A1680" t="s">
        <v>7381</v>
      </c>
      <c r="B1680" t="s">
        <v>7382</v>
      </c>
      <c r="C1680" t="s">
        <v>7383</v>
      </c>
      <c r="D1680" t="s">
        <v>7383</v>
      </c>
      <c r="E1680" t="s">
        <v>7384</v>
      </c>
      <c r="F1680" t="s">
        <v>3754</v>
      </c>
      <c r="G1680">
        <v>1</v>
      </c>
      <c r="H1680">
        <v>1</v>
      </c>
      <c r="I1680">
        <v>0.01</v>
      </c>
      <c r="J1680">
        <v>1000</v>
      </c>
      <c r="K1680">
        <v>0.5</v>
      </c>
      <c r="L1680">
        <v>81.67</v>
      </c>
      <c r="M1680">
        <v>81.260000000000005</v>
      </c>
      <c r="N1680">
        <v>81.540000000000006</v>
      </c>
      <c r="O1680">
        <v>81.66</v>
      </c>
      <c r="P1680">
        <v>0</v>
      </c>
      <c r="Q1680">
        <v>0</v>
      </c>
      <c r="R1680">
        <v>0</v>
      </c>
      <c r="S1680">
        <v>82.1</v>
      </c>
      <c r="T1680">
        <v>83.66</v>
      </c>
      <c r="U1680">
        <v>81.010000000000005</v>
      </c>
      <c r="V1680">
        <v>83.67</v>
      </c>
      <c r="W1680">
        <v>144502</v>
      </c>
      <c r="X1680">
        <v>81.3</v>
      </c>
      <c r="Y1680">
        <v>81.650000000000006</v>
      </c>
      <c r="Z1680">
        <v>67</v>
      </c>
      <c r="AA1680">
        <v>2000000</v>
      </c>
      <c r="AB1680">
        <v>816.7</v>
      </c>
      <c r="AC1680">
        <v>0</v>
      </c>
      <c r="AD1680" t="s">
        <v>94</v>
      </c>
      <c r="AE1680" t="s">
        <v>94</v>
      </c>
      <c r="AF1680" t="s">
        <v>226</v>
      </c>
      <c r="AG1680" t="s">
        <v>226</v>
      </c>
      <c r="AH1680">
        <v>-100</v>
      </c>
      <c r="AI1680" t="s">
        <v>3537</v>
      </c>
      <c r="AJ1680" t="s">
        <v>1976</v>
      </c>
      <c r="AK1680" t="s">
        <v>3755</v>
      </c>
      <c r="AL1680" t="s">
        <v>272</v>
      </c>
    </row>
    <row r="1681" spans="1:38">
      <c r="A1681" t="s">
        <v>7385</v>
      </c>
      <c r="B1681" t="s">
        <v>7386</v>
      </c>
      <c r="C1681" t="s">
        <v>7387</v>
      </c>
      <c r="D1681" t="s">
        <v>7387</v>
      </c>
      <c r="E1681" t="s">
        <v>7388</v>
      </c>
      <c r="F1681" t="s">
        <v>3754</v>
      </c>
      <c r="G1681">
        <v>1</v>
      </c>
      <c r="H1681">
        <v>1</v>
      </c>
      <c r="I1681">
        <v>0.01</v>
      </c>
      <c r="J1681">
        <v>1000</v>
      </c>
      <c r="K1681">
        <v>0.11</v>
      </c>
      <c r="L1681">
        <v>83</v>
      </c>
      <c r="M1681">
        <v>82.81</v>
      </c>
      <c r="N1681">
        <v>82.65</v>
      </c>
      <c r="O1681">
        <v>83</v>
      </c>
      <c r="P1681">
        <v>0</v>
      </c>
      <c r="Q1681">
        <v>0</v>
      </c>
      <c r="R1681">
        <v>0</v>
      </c>
      <c r="S1681">
        <v>82.92</v>
      </c>
      <c r="T1681">
        <v>82.94</v>
      </c>
      <c r="U1681">
        <v>82.5</v>
      </c>
      <c r="V1681">
        <v>83.46</v>
      </c>
      <c r="W1681">
        <v>169983</v>
      </c>
      <c r="X1681">
        <v>82.97</v>
      </c>
      <c r="Y1681">
        <v>83</v>
      </c>
      <c r="Z1681">
        <v>63</v>
      </c>
      <c r="AA1681">
        <v>2000000</v>
      </c>
      <c r="AB1681">
        <v>830</v>
      </c>
      <c r="AC1681">
        <v>0</v>
      </c>
      <c r="AD1681" t="s">
        <v>94</v>
      </c>
      <c r="AE1681" t="s">
        <v>94</v>
      </c>
      <c r="AF1681" t="s">
        <v>226</v>
      </c>
      <c r="AG1681" t="s">
        <v>226</v>
      </c>
      <c r="AH1681">
        <v>-100</v>
      </c>
      <c r="AI1681" t="s">
        <v>3537</v>
      </c>
      <c r="AJ1681" t="s">
        <v>1976</v>
      </c>
      <c r="AK1681" t="s">
        <v>3755</v>
      </c>
      <c r="AL1681" t="s">
        <v>272</v>
      </c>
    </row>
    <row r="1682" spans="1:38">
      <c r="A1682" t="s">
        <v>7389</v>
      </c>
      <c r="B1682" t="s">
        <v>7390</v>
      </c>
      <c r="C1682" t="s">
        <v>7391</v>
      </c>
      <c r="D1682" t="s">
        <v>7391</v>
      </c>
      <c r="E1682" t="s">
        <v>7392</v>
      </c>
      <c r="F1682" t="s">
        <v>2413</v>
      </c>
      <c r="G1682">
        <v>2</v>
      </c>
      <c r="H1682">
        <v>1</v>
      </c>
      <c r="I1682">
        <v>0.01</v>
      </c>
      <c r="J1682">
        <v>1000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10000000</v>
      </c>
      <c r="AB1682">
        <v>0</v>
      </c>
      <c r="AC1682">
        <v>0</v>
      </c>
      <c r="AD1682" t="s">
        <v>94</v>
      </c>
      <c r="AE1682" t="s">
        <v>94</v>
      </c>
      <c r="AF1682" t="s">
        <v>226</v>
      </c>
      <c r="AG1682" t="s">
        <v>226</v>
      </c>
      <c r="AH1682">
        <v>-100</v>
      </c>
      <c r="AI1682" t="s">
        <v>3537</v>
      </c>
      <c r="AJ1682" t="s">
        <v>1976</v>
      </c>
      <c r="AK1682" t="s">
        <v>2416</v>
      </c>
      <c r="AL1682" t="s">
        <v>272</v>
      </c>
    </row>
    <row r="1683" spans="1:38">
      <c r="A1683" t="s">
        <v>7393</v>
      </c>
      <c r="B1683" t="s">
        <v>7394</v>
      </c>
      <c r="C1683" t="s">
        <v>7395</v>
      </c>
      <c r="D1683" t="s">
        <v>7395</v>
      </c>
      <c r="E1683" t="s">
        <v>7396</v>
      </c>
      <c r="F1683" t="s">
        <v>2413</v>
      </c>
      <c r="G1683">
        <v>3</v>
      </c>
      <c r="H1683">
        <v>1</v>
      </c>
      <c r="I1683">
        <v>0.01</v>
      </c>
      <c r="J1683">
        <v>1000</v>
      </c>
      <c r="K1683">
        <v>0.11</v>
      </c>
      <c r="L1683">
        <v>95.88</v>
      </c>
      <c r="M1683">
        <v>95.72</v>
      </c>
      <c r="N1683">
        <v>95.57</v>
      </c>
      <c r="O1683">
        <v>95.87</v>
      </c>
      <c r="P1683">
        <v>0</v>
      </c>
      <c r="Q1683">
        <v>0</v>
      </c>
      <c r="R1683">
        <v>0</v>
      </c>
      <c r="S1683">
        <v>95.82</v>
      </c>
      <c r="T1683">
        <v>95.25</v>
      </c>
      <c r="U1683">
        <v>95.24</v>
      </c>
      <c r="V1683">
        <v>96</v>
      </c>
      <c r="W1683">
        <v>974455</v>
      </c>
      <c r="X1683">
        <v>95.63</v>
      </c>
      <c r="Y1683">
        <v>95.88</v>
      </c>
      <c r="Z1683">
        <v>85</v>
      </c>
      <c r="AA1683">
        <v>20000000</v>
      </c>
      <c r="AB1683">
        <v>19176</v>
      </c>
      <c r="AC1683">
        <v>0</v>
      </c>
      <c r="AD1683" t="s">
        <v>94</v>
      </c>
      <c r="AE1683" t="s">
        <v>94</v>
      </c>
      <c r="AF1683" t="s">
        <v>226</v>
      </c>
      <c r="AG1683" t="s">
        <v>226</v>
      </c>
      <c r="AH1683">
        <v>-100</v>
      </c>
      <c r="AI1683" t="s">
        <v>3537</v>
      </c>
      <c r="AJ1683" t="s">
        <v>1976</v>
      </c>
      <c r="AK1683" t="s">
        <v>2416</v>
      </c>
      <c r="AL1683" t="s">
        <v>272</v>
      </c>
    </row>
    <row r="1684" spans="1:38">
      <c r="A1684" t="s">
        <v>7397</v>
      </c>
      <c r="B1684" t="s">
        <v>7398</v>
      </c>
      <c r="C1684" t="s">
        <v>7399</v>
      </c>
      <c r="D1684" t="s">
        <v>7399</v>
      </c>
      <c r="E1684" t="s">
        <v>7400</v>
      </c>
      <c r="F1684" t="s">
        <v>2413</v>
      </c>
      <c r="G1684">
        <v>2</v>
      </c>
      <c r="H1684">
        <v>1</v>
      </c>
      <c r="I1684">
        <v>0.01</v>
      </c>
      <c r="J1684">
        <v>1000</v>
      </c>
      <c r="K1684">
        <v>0.11</v>
      </c>
      <c r="L1684">
        <v>99.63</v>
      </c>
      <c r="M1684">
        <v>99.52</v>
      </c>
      <c r="N1684">
        <v>99.46</v>
      </c>
      <c r="O1684">
        <v>99.63</v>
      </c>
      <c r="P1684">
        <v>0</v>
      </c>
      <c r="Q1684">
        <v>0</v>
      </c>
      <c r="R1684">
        <v>0</v>
      </c>
      <c r="S1684">
        <v>98.88</v>
      </c>
      <c r="T1684">
        <v>98.18</v>
      </c>
      <c r="U1684">
        <v>98.14</v>
      </c>
      <c r="V1684">
        <v>99.63</v>
      </c>
      <c r="W1684">
        <v>132499</v>
      </c>
      <c r="X1684">
        <v>99.43</v>
      </c>
      <c r="Y1684">
        <v>99.64</v>
      </c>
      <c r="Z1684">
        <v>41</v>
      </c>
      <c r="AA1684">
        <v>10000000</v>
      </c>
      <c r="AB1684">
        <v>1992.6</v>
      </c>
      <c r="AC1684">
        <v>0</v>
      </c>
      <c r="AD1684" t="s">
        <v>94</v>
      </c>
      <c r="AE1684" t="s">
        <v>94</v>
      </c>
      <c r="AF1684" t="s">
        <v>226</v>
      </c>
      <c r="AG1684" t="s">
        <v>226</v>
      </c>
      <c r="AH1684">
        <v>8</v>
      </c>
      <c r="AI1684" t="s">
        <v>3537</v>
      </c>
      <c r="AJ1684" t="s">
        <v>1976</v>
      </c>
      <c r="AK1684" t="s">
        <v>2416</v>
      </c>
      <c r="AL1684" t="s">
        <v>272</v>
      </c>
    </row>
    <row r="1685" spans="1:38">
      <c r="A1685" t="s">
        <v>7401</v>
      </c>
      <c r="B1685" t="s">
        <v>7402</v>
      </c>
      <c r="C1685" t="s">
        <v>7403</v>
      </c>
      <c r="D1685" t="s">
        <v>7403</v>
      </c>
      <c r="E1685" t="s">
        <v>7404</v>
      </c>
      <c r="F1685" t="s">
        <v>2413</v>
      </c>
      <c r="G1685">
        <v>2</v>
      </c>
      <c r="H1685">
        <v>1</v>
      </c>
      <c r="I1685">
        <v>0.01</v>
      </c>
      <c r="J1685">
        <v>1000</v>
      </c>
      <c r="K1685">
        <v>-0.1</v>
      </c>
      <c r="L1685">
        <v>98.09</v>
      </c>
      <c r="M1685">
        <v>98.19</v>
      </c>
      <c r="N1685">
        <v>98.05</v>
      </c>
      <c r="O1685">
        <v>98.09</v>
      </c>
      <c r="P1685">
        <v>0</v>
      </c>
      <c r="Q1685">
        <v>0</v>
      </c>
      <c r="R1685">
        <v>0</v>
      </c>
      <c r="S1685">
        <v>96.66</v>
      </c>
      <c r="T1685">
        <v>98.99</v>
      </c>
      <c r="U1685">
        <v>96.2</v>
      </c>
      <c r="V1685">
        <v>98.99</v>
      </c>
      <c r="W1685">
        <v>244544</v>
      </c>
      <c r="X1685">
        <v>97.46</v>
      </c>
      <c r="Y1685">
        <v>98.08</v>
      </c>
      <c r="Z1685">
        <v>45</v>
      </c>
      <c r="AA1685">
        <v>10000000</v>
      </c>
      <c r="AB1685">
        <v>4904.5</v>
      </c>
      <c r="AC1685">
        <v>0</v>
      </c>
      <c r="AD1685" t="s">
        <v>94</v>
      </c>
      <c r="AE1685" t="s">
        <v>94</v>
      </c>
      <c r="AF1685" t="s">
        <v>226</v>
      </c>
      <c r="AG1685" t="s">
        <v>226</v>
      </c>
      <c r="AH1685">
        <v>8</v>
      </c>
      <c r="AI1685" t="s">
        <v>3537</v>
      </c>
      <c r="AJ1685" t="s">
        <v>1976</v>
      </c>
      <c r="AK1685" t="s">
        <v>2416</v>
      </c>
      <c r="AL1685" t="s">
        <v>272</v>
      </c>
    </row>
    <row r="1686" spans="1:38">
      <c r="A1686" t="s">
        <v>7405</v>
      </c>
      <c r="B1686" t="s">
        <v>7406</v>
      </c>
      <c r="C1686" t="s">
        <v>7407</v>
      </c>
      <c r="D1686" t="s">
        <v>7407</v>
      </c>
      <c r="E1686" t="s">
        <v>7408</v>
      </c>
      <c r="F1686" t="s">
        <v>2413</v>
      </c>
      <c r="G1686">
        <v>2</v>
      </c>
      <c r="H1686">
        <v>1</v>
      </c>
      <c r="I1686">
        <v>0.01</v>
      </c>
      <c r="J1686">
        <v>1000</v>
      </c>
      <c r="K1686">
        <v>0.62</v>
      </c>
      <c r="L1686">
        <v>98.08</v>
      </c>
      <c r="M1686">
        <v>97.67</v>
      </c>
      <c r="N1686">
        <v>97.36</v>
      </c>
      <c r="O1686">
        <v>98.06</v>
      </c>
      <c r="P1686">
        <v>0</v>
      </c>
      <c r="Q1686">
        <v>0</v>
      </c>
      <c r="R1686">
        <v>0</v>
      </c>
      <c r="S1686">
        <v>97.75</v>
      </c>
      <c r="T1686">
        <v>97.86</v>
      </c>
      <c r="U1686">
        <v>97.5</v>
      </c>
      <c r="V1686">
        <v>98.08</v>
      </c>
      <c r="W1686">
        <v>164219</v>
      </c>
      <c r="X1686">
        <v>97.8</v>
      </c>
      <c r="Y1686">
        <v>98.05</v>
      </c>
      <c r="Z1686">
        <v>24</v>
      </c>
      <c r="AA1686">
        <v>10000000</v>
      </c>
      <c r="AB1686">
        <v>23539.200000000001</v>
      </c>
      <c r="AC1686">
        <v>0</v>
      </c>
      <c r="AD1686" t="s">
        <v>94</v>
      </c>
      <c r="AE1686" t="s">
        <v>94</v>
      </c>
      <c r="AF1686" t="s">
        <v>226</v>
      </c>
      <c r="AG1686" t="s">
        <v>226</v>
      </c>
      <c r="AH1686">
        <v>8</v>
      </c>
      <c r="AI1686" t="s">
        <v>3537</v>
      </c>
      <c r="AJ1686" t="s">
        <v>1976</v>
      </c>
      <c r="AK1686" t="s">
        <v>2416</v>
      </c>
      <c r="AL1686" t="s">
        <v>272</v>
      </c>
    </row>
    <row r="1687" spans="1:38">
      <c r="A1687" t="s">
        <v>7409</v>
      </c>
      <c r="B1687" t="s">
        <v>7410</v>
      </c>
      <c r="C1687" t="s">
        <v>7411</v>
      </c>
      <c r="D1687" t="s">
        <v>7411</v>
      </c>
      <c r="E1687" t="s">
        <v>7412</v>
      </c>
      <c r="F1687" t="s">
        <v>2413</v>
      </c>
      <c r="G1687">
        <v>2</v>
      </c>
      <c r="H1687">
        <v>1</v>
      </c>
      <c r="I1687">
        <v>0.01</v>
      </c>
      <c r="J1687">
        <v>1000</v>
      </c>
      <c r="K1687">
        <v>-0.36</v>
      </c>
      <c r="L1687">
        <v>98.08</v>
      </c>
      <c r="M1687">
        <v>98.43</v>
      </c>
      <c r="N1687">
        <v>97.5</v>
      </c>
      <c r="O1687">
        <v>98.08</v>
      </c>
      <c r="P1687">
        <v>0</v>
      </c>
      <c r="Q1687">
        <v>0</v>
      </c>
      <c r="R1687">
        <v>0</v>
      </c>
      <c r="S1687">
        <v>98.43</v>
      </c>
      <c r="T1687">
        <v>98.21</v>
      </c>
      <c r="U1687">
        <v>98.07</v>
      </c>
      <c r="V1687">
        <v>98.88</v>
      </c>
      <c r="W1687">
        <v>141746</v>
      </c>
      <c r="X1687">
        <v>98.09</v>
      </c>
      <c r="Y1687">
        <v>98.35</v>
      </c>
      <c r="Z1687">
        <v>18</v>
      </c>
      <c r="AA1687">
        <v>11000000</v>
      </c>
      <c r="AB1687">
        <v>980.8</v>
      </c>
      <c r="AC1687">
        <v>0</v>
      </c>
      <c r="AD1687" t="s">
        <v>94</v>
      </c>
      <c r="AE1687" t="s">
        <v>94</v>
      </c>
      <c r="AF1687" t="s">
        <v>226</v>
      </c>
      <c r="AG1687" t="s">
        <v>226</v>
      </c>
      <c r="AH1687">
        <v>8</v>
      </c>
      <c r="AI1687" t="s">
        <v>3537</v>
      </c>
      <c r="AJ1687" t="s">
        <v>1976</v>
      </c>
      <c r="AK1687" t="s">
        <v>2416</v>
      </c>
      <c r="AL1687" t="s">
        <v>272</v>
      </c>
    </row>
    <row r="1688" spans="1:38">
      <c r="A1688" t="s">
        <v>7413</v>
      </c>
      <c r="B1688" t="s">
        <v>7414</v>
      </c>
      <c r="C1688" t="s">
        <v>7415</v>
      </c>
      <c r="D1688" t="s">
        <v>7415</v>
      </c>
      <c r="E1688" t="s">
        <v>7416</v>
      </c>
      <c r="F1688" t="s">
        <v>2413</v>
      </c>
      <c r="G1688">
        <v>2</v>
      </c>
      <c r="H1688">
        <v>1</v>
      </c>
      <c r="I1688">
        <v>0.01</v>
      </c>
      <c r="J1688">
        <v>1000</v>
      </c>
      <c r="K1688">
        <v>2.65</v>
      </c>
      <c r="L1688">
        <v>98.63</v>
      </c>
      <c r="M1688">
        <v>96.08</v>
      </c>
      <c r="N1688">
        <v>96.1</v>
      </c>
      <c r="O1688">
        <v>98.62</v>
      </c>
      <c r="P1688">
        <v>0</v>
      </c>
      <c r="Q1688">
        <v>0</v>
      </c>
      <c r="R1688">
        <v>0</v>
      </c>
      <c r="S1688">
        <v>96.68</v>
      </c>
      <c r="T1688">
        <v>95.84</v>
      </c>
      <c r="U1688">
        <v>95.78</v>
      </c>
      <c r="V1688">
        <v>98.63</v>
      </c>
      <c r="W1688">
        <v>576194</v>
      </c>
      <c r="X1688">
        <v>97.15</v>
      </c>
      <c r="Y1688">
        <v>98.1</v>
      </c>
      <c r="Z1688">
        <v>68</v>
      </c>
      <c r="AA1688">
        <v>3000000</v>
      </c>
      <c r="AB1688">
        <v>95671.1</v>
      </c>
      <c r="AC1688">
        <v>0</v>
      </c>
      <c r="AD1688" t="s">
        <v>94</v>
      </c>
      <c r="AE1688" t="s">
        <v>94</v>
      </c>
      <c r="AF1688" t="s">
        <v>226</v>
      </c>
      <c r="AG1688" t="s">
        <v>226</v>
      </c>
      <c r="AH1688">
        <v>6</v>
      </c>
      <c r="AI1688" t="s">
        <v>3537</v>
      </c>
      <c r="AJ1688" t="s">
        <v>1976</v>
      </c>
      <c r="AK1688" t="s">
        <v>2416</v>
      </c>
      <c r="AL1688" t="s">
        <v>272</v>
      </c>
    </row>
    <row r="1689" spans="1:38">
      <c r="A1689" t="s">
        <v>7417</v>
      </c>
      <c r="B1689" t="s">
        <v>7418</v>
      </c>
      <c r="C1689" t="s">
        <v>7419</v>
      </c>
      <c r="D1689" t="s">
        <v>7419</v>
      </c>
      <c r="E1689" t="s">
        <v>7420</v>
      </c>
      <c r="F1689" t="s">
        <v>2413</v>
      </c>
      <c r="G1689">
        <v>2</v>
      </c>
      <c r="H1689">
        <v>1</v>
      </c>
      <c r="I1689">
        <v>0.01</v>
      </c>
      <c r="J1689">
        <v>1000</v>
      </c>
      <c r="K1689">
        <v>-0.24</v>
      </c>
      <c r="L1689">
        <v>84.52</v>
      </c>
      <c r="M1689">
        <v>84.72</v>
      </c>
      <c r="N1689">
        <v>84.52</v>
      </c>
      <c r="O1689">
        <v>84.52</v>
      </c>
      <c r="P1689">
        <v>0</v>
      </c>
      <c r="Q1689">
        <v>0</v>
      </c>
      <c r="R1689">
        <v>0</v>
      </c>
      <c r="S1689">
        <v>84.47</v>
      </c>
      <c r="T1689">
        <v>85.95</v>
      </c>
      <c r="U1689">
        <v>84.01</v>
      </c>
      <c r="V1689">
        <v>85.95</v>
      </c>
      <c r="W1689">
        <v>1755197</v>
      </c>
      <c r="X1689">
        <v>84.3</v>
      </c>
      <c r="Y1689">
        <v>84.47</v>
      </c>
      <c r="Z1689">
        <v>117</v>
      </c>
      <c r="AA1689">
        <v>3000000</v>
      </c>
      <c r="AB1689">
        <v>845.2</v>
      </c>
      <c r="AC1689">
        <v>0</v>
      </c>
      <c r="AD1689" t="s">
        <v>94</v>
      </c>
      <c r="AE1689" t="s">
        <v>94</v>
      </c>
      <c r="AF1689" t="s">
        <v>226</v>
      </c>
      <c r="AG1689" t="s">
        <v>226</v>
      </c>
      <c r="AH1689">
        <v>6</v>
      </c>
      <c r="AI1689" t="s">
        <v>3537</v>
      </c>
      <c r="AJ1689" t="s">
        <v>1976</v>
      </c>
      <c r="AK1689" t="s">
        <v>2416</v>
      </c>
      <c r="AL1689" t="s">
        <v>272</v>
      </c>
    </row>
    <row r="1690" spans="1:38">
      <c r="A1690" t="s">
        <v>7421</v>
      </c>
      <c r="B1690" t="s">
        <v>7422</v>
      </c>
      <c r="C1690" t="s">
        <v>7423</v>
      </c>
      <c r="D1690" t="s">
        <v>7423</v>
      </c>
      <c r="E1690" t="s">
        <v>7424</v>
      </c>
      <c r="F1690" t="s">
        <v>2413</v>
      </c>
      <c r="G1690">
        <v>2</v>
      </c>
      <c r="H1690">
        <v>1</v>
      </c>
      <c r="I1690">
        <v>0.01</v>
      </c>
      <c r="J1690">
        <v>1000</v>
      </c>
      <c r="K1690">
        <v>0.5</v>
      </c>
      <c r="L1690">
        <v>88.49</v>
      </c>
      <c r="M1690">
        <v>88.05</v>
      </c>
      <c r="N1690">
        <v>87.84</v>
      </c>
      <c r="O1690">
        <v>88.32</v>
      </c>
      <c r="P1690">
        <v>0</v>
      </c>
      <c r="Q1690">
        <v>0</v>
      </c>
      <c r="R1690">
        <v>0</v>
      </c>
      <c r="S1690">
        <v>88.48</v>
      </c>
      <c r="T1690">
        <v>88.23</v>
      </c>
      <c r="U1690">
        <v>88.23</v>
      </c>
      <c r="V1690">
        <v>88.5</v>
      </c>
      <c r="W1690">
        <v>218544</v>
      </c>
      <c r="X1690">
        <v>88.48</v>
      </c>
      <c r="Y1690">
        <v>88.88</v>
      </c>
      <c r="Z1690">
        <v>22</v>
      </c>
      <c r="AA1690">
        <v>3000000</v>
      </c>
      <c r="AB1690">
        <v>884.9</v>
      </c>
      <c r="AC1690">
        <v>0</v>
      </c>
      <c r="AD1690" t="s">
        <v>94</v>
      </c>
      <c r="AE1690" t="s">
        <v>94</v>
      </c>
      <c r="AF1690" t="s">
        <v>226</v>
      </c>
      <c r="AG1690" t="s">
        <v>226</v>
      </c>
      <c r="AH1690">
        <v>6</v>
      </c>
      <c r="AI1690" t="s">
        <v>3537</v>
      </c>
      <c r="AJ1690" t="s">
        <v>1976</v>
      </c>
      <c r="AK1690" t="s">
        <v>2416</v>
      </c>
      <c r="AL1690" t="s">
        <v>272</v>
      </c>
    </row>
    <row r="1691" spans="1:38">
      <c r="A1691" t="s">
        <v>7425</v>
      </c>
      <c r="B1691" t="s">
        <v>226</v>
      </c>
      <c r="C1691" t="s">
        <v>7426</v>
      </c>
      <c r="D1691" t="s">
        <v>7426</v>
      </c>
      <c r="E1691" t="s">
        <v>7427</v>
      </c>
      <c r="F1691" t="s">
        <v>2413</v>
      </c>
      <c r="G1691">
        <v>3</v>
      </c>
      <c r="H1691">
        <v>1</v>
      </c>
      <c r="I1691">
        <v>0.01</v>
      </c>
      <c r="J1691">
        <v>1000</v>
      </c>
      <c r="K1691">
        <v>0</v>
      </c>
      <c r="L1691">
        <v>0</v>
      </c>
      <c r="M1691">
        <v>60</v>
      </c>
      <c r="N1691">
        <v>0</v>
      </c>
      <c r="O1691">
        <v>60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56</v>
      </c>
      <c r="Y1691">
        <v>62</v>
      </c>
      <c r="Z1691">
        <v>0</v>
      </c>
      <c r="AA1691">
        <v>10000000</v>
      </c>
      <c r="AB1691">
        <v>0</v>
      </c>
      <c r="AC1691">
        <v>0</v>
      </c>
      <c r="AD1691" t="s">
        <v>94</v>
      </c>
      <c r="AE1691" t="s">
        <v>94</v>
      </c>
      <c r="AF1691" t="s">
        <v>226</v>
      </c>
      <c r="AG1691" t="s">
        <v>226</v>
      </c>
      <c r="AH1691">
        <v>-1</v>
      </c>
      <c r="AI1691" t="s">
        <v>3537</v>
      </c>
      <c r="AJ1691" t="s">
        <v>1976</v>
      </c>
      <c r="AK1691" t="s">
        <v>2416</v>
      </c>
      <c r="AL1691" t="s">
        <v>272</v>
      </c>
    </row>
    <row r="1692" spans="1:38">
      <c r="A1692" t="s">
        <v>7428</v>
      </c>
      <c r="B1692" t="s">
        <v>226</v>
      </c>
      <c r="C1692" t="s">
        <v>7429</v>
      </c>
      <c r="D1692" t="s">
        <v>7429</v>
      </c>
      <c r="E1692" t="s">
        <v>7430</v>
      </c>
      <c r="F1692" t="s">
        <v>2413</v>
      </c>
      <c r="G1692">
        <v>3</v>
      </c>
      <c r="H1692">
        <v>1</v>
      </c>
      <c r="I1692">
        <v>0.01</v>
      </c>
      <c r="J1692">
        <v>1000</v>
      </c>
      <c r="K1692">
        <v>0</v>
      </c>
      <c r="L1692">
        <v>0</v>
      </c>
      <c r="M1692">
        <v>89</v>
      </c>
      <c r="N1692">
        <v>0</v>
      </c>
      <c r="O1692">
        <v>89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88.6</v>
      </c>
      <c r="Y1692">
        <v>95</v>
      </c>
      <c r="Z1692">
        <v>0</v>
      </c>
      <c r="AA1692">
        <v>7000000</v>
      </c>
      <c r="AB1692">
        <v>0</v>
      </c>
      <c r="AC1692">
        <v>0</v>
      </c>
      <c r="AD1692" t="s">
        <v>94</v>
      </c>
      <c r="AE1692" t="s">
        <v>94</v>
      </c>
      <c r="AF1692" t="s">
        <v>226</v>
      </c>
      <c r="AG1692" t="s">
        <v>226</v>
      </c>
      <c r="AH1692">
        <v>-1</v>
      </c>
      <c r="AI1692" t="s">
        <v>3537</v>
      </c>
      <c r="AJ1692" t="s">
        <v>1976</v>
      </c>
      <c r="AK1692" t="s">
        <v>2416</v>
      </c>
      <c r="AL1692" t="s">
        <v>272</v>
      </c>
    </row>
    <row r="1693" spans="1:38">
      <c r="A1693" t="s">
        <v>7431</v>
      </c>
      <c r="B1693" t="s">
        <v>226</v>
      </c>
      <c r="C1693" t="s">
        <v>7432</v>
      </c>
      <c r="D1693" t="s">
        <v>7432</v>
      </c>
      <c r="E1693" t="s">
        <v>7433</v>
      </c>
      <c r="F1693" t="s">
        <v>2413</v>
      </c>
      <c r="G1693">
        <v>3</v>
      </c>
      <c r="H1693">
        <v>1</v>
      </c>
      <c r="I1693">
        <v>0.01</v>
      </c>
      <c r="J1693">
        <v>1000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5000000</v>
      </c>
      <c r="AB1693">
        <v>0</v>
      </c>
      <c r="AC1693">
        <v>0</v>
      </c>
      <c r="AD1693" t="s">
        <v>94</v>
      </c>
      <c r="AE1693" t="s">
        <v>94</v>
      </c>
      <c r="AF1693" t="s">
        <v>226</v>
      </c>
      <c r="AG1693" t="s">
        <v>226</v>
      </c>
      <c r="AH1693">
        <v>-1</v>
      </c>
      <c r="AI1693" t="s">
        <v>3537</v>
      </c>
      <c r="AJ1693" t="s">
        <v>1976</v>
      </c>
      <c r="AK1693" t="s">
        <v>2416</v>
      </c>
      <c r="AL1693" t="s">
        <v>272</v>
      </c>
    </row>
    <row r="1694" spans="1:38">
      <c r="A1694" t="s">
        <v>7434</v>
      </c>
      <c r="B1694" t="s">
        <v>226</v>
      </c>
      <c r="C1694" t="s">
        <v>7435</v>
      </c>
      <c r="D1694" t="s">
        <v>7435</v>
      </c>
      <c r="E1694" t="s">
        <v>7436</v>
      </c>
      <c r="F1694" t="s">
        <v>6224</v>
      </c>
      <c r="G1694">
        <v>3</v>
      </c>
      <c r="H1694">
        <v>1</v>
      </c>
      <c r="I1694">
        <v>0.01</v>
      </c>
      <c r="J1694">
        <v>1000</v>
      </c>
      <c r="K1694">
        <v>0</v>
      </c>
      <c r="L1694">
        <v>0</v>
      </c>
      <c r="M1694">
        <v>69.430000000000007</v>
      </c>
      <c r="N1694">
        <v>0</v>
      </c>
      <c r="O1694">
        <v>69.430000000000007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70</v>
      </c>
      <c r="Y1694">
        <v>0</v>
      </c>
      <c r="Z1694">
        <v>0</v>
      </c>
      <c r="AA1694">
        <v>3000000</v>
      </c>
      <c r="AB1694">
        <v>0</v>
      </c>
      <c r="AC1694">
        <v>0</v>
      </c>
      <c r="AD1694" t="s">
        <v>94</v>
      </c>
      <c r="AE1694" t="s">
        <v>94</v>
      </c>
      <c r="AF1694" t="s">
        <v>226</v>
      </c>
      <c r="AG1694" t="s">
        <v>226</v>
      </c>
      <c r="AH1694">
        <v>-1</v>
      </c>
      <c r="AI1694" t="s">
        <v>3537</v>
      </c>
      <c r="AJ1694" t="s">
        <v>1976</v>
      </c>
      <c r="AK1694" t="s">
        <v>6225</v>
      </c>
      <c r="AL1694" t="s">
        <v>272</v>
      </c>
    </row>
    <row r="1695" spans="1:38">
      <c r="A1695" t="s">
        <v>7437</v>
      </c>
      <c r="B1695" t="s">
        <v>226</v>
      </c>
      <c r="C1695" t="s">
        <v>7438</v>
      </c>
      <c r="D1695" t="s">
        <v>7438</v>
      </c>
      <c r="E1695" t="s">
        <v>7439</v>
      </c>
      <c r="F1695" t="s">
        <v>6224</v>
      </c>
      <c r="G1695">
        <v>3</v>
      </c>
      <c r="H1695">
        <v>1</v>
      </c>
      <c r="I1695">
        <v>0.01</v>
      </c>
      <c r="J1695">
        <v>1000</v>
      </c>
      <c r="K1695">
        <v>0</v>
      </c>
      <c r="L1695">
        <v>0</v>
      </c>
      <c r="M1695">
        <v>90</v>
      </c>
      <c r="N1695">
        <v>0</v>
      </c>
      <c r="O1695">
        <v>90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74</v>
      </c>
      <c r="Y1695">
        <v>87.01</v>
      </c>
      <c r="Z1695">
        <v>0</v>
      </c>
      <c r="AA1695">
        <v>5000000</v>
      </c>
      <c r="AB1695">
        <v>0</v>
      </c>
      <c r="AC1695">
        <v>0</v>
      </c>
      <c r="AD1695" t="s">
        <v>94</v>
      </c>
      <c r="AE1695" t="s">
        <v>94</v>
      </c>
      <c r="AF1695" t="s">
        <v>226</v>
      </c>
      <c r="AG1695" t="s">
        <v>226</v>
      </c>
      <c r="AH1695">
        <v>-1</v>
      </c>
      <c r="AI1695" t="s">
        <v>3537</v>
      </c>
      <c r="AJ1695" t="s">
        <v>1976</v>
      </c>
      <c r="AK1695" t="s">
        <v>6225</v>
      </c>
      <c r="AL1695" t="s">
        <v>272</v>
      </c>
    </row>
    <row r="1696" spans="1:38">
      <c r="A1696" t="s">
        <v>7440</v>
      </c>
      <c r="B1696" t="s">
        <v>2676</v>
      </c>
      <c r="C1696" t="s">
        <v>2677</v>
      </c>
      <c r="D1696" t="s">
        <v>2677</v>
      </c>
      <c r="E1696" t="s">
        <v>2678</v>
      </c>
      <c r="F1696" t="s">
        <v>2425</v>
      </c>
      <c r="G1696">
        <v>3</v>
      </c>
      <c r="H1696">
        <v>1</v>
      </c>
      <c r="I1696">
        <v>1E-4</v>
      </c>
      <c r="J1696">
        <v>150000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200</v>
      </c>
      <c r="AB1696">
        <v>0</v>
      </c>
      <c r="AC1696">
        <v>0</v>
      </c>
      <c r="AD1696" t="s">
        <v>2</v>
      </c>
      <c r="AE1696" t="s">
        <v>94</v>
      </c>
      <c r="AF1696" t="s">
        <v>304</v>
      </c>
      <c r="AG1696" t="s">
        <v>226</v>
      </c>
      <c r="AH1696">
        <v>0</v>
      </c>
      <c r="AI1696" t="s">
        <v>3537</v>
      </c>
      <c r="AJ1696" t="s">
        <v>1976</v>
      </c>
      <c r="AK1696" t="s">
        <v>2426</v>
      </c>
      <c r="AL1696" t="s">
        <v>272</v>
      </c>
    </row>
    <row r="1697" spans="1:38">
      <c r="A1697" t="s">
        <v>7441</v>
      </c>
      <c r="B1697" t="s">
        <v>7442</v>
      </c>
      <c r="C1697" t="s">
        <v>7443</v>
      </c>
      <c r="D1697" t="s">
        <v>7443</v>
      </c>
      <c r="E1697" t="s">
        <v>7444</v>
      </c>
      <c r="F1697" t="s">
        <v>2425</v>
      </c>
      <c r="G1697">
        <v>3</v>
      </c>
      <c r="H1697">
        <v>1</v>
      </c>
      <c r="I1697">
        <v>0.01</v>
      </c>
      <c r="J1697">
        <v>1000</v>
      </c>
      <c r="K1697">
        <v>0</v>
      </c>
      <c r="L1697">
        <v>0</v>
      </c>
      <c r="M1697">
        <v>92.01</v>
      </c>
      <c r="N1697">
        <v>0</v>
      </c>
      <c r="O1697">
        <v>92.01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79.010000000000005</v>
      </c>
      <c r="Y1697">
        <v>85</v>
      </c>
      <c r="Z1697">
        <v>0</v>
      </c>
      <c r="AA1697">
        <v>5000000</v>
      </c>
      <c r="AB1697">
        <v>0</v>
      </c>
      <c r="AC1697">
        <v>0</v>
      </c>
      <c r="AD1697" t="s">
        <v>94</v>
      </c>
      <c r="AE1697" t="s">
        <v>94</v>
      </c>
      <c r="AF1697" t="s">
        <v>304</v>
      </c>
      <c r="AG1697" t="s">
        <v>226</v>
      </c>
      <c r="AH1697">
        <v>0</v>
      </c>
      <c r="AI1697" t="s">
        <v>3537</v>
      </c>
      <c r="AJ1697" t="s">
        <v>1976</v>
      </c>
      <c r="AK1697" t="s">
        <v>2426</v>
      </c>
      <c r="AL1697" t="s">
        <v>272</v>
      </c>
    </row>
    <row r="1698" spans="1:38">
      <c r="A1698" t="s">
        <v>7445</v>
      </c>
      <c r="B1698" t="s">
        <v>7446</v>
      </c>
      <c r="C1698" t="s">
        <v>7447</v>
      </c>
      <c r="D1698" t="s">
        <v>7447</v>
      </c>
      <c r="E1698" t="s">
        <v>7448</v>
      </c>
      <c r="F1698" t="s">
        <v>3754</v>
      </c>
      <c r="G1698">
        <v>1</v>
      </c>
      <c r="H1698">
        <v>1</v>
      </c>
      <c r="I1698">
        <v>0.01</v>
      </c>
      <c r="J1698">
        <v>400</v>
      </c>
      <c r="K1698">
        <v>-0.33</v>
      </c>
      <c r="L1698">
        <v>99.5</v>
      </c>
      <c r="M1698">
        <v>99.83</v>
      </c>
      <c r="N1698">
        <v>99.58</v>
      </c>
      <c r="O1698">
        <v>99.5</v>
      </c>
      <c r="P1698">
        <v>0</v>
      </c>
      <c r="Q1698">
        <v>0</v>
      </c>
      <c r="R1698">
        <v>0</v>
      </c>
      <c r="S1698">
        <v>99.63</v>
      </c>
      <c r="T1698">
        <v>99.83</v>
      </c>
      <c r="U1698">
        <v>99.5</v>
      </c>
      <c r="V1698">
        <v>99.83</v>
      </c>
      <c r="W1698">
        <v>469045</v>
      </c>
      <c r="X1698">
        <v>99.51</v>
      </c>
      <c r="Y1698">
        <v>99.81</v>
      </c>
      <c r="Z1698">
        <v>43</v>
      </c>
      <c r="AA1698">
        <v>14000000</v>
      </c>
      <c r="AB1698">
        <v>49750</v>
      </c>
      <c r="AC1698">
        <v>0</v>
      </c>
      <c r="AD1698" t="s">
        <v>94</v>
      </c>
      <c r="AE1698" t="s">
        <v>94</v>
      </c>
      <c r="AF1698" t="s">
        <v>226</v>
      </c>
      <c r="AG1698" t="s">
        <v>226</v>
      </c>
      <c r="AH1698">
        <v>-100</v>
      </c>
      <c r="AI1698" t="s">
        <v>3537</v>
      </c>
      <c r="AJ1698" t="s">
        <v>1976</v>
      </c>
      <c r="AK1698" t="s">
        <v>3755</v>
      </c>
      <c r="AL1698" t="s">
        <v>272</v>
      </c>
    </row>
    <row r="1699" spans="1:38">
      <c r="A1699" t="s">
        <v>7449</v>
      </c>
      <c r="B1699" t="s">
        <v>7450</v>
      </c>
      <c r="C1699" t="s">
        <v>7451</v>
      </c>
      <c r="D1699" t="s">
        <v>7451</v>
      </c>
      <c r="E1699" t="s">
        <v>7452</v>
      </c>
      <c r="F1699" t="s">
        <v>3754</v>
      </c>
      <c r="G1699">
        <v>1</v>
      </c>
      <c r="H1699">
        <v>1</v>
      </c>
      <c r="I1699">
        <v>0.01</v>
      </c>
      <c r="J1699">
        <v>400</v>
      </c>
      <c r="K1699">
        <v>0.01</v>
      </c>
      <c r="L1699">
        <v>91.59</v>
      </c>
      <c r="M1699">
        <v>91.58</v>
      </c>
      <c r="N1699">
        <v>91.25</v>
      </c>
      <c r="O1699">
        <v>91.59</v>
      </c>
      <c r="P1699">
        <v>0</v>
      </c>
      <c r="Q1699">
        <v>0</v>
      </c>
      <c r="R1699">
        <v>0</v>
      </c>
      <c r="S1699">
        <v>91.61</v>
      </c>
      <c r="T1699">
        <v>91.69</v>
      </c>
      <c r="U1699">
        <v>91.59</v>
      </c>
      <c r="V1699">
        <v>91.7</v>
      </c>
      <c r="W1699">
        <v>976234</v>
      </c>
      <c r="X1699">
        <v>91.58</v>
      </c>
      <c r="Y1699">
        <v>91.61</v>
      </c>
      <c r="Z1699">
        <v>35</v>
      </c>
      <c r="AA1699">
        <v>28000000</v>
      </c>
      <c r="AB1699">
        <v>366.36</v>
      </c>
      <c r="AC1699">
        <v>0</v>
      </c>
      <c r="AD1699" t="s">
        <v>94</v>
      </c>
      <c r="AE1699" t="s">
        <v>94</v>
      </c>
      <c r="AF1699" t="s">
        <v>226</v>
      </c>
      <c r="AG1699" t="s">
        <v>226</v>
      </c>
      <c r="AH1699">
        <v>-100</v>
      </c>
      <c r="AI1699" t="s">
        <v>3537</v>
      </c>
      <c r="AJ1699" t="s">
        <v>1976</v>
      </c>
      <c r="AK1699" t="s">
        <v>3755</v>
      </c>
      <c r="AL1699" t="s">
        <v>272</v>
      </c>
    </row>
    <row r="1700" spans="1:38">
      <c r="A1700" t="s">
        <v>7453</v>
      </c>
      <c r="B1700" t="s">
        <v>7454</v>
      </c>
      <c r="C1700" t="s">
        <v>7455</v>
      </c>
      <c r="D1700" t="s">
        <v>7455</v>
      </c>
      <c r="E1700" t="s">
        <v>7456</v>
      </c>
      <c r="F1700" t="s">
        <v>3754</v>
      </c>
      <c r="G1700">
        <v>1</v>
      </c>
      <c r="H1700">
        <v>1</v>
      </c>
      <c r="I1700">
        <v>0.01</v>
      </c>
      <c r="J1700">
        <v>700</v>
      </c>
      <c r="K1700">
        <v>0.09</v>
      </c>
      <c r="L1700">
        <v>87.64</v>
      </c>
      <c r="M1700">
        <v>87.54</v>
      </c>
      <c r="N1700">
        <v>87.5</v>
      </c>
      <c r="O1700">
        <v>87.64</v>
      </c>
      <c r="P1700">
        <v>0</v>
      </c>
      <c r="Q1700">
        <v>0</v>
      </c>
      <c r="R1700">
        <v>0</v>
      </c>
      <c r="S1700">
        <v>87.58</v>
      </c>
      <c r="T1700">
        <v>87.45</v>
      </c>
      <c r="U1700">
        <v>87.44</v>
      </c>
      <c r="V1700">
        <v>88.18</v>
      </c>
      <c r="W1700">
        <v>655352</v>
      </c>
      <c r="X1700">
        <v>87.66</v>
      </c>
      <c r="Y1700">
        <v>87.87</v>
      </c>
      <c r="Z1700">
        <v>37</v>
      </c>
      <c r="AA1700">
        <v>30000000</v>
      </c>
      <c r="AB1700">
        <v>613.48</v>
      </c>
      <c r="AC1700">
        <v>0</v>
      </c>
      <c r="AD1700" t="s">
        <v>94</v>
      </c>
      <c r="AE1700" t="s">
        <v>94</v>
      </c>
      <c r="AF1700" t="s">
        <v>226</v>
      </c>
      <c r="AG1700" t="s">
        <v>226</v>
      </c>
      <c r="AH1700">
        <v>-100</v>
      </c>
      <c r="AI1700" t="s">
        <v>3537</v>
      </c>
      <c r="AJ1700" t="s">
        <v>1976</v>
      </c>
      <c r="AK1700" t="s">
        <v>3755</v>
      </c>
      <c r="AL1700" t="s">
        <v>272</v>
      </c>
    </row>
    <row r="1701" spans="1:38">
      <c r="A1701" t="s">
        <v>7457</v>
      </c>
      <c r="B1701" t="s">
        <v>7458</v>
      </c>
      <c r="C1701" t="s">
        <v>7459</v>
      </c>
      <c r="D1701" t="s">
        <v>7459</v>
      </c>
      <c r="E1701" t="s">
        <v>7460</v>
      </c>
      <c r="F1701" t="s">
        <v>3754</v>
      </c>
      <c r="G1701">
        <v>1</v>
      </c>
      <c r="H1701">
        <v>1</v>
      </c>
      <c r="I1701">
        <v>0.01</v>
      </c>
      <c r="J1701">
        <v>500</v>
      </c>
      <c r="K1701">
        <v>0.19</v>
      </c>
      <c r="L1701">
        <v>82.86</v>
      </c>
      <c r="M1701">
        <v>82.85</v>
      </c>
      <c r="N1701">
        <v>82.14</v>
      </c>
      <c r="O1701">
        <v>82.86</v>
      </c>
      <c r="P1701">
        <v>0</v>
      </c>
      <c r="Q1701">
        <v>0</v>
      </c>
      <c r="R1701">
        <v>0</v>
      </c>
      <c r="S1701">
        <v>82.92</v>
      </c>
      <c r="T1701">
        <v>82.97</v>
      </c>
      <c r="U1701">
        <v>82.86</v>
      </c>
      <c r="V1701">
        <v>82.97</v>
      </c>
      <c r="W1701">
        <v>829</v>
      </c>
      <c r="X1701">
        <v>82.54</v>
      </c>
      <c r="Y1701">
        <v>82.84</v>
      </c>
      <c r="Z1701">
        <v>2</v>
      </c>
      <c r="AA1701">
        <v>30000000</v>
      </c>
      <c r="AB1701">
        <v>414.3</v>
      </c>
      <c r="AC1701">
        <v>0</v>
      </c>
      <c r="AD1701" t="s">
        <v>94</v>
      </c>
      <c r="AE1701" t="s">
        <v>94</v>
      </c>
      <c r="AF1701" t="s">
        <v>226</v>
      </c>
      <c r="AG1701" t="s">
        <v>226</v>
      </c>
      <c r="AH1701">
        <v>-100</v>
      </c>
      <c r="AI1701" t="s">
        <v>3537</v>
      </c>
      <c r="AJ1701" t="s">
        <v>1976</v>
      </c>
      <c r="AK1701" t="s">
        <v>3755</v>
      </c>
      <c r="AL1701" t="s">
        <v>272</v>
      </c>
    </row>
    <row r="1702" spans="1:38">
      <c r="A1702" t="s">
        <v>7461</v>
      </c>
      <c r="B1702" t="s">
        <v>7462</v>
      </c>
      <c r="C1702" t="s">
        <v>7463</v>
      </c>
      <c r="D1702" t="s">
        <v>7463</v>
      </c>
      <c r="E1702" t="s">
        <v>7464</v>
      </c>
      <c r="F1702" t="s">
        <v>2413</v>
      </c>
      <c r="G1702">
        <v>3</v>
      </c>
      <c r="H1702">
        <v>1</v>
      </c>
      <c r="I1702">
        <v>0.01</v>
      </c>
      <c r="J1702">
        <v>1000</v>
      </c>
      <c r="K1702">
        <v>0.19</v>
      </c>
      <c r="L1702">
        <v>82.4</v>
      </c>
      <c r="M1702">
        <v>82.23</v>
      </c>
      <c r="N1702">
        <v>81.64</v>
      </c>
      <c r="O1702">
        <v>82.4</v>
      </c>
      <c r="P1702">
        <v>0</v>
      </c>
      <c r="Q1702">
        <v>0</v>
      </c>
      <c r="R1702">
        <v>0</v>
      </c>
      <c r="S1702">
        <v>82.4</v>
      </c>
      <c r="T1702">
        <v>82.4</v>
      </c>
      <c r="U1702">
        <v>82.39</v>
      </c>
      <c r="V1702">
        <v>82.4</v>
      </c>
      <c r="W1702">
        <v>29664</v>
      </c>
      <c r="X1702">
        <v>82.22</v>
      </c>
      <c r="Y1702">
        <v>82.4</v>
      </c>
      <c r="Z1702">
        <v>5</v>
      </c>
      <c r="AA1702">
        <v>100000</v>
      </c>
      <c r="AB1702">
        <v>1648</v>
      </c>
      <c r="AC1702">
        <v>0</v>
      </c>
      <c r="AD1702" t="s">
        <v>94</v>
      </c>
      <c r="AE1702" t="s">
        <v>94</v>
      </c>
      <c r="AF1702" t="s">
        <v>226</v>
      </c>
      <c r="AG1702" t="s">
        <v>226</v>
      </c>
      <c r="AH1702">
        <v>6</v>
      </c>
      <c r="AI1702" t="s">
        <v>3537</v>
      </c>
      <c r="AJ1702" t="s">
        <v>1976</v>
      </c>
      <c r="AK1702" t="s">
        <v>2416</v>
      </c>
      <c r="AL1702" t="s">
        <v>272</v>
      </c>
    </row>
    <row r="1703" spans="1:38">
      <c r="A1703" t="s">
        <v>7465</v>
      </c>
      <c r="B1703" t="s">
        <v>7466</v>
      </c>
      <c r="C1703" t="s">
        <v>7467</v>
      </c>
      <c r="D1703" t="s">
        <v>7467</v>
      </c>
      <c r="E1703" t="s">
        <v>7468</v>
      </c>
      <c r="F1703" t="s">
        <v>2413</v>
      </c>
      <c r="G1703">
        <v>3</v>
      </c>
      <c r="H1703">
        <v>1</v>
      </c>
      <c r="I1703">
        <v>0.01</v>
      </c>
      <c r="J1703">
        <v>1000</v>
      </c>
      <c r="K1703">
        <v>0.27</v>
      </c>
      <c r="L1703">
        <v>71.5</v>
      </c>
      <c r="M1703">
        <v>71.52</v>
      </c>
      <c r="N1703">
        <v>70.5</v>
      </c>
      <c r="O1703">
        <v>71.489999999999995</v>
      </c>
      <c r="P1703">
        <v>0</v>
      </c>
      <c r="Q1703">
        <v>0</v>
      </c>
      <c r="R1703">
        <v>0</v>
      </c>
      <c r="S1703">
        <v>70.8</v>
      </c>
      <c r="T1703">
        <v>71.989999999999995</v>
      </c>
      <c r="U1703">
        <v>70.459999999999994</v>
      </c>
      <c r="V1703">
        <v>71.989999999999995</v>
      </c>
      <c r="W1703">
        <v>1240450</v>
      </c>
      <c r="X1703">
        <v>71.23</v>
      </c>
      <c r="Y1703">
        <v>71.489999999999995</v>
      </c>
      <c r="Z1703">
        <v>78</v>
      </c>
      <c r="AA1703">
        <v>220000</v>
      </c>
      <c r="AB1703">
        <v>15015</v>
      </c>
      <c r="AC1703">
        <v>0</v>
      </c>
      <c r="AD1703" t="s">
        <v>94</v>
      </c>
      <c r="AE1703" t="s">
        <v>94</v>
      </c>
      <c r="AF1703" t="s">
        <v>226</v>
      </c>
      <c r="AG1703" t="s">
        <v>226</v>
      </c>
      <c r="AH1703">
        <v>6</v>
      </c>
      <c r="AI1703" t="s">
        <v>3537</v>
      </c>
      <c r="AJ1703" t="s">
        <v>1976</v>
      </c>
      <c r="AK1703" t="s">
        <v>2416</v>
      </c>
      <c r="AL1703" t="s">
        <v>272</v>
      </c>
    </row>
    <row r="1704" spans="1:38">
      <c r="A1704" t="s">
        <v>7469</v>
      </c>
      <c r="B1704" t="s">
        <v>7470</v>
      </c>
      <c r="C1704" t="s">
        <v>7471</v>
      </c>
      <c r="D1704" t="s">
        <v>7471</v>
      </c>
      <c r="E1704" t="s">
        <v>7472</v>
      </c>
      <c r="F1704" t="s">
        <v>2413</v>
      </c>
      <c r="G1704">
        <v>3</v>
      </c>
      <c r="H1704">
        <v>1</v>
      </c>
      <c r="I1704">
        <v>0.01</v>
      </c>
      <c r="J1704">
        <v>1000</v>
      </c>
      <c r="K1704">
        <v>-0.94</v>
      </c>
      <c r="L1704">
        <v>83.31</v>
      </c>
      <c r="M1704">
        <v>84.1</v>
      </c>
      <c r="N1704">
        <v>83.87</v>
      </c>
      <c r="O1704">
        <v>82.83</v>
      </c>
      <c r="P1704">
        <v>0</v>
      </c>
      <c r="Q1704">
        <v>0</v>
      </c>
      <c r="R1704">
        <v>0</v>
      </c>
      <c r="S1704">
        <v>82.46</v>
      </c>
      <c r="T1704">
        <v>84.1</v>
      </c>
      <c r="U1704">
        <v>82.33</v>
      </c>
      <c r="V1704">
        <v>84.1</v>
      </c>
      <c r="W1704">
        <v>252318</v>
      </c>
      <c r="X1704">
        <v>82.67</v>
      </c>
      <c r="Y1704">
        <v>83.32</v>
      </c>
      <c r="Z1704">
        <v>28</v>
      </c>
      <c r="AA1704">
        <v>70000</v>
      </c>
      <c r="AB1704">
        <v>833.1</v>
      </c>
      <c r="AC1704">
        <v>0</v>
      </c>
      <c r="AD1704" t="s">
        <v>94</v>
      </c>
      <c r="AE1704" t="s">
        <v>94</v>
      </c>
      <c r="AF1704" t="s">
        <v>226</v>
      </c>
      <c r="AG1704" t="s">
        <v>226</v>
      </c>
      <c r="AH1704">
        <v>6</v>
      </c>
      <c r="AI1704" t="s">
        <v>3537</v>
      </c>
      <c r="AJ1704" t="s">
        <v>1976</v>
      </c>
      <c r="AK1704" t="s">
        <v>2416</v>
      </c>
      <c r="AL1704" t="s">
        <v>272</v>
      </c>
    </row>
    <row r="1705" spans="1:38">
      <c r="A1705" t="s">
        <v>7473</v>
      </c>
      <c r="B1705" t="s">
        <v>7474</v>
      </c>
      <c r="C1705" t="s">
        <v>7475</v>
      </c>
      <c r="D1705" t="s">
        <v>7475</v>
      </c>
      <c r="E1705" t="s">
        <v>7476</v>
      </c>
      <c r="F1705" t="s">
        <v>2413</v>
      </c>
      <c r="G1705">
        <v>2</v>
      </c>
      <c r="H1705">
        <v>1</v>
      </c>
      <c r="I1705">
        <v>0.01</v>
      </c>
      <c r="J1705">
        <v>1000</v>
      </c>
      <c r="K1705">
        <v>-0.42</v>
      </c>
      <c r="L1705">
        <v>75.88</v>
      </c>
      <c r="M1705">
        <v>76.2</v>
      </c>
      <c r="N1705">
        <v>76.569999999999993</v>
      </c>
      <c r="O1705">
        <v>75.86</v>
      </c>
      <c r="P1705">
        <v>0</v>
      </c>
      <c r="Q1705">
        <v>0</v>
      </c>
      <c r="R1705">
        <v>0</v>
      </c>
      <c r="S1705">
        <v>75.959999999999994</v>
      </c>
      <c r="T1705">
        <v>79.489999999999995</v>
      </c>
      <c r="U1705">
        <v>75.739999999999995</v>
      </c>
      <c r="V1705">
        <v>79.5</v>
      </c>
      <c r="W1705">
        <v>1256359</v>
      </c>
      <c r="X1705">
        <v>75.75</v>
      </c>
      <c r="Y1705">
        <v>75.849999999999994</v>
      </c>
      <c r="Z1705">
        <v>91</v>
      </c>
      <c r="AA1705">
        <v>15000000</v>
      </c>
      <c r="AB1705">
        <v>2276.4</v>
      </c>
      <c r="AC1705">
        <v>0</v>
      </c>
      <c r="AD1705" t="s">
        <v>94</v>
      </c>
      <c r="AE1705" t="s">
        <v>94</v>
      </c>
      <c r="AF1705" t="s">
        <v>226</v>
      </c>
      <c r="AG1705" t="s">
        <v>226</v>
      </c>
      <c r="AH1705">
        <v>6</v>
      </c>
      <c r="AI1705" t="s">
        <v>3537</v>
      </c>
      <c r="AJ1705" t="s">
        <v>1976</v>
      </c>
      <c r="AK1705" t="s">
        <v>2416</v>
      </c>
      <c r="AL1705" t="s">
        <v>272</v>
      </c>
    </row>
    <row r="1706" spans="1:38">
      <c r="A1706" t="s">
        <v>7477</v>
      </c>
      <c r="B1706" t="s">
        <v>7478</v>
      </c>
      <c r="C1706" t="s">
        <v>7479</v>
      </c>
      <c r="D1706" t="s">
        <v>7479</v>
      </c>
      <c r="E1706" t="s">
        <v>7480</v>
      </c>
      <c r="F1706" t="s">
        <v>2425</v>
      </c>
      <c r="G1706">
        <v>3</v>
      </c>
      <c r="H1706">
        <v>1</v>
      </c>
      <c r="I1706">
        <v>1E-4</v>
      </c>
      <c r="J1706">
        <v>200000</v>
      </c>
      <c r="K1706">
        <v>0</v>
      </c>
      <c r="L1706">
        <v>0</v>
      </c>
      <c r="M1706">
        <v>86.5</v>
      </c>
      <c r="N1706">
        <v>0</v>
      </c>
      <c r="O1706">
        <v>86.5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75.010000000000005</v>
      </c>
      <c r="Y1706">
        <v>91</v>
      </c>
      <c r="Z1706">
        <v>0</v>
      </c>
      <c r="AA1706">
        <v>146</v>
      </c>
      <c r="AB1706">
        <v>0</v>
      </c>
      <c r="AC1706">
        <v>0</v>
      </c>
      <c r="AD1706" t="s">
        <v>2</v>
      </c>
      <c r="AE1706" t="s">
        <v>94</v>
      </c>
      <c r="AF1706" t="s">
        <v>226</v>
      </c>
      <c r="AG1706" t="s">
        <v>226</v>
      </c>
      <c r="AH1706">
        <v>6</v>
      </c>
      <c r="AI1706" t="s">
        <v>3537</v>
      </c>
      <c r="AJ1706" t="s">
        <v>1976</v>
      </c>
      <c r="AK1706" t="s">
        <v>2426</v>
      </c>
      <c r="AL1706" t="s">
        <v>272</v>
      </c>
    </row>
    <row r="1707" spans="1:38">
      <c r="A1707" t="s">
        <v>7481</v>
      </c>
      <c r="B1707" t="s">
        <v>7482</v>
      </c>
      <c r="C1707" t="s">
        <v>7483</v>
      </c>
      <c r="D1707" t="s">
        <v>7483</v>
      </c>
      <c r="E1707" t="s">
        <v>7484</v>
      </c>
      <c r="F1707" t="s">
        <v>2413</v>
      </c>
      <c r="G1707">
        <v>3</v>
      </c>
      <c r="H1707">
        <v>1</v>
      </c>
      <c r="I1707">
        <v>0.01</v>
      </c>
      <c r="J1707">
        <v>850</v>
      </c>
      <c r="K1707">
        <v>-0.34</v>
      </c>
      <c r="L1707">
        <v>92.48</v>
      </c>
      <c r="M1707">
        <v>92.8</v>
      </c>
      <c r="N1707">
        <v>91.7</v>
      </c>
      <c r="O1707">
        <v>92.48</v>
      </c>
      <c r="P1707">
        <v>0</v>
      </c>
      <c r="Q1707">
        <v>0</v>
      </c>
      <c r="R1707">
        <v>0</v>
      </c>
      <c r="S1707">
        <v>92.84</v>
      </c>
      <c r="T1707">
        <v>92.9</v>
      </c>
      <c r="U1707">
        <v>92.47</v>
      </c>
      <c r="V1707">
        <v>93.65</v>
      </c>
      <c r="W1707">
        <v>306992</v>
      </c>
      <c r="X1707">
        <v>92.48</v>
      </c>
      <c r="Y1707">
        <v>92.83</v>
      </c>
      <c r="Z1707">
        <v>56</v>
      </c>
      <c r="AA1707">
        <v>160000</v>
      </c>
      <c r="AB1707">
        <v>786.08</v>
      </c>
      <c r="AC1707">
        <v>0</v>
      </c>
      <c r="AD1707" t="s">
        <v>94</v>
      </c>
      <c r="AE1707" t="s">
        <v>94</v>
      </c>
      <c r="AF1707" t="s">
        <v>226</v>
      </c>
      <c r="AG1707" t="s">
        <v>226</v>
      </c>
      <c r="AH1707">
        <v>800</v>
      </c>
      <c r="AI1707" t="s">
        <v>3537</v>
      </c>
      <c r="AJ1707" t="s">
        <v>1976</v>
      </c>
      <c r="AK1707" t="s">
        <v>2416</v>
      </c>
      <c r="AL1707" t="s">
        <v>272</v>
      </c>
    </row>
    <row r="1708" spans="1:38">
      <c r="A1708" t="s">
        <v>7485</v>
      </c>
      <c r="B1708" t="s">
        <v>7486</v>
      </c>
      <c r="C1708" t="s">
        <v>7487</v>
      </c>
      <c r="D1708" t="s">
        <v>7487</v>
      </c>
      <c r="E1708" t="s">
        <v>7488</v>
      </c>
      <c r="F1708" t="s">
        <v>2425</v>
      </c>
      <c r="G1708">
        <v>2</v>
      </c>
      <c r="H1708">
        <v>1</v>
      </c>
      <c r="I1708">
        <v>0.01</v>
      </c>
      <c r="J1708">
        <v>1408.32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3000000</v>
      </c>
      <c r="AB1708">
        <v>0</v>
      </c>
      <c r="AC1708">
        <v>0</v>
      </c>
      <c r="AD1708" t="s">
        <v>94</v>
      </c>
      <c r="AE1708" t="s">
        <v>94</v>
      </c>
      <c r="AF1708" t="s">
        <v>226</v>
      </c>
      <c r="AG1708" t="s">
        <v>226</v>
      </c>
      <c r="AH1708">
        <v>800</v>
      </c>
      <c r="AI1708" t="s">
        <v>3537</v>
      </c>
      <c r="AJ1708" t="s">
        <v>1976</v>
      </c>
      <c r="AK1708" t="s">
        <v>2426</v>
      </c>
      <c r="AL1708" t="s">
        <v>272</v>
      </c>
    </row>
    <row r="1709" spans="1:38">
      <c r="A1709" t="s">
        <v>7489</v>
      </c>
      <c r="B1709" t="s">
        <v>7490</v>
      </c>
      <c r="C1709" t="s">
        <v>7491</v>
      </c>
      <c r="D1709" t="s">
        <v>7491</v>
      </c>
      <c r="E1709" t="s">
        <v>7492</v>
      </c>
      <c r="F1709" t="s">
        <v>2425</v>
      </c>
      <c r="G1709">
        <v>2</v>
      </c>
      <c r="H1709">
        <v>1</v>
      </c>
      <c r="I1709">
        <v>0.01</v>
      </c>
      <c r="J1709">
        <v>1390.16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5000000</v>
      </c>
      <c r="AB1709">
        <v>0</v>
      </c>
      <c r="AC1709">
        <v>0</v>
      </c>
      <c r="AD1709" t="s">
        <v>94</v>
      </c>
      <c r="AE1709" t="s">
        <v>94</v>
      </c>
      <c r="AF1709" t="s">
        <v>226</v>
      </c>
      <c r="AG1709" t="s">
        <v>226</v>
      </c>
      <c r="AH1709">
        <v>800</v>
      </c>
      <c r="AI1709" t="s">
        <v>3537</v>
      </c>
      <c r="AJ1709" t="s">
        <v>1976</v>
      </c>
      <c r="AK1709" t="s">
        <v>2426</v>
      </c>
      <c r="AL1709" t="s">
        <v>272</v>
      </c>
    </row>
    <row r="1710" spans="1:38">
      <c r="A1710" t="s">
        <v>7493</v>
      </c>
      <c r="B1710" t="s">
        <v>7494</v>
      </c>
      <c r="C1710" t="s">
        <v>7495</v>
      </c>
      <c r="D1710" t="s">
        <v>7495</v>
      </c>
      <c r="E1710" t="s">
        <v>7496</v>
      </c>
      <c r="F1710" t="s">
        <v>2425</v>
      </c>
      <c r="G1710">
        <v>3</v>
      </c>
      <c r="H1710">
        <v>1</v>
      </c>
      <c r="I1710">
        <v>0.01</v>
      </c>
      <c r="J1710">
        <v>1233.67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52000000</v>
      </c>
      <c r="AB1710">
        <v>0</v>
      </c>
      <c r="AC1710">
        <v>0</v>
      </c>
      <c r="AD1710" t="s">
        <v>94</v>
      </c>
      <c r="AE1710" t="s">
        <v>94</v>
      </c>
      <c r="AF1710" t="s">
        <v>7497</v>
      </c>
      <c r="AG1710" t="s">
        <v>226</v>
      </c>
      <c r="AH1710">
        <v>0</v>
      </c>
      <c r="AI1710" t="s">
        <v>3537</v>
      </c>
      <c r="AJ1710" t="s">
        <v>1976</v>
      </c>
      <c r="AK1710" t="s">
        <v>2426</v>
      </c>
      <c r="AL1710" t="s">
        <v>272</v>
      </c>
    </row>
    <row r="1711" spans="1:38">
      <c r="A1711" t="s">
        <v>7498</v>
      </c>
      <c r="B1711" t="s">
        <v>7499</v>
      </c>
      <c r="C1711" t="s">
        <v>7500</v>
      </c>
      <c r="D1711" t="s">
        <v>7500</v>
      </c>
      <c r="E1711" t="s">
        <v>7501</v>
      </c>
      <c r="F1711" t="s">
        <v>2413</v>
      </c>
      <c r="G1711">
        <v>3</v>
      </c>
      <c r="H1711">
        <v>1</v>
      </c>
      <c r="I1711">
        <v>0.01</v>
      </c>
      <c r="J1711">
        <v>1000</v>
      </c>
      <c r="K1711">
        <v>-0.36</v>
      </c>
      <c r="L1711">
        <v>89.68</v>
      </c>
      <c r="M1711">
        <v>89.23</v>
      </c>
      <c r="N1711">
        <v>88.92</v>
      </c>
      <c r="O1711">
        <v>89.68</v>
      </c>
      <c r="P1711">
        <v>0</v>
      </c>
      <c r="Q1711">
        <v>0</v>
      </c>
      <c r="R1711">
        <v>0</v>
      </c>
      <c r="S1711">
        <v>89.49</v>
      </c>
      <c r="T1711">
        <v>88.65</v>
      </c>
      <c r="U1711">
        <v>88.64</v>
      </c>
      <c r="V1711">
        <v>90</v>
      </c>
      <c r="W1711">
        <v>50115</v>
      </c>
      <c r="X1711">
        <v>89.43</v>
      </c>
      <c r="Y1711">
        <v>89.67</v>
      </c>
      <c r="Z1711">
        <v>19</v>
      </c>
      <c r="AA1711">
        <v>15000000</v>
      </c>
      <c r="AB1711">
        <v>896.8</v>
      </c>
      <c r="AC1711">
        <v>0</v>
      </c>
      <c r="AD1711" t="s">
        <v>94</v>
      </c>
      <c r="AE1711" t="s">
        <v>94</v>
      </c>
      <c r="AF1711" t="s">
        <v>226</v>
      </c>
      <c r="AG1711" t="s">
        <v>226</v>
      </c>
      <c r="AH1711">
        <v>-100</v>
      </c>
      <c r="AI1711" t="s">
        <v>3537</v>
      </c>
      <c r="AJ1711" t="s">
        <v>1976</v>
      </c>
      <c r="AK1711" t="s">
        <v>2416</v>
      </c>
      <c r="AL1711" t="s">
        <v>272</v>
      </c>
    </row>
    <row r="1712" spans="1:38">
      <c r="A1712" t="s">
        <v>7502</v>
      </c>
      <c r="B1712" t="s">
        <v>7503</v>
      </c>
      <c r="C1712" t="s">
        <v>7504</v>
      </c>
      <c r="D1712" t="s">
        <v>7504</v>
      </c>
      <c r="E1712" t="s">
        <v>7505</v>
      </c>
      <c r="F1712" t="s">
        <v>2413</v>
      </c>
      <c r="G1712">
        <v>2</v>
      </c>
      <c r="H1712">
        <v>1</v>
      </c>
      <c r="I1712">
        <v>0.01</v>
      </c>
      <c r="J1712">
        <v>1000</v>
      </c>
      <c r="K1712">
        <v>-2.7</v>
      </c>
      <c r="L1712">
        <v>82.16</v>
      </c>
      <c r="M1712">
        <v>84.44</v>
      </c>
      <c r="N1712">
        <v>84.47</v>
      </c>
      <c r="O1712">
        <v>82.56</v>
      </c>
      <c r="P1712">
        <v>0</v>
      </c>
      <c r="Q1712">
        <v>0</v>
      </c>
      <c r="R1712">
        <v>0</v>
      </c>
      <c r="S1712">
        <v>82.56</v>
      </c>
      <c r="T1712">
        <v>83.62</v>
      </c>
      <c r="U1712">
        <v>82.16</v>
      </c>
      <c r="V1712">
        <v>83.62</v>
      </c>
      <c r="W1712">
        <v>3302</v>
      </c>
      <c r="X1712">
        <v>83.17</v>
      </c>
      <c r="Y1712">
        <v>84.42</v>
      </c>
      <c r="Z1712">
        <v>4</v>
      </c>
      <c r="AA1712">
        <v>17200000</v>
      </c>
      <c r="AB1712">
        <v>821.6</v>
      </c>
      <c r="AC1712">
        <v>0</v>
      </c>
      <c r="AD1712" t="s">
        <v>94</v>
      </c>
      <c r="AE1712" t="s">
        <v>94</v>
      </c>
      <c r="AF1712" t="s">
        <v>226</v>
      </c>
      <c r="AG1712" t="s">
        <v>226</v>
      </c>
      <c r="AH1712">
        <v>-100</v>
      </c>
      <c r="AI1712" t="s">
        <v>3537</v>
      </c>
      <c r="AJ1712" t="s">
        <v>1976</v>
      </c>
      <c r="AK1712" t="s">
        <v>2416</v>
      </c>
      <c r="AL1712" t="s">
        <v>272</v>
      </c>
    </row>
    <row r="1713" spans="1:38">
      <c r="A1713" t="s">
        <v>7506</v>
      </c>
      <c r="B1713" t="s">
        <v>7507</v>
      </c>
      <c r="C1713" t="s">
        <v>7508</v>
      </c>
      <c r="D1713" t="s">
        <v>7508</v>
      </c>
      <c r="E1713" t="s">
        <v>7509</v>
      </c>
      <c r="F1713" t="s">
        <v>2413</v>
      </c>
      <c r="G1713">
        <v>2</v>
      </c>
      <c r="H1713">
        <v>1</v>
      </c>
      <c r="I1713">
        <v>0.01</v>
      </c>
      <c r="J1713">
        <v>1000</v>
      </c>
      <c r="K1713">
        <v>-0.39</v>
      </c>
      <c r="L1713">
        <v>98.6</v>
      </c>
      <c r="M1713">
        <v>98.99</v>
      </c>
      <c r="N1713">
        <v>98.74</v>
      </c>
      <c r="O1713">
        <v>98.72</v>
      </c>
      <c r="P1713">
        <v>0</v>
      </c>
      <c r="Q1713">
        <v>0</v>
      </c>
      <c r="R1713">
        <v>0</v>
      </c>
      <c r="S1713">
        <v>98.96</v>
      </c>
      <c r="T1713">
        <v>99.8</v>
      </c>
      <c r="U1713">
        <v>98.6</v>
      </c>
      <c r="V1713">
        <v>99.8</v>
      </c>
      <c r="W1713">
        <v>557152</v>
      </c>
      <c r="X1713">
        <v>98.78</v>
      </c>
      <c r="Y1713">
        <v>98.99</v>
      </c>
      <c r="Z1713">
        <v>57</v>
      </c>
      <c r="AA1713">
        <v>7500000</v>
      </c>
      <c r="AB1713">
        <v>20706</v>
      </c>
      <c r="AC1713">
        <v>0</v>
      </c>
      <c r="AD1713" t="s">
        <v>94</v>
      </c>
      <c r="AE1713" t="s">
        <v>94</v>
      </c>
      <c r="AF1713" t="s">
        <v>226</v>
      </c>
      <c r="AG1713" t="s">
        <v>226</v>
      </c>
      <c r="AH1713">
        <v>800</v>
      </c>
      <c r="AI1713" t="s">
        <v>3537</v>
      </c>
      <c r="AJ1713" t="s">
        <v>1976</v>
      </c>
      <c r="AK1713" t="s">
        <v>2416</v>
      </c>
      <c r="AL1713" t="s">
        <v>272</v>
      </c>
    </row>
    <row r="1714" spans="1:38">
      <c r="A1714" t="s">
        <v>7510</v>
      </c>
      <c r="B1714" t="s">
        <v>7511</v>
      </c>
      <c r="C1714" t="s">
        <v>7512</v>
      </c>
      <c r="D1714" t="s">
        <v>7512</v>
      </c>
      <c r="E1714" t="s">
        <v>7513</v>
      </c>
      <c r="F1714" t="s">
        <v>2425</v>
      </c>
      <c r="G1714">
        <v>3</v>
      </c>
      <c r="H1714">
        <v>1</v>
      </c>
      <c r="I1714">
        <v>1E-4</v>
      </c>
      <c r="J1714">
        <v>1000</v>
      </c>
      <c r="K1714">
        <v>-4.0999999999999996</v>
      </c>
      <c r="L1714">
        <v>91.01</v>
      </c>
      <c r="M1714">
        <v>94.139600000000002</v>
      </c>
      <c r="N1714">
        <v>93.485299999999995</v>
      </c>
      <c r="O1714">
        <v>92.364500000000007</v>
      </c>
      <c r="P1714">
        <v>0</v>
      </c>
      <c r="Q1714">
        <v>0</v>
      </c>
      <c r="R1714">
        <v>0</v>
      </c>
      <c r="S1714">
        <v>93.201700000000002</v>
      </c>
      <c r="T1714">
        <v>97</v>
      </c>
      <c r="U1714">
        <v>91.01</v>
      </c>
      <c r="V1714">
        <v>97</v>
      </c>
      <c r="W1714">
        <v>5047412</v>
      </c>
      <c r="X1714">
        <v>91.01</v>
      </c>
      <c r="Y1714">
        <v>92.5</v>
      </c>
      <c r="Z1714">
        <v>28</v>
      </c>
      <c r="AA1714">
        <v>275948</v>
      </c>
      <c r="AB1714">
        <v>96641.52</v>
      </c>
      <c r="AC1714">
        <v>0</v>
      </c>
      <c r="AD1714" t="s">
        <v>2</v>
      </c>
      <c r="AE1714" t="s">
        <v>94</v>
      </c>
      <c r="AF1714" t="s">
        <v>226</v>
      </c>
      <c r="AG1714" t="s">
        <v>226</v>
      </c>
      <c r="AH1714">
        <v>-100</v>
      </c>
      <c r="AI1714" t="s">
        <v>3537</v>
      </c>
      <c r="AJ1714" t="s">
        <v>1976</v>
      </c>
      <c r="AK1714" t="s">
        <v>2426</v>
      </c>
      <c r="AL1714" t="s">
        <v>272</v>
      </c>
    </row>
    <row r="1715" spans="1:38">
      <c r="A1715" t="s">
        <v>7514</v>
      </c>
      <c r="B1715" t="s">
        <v>7515</v>
      </c>
      <c r="C1715" t="s">
        <v>7516</v>
      </c>
      <c r="D1715" t="s">
        <v>7516</v>
      </c>
      <c r="E1715" t="s">
        <v>7517</v>
      </c>
      <c r="F1715" t="s">
        <v>2425</v>
      </c>
      <c r="G1715">
        <v>3</v>
      </c>
      <c r="H1715">
        <v>1</v>
      </c>
      <c r="I1715">
        <v>1E-4</v>
      </c>
      <c r="J1715">
        <v>1000</v>
      </c>
      <c r="K1715">
        <v>0</v>
      </c>
      <c r="L1715">
        <v>86</v>
      </c>
      <c r="M1715">
        <v>86.000100000000003</v>
      </c>
      <c r="N1715">
        <v>89.790400000000005</v>
      </c>
      <c r="O1715">
        <v>86</v>
      </c>
      <c r="P1715">
        <v>0</v>
      </c>
      <c r="Q1715">
        <v>0</v>
      </c>
      <c r="R1715">
        <v>0</v>
      </c>
      <c r="S1715">
        <v>86</v>
      </c>
      <c r="T1715">
        <v>86</v>
      </c>
      <c r="U1715">
        <v>86</v>
      </c>
      <c r="V1715">
        <v>86</v>
      </c>
      <c r="W1715">
        <v>481686</v>
      </c>
      <c r="X1715">
        <v>84.500200000000007</v>
      </c>
      <c r="Y1715">
        <v>85.5</v>
      </c>
      <c r="Z1715">
        <v>1</v>
      </c>
      <c r="AA1715">
        <v>159461</v>
      </c>
      <c r="AB1715">
        <v>481686</v>
      </c>
      <c r="AC1715">
        <v>0</v>
      </c>
      <c r="AD1715" t="s">
        <v>4</v>
      </c>
      <c r="AE1715" t="s">
        <v>94</v>
      </c>
      <c r="AF1715" t="s">
        <v>226</v>
      </c>
      <c r="AG1715" t="s">
        <v>226</v>
      </c>
      <c r="AH1715">
        <v>-100</v>
      </c>
      <c r="AI1715" t="s">
        <v>3537</v>
      </c>
      <c r="AJ1715" t="s">
        <v>1976</v>
      </c>
      <c r="AK1715" t="s">
        <v>2426</v>
      </c>
      <c r="AL1715" t="s">
        <v>272</v>
      </c>
    </row>
    <row r="1716" spans="1:38">
      <c r="A1716" t="s">
        <v>7518</v>
      </c>
      <c r="B1716" t="s">
        <v>7519</v>
      </c>
      <c r="C1716" t="s">
        <v>7520</v>
      </c>
      <c r="D1716" t="s">
        <v>7520</v>
      </c>
      <c r="E1716" t="s">
        <v>7521</v>
      </c>
      <c r="F1716" t="s">
        <v>2413</v>
      </c>
      <c r="G1716">
        <v>3</v>
      </c>
      <c r="H1716">
        <v>1</v>
      </c>
      <c r="I1716">
        <v>0.01</v>
      </c>
      <c r="J1716">
        <v>1000</v>
      </c>
      <c r="K1716">
        <v>-0.11</v>
      </c>
      <c r="L1716">
        <v>84.87</v>
      </c>
      <c r="M1716">
        <v>84.91</v>
      </c>
      <c r="N1716">
        <v>85.04</v>
      </c>
      <c r="O1716">
        <v>84.84</v>
      </c>
      <c r="P1716">
        <v>0</v>
      </c>
      <c r="Q1716">
        <v>0</v>
      </c>
      <c r="R1716">
        <v>0</v>
      </c>
      <c r="S1716">
        <v>84.91</v>
      </c>
      <c r="T1716">
        <v>84.99</v>
      </c>
      <c r="U1716">
        <v>84.5</v>
      </c>
      <c r="V1716">
        <v>85.41</v>
      </c>
      <c r="W1716">
        <v>993478</v>
      </c>
      <c r="X1716">
        <v>84.83</v>
      </c>
      <c r="Y1716">
        <v>84.88</v>
      </c>
      <c r="Z1716">
        <v>133</v>
      </c>
      <c r="AA1716">
        <v>30000000</v>
      </c>
      <c r="AB1716">
        <v>1697.4</v>
      </c>
      <c r="AC1716">
        <v>0</v>
      </c>
      <c r="AD1716" t="s">
        <v>94</v>
      </c>
      <c r="AE1716" t="s">
        <v>94</v>
      </c>
      <c r="AF1716" t="s">
        <v>226</v>
      </c>
      <c r="AG1716" t="s">
        <v>226</v>
      </c>
      <c r="AH1716">
        <v>-100</v>
      </c>
      <c r="AI1716" t="s">
        <v>3537</v>
      </c>
      <c r="AJ1716" t="s">
        <v>1976</v>
      </c>
      <c r="AK1716" t="s">
        <v>2416</v>
      </c>
      <c r="AL1716" t="s">
        <v>272</v>
      </c>
    </row>
    <row r="1717" spans="1:38">
      <c r="A1717" t="s">
        <v>7522</v>
      </c>
      <c r="B1717" t="s">
        <v>7523</v>
      </c>
      <c r="C1717" t="s">
        <v>7524</v>
      </c>
      <c r="D1717" t="s">
        <v>7524</v>
      </c>
      <c r="E1717" t="s">
        <v>7525</v>
      </c>
      <c r="F1717" t="s">
        <v>2413</v>
      </c>
      <c r="G1717">
        <v>2</v>
      </c>
      <c r="H1717">
        <v>1</v>
      </c>
      <c r="I1717">
        <v>1E-4</v>
      </c>
      <c r="J1717">
        <v>100</v>
      </c>
      <c r="K1717">
        <v>-1.98</v>
      </c>
      <c r="L1717">
        <v>83.6999</v>
      </c>
      <c r="M1717">
        <v>85.323499999999996</v>
      </c>
      <c r="N1717">
        <v>85.523899999999998</v>
      </c>
      <c r="O1717">
        <v>83.678200000000004</v>
      </c>
      <c r="P1717">
        <v>0</v>
      </c>
      <c r="Q1717">
        <v>0</v>
      </c>
      <c r="R1717">
        <v>0</v>
      </c>
      <c r="S1717">
        <v>84.041600000000003</v>
      </c>
      <c r="T1717">
        <v>85.390299999999996</v>
      </c>
      <c r="U1717">
        <v>83.5</v>
      </c>
      <c r="V1717">
        <v>87.5</v>
      </c>
      <c r="W1717">
        <v>42443436</v>
      </c>
      <c r="X1717">
        <v>83.531400000000005</v>
      </c>
      <c r="Y1717">
        <v>83.6999</v>
      </c>
      <c r="Z1717">
        <v>402</v>
      </c>
      <c r="AA1717">
        <v>7500000</v>
      </c>
      <c r="AB1717">
        <v>8887.91</v>
      </c>
      <c r="AC1717">
        <v>0</v>
      </c>
      <c r="AD1717" t="s">
        <v>2</v>
      </c>
      <c r="AE1717" t="s">
        <v>94</v>
      </c>
      <c r="AF1717" t="s">
        <v>226</v>
      </c>
      <c r="AG1717" t="s">
        <v>226</v>
      </c>
      <c r="AH1717">
        <v>-100</v>
      </c>
      <c r="AI1717" t="s">
        <v>3537</v>
      </c>
      <c r="AJ1717" t="s">
        <v>1976</v>
      </c>
      <c r="AK1717" t="s">
        <v>2416</v>
      </c>
      <c r="AL1717" t="s">
        <v>272</v>
      </c>
    </row>
    <row r="1718" spans="1:38">
      <c r="A1718" t="s">
        <v>7526</v>
      </c>
      <c r="B1718" t="s">
        <v>7527</v>
      </c>
      <c r="C1718" t="s">
        <v>7528</v>
      </c>
      <c r="D1718" t="s">
        <v>7528</v>
      </c>
      <c r="E1718" t="s">
        <v>7529</v>
      </c>
      <c r="F1718" t="s">
        <v>2413</v>
      </c>
      <c r="G1718">
        <v>3</v>
      </c>
      <c r="H1718">
        <v>1</v>
      </c>
      <c r="I1718">
        <v>0.01</v>
      </c>
      <c r="J1718">
        <v>1000</v>
      </c>
      <c r="K1718">
        <v>-1.1100000000000001</v>
      </c>
      <c r="L1718">
        <v>74.12</v>
      </c>
      <c r="M1718">
        <v>74.95</v>
      </c>
      <c r="N1718">
        <v>73.03</v>
      </c>
      <c r="O1718">
        <v>74.22</v>
      </c>
      <c r="P1718">
        <v>0</v>
      </c>
      <c r="Q1718">
        <v>0</v>
      </c>
      <c r="R1718">
        <v>0</v>
      </c>
      <c r="S1718">
        <v>74.239999999999995</v>
      </c>
      <c r="T1718">
        <v>74.209999999999994</v>
      </c>
      <c r="U1718">
        <v>74.12</v>
      </c>
      <c r="V1718">
        <v>74.91</v>
      </c>
      <c r="W1718">
        <v>95774</v>
      </c>
      <c r="X1718">
        <v>73.180000000000007</v>
      </c>
      <c r="Y1718">
        <v>74.44</v>
      </c>
      <c r="Z1718">
        <v>16</v>
      </c>
      <c r="AA1718">
        <v>100000</v>
      </c>
      <c r="AB1718">
        <v>741.2</v>
      </c>
      <c r="AC1718">
        <v>0</v>
      </c>
      <c r="AD1718" t="s">
        <v>94</v>
      </c>
      <c r="AE1718" t="s">
        <v>94</v>
      </c>
      <c r="AF1718" t="s">
        <v>304</v>
      </c>
      <c r="AG1718" t="s">
        <v>226</v>
      </c>
      <c r="AH1718">
        <v>0</v>
      </c>
      <c r="AI1718" t="s">
        <v>3537</v>
      </c>
      <c r="AJ1718" t="s">
        <v>1976</v>
      </c>
      <c r="AK1718" t="s">
        <v>2416</v>
      </c>
      <c r="AL1718" t="s">
        <v>272</v>
      </c>
    </row>
    <row r="1719" spans="1:38">
      <c r="A1719" t="s">
        <v>7530</v>
      </c>
      <c r="B1719" t="s">
        <v>7531</v>
      </c>
      <c r="C1719" t="s">
        <v>7532</v>
      </c>
      <c r="D1719" t="s">
        <v>7532</v>
      </c>
      <c r="E1719" t="s">
        <v>7533</v>
      </c>
      <c r="F1719" t="s">
        <v>3754</v>
      </c>
      <c r="G1719">
        <v>1</v>
      </c>
      <c r="H1719">
        <v>1</v>
      </c>
      <c r="I1719">
        <v>0.01</v>
      </c>
      <c r="J1719">
        <v>400</v>
      </c>
      <c r="K1719">
        <v>0.19</v>
      </c>
      <c r="L1719">
        <v>94</v>
      </c>
      <c r="M1719">
        <v>93.83</v>
      </c>
      <c r="N1719">
        <v>93.66</v>
      </c>
      <c r="O1719">
        <v>94</v>
      </c>
      <c r="P1719">
        <v>0</v>
      </c>
      <c r="Q1719">
        <v>0</v>
      </c>
      <c r="R1719">
        <v>0</v>
      </c>
      <c r="S1719">
        <v>93.8</v>
      </c>
      <c r="T1719">
        <v>93.99</v>
      </c>
      <c r="U1719">
        <v>93.38</v>
      </c>
      <c r="V1719">
        <v>94</v>
      </c>
      <c r="W1719">
        <v>12007</v>
      </c>
      <c r="X1719">
        <v>93.64</v>
      </c>
      <c r="Y1719">
        <v>94</v>
      </c>
      <c r="Z1719">
        <v>17</v>
      </c>
      <c r="AA1719">
        <v>10000000</v>
      </c>
      <c r="AB1719">
        <v>376</v>
      </c>
      <c r="AC1719">
        <v>0</v>
      </c>
      <c r="AD1719" t="s">
        <v>94</v>
      </c>
      <c r="AE1719" t="s">
        <v>94</v>
      </c>
      <c r="AF1719" t="s">
        <v>226</v>
      </c>
      <c r="AG1719" t="s">
        <v>226</v>
      </c>
      <c r="AH1719">
        <v>-100</v>
      </c>
      <c r="AI1719" t="s">
        <v>3537</v>
      </c>
      <c r="AJ1719" t="s">
        <v>1976</v>
      </c>
      <c r="AK1719" t="s">
        <v>3755</v>
      </c>
      <c r="AL1719" t="s">
        <v>272</v>
      </c>
    </row>
    <row r="1720" spans="1:38">
      <c r="A1720" t="s">
        <v>7534</v>
      </c>
      <c r="B1720" t="s">
        <v>7535</v>
      </c>
      <c r="C1720" t="s">
        <v>7536</v>
      </c>
      <c r="D1720" t="s">
        <v>7536</v>
      </c>
      <c r="E1720" t="s">
        <v>7537</v>
      </c>
      <c r="F1720" t="s">
        <v>3754</v>
      </c>
      <c r="G1720">
        <v>1</v>
      </c>
      <c r="H1720">
        <v>1</v>
      </c>
      <c r="I1720">
        <v>0.01</v>
      </c>
      <c r="J1720">
        <v>700</v>
      </c>
      <c r="K1720">
        <v>0.45</v>
      </c>
      <c r="L1720">
        <v>84.5</v>
      </c>
      <c r="M1720">
        <v>84.27</v>
      </c>
      <c r="N1720">
        <v>84.24</v>
      </c>
      <c r="O1720">
        <v>84.5</v>
      </c>
      <c r="P1720">
        <v>0</v>
      </c>
      <c r="Q1720">
        <v>0</v>
      </c>
      <c r="R1720">
        <v>0</v>
      </c>
      <c r="S1720">
        <v>84.51</v>
      </c>
      <c r="T1720">
        <v>85.14</v>
      </c>
      <c r="U1720">
        <v>84.15</v>
      </c>
      <c r="V1720">
        <v>85.14</v>
      </c>
      <c r="W1720">
        <v>110623</v>
      </c>
      <c r="X1720">
        <v>84.3</v>
      </c>
      <c r="Y1720">
        <v>84.5</v>
      </c>
      <c r="Z1720">
        <v>20</v>
      </c>
      <c r="AA1720">
        <v>10000000</v>
      </c>
      <c r="AB1720">
        <v>591.5</v>
      </c>
      <c r="AC1720">
        <v>0</v>
      </c>
      <c r="AD1720" t="s">
        <v>94</v>
      </c>
      <c r="AE1720" t="s">
        <v>94</v>
      </c>
      <c r="AF1720" t="s">
        <v>226</v>
      </c>
      <c r="AG1720" t="s">
        <v>226</v>
      </c>
      <c r="AH1720">
        <v>-100</v>
      </c>
      <c r="AI1720" t="s">
        <v>3537</v>
      </c>
      <c r="AJ1720" t="s">
        <v>1976</v>
      </c>
      <c r="AK1720" t="s">
        <v>3755</v>
      </c>
      <c r="AL1720" t="s">
        <v>272</v>
      </c>
    </row>
    <row r="1721" spans="1:38">
      <c r="A1721" t="s">
        <v>7538</v>
      </c>
      <c r="B1721" t="s">
        <v>7539</v>
      </c>
      <c r="C1721" t="s">
        <v>7540</v>
      </c>
      <c r="D1721" t="s">
        <v>7540</v>
      </c>
      <c r="E1721" t="s">
        <v>7541</v>
      </c>
      <c r="F1721" t="s">
        <v>3754</v>
      </c>
      <c r="G1721">
        <v>1</v>
      </c>
      <c r="H1721">
        <v>1</v>
      </c>
      <c r="I1721">
        <v>0.01</v>
      </c>
      <c r="J1721">
        <v>1000</v>
      </c>
      <c r="K1721">
        <v>0.14000000000000001</v>
      </c>
      <c r="L1721">
        <v>81.349999999999994</v>
      </c>
      <c r="M1721">
        <v>81.19</v>
      </c>
      <c r="N1721">
        <v>81.430000000000007</v>
      </c>
      <c r="O1721">
        <v>81.349999999999994</v>
      </c>
      <c r="P1721">
        <v>0</v>
      </c>
      <c r="Q1721">
        <v>0</v>
      </c>
      <c r="R1721">
        <v>0</v>
      </c>
      <c r="S1721">
        <v>81.39</v>
      </c>
      <c r="T1721">
        <v>81.260000000000005</v>
      </c>
      <c r="U1721">
        <v>80.06</v>
      </c>
      <c r="V1721">
        <v>81.99</v>
      </c>
      <c r="W1721">
        <v>93595</v>
      </c>
      <c r="X1721">
        <v>81.36</v>
      </c>
      <c r="Y1721">
        <v>81.540000000000006</v>
      </c>
      <c r="Z1721">
        <v>31</v>
      </c>
      <c r="AA1721">
        <v>15000000</v>
      </c>
      <c r="AB1721">
        <v>813.5</v>
      </c>
      <c r="AC1721">
        <v>0</v>
      </c>
      <c r="AD1721" t="s">
        <v>94</v>
      </c>
      <c r="AE1721" t="s">
        <v>94</v>
      </c>
      <c r="AF1721" t="s">
        <v>226</v>
      </c>
      <c r="AG1721" t="s">
        <v>226</v>
      </c>
      <c r="AH1721">
        <v>-100</v>
      </c>
      <c r="AI1721" t="s">
        <v>3537</v>
      </c>
      <c r="AJ1721" t="s">
        <v>1976</v>
      </c>
      <c r="AK1721" t="s">
        <v>3755</v>
      </c>
      <c r="AL1721" t="s">
        <v>272</v>
      </c>
    </row>
    <row r="1722" spans="1:38">
      <c r="A1722" t="s">
        <v>7542</v>
      </c>
      <c r="B1722" t="s">
        <v>7543</v>
      </c>
      <c r="C1722" t="s">
        <v>7544</v>
      </c>
      <c r="D1722" t="s">
        <v>7544</v>
      </c>
      <c r="E1722" t="s">
        <v>7545</v>
      </c>
      <c r="F1722" t="s">
        <v>2413</v>
      </c>
      <c r="G1722">
        <v>3</v>
      </c>
      <c r="H1722">
        <v>1</v>
      </c>
      <c r="I1722">
        <v>0.01</v>
      </c>
      <c r="J1722">
        <v>1000</v>
      </c>
      <c r="K1722">
        <v>0</v>
      </c>
      <c r="L1722">
        <v>0</v>
      </c>
      <c r="M1722">
        <v>79.91</v>
      </c>
      <c r="N1722">
        <v>80.17</v>
      </c>
      <c r="O1722">
        <v>79.91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1000000</v>
      </c>
      <c r="AB1722">
        <v>0</v>
      </c>
      <c r="AC1722">
        <v>0</v>
      </c>
      <c r="AD1722" t="s">
        <v>94</v>
      </c>
      <c r="AE1722" t="s">
        <v>94</v>
      </c>
      <c r="AF1722" t="s">
        <v>304</v>
      </c>
      <c r="AG1722" t="s">
        <v>226</v>
      </c>
      <c r="AH1722">
        <v>0</v>
      </c>
      <c r="AI1722" t="s">
        <v>3537</v>
      </c>
      <c r="AJ1722" t="s">
        <v>1976</v>
      </c>
      <c r="AK1722" t="s">
        <v>2416</v>
      </c>
      <c r="AL1722" t="s">
        <v>272</v>
      </c>
    </row>
    <row r="1723" spans="1:38">
      <c r="A1723" t="s">
        <v>7546</v>
      </c>
      <c r="B1723" t="s">
        <v>7547</v>
      </c>
      <c r="C1723" t="s">
        <v>7548</v>
      </c>
      <c r="D1723" t="s">
        <v>7548</v>
      </c>
      <c r="E1723" t="s">
        <v>7549</v>
      </c>
      <c r="F1723" t="s">
        <v>2413</v>
      </c>
      <c r="G1723">
        <v>3</v>
      </c>
      <c r="H1723">
        <v>1</v>
      </c>
      <c r="I1723">
        <v>0.01</v>
      </c>
      <c r="J1723">
        <v>1000</v>
      </c>
      <c r="K1723">
        <v>7.0000000000000007E-2</v>
      </c>
      <c r="L1723">
        <v>83.39</v>
      </c>
      <c r="M1723">
        <v>83.33</v>
      </c>
      <c r="N1723">
        <v>83.79</v>
      </c>
      <c r="O1723">
        <v>83.39</v>
      </c>
      <c r="P1723">
        <v>0</v>
      </c>
      <c r="Q1723">
        <v>0</v>
      </c>
      <c r="R1723">
        <v>0</v>
      </c>
      <c r="S1723">
        <v>83.26</v>
      </c>
      <c r="T1723">
        <v>83.2</v>
      </c>
      <c r="U1723">
        <v>82.71</v>
      </c>
      <c r="V1723">
        <v>83.4</v>
      </c>
      <c r="W1723">
        <v>542044</v>
      </c>
      <c r="X1723">
        <v>83.2</v>
      </c>
      <c r="Y1723">
        <v>83.39</v>
      </c>
      <c r="Z1723">
        <v>120</v>
      </c>
      <c r="AA1723">
        <v>800000</v>
      </c>
      <c r="AB1723">
        <v>833.9</v>
      </c>
      <c r="AC1723">
        <v>0</v>
      </c>
      <c r="AD1723" t="s">
        <v>94</v>
      </c>
      <c r="AE1723" t="s">
        <v>94</v>
      </c>
      <c r="AF1723" t="s">
        <v>226</v>
      </c>
      <c r="AG1723" t="s">
        <v>226</v>
      </c>
      <c r="AH1723">
        <v>6</v>
      </c>
      <c r="AI1723" t="s">
        <v>3537</v>
      </c>
      <c r="AJ1723" t="s">
        <v>1976</v>
      </c>
      <c r="AK1723" t="s">
        <v>2416</v>
      </c>
      <c r="AL1723" t="s">
        <v>272</v>
      </c>
    </row>
    <row r="1724" spans="1:38">
      <c r="A1724" t="s">
        <v>7550</v>
      </c>
      <c r="B1724" t="s">
        <v>7551</v>
      </c>
      <c r="C1724" t="s">
        <v>7552</v>
      </c>
      <c r="D1724" t="s">
        <v>7552</v>
      </c>
      <c r="E1724" t="s">
        <v>7553</v>
      </c>
      <c r="F1724" t="s">
        <v>2413</v>
      </c>
      <c r="G1724">
        <v>3</v>
      </c>
      <c r="H1724">
        <v>1</v>
      </c>
      <c r="I1724">
        <v>0.01</v>
      </c>
      <c r="J1724">
        <v>1000</v>
      </c>
      <c r="K1724">
        <v>0.44</v>
      </c>
      <c r="L1724">
        <v>73.08</v>
      </c>
      <c r="M1724">
        <v>72.760000000000005</v>
      </c>
      <c r="N1724">
        <v>72.5</v>
      </c>
      <c r="O1724">
        <v>73.08</v>
      </c>
      <c r="P1724">
        <v>0</v>
      </c>
      <c r="Q1724">
        <v>0</v>
      </c>
      <c r="R1724">
        <v>0</v>
      </c>
      <c r="S1724">
        <v>72.91</v>
      </c>
      <c r="T1724">
        <v>73.209999999999994</v>
      </c>
      <c r="U1724">
        <v>72.260000000000005</v>
      </c>
      <c r="V1724">
        <v>73.209999999999994</v>
      </c>
      <c r="W1724">
        <v>285809</v>
      </c>
      <c r="X1724">
        <v>73.03</v>
      </c>
      <c r="Y1724">
        <v>73.069999999999993</v>
      </c>
      <c r="Z1724">
        <v>113</v>
      </c>
      <c r="AA1724">
        <v>1000000</v>
      </c>
      <c r="AB1724">
        <v>730.8</v>
      </c>
      <c r="AC1724">
        <v>0</v>
      </c>
      <c r="AD1724" t="s">
        <v>94</v>
      </c>
      <c r="AE1724" t="s">
        <v>94</v>
      </c>
      <c r="AF1724" t="s">
        <v>226</v>
      </c>
      <c r="AG1724" t="s">
        <v>226</v>
      </c>
      <c r="AH1724">
        <v>6</v>
      </c>
      <c r="AI1724" t="s">
        <v>3537</v>
      </c>
      <c r="AJ1724" t="s">
        <v>1976</v>
      </c>
      <c r="AK1724" t="s">
        <v>2416</v>
      </c>
      <c r="AL1724" t="s">
        <v>272</v>
      </c>
    </row>
    <row r="1725" spans="1:38">
      <c r="A1725" t="s">
        <v>7554</v>
      </c>
      <c r="B1725" t="s">
        <v>7555</v>
      </c>
      <c r="C1725" t="s">
        <v>7556</v>
      </c>
      <c r="D1725" t="s">
        <v>7556</v>
      </c>
      <c r="E1725" t="s">
        <v>7557</v>
      </c>
      <c r="F1725" t="s">
        <v>2413</v>
      </c>
      <c r="G1725">
        <v>3</v>
      </c>
      <c r="H1725">
        <v>1</v>
      </c>
      <c r="I1725">
        <v>0.01</v>
      </c>
      <c r="J1725">
        <v>1000</v>
      </c>
      <c r="K1725">
        <v>1.3</v>
      </c>
      <c r="L1725">
        <v>86</v>
      </c>
      <c r="M1725">
        <v>84.9</v>
      </c>
      <c r="N1725">
        <v>85.35</v>
      </c>
      <c r="O1725">
        <v>85.8</v>
      </c>
      <c r="P1725">
        <v>0</v>
      </c>
      <c r="Q1725">
        <v>0</v>
      </c>
      <c r="R1725">
        <v>0</v>
      </c>
      <c r="S1725">
        <v>85.3</v>
      </c>
      <c r="T1725">
        <v>86.2</v>
      </c>
      <c r="U1725">
        <v>83.9</v>
      </c>
      <c r="V1725">
        <v>86.2</v>
      </c>
      <c r="W1725">
        <v>547640</v>
      </c>
      <c r="X1725">
        <v>85.61</v>
      </c>
      <c r="Y1725">
        <v>85.98</v>
      </c>
      <c r="Z1725">
        <v>98</v>
      </c>
      <c r="AA1725">
        <v>661752</v>
      </c>
      <c r="AB1725">
        <v>37840</v>
      </c>
      <c r="AC1725">
        <v>0</v>
      </c>
      <c r="AD1725" t="s">
        <v>94</v>
      </c>
      <c r="AE1725" t="s">
        <v>94</v>
      </c>
      <c r="AF1725" t="s">
        <v>226</v>
      </c>
      <c r="AG1725" t="s">
        <v>226</v>
      </c>
      <c r="AH1725">
        <v>6</v>
      </c>
      <c r="AI1725" t="s">
        <v>3537</v>
      </c>
      <c r="AJ1725" t="s">
        <v>1976</v>
      </c>
      <c r="AK1725" t="s">
        <v>2416</v>
      </c>
      <c r="AL1725" t="s">
        <v>272</v>
      </c>
    </row>
    <row r="1726" spans="1:38">
      <c r="A1726" t="s">
        <v>7558</v>
      </c>
      <c r="B1726" t="s">
        <v>7559</v>
      </c>
      <c r="C1726" t="s">
        <v>1979</v>
      </c>
      <c r="D1726" t="s">
        <v>1979</v>
      </c>
      <c r="E1726" t="s">
        <v>1978</v>
      </c>
      <c r="F1726" t="s">
        <v>2413</v>
      </c>
      <c r="G1726">
        <v>1</v>
      </c>
      <c r="H1726">
        <v>1</v>
      </c>
      <c r="I1726">
        <v>0.01</v>
      </c>
      <c r="J1726">
        <v>1000</v>
      </c>
      <c r="K1726">
        <v>0.67</v>
      </c>
      <c r="L1726">
        <v>91.11</v>
      </c>
      <c r="M1726">
        <v>90.42</v>
      </c>
      <c r="N1726">
        <v>90.1</v>
      </c>
      <c r="O1726">
        <v>91.11</v>
      </c>
      <c r="P1726">
        <v>0</v>
      </c>
      <c r="Q1726">
        <v>0</v>
      </c>
      <c r="R1726">
        <v>0</v>
      </c>
      <c r="S1726">
        <v>91.08</v>
      </c>
      <c r="T1726">
        <v>90.59</v>
      </c>
      <c r="U1726">
        <v>90.14</v>
      </c>
      <c r="V1726">
        <v>91.44</v>
      </c>
      <c r="W1726">
        <v>3104102</v>
      </c>
      <c r="X1726">
        <v>90.72</v>
      </c>
      <c r="Y1726">
        <v>91.39</v>
      </c>
      <c r="Z1726">
        <v>204</v>
      </c>
      <c r="AA1726">
        <v>5000000</v>
      </c>
      <c r="AB1726">
        <v>1822.2</v>
      </c>
      <c r="AC1726">
        <v>0</v>
      </c>
      <c r="AD1726" t="s">
        <v>94</v>
      </c>
      <c r="AE1726" t="s">
        <v>94</v>
      </c>
      <c r="AF1726" t="s">
        <v>226</v>
      </c>
      <c r="AG1726" t="s">
        <v>226</v>
      </c>
      <c r="AH1726">
        <v>6</v>
      </c>
      <c r="AI1726" t="s">
        <v>3537</v>
      </c>
      <c r="AJ1726" t="s">
        <v>1976</v>
      </c>
      <c r="AK1726" t="s">
        <v>2416</v>
      </c>
      <c r="AL1726" t="s">
        <v>272</v>
      </c>
    </row>
    <row r="1727" spans="1:38">
      <c r="A1727" t="s">
        <v>7560</v>
      </c>
      <c r="B1727" t="s">
        <v>7561</v>
      </c>
      <c r="C1727" t="s">
        <v>7562</v>
      </c>
      <c r="D1727" t="s">
        <v>7562</v>
      </c>
      <c r="E1727" t="s">
        <v>7563</v>
      </c>
      <c r="F1727" t="s">
        <v>2413</v>
      </c>
      <c r="G1727">
        <v>1</v>
      </c>
      <c r="H1727">
        <v>1</v>
      </c>
      <c r="I1727">
        <v>0.01</v>
      </c>
      <c r="J1727">
        <v>1000</v>
      </c>
      <c r="K1727">
        <v>-0.6</v>
      </c>
      <c r="L1727">
        <v>78.099999999999994</v>
      </c>
      <c r="M1727">
        <v>78.569999999999993</v>
      </c>
      <c r="N1727">
        <v>78.38</v>
      </c>
      <c r="O1727">
        <v>78.099999999999994</v>
      </c>
      <c r="P1727">
        <v>0</v>
      </c>
      <c r="Q1727">
        <v>0</v>
      </c>
      <c r="R1727">
        <v>0</v>
      </c>
      <c r="S1727">
        <v>78.53</v>
      </c>
      <c r="T1727">
        <v>78.58</v>
      </c>
      <c r="U1727">
        <v>78.040000000000006</v>
      </c>
      <c r="V1727">
        <v>79.73</v>
      </c>
      <c r="W1727">
        <v>1651409</v>
      </c>
      <c r="X1727">
        <v>78.08</v>
      </c>
      <c r="Y1727">
        <v>78.14</v>
      </c>
      <c r="Z1727">
        <v>135</v>
      </c>
      <c r="AA1727">
        <v>7000000</v>
      </c>
      <c r="AB1727">
        <v>781</v>
      </c>
      <c r="AC1727">
        <v>0</v>
      </c>
      <c r="AD1727" t="s">
        <v>94</v>
      </c>
      <c r="AE1727" t="s">
        <v>94</v>
      </c>
      <c r="AF1727" t="s">
        <v>226</v>
      </c>
      <c r="AG1727" t="s">
        <v>226</v>
      </c>
      <c r="AH1727">
        <v>6</v>
      </c>
      <c r="AI1727" t="s">
        <v>3537</v>
      </c>
      <c r="AJ1727" t="s">
        <v>1976</v>
      </c>
      <c r="AK1727" t="s">
        <v>2416</v>
      </c>
      <c r="AL1727" t="s">
        <v>272</v>
      </c>
    </row>
    <row r="1728" spans="1:38">
      <c r="A1728" t="s">
        <v>7564</v>
      </c>
      <c r="B1728" t="s">
        <v>7565</v>
      </c>
      <c r="C1728" t="s">
        <v>7566</v>
      </c>
      <c r="D1728" t="s">
        <v>7566</v>
      </c>
      <c r="E1728" t="s">
        <v>7567</v>
      </c>
      <c r="F1728" t="s">
        <v>2413</v>
      </c>
      <c r="G1728">
        <v>1</v>
      </c>
      <c r="H1728">
        <v>1</v>
      </c>
      <c r="I1728">
        <v>0.01</v>
      </c>
      <c r="J1728">
        <v>1000</v>
      </c>
      <c r="K1728">
        <v>0.54</v>
      </c>
      <c r="L1728">
        <v>93.49</v>
      </c>
      <c r="M1728">
        <v>92.99</v>
      </c>
      <c r="N1728">
        <v>92.85</v>
      </c>
      <c r="O1728">
        <v>93.48</v>
      </c>
      <c r="P1728">
        <v>0</v>
      </c>
      <c r="Q1728">
        <v>0</v>
      </c>
      <c r="R1728">
        <v>0</v>
      </c>
      <c r="S1728">
        <v>93.44</v>
      </c>
      <c r="T1728">
        <v>92.99</v>
      </c>
      <c r="U1728">
        <v>92.99</v>
      </c>
      <c r="V1728">
        <v>93.49</v>
      </c>
      <c r="W1728">
        <v>477462</v>
      </c>
      <c r="X1728">
        <v>93.48</v>
      </c>
      <c r="Y1728">
        <v>93.49</v>
      </c>
      <c r="Z1728">
        <v>70</v>
      </c>
      <c r="AA1728">
        <v>3000000</v>
      </c>
      <c r="AB1728">
        <v>934.9</v>
      </c>
      <c r="AC1728">
        <v>0</v>
      </c>
      <c r="AD1728" t="s">
        <v>94</v>
      </c>
      <c r="AE1728" t="s">
        <v>94</v>
      </c>
      <c r="AF1728" t="s">
        <v>226</v>
      </c>
      <c r="AG1728" t="s">
        <v>226</v>
      </c>
      <c r="AH1728">
        <v>6</v>
      </c>
      <c r="AI1728" t="s">
        <v>3537</v>
      </c>
      <c r="AJ1728" t="s">
        <v>1976</v>
      </c>
      <c r="AK1728" t="s">
        <v>2416</v>
      </c>
      <c r="AL1728" t="s">
        <v>272</v>
      </c>
    </row>
    <row r="1729" spans="1:38">
      <c r="A1729" t="s">
        <v>7568</v>
      </c>
      <c r="B1729" t="s">
        <v>7569</v>
      </c>
      <c r="C1729" t="s">
        <v>7570</v>
      </c>
      <c r="D1729" t="s">
        <v>7570</v>
      </c>
      <c r="E1729" t="s">
        <v>7571</v>
      </c>
      <c r="F1729" t="s">
        <v>2413</v>
      </c>
      <c r="G1729">
        <v>1</v>
      </c>
      <c r="H1729">
        <v>1</v>
      </c>
      <c r="I1729">
        <v>0.01</v>
      </c>
      <c r="J1729">
        <v>1000</v>
      </c>
      <c r="K1729">
        <v>-0.05</v>
      </c>
      <c r="L1729">
        <v>98.85</v>
      </c>
      <c r="M1729">
        <v>98.75</v>
      </c>
      <c r="N1729">
        <v>98.24</v>
      </c>
      <c r="O1729">
        <v>98.85</v>
      </c>
      <c r="P1729">
        <v>0</v>
      </c>
      <c r="Q1729">
        <v>0</v>
      </c>
      <c r="R1729">
        <v>0</v>
      </c>
      <c r="S1729">
        <v>99</v>
      </c>
      <c r="T1729">
        <v>99.38</v>
      </c>
      <c r="U1729">
        <v>98.51</v>
      </c>
      <c r="V1729">
        <v>99.38</v>
      </c>
      <c r="W1729">
        <v>1819685</v>
      </c>
      <c r="X1729">
        <v>98.85</v>
      </c>
      <c r="Y1729">
        <v>98.98</v>
      </c>
      <c r="Z1729">
        <v>87</v>
      </c>
      <c r="AA1729">
        <v>4000000</v>
      </c>
      <c r="AB1729">
        <v>8896.5</v>
      </c>
      <c r="AC1729">
        <v>0</v>
      </c>
      <c r="AD1729" t="s">
        <v>94</v>
      </c>
      <c r="AE1729" t="s">
        <v>94</v>
      </c>
      <c r="AF1729" t="s">
        <v>226</v>
      </c>
      <c r="AG1729" t="s">
        <v>226</v>
      </c>
      <c r="AH1729">
        <v>800</v>
      </c>
      <c r="AI1729" t="s">
        <v>3537</v>
      </c>
      <c r="AJ1729" t="s">
        <v>1976</v>
      </c>
      <c r="AK1729" t="s">
        <v>2416</v>
      </c>
      <c r="AL1729" t="s">
        <v>272</v>
      </c>
    </row>
    <row r="1730" spans="1:38">
      <c r="A1730" t="s">
        <v>7572</v>
      </c>
      <c r="B1730" t="s">
        <v>7573</v>
      </c>
      <c r="C1730" t="s">
        <v>7574</v>
      </c>
      <c r="D1730" t="s">
        <v>7574</v>
      </c>
      <c r="E1730" t="s">
        <v>7575</v>
      </c>
      <c r="F1730" t="s">
        <v>3754</v>
      </c>
      <c r="G1730">
        <v>1</v>
      </c>
      <c r="H1730">
        <v>1</v>
      </c>
      <c r="I1730">
        <v>0.01</v>
      </c>
      <c r="J1730">
        <v>600</v>
      </c>
      <c r="K1730">
        <v>0.15</v>
      </c>
      <c r="L1730">
        <v>91.6</v>
      </c>
      <c r="M1730">
        <v>91.46</v>
      </c>
      <c r="N1730">
        <v>91.21</v>
      </c>
      <c r="O1730">
        <v>91.5</v>
      </c>
      <c r="P1730">
        <v>0</v>
      </c>
      <c r="Q1730">
        <v>0</v>
      </c>
      <c r="R1730">
        <v>0</v>
      </c>
      <c r="S1730">
        <v>91.49</v>
      </c>
      <c r="T1730">
        <v>91.5</v>
      </c>
      <c r="U1730">
        <v>91.14</v>
      </c>
      <c r="V1730">
        <v>91.6</v>
      </c>
      <c r="W1730">
        <v>4726344</v>
      </c>
      <c r="X1730">
        <v>91.3</v>
      </c>
      <c r="Y1730">
        <v>91.58</v>
      </c>
      <c r="Z1730">
        <v>38</v>
      </c>
      <c r="AA1730">
        <v>5000000</v>
      </c>
      <c r="AB1730">
        <v>549.6</v>
      </c>
      <c r="AC1730">
        <v>0</v>
      </c>
      <c r="AD1730" t="s">
        <v>94</v>
      </c>
      <c r="AE1730" t="s">
        <v>94</v>
      </c>
      <c r="AF1730" t="s">
        <v>226</v>
      </c>
      <c r="AG1730" t="s">
        <v>226</v>
      </c>
      <c r="AH1730">
        <v>-100</v>
      </c>
      <c r="AI1730" t="s">
        <v>3537</v>
      </c>
      <c r="AJ1730" t="s">
        <v>1976</v>
      </c>
      <c r="AK1730" t="s">
        <v>3755</v>
      </c>
      <c r="AL1730" t="s">
        <v>272</v>
      </c>
    </row>
    <row r="1731" spans="1:38">
      <c r="A1731" t="s">
        <v>7576</v>
      </c>
      <c r="B1731" t="s">
        <v>7577</v>
      </c>
      <c r="C1731" t="s">
        <v>7578</v>
      </c>
      <c r="D1731" t="s">
        <v>7578</v>
      </c>
      <c r="E1731" t="s">
        <v>7579</v>
      </c>
      <c r="F1731" t="s">
        <v>3754</v>
      </c>
      <c r="G1731">
        <v>1</v>
      </c>
      <c r="H1731">
        <v>1</v>
      </c>
      <c r="I1731">
        <v>0.01</v>
      </c>
      <c r="J1731">
        <v>1000</v>
      </c>
      <c r="K1731">
        <v>-0.27</v>
      </c>
      <c r="L1731">
        <v>81.150000000000006</v>
      </c>
      <c r="M1731">
        <v>81.069999999999993</v>
      </c>
      <c r="N1731">
        <v>85.64</v>
      </c>
      <c r="O1731">
        <v>81.150000000000006</v>
      </c>
      <c r="P1731">
        <v>0</v>
      </c>
      <c r="Q1731">
        <v>0</v>
      </c>
      <c r="R1731">
        <v>0</v>
      </c>
      <c r="S1731">
        <v>81.69</v>
      </c>
      <c r="T1731">
        <v>81.44</v>
      </c>
      <c r="U1731">
        <v>81.150000000000006</v>
      </c>
      <c r="V1731">
        <v>81.92</v>
      </c>
      <c r="W1731">
        <v>25323</v>
      </c>
      <c r="X1731">
        <v>81.09</v>
      </c>
      <c r="Y1731">
        <v>81.650000000000006</v>
      </c>
      <c r="Z1731">
        <v>10</v>
      </c>
      <c r="AA1731">
        <v>10000000</v>
      </c>
      <c r="AB1731">
        <v>2434.5</v>
      </c>
      <c r="AC1731">
        <v>0</v>
      </c>
      <c r="AD1731" t="s">
        <v>94</v>
      </c>
      <c r="AE1731" t="s">
        <v>94</v>
      </c>
      <c r="AF1731" t="s">
        <v>226</v>
      </c>
      <c r="AG1731" t="s">
        <v>226</v>
      </c>
      <c r="AH1731">
        <v>-100</v>
      </c>
      <c r="AI1731" t="s">
        <v>3537</v>
      </c>
      <c r="AJ1731" t="s">
        <v>1976</v>
      </c>
      <c r="AK1731" t="s">
        <v>3755</v>
      </c>
      <c r="AL1731" t="s">
        <v>272</v>
      </c>
    </row>
    <row r="1732" spans="1:38">
      <c r="A1732" t="s">
        <v>7580</v>
      </c>
      <c r="B1732" t="s">
        <v>7581</v>
      </c>
      <c r="C1732" t="s">
        <v>7582</v>
      </c>
      <c r="D1732" t="s">
        <v>7582</v>
      </c>
      <c r="E1732" t="s">
        <v>7583</v>
      </c>
      <c r="F1732" t="s">
        <v>3754</v>
      </c>
      <c r="G1732">
        <v>1</v>
      </c>
      <c r="H1732">
        <v>1</v>
      </c>
      <c r="I1732">
        <v>0.01</v>
      </c>
      <c r="J1732">
        <v>1000</v>
      </c>
      <c r="K1732">
        <v>0.48</v>
      </c>
      <c r="L1732">
        <v>75.66</v>
      </c>
      <c r="M1732">
        <v>75.3</v>
      </c>
      <c r="N1732">
        <v>75.650000000000006</v>
      </c>
      <c r="O1732">
        <v>75.66</v>
      </c>
      <c r="P1732">
        <v>0</v>
      </c>
      <c r="Q1732">
        <v>0</v>
      </c>
      <c r="R1732">
        <v>0</v>
      </c>
      <c r="S1732">
        <v>75.59</v>
      </c>
      <c r="T1732">
        <v>75.33</v>
      </c>
      <c r="U1732">
        <v>75.31</v>
      </c>
      <c r="V1732">
        <v>75.709999999999994</v>
      </c>
      <c r="W1732">
        <v>847385</v>
      </c>
      <c r="X1732">
        <v>75.52</v>
      </c>
      <c r="Y1732">
        <v>75.66</v>
      </c>
      <c r="Z1732">
        <v>104</v>
      </c>
      <c r="AA1732">
        <v>20000000</v>
      </c>
      <c r="AB1732">
        <v>26481</v>
      </c>
      <c r="AC1732">
        <v>0</v>
      </c>
      <c r="AD1732" t="s">
        <v>94</v>
      </c>
      <c r="AE1732" t="s">
        <v>94</v>
      </c>
      <c r="AF1732" t="s">
        <v>226</v>
      </c>
      <c r="AG1732" t="s">
        <v>226</v>
      </c>
      <c r="AH1732">
        <v>-100</v>
      </c>
      <c r="AI1732" t="s">
        <v>3537</v>
      </c>
      <c r="AJ1732" t="s">
        <v>1976</v>
      </c>
      <c r="AK1732" t="s">
        <v>3755</v>
      </c>
      <c r="AL1732" t="s">
        <v>272</v>
      </c>
    </row>
    <row r="1733" spans="1:38">
      <c r="A1733" t="s">
        <v>7584</v>
      </c>
      <c r="B1733" t="s">
        <v>7585</v>
      </c>
      <c r="C1733" t="s">
        <v>7586</v>
      </c>
      <c r="D1733" t="s">
        <v>7586</v>
      </c>
      <c r="E1733" t="s">
        <v>7587</v>
      </c>
      <c r="F1733" t="s">
        <v>3754</v>
      </c>
      <c r="G1733">
        <v>1</v>
      </c>
      <c r="H1733">
        <v>1</v>
      </c>
      <c r="I1733">
        <v>0.01</v>
      </c>
      <c r="J1733">
        <v>1000</v>
      </c>
      <c r="K1733">
        <v>0.33</v>
      </c>
      <c r="L1733">
        <v>84.69</v>
      </c>
      <c r="M1733">
        <v>84.41</v>
      </c>
      <c r="N1733">
        <v>84.45</v>
      </c>
      <c r="O1733">
        <v>84.86</v>
      </c>
      <c r="P1733">
        <v>0</v>
      </c>
      <c r="Q1733">
        <v>0</v>
      </c>
      <c r="R1733">
        <v>0</v>
      </c>
      <c r="S1733">
        <v>84.55</v>
      </c>
      <c r="T1733">
        <v>84.39</v>
      </c>
      <c r="U1733">
        <v>83.99</v>
      </c>
      <c r="V1733">
        <v>84.97</v>
      </c>
      <c r="W1733">
        <v>16946781</v>
      </c>
      <c r="X1733">
        <v>84.65</v>
      </c>
      <c r="Y1733">
        <v>84.69</v>
      </c>
      <c r="Z1733">
        <v>401</v>
      </c>
      <c r="AA1733">
        <v>13500000</v>
      </c>
      <c r="AB1733">
        <v>42345</v>
      </c>
      <c r="AC1733">
        <v>0</v>
      </c>
      <c r="AD1733" t="s">
        <v>94</v>
      </c>
      <c r="AE1733" t="s">
        <v>94</v>
      </c>
      <c r="AF1733" t="s">
        <v>226</v>
      </c>
      <c r="AG1733" t="s">
        <v>226</v>
      </c>
      <c r="AH1733">
        <v>-100</v>
      </c>
      <c r="AI1733" t="s">
        <v>3537</v>
      </c>
      <c r="AJ1733" t="s">
        <v>1976</v>
      </c>
      <c r="AK1733" t="s">
        <v>3755</v>
      </c>
      <c r="AL1733" t="s">
        <v>272</v>
      </c>
    </row>
    <row r="1734" spans="1:38">
      <c r="A1734" t="s">
        <v>7588</v>
      </c>
      <c r="B1734" t="s">
        <v>7589</v>
      </c>
      <c r="C1734" t="s">
        <v>7590</v>
      </c>
      <c r="D1734" t="s">
        <v>7590</v>
      </c>
      <c r="E1734" t="s">
        <v>7591</v>
      </c>
      <c r="F1734" t="s">
        <v>6910</v>
      </c>
      <c r="G1734">
        <v>1</v>
      </c>
      <c r="H1734">
        <v>1</v>
      </c>
      <c r="I1734">
        <v>0.01</v>
      </c>
      <c r="J1734">
        <v>550</v>
      </c>
      <c r="K1734">
        <v>-0.39</v>
      </c>
      <c r="L1734">
        <v>88.35</v>
      </c>
      <c r="M1734">
        <v>88.7</v>
      </c>
      <c r="N1734">
        <v>89.1</v>
      </c>
      <c r="O1734">
        <v>88.35</v>
      </c>
      <c r="P1734">
        <v>0</v>
      </c>
      <c r="Q1734">
        <v>0</v>
      </c>
      <c r="R1734">
        <v>0</v>
      </c>
      <c r="S1734">
        <v>88.27</v>
      </c>
      <c r="T1734">
        <v>88.08</v>
      </c>
      <c r="U1734">
        <v>88.08</v>
      </c>
      <c r="V1734">
        <v>88.35</v>
      </c>
      <c r="W1734">
        <v>3399</v>
      </c>
      <c r="X1734">
        <v>88.36</v>
      </c>
      <c r="Y1734">
        <v>88.51</v>
      </c>
      <c r="Z1734">
        <v>2</v>
      </c>
      <c r="AA1734">
        <v>5000000</v>
      </c>
      <c r="AB1734">
        <v>2429.63</v>
      </c>
      <c r="AC1734">
        <v>0</v>
      </c>
      <c r="AD1734" t="s">
        <v>94</v>
      </c>
      <c r="AE1734" t="s">
        <v>94</v>
      </c>
      <c r="AF1734" t="s">
        <v>226</v>
      </c>
      <c r="AG1734" t="s">
        <v>226</v>
      </c>
      <c r="AH1734">
        <v>6</v>
      </c>
      <c r="AI1734" t="s">
        <v>3537</v>
      </c>
      <c r="AJ1734" t="s">
        <v>1976</v>
      </c>
      <c r="AK1734" t="s">
        <v>6911</v>
      </c>
      <c r="AL1734" t="s">
        <v>272</v>
      </c>
    </row>
    <row r="1735" spans="1:38">
      <c r="A1735" t="s">
        <v>7592</v>
      </c>
      <c r="B1735" t="s">
        <v>7593</v>
      </c>
      <c r="C1735" t="s">
        <v>7594</v>
      </c>
      <c r="D1735" t="s">
        <v>7594</v>
      </c>
      <c r="E1735" t="s">
        <v>7595</v>
      </c>
      <c r="F1735" t="s">
        <v>2413</v>
      </c>
      <c r="G1735">
        <v>2</v>
      </c>
      <c r="H1735">
        <v>1</v>
      </c>
      <c r="I1735">
        <v>0.01</v>
      </c>
      <c r="J1735">
        <v>750</v>
      </c>
      <c r="K1735">
        <v>-0.03</v>
      </c>
      <c r="L1735">
        <v>89.4</v>
      </c>
      <c r="M1735">
        <v>89.47</v>
      </c>
      <c r="N1735">
        <v>89.68</v>
      </c>
      <c r="O1735">
        <v>89.42</v>
      </c>
      <c r="P1735">
        <v>0</v>
      </c>
      <c r="Q1735">
        <v>0</v>
      </c>
      <c r="R1735">
        <v>0</v>
      </c>
      <c r="S1735">
        <v>89.48</v>
      </c>
      <c r="T1735">
        <v>89.51</v>
      </c>
      <c r="U1735">
        <v>89.4</v>
      </c>
      <c r="V1735">
        <v>89.81</v>
      </c>
      <c r="W1735">
        <v>1218776</v>
      </c>
      <c r="X1735">
        <v>89.4</v>
      </c>
      <c r="Y1735">
        <v>89.48</v>
      </c>
      <c r="Z1735">
        <v>68</v>
      </c>
      <c r="AA1735">
        <v>5000000</v>
      </c>
      <c r="AB1735">
        <v>53640</v>
      </c>
      <c r="AC1735">
        <v>0</v>
      </c>
      <c r="AD1735" t="s">
        <v>94</v>
      </c>
      <c r="AE1735" t="s">
        <v>94</v>
      </c>
      <c r="AF1735" t="s">
        <v>226</v>
      </c>
      <c r="AG1735" t="s">
        <v>226</v>
      </c>
      <c r="AH1735">
        <v>6</v>
      </c>
      <c r="AI1735" t="s">
        <v>3537</v>
      </c>
      <c r="AJ1735" t="s">
        <v>1976</v>
      </c>
      <c r="AK1735" t="s">
        <v>2416</v>
      </c>
      <c r="AL1735" t="s">
        <v>272</v>
      </c>
    </row>
    <row r="1736" spans="1:38">
      <c r="A1736" t="s">
        <v>7596</v>
      </c>
      <c r="B1736" t="s">
        <v>7597</v>
      </c>
      <c r="C1736" t="s">
        <v>7598</v>
      </c>
      <c r="D1736" t="s">
        <v>7598</v>
      </c>
      <c r="E1736" t="s">
        <v>7599</v>
      </c>
      <c r="F1736" t="s">
        <v>2413</v>
      </c>
      <c r="G1736">
        <v>2</v>
      </c>
      <c r="H1736">
        <v>1</v>
      </c>
      <c r="I1736">
        <v>0.01</v>
      </c>
      <c r="J1736">
        <v>1000</v>
      </c>
      <c r="K1736">
        <v>-0.53</v>
      </c>
      <c r="L1736">
        <v>78.09</v>
      </c>
      <c r="M1736">
        <v>78.73</v>
      </c>
      <c r="N1736">
        <v>78.19</v>
      </c>
      <c r="O1736">
        <v>78.09</v>
      </c>
      <c r="P1736">
        <v>0</v>
      </c>
      <c r="Q1736">
        <v>0</v>
      </c>
      <c r="R1736">
        <v>0</v>
      </c>
      <c r="S1736">
        <v>78.11</v>
      </c>
      <c r="T1736">
        <v>78.55</v>
      </c>
      <c r="U1736">
        <v>77.38</v>
      </c>
      <c r="V1736">
        <v>79.099999999999994</v>
      </c>
      <c r="W1736">
        <v>1143597</v>
      </c>
      <c r="X1736">
        <v>77.98</v>
      </c>
      <c r="Y1736">
        <v>78.09</v>
      </c>
      <c r="Z1736">
        <v>143</v>
      </c>
      <c r="AA1736">
        <v>28500000</v>
      </c>
      <c r="AB1736">
        <v>2342.6999999999998</v>
      </c>
      <c r="AC1736">
        <v>0</v>
      </c>
      <c r="AD1736" t="s">
        <v>94</v>
      </c>
      <c r="AE1736" t="s">
        <v>94</v>
      </c>
      <c r="AF1736" t="s">
        <v>226</v>
      </c>
      <c r="AG1736" t="s">
        <v>226</v>
      </c>
      <c r="AH1736">
        <v>6</v>
      </c>
      <c r="AI1736" t="s">
        <v>3537</v>
      </c>
      <c r="AJ1736" t="s">
        <v>1976</v>
      </c>
      <c r="AK1736" t="s">
        <v>2416</v>
      </c>
      <c r="AL1736" t="s">
        <v>272</v>
      </c>
    </row>
    <row r="1737" spans="1:38">
      <c r="A1737" t="s">
        <v>7600</v>
      </c>
      <c r="B1737" t="s">
        <v>7601</v>
      </c>
      <c r="C1737" t="s">
        <v>7602</v>
      </c>
      <c r="D1737" t="s">
        <v>7602</v>
      </c>
      <c r="E1737" t="s">
        <v>7603</v>
      </c>
      <c r="F1737" t="s">
        <v>2413</v>
      </c>
      <c r="G1737">
        <v>2</v>
      </c>
      <c r="H1737">
        <v>1</v>
      </c>
      <c r="I1737">
        <v>0.01</v>
      </c>
      <c r="J1737">
        <v>1000</v>
      </c>
      <c r="K1737">
        <v>-0.55000000000000004</v>
      </c>
      <c r="L1737">
        <v>81.849999999999994</v>
      </c>
      <c r="M1737">
        <v>82.3</v>
      </c>
      <c r="N1737">
        <v>81.98</v>
      </c>
      <c r="O1737">
        <v>81.849999999999994</v>
      </c>
      <c r="P1737">
        <v>0</v>
      </c>
      <c r="Q1737">
        <v>0</v>
      </c>
      <c r="R1737">
        <v>0</v>
      </c>
      <c r="S1737">
        <v>81.89</v>
      </c>
      <c r="T1737">
        <v>82.3</v>
      </c>
      <c r="U1737">
        <v>81.75</v>
      </c>
      <c r="V1737">
        <v>82.4</v>
      </c>
      <c r="W1737">
        <v>2394538</v>
      </c>
      <c r="X1737">
        <v>81.81</v>
      </c>
      <c r="Y1737">
        <v>81.849999999999994</v>
      </c>
      <c r="Z1737">
        <v>115</v>
      </c>
      <c r="AA1737">
        <v>6500000</v>
      </c>
      <c r="AB1737">
        <v>1637</v>
      </c>
      <c r="AC1737">
        <v>0</v>
      </c>
      <c r="AD1737" t="s">
        <v>94</v>
      </c>
      <c r="AE1737" t="s">
        <v>94</v>
      </c>
      <c r="AF1737" t="s">
        <v>226</v>
      </c>
      <c r="AG1737" t="s">
        <v>226</v>
      </c>
      <c r="AH1737">
        <v>6</v>
      </c>
      <c r="AI1737" t="s">
        <v>3537</v>
      </c>
      <c r="AJ1737" t="s">
        <v>1976</v>
      </c>
      <c r="AK1737" t="s">
        <v>2416</v>
      </c>
      <c r="AL1737" t="s">
        <v>272</v>
      </c>
    </row>
    <row r="1738" spans="1:38">
      <c r="A1738" t="s">
        <v>7604</v>
      </c>
      <c r="B1738" t="s">
        <v>7605</v>
      </c>
      <c r="C1738" t="s">
        <v>7606</v>
      </c>
      <c r="D1738" t="s">
        <v>7606</v>
      </c>
      <c r="E1738" t="s">
        <v>7607</v>
      </c>
      <c r="F1738" t="s">
        <v>2413</v>
      </c>
      <c r="G1738">
        <v>2</v>
      </c>
      <c r="H1738">
        <v>1</v>
      </c>
      <c r="I1738">
        <v>0.01</v>
      </c>
      <c r="J1738">
        <v>1000</v>
      </c>
      <c r="K1738">
        <v>0.98</v>
      </c>
      <c r="L1738">
        <v>82.83</v>
      </c>
      <c r="M1738">
        <v>82.03</v>
      </c>
      <c r="N1738">
        <v>81.95</v>
      </c>
      <c r="O1738">
        <v>82.83</v>
      </c>
      <c r="P1738">
        <v>0</v>
      </c>
      <c r="Q1738">
        <v>0</v>
      </c>
      <c r="R1738">
        <v>0</v>
      </c>
      <c r="S1738">
        <v>82.5</v>
      </c>
      <c r="T1738">
        <v>82.55</v>
      </c>
      <c r="U1738">
        <v>82.28</v>
      </c>
      <c r="V1738">
        <v>83.1</v>
      </c>
      <c r="W1738">
        <v>2781087</v>
      </c>
      <c r="X1738">
        <v>82.56</v>
      </c>
      <c r="Y1738">
        <v>82.83</v>
      </c>
      <c r="Z1738">
        <v>275</v>
      </c>
      <c r="AA1738">
        <v>10000000</v>
      </c>
      <c r="AB1738">
        <v>828.3</v>
      </c>
      <c r="AC1738">
        <v>0</v>
      </c>
      <c r="AD1738" t="s">
        <v>94</v>
      </c>
      <c r="AE1738" t="s">
        <v>94</v>
      </c>
      <c r="AF1738" t="s">
        <v>226</v>
      </c>
      <c r="AG1738" t="s">
        <v>226</v>
      </c>
      <c r="AH1738">
        <v>6</v>
      </c>
      <c r="AI1738" t="s">
        <v>3537</v>
      </c>
      <c r="AJ1738" t="s">
        <v>1976</v>
      </c>
      <c r="AK1738" t="s">
        <v>2416</v>
      </c>
      <c r="AL1738" t="s">
        <v>272</v>
      </c>
    </row>
    <row r="1739" spans="1:38">
      <c r="A1739" t="s">
        <v>7608</v>
      </c>
      <c r="B1739" t="s">
        <v>7609</v>
      </c>
      <c r="C1739" t="s">
        <v>7610</v>
      </c>
      <c r="D1739" t="s">
        <v>7610</v>
      </c>
      <c r="E1739" t="s">
        <v>7611</v>
      </c>
      <c r="F1739" t="s">
        <v>6910</v>
      </c>
      <c r="G1739">
        <v>1</v>
      </c>
      <c r="H1739">
        <v>1</v>
      </c>
      <c r="I1739">
        <v>0.01</v>
      </c>
      <c r="J1739">
        <v>200</v>
      </c>
      <c r="K1739">
        <v>0.27</v>
      </c>
      <c r="L1739">
        <v>89.99</v>
      </c>
      <c r="M1739">
        <v>89.75</v>
      </c>
      <c r="N1739">
        <v>96.05</v>
      </c>
      <c r="O1739">
        <v>89.99</v>
      </c>
      <c r="P1739">
        <v>0</v>
      </c>
      <c r="Q1739">
        <v>0</v>
      </c>
      <c r="R1739">
        <v>0</v>
      </c>
      <c r="S1739">
        <v>89.99</v>
      </c>
      <c r="T1739">
        <v>89.99</v>
      </c>
      <c r="U1739">
        <v>89.99</v>
      </c>
      <c r="V1739">
        <v>89.99</v>
      </c>
      <c r="W1739">
        <v>1260</v>
      </c>
      <c r="X1739">
        <v>89.99</v>
      </c>
      <c r="Y1739">
        <v>90</v>
      </c>
      <c r="Z1739">
        <v>3</v>
      </c>
      <c r="AA1739">
        <v>3000000</v>
      </c>
      <c r="AB1739">
        <v>359.96</v>
      </c>
      <c r="AC1739">
        <v>0</v>
      </c>
      <c r="AD1739" t="s">
        <v>94</v>
      </c>
      <c r="AE1739" t="s">
        <v>94</v>
      </c>
      <c r="AF1739" t="s">
        <v>226</v>
      </c>
      <c r="AG1739" t="s">
        <v>226</v>
      </c>
      <c r="AH1739">
        <v>6</v>
      </c>
      <c r="AI1739" t="s">
        <v>3537</v>
      </c>
      <c r="AJ1739" t="s">
        <v>1976</v>
      </c>
      <c r="AK1739" t="s">
        <v>6911</v>
      </c>
      <c r="AL1739" t="s">
        <v>272</v>
      </c>
    </row>
    <row r="1740" spans="1:38">
      <c r="A1740" t="s">
        <v>7612</v>
      </c>
      <c r="B1740" t="s">
        <v>7613</v>
      </c>
      <c r="C1740" t="s">
        <v>7614</v>
      </c>
      <c r="D1740" t="s">
        <v>7614</v>
      </c>
      <c r="E1740" t="s">
        <v>7615</v>
      </c>
      <c r="F1740" t="s">
        <v>6910</v>
      </c>
      <c r="G1740">
        <v>1</v>
      </c>
      <c r="H1740">
        <v>1</v>
      </c>
      <c r="I1740">
        <v>0.01</v>
      </c>
      <c r="J1740">
        <v>300</v>
      </c>
      <c r="K1740">
        <v>0</v>
      </c>
      <c r="L1740">
        <v>0</v>
      </c>
      <c r="M1740">
        <v>92.02</v>
      </c>
      <c r="N1740">
        <v>0</v>
      </c>
      <c r="O1740">
        <v>92.02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85.02</v>
      </c>
      <c r="Y1740">
        <v>0</v>
      </c>
      <c r="Z1740">
        <v>0</v>
      </c>
      <c r="AA1740">
        <v>5000000</v>
      </c>
      <c r="AB1740">
        <v>0</v>
      </c>
      <c r="AC1740">
        <v>0</v>
      </c>
      <c r="AD1740" t="s">
        <v>94</v>
      </c>
      <c r="AE1740" t="s">
        <v>94</v>
      </c>
      <c r="AF1740" t="s">
        <v>226</v>
      </c>
      <c r="AG1740" t="s">
        <v>226</v>
      </c>
      <c r="AH1740">
        <v>6</v>
      </c>
      <c r="AI1740" t="s">
        <v>3537</v>
      </c>
      <c r="AJ1740" t="s">
        <v>1976</v>
      </c>
      <c r="AK1740" t="s">
        <v>6911</v>
      </c>
      <c r="AL1740" t="s">
        <v>272</v>
      </c>
    </row>
    <row r="1741" spans="1:38">
      <c r="A1741" t="s">
        <v>7616</v>
      </c>
      <c r="B1741" t="s">
        <v>7617</v>
      </c>
      <c r="C1741" t="s">
        <v>7618</v>
      </c>
      <c r="D1741" t="s">
        <v>7618</v>
      </c>
      <c r="E1741" t="s">
        <v>7619</v>
      </c>
      <c r="F1741" t="s">
        <v>2413</v>
      </c>
      <c r="G1741">
        <v>3</v>
      </c>
      <c r="H1741">
        <v>1</v>
      </c>
      <c r="I1741">
        <v>0.01</v>
      </c>
      <c r="J1741">
        <v>1000</v>
      </c>
      <c r="K1741">
        <v>-0.01</v>
      </c>
      <c r="L1741">
        <v>98.97</v>
      </c>
      <c r="M1741">
        <v>98.98</v>
      </c>
      <c r="N1741">
        <v>98.97</v>
      </c>
      <c r="O1741">
        <v>98.97</v>
      </c>
      <c r="P1741">
        <v>0</v>
      </c>
      <c r="Q1741">
        <v>0</v>
      </c>
      <c r="R1741">
        <v>0</v>
      </c>
      <c r="S1741">
        <v>99.13</v>
      </c>
      <c r="T1741">
        <v>100.1</v>
      </c>
      <c r="U1741">
        <v>98.97</v>
      </c>
      <c r="V1741">
        <v>100.1</v>
      </c>
      <c r="W1741">
        <v>857477</v>
      </c>
      <c r="X1741">
        <v>98.95</v>
      </c>
      <c r="Y1741">
        <v>98.97</v>
      </c>
      <c r="Z1741">
        <v>62</v>
      </c>
      <c r="AA1741">
        <v>100000000</v>
      </c>
      <c r="AB1741">
        <v>989.7</v>
      </c>
      <c r="AC1741">
        <v>0</v>
      </c>
      <c r="AD1741" t="s">
        <v>94</v>
      </c>
      <c r="AE1741" t="s">
        <v>94</v>
      </c>
      <c r="AF1741" t="s">
        <v>226</v>
      </c>
      <c r="AG1741" t="s">
        <v>226</v>
      </c>
      <c r="AH1741">
        <v>8</v>
      </c>
      <c r="AI1741" t="s">
        <v>3537</v>
      </c>
      <c r="AJ1741" t="s">
        <v>1976</v>
      </c>
      <c r="AK1741" t="s">
        <v>2416</v>
      </c>
      <c r="AL1741" t="s">
        <v>272</v>
      </c>
    </row>
    <row r="1742" spans="1:38">
      <c r="A1742" t="s">
        <v>7620</v>
      </c>
      <c r="B1742" t="s">
        <v>7621</v>
      </c>
      <c r="C1742" t="s">
        <v>7622</v>
      </c>
      <c r="D1742" t="s">
        <v>7622</v>
      </c>
      <c r="E1742" t="s">
        <v>7623</v>
      </c>
      <c r="F1742" t="s">
        <v>2413</v>
      </c>
      <c r="G1742">
        <v>3</v>
      </c>
      <c r="H1742">
        <v>1</v>
      </c>
      <c r="I1742">
        <v>0.01</v>
      </c>
      <c r="J1742">
        <v>1000</v>
      </c>
      <c r="K1742">
        <v>-0.48</v>
      </c>
      <c r="L1742">
        <v>95.64</v>
      </c>
      <c r="M1742">
        <v>96.1</v>
      </c>
      <c r="N1742">
        <v>95.54</v>
      </c>
      <c r="O1742">
        <v>95.66</v>
      </c>
      <c r="P1742">
        <v>0</v>
      </c>
      <c r="Q1742">
        <v>0</v>
      </c>
      <c r="R1742">
        <v>0</v>
      </c>
      <c r="S1742">
        <v>95.42</v>
      </c>
      <c r="T1742">
        <v>96.42</v>
      </c>
      <c r="U1742">
        <v>94.56</v>
      </c>
      <c r="V1742">
        <v>96.43</v>
      </c>
      <c r="W1742">
        <v>3489456</v>
      </c>
      <c r="X1742">
        <v>95.41</v>
      </c>
      <c r="Y1742">
        <v>95.68</v>
      </c>
      <c r="Z1742">
        <v>137</v>
      </c>
      <c r="AA1742">
        <v>60000000</v>
      </c>
      <c r="AB1742">
        <v>956.4</v>
      </c>
      <c r="AC1742">
        <v>0</v>
      </c>
      <c r="AD1742" t="s">
        <v>94</v>
      </c>
      <c r="AE1742" t="s">
        <v>94</v>
      </c>
      <c r="AF1742" t="s">
        <v>226</v>
      </c>
      <c r="AG1742" t="s">
        <v>226</v>
      </c>
      <c r="AH1742">
        <v>8</v>
      </c>
      <c r="AI1742" t="s">
        <v>3537</v>
      </c>
      <c r="AJ1742" t="s">
        <v>1976</v>
      </c>
      <c r="AK1742" t="s">
        <v>2416</v>
      </c>
      <c r="AL1742" t="s">
        <v>272</v>
      </c>
    </row>
    <row r="1743" spans="1:38">
      <c r="A1743" t="s">
        <v>7624</v>
      </c>
      <c r="B1743" t="s">
        <v>7625</v>
      </c>
      <c r="C1743" t="s">
        <v>7626</v>
      </c>
      <c r="D1743" t="s">
        <v>7626</v>
      </c>
      <c r="E1743" t="s">
        <v>7627</v>
      </c>
      <c r="F1743" t="s">
        <v>2413</v>
      </c>
      <c r="G1743">
        <v>2</v>
      </c>
      <c r="H1743">
        <v>1</v>
      </c>
      <c r="I1743">
        <v>0.01</v>
      </c>
      <c r="J1743">
        <v>1000</v>
      </c>
      <c r="K1743">
        <v>0.04</v>
      </c>
      <c r="L1743">
        <v>90.16</v>
      </c>
      <c r="M1743">
        <v>90.09</v>
      </c>
      <c r="N1743">
        <v>89.93</v>
      </c>
      <c r="O1743">
        <v>90.17</v>
      </c>
      <c r="P1743">
        <v>0</v>
      </c>
      <c r="Q1743">
        <v>0</v>
      </c>
      <c r="R1743">
        <v>0</v>
      </c>
      <c r="S1743">
        <v>90.22</v>
      </c>
      <c r="T1743">
        <v>90.15</v>
      </c>
      <c r="U1743">
        <v>89.76</v>
      </c>
      <c r="V1743">
        <v>90.39</v>
      </c>
      <c r="W1743">
        <v>1476924</v>
      </c>
      <c r="X1743">
        <v>90.16</v>
      </c>
      <c r="Y1743">
        <v>90.24</v>
      </c>
      <c r="Z1743">
        <v>138</v>
      </c>
      <c r="AA1743">
        <v>25000000</v>
      </c>
      <c r="AB1743">
        <v>2704.8</v>
      </c>
      <c r="AC1743">
        <v>0</v>
      </c>
      <c r="AD1743" t="s">
        <v>94</v>
      </c>
      <c r="AE1743" t="s">
        <v>94</v>
      </c>
      <c r="AF1743" t="s">
        <v>226</v>
      </c>
      <c r="AG1743" t="s">
        <v>226</v>
      </c>
      <c r="AH1743">
        <v>-100</v>
      </c>
      <c r="AI1743" t="s">
        <v>3537</v>
      </c>
      <c r="AJ1743" t="s">
        <v>1976</v>
      </c>
      <c r="AK1743" t="s">
        <v>2416</v>
      </c>
      <c r="AL1743" t="s">
        <v>272</v>
      </c>
    </row>
    <row r="1744" spans="1:38">
      <c r="A1744" t="s">
        <v>7628</v>
      </c>
      <c r="B1744" t="s">
        <v>2467</v>
      </c>
      <c r="C1744" t="s">
        <v>2468</v>
      </c>
      <c r="D1744" t="s">
        <v>2468</v>
      </c>
      <c r="E1744" t="s">
        <v>2469</v>
      </c>
      <c r="F1744" t="s">
        <v>2413</v>
      </c>
      <c r="G1744">
        <v>2</v>
      </c>
      <c r="H1744">
        <v>1</v>
      </c>
      <c r="I1744">
        <v>1E-4</v>
      </c>
      <c r="J1744">
        <v>1000</v>
      </c>
      <c r="K1744">
        <v>0</v>
      </c>
      <c r="L1744">
        <v>0</v>
      </c>
      <c r="M1744">
        <v>95.583299999999994</v>
      </c>
      <c r="N1744">
        <v>96.697900000000004</v>
      </c>
      <c r="O1744">
        <v>95.583299999999994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92</v>
      </c>
      <c r="Y1744">
        <v>93.925600000000003</v>
      </c>
      <c r="Z1744">
        <v>0</v>
      </c>
      <c r="AA1744">
        <v>4000000</v>
      </c>
      <c r="AB1744">
        <v>0</v>
      </c>
      <c r="AC1744">
        <v>0</v>
      </c>
      <c r="AD1744" t="s">
        <v>1663</v>
      </c>
      <c r="AE1744" t="s">
        <v>94</v>
      </c>
      <c r="AF1744" t="s">
        <v>226</v>
      </c>
      <c r="AG1744" t="s">
        <v>226</v>
      </c>
      <c r="AH1744">
        <v>-100</v>
      </c>
      <c r="AI1744" t="s">
        <v>3537</v>
      </c>
      <c r="AJ1744" t="s">
        <v>1976</v>
      </c>
      <c r="AK1744" t="s">
        <v>2416</v>
      </c>
      <c r="AL1744" t="s">
        <v>272</v>
      </c>
    </row>
    <row r="1745" spans="1:38">
      <c r="A1745" t="s">
        <v>7629</v>
      </c>
      <c r="B1745" t="s">
        <v>2471</v>
      </c>
      <c r="C1745" t="s">
        <v>2472</v>
      </c>
      <c r="D1745" t="s">
        <v>2472</v>
      </c>
      <c r="E1745" t="s">
        <v>2473</v>
      </c>
      <c r="F1745" t="s">
        <v>2413</v>
      </c>
      <c r="G1745">
        <v>2</v>
      </c>
      <c r="H1745">
        <v>1</v>
      </c>
      <c r="I1745">
        <v>1E-4</v>
      </c>
      <c r="J1745">
        <v>1000</v>
      </c>
      <c r="K1745">
        <v>-3.72</v>
      </c>
      <c r="L1745">
        <v>87.1</v>
      </c>
      <c r="M1745">
        <v>87.471999999999994</v>
      </c>
      <c r="N1745">
        <v>87.872900000000001</v>
      </c>
      <c r="O1745">
        <v>87.581800000000001</v>
      </c>
      <c r="P1745">
        <v>0</v>
      </c>
      <c r="Q1745">
        <v>0</v>
      </c>
      <c r="R1745">
        <v>0</v>
      </c>
      <c r="S1745">
        <v>87.890900000000002</v>
      </c>
      <c r="T1745">
        <v>87.1</v>
      </c>
      <c r="U1745">
        <v>87.1</v>
      </c>
      <c r="V1745">
        <v>87.1</v>
      </c>
      <c r="W1745">
        <v>1838161</v>
      </c>
      <c r="X1745">
        <v>85.000699999999995</v>
      </c>
      <c r="Y1745">
        <v>92.918000000000006</v>
      </c>
      <c r="Z1745">
        <v>1</v>
      </c>
      <c r="AA1745">
        <v>5000000</v>
      </c>
      <c r="AB1745">
        <v>1838160.58</v>
      </c>
      <c r="AC1745">
        <v>0</v>
      </c>
      <c r="AD1745" t="s">
        <v>1663</v>
      </c>
      <c r="AE1745" t="s">
        <v>94</v>
      </c>
      <c r="AF1745" t="s">
        <v>304</v>
      </c>
      <c r="AG1745" t="s">
        <v>226</v>
      </c>
      <c r="AH1745">
        <v>800</v>
      </c>
      <c r="AI1745" t="s">
        <v>3537</v>
      </c>
      <c r="AJ1745" t="s">
        <v>1976</v>
      </c>
      <c r="AK1745" t="s">
        <v>2416</v>
      </c>
      <c r="AL1745" t="s">
        <v>272</v>
      </c>
    </row>
    <row r="1746" spans="1:38">
      <c r="A1746" t="s">
        <v>7630</v>
      </c>
      <c r="B1746" t="s">
        <v>7631</v>
      </c>
      <c r="C1746" t="s">
        <v>7632</v>
      </c>
      <c r="D1746" t="s">
        <v>7632</v>
      </c>
      <c r="E1746" t="s">
        <v>7633</v>
      </c>
      <c r="F1746" t="s">
        <v>2413</v>
      </c>
      <c r="G1746">
        <v>2</v>
      </c>
      <c r="H1746">
        <v>1</v>
      </c>
      <c r="I1746">
        <v>0.01</v>
      </c>
      <c r="J1746">
        <v>1000</v>
      </c>
      <c r="K1746">
        <v>0.17</v>
      </c>
      <c r="L1746">
        <v>96.46</v>
      </c>
      <c r="M1746">
        <v>96.3</v>
      </c>
      <c r="N1746">
        <v>96.35</v>
      </c>
      <c r="O1746">
        <v>96.44</v>
      </c>
      <c r="P1746">
        <v>0</v>
      </c>
      <c r="Q1746">
        <v>0</v>
      </c>
      <c r="R1746">
        <v>0</v>
      </c>
      <c r="S1746">
        <v>96.22</v>
      </c>
      <c r="T1746">
        <v>96.48</v>
      </c>
      <c r="U1746">
        <v>96.1</v>
      </c>
      <c r="V1746">
        <v>96.5</v>
      </c>
      <c r="W1746">
        <v>27595767</v>
      </c>
      <c r="X1746">
        <v>96.4</v>
      </c>
      <c r="Y1746">
        <v>96.46</v>
      </c>
      <c r="Z1746">
        <v>353</v>
      </c>
      <c r="AA1746">
        <v>100000000</v>
      </c>
      <c r="AB1746">
        <v>21221.200000000001</v>
      </c>
      <c r="AC1746">
        <v>0</v>
      </c>
      <c r="AD1746" t="s">
        <v>94</v>
      </c>
      <c r="AE1746" t="s">
        <v>94</v>
      </c>
      <c r="AF1746" t="s">
        <v>226</v>
      </c>
      <c r="AG1746" t="s">
        <v>226</v>
      </c>
      <c r="AH1746">
        <v>800</v>
      </c>
      <c r="AI1746" t="s">
        <v>3537</v>
      </c>
      <c r="AJ1746" t="s">
        <v>1976</v>
      </c>
      <c r="AK1746" t="s">
        <v>2416</v>
      </c>
      <c r="AL1746" t="s">
        <v>272</v>
      </c>
    </row>
    <row r="1747" spans="1:38">
      <c r="A1747" t="s">
        <v>7634</v>
      </c>
      <c r="B1747" t="s">
        <v>7635</v>
      </c>
      <c r="C1747" t="s">
        <v>7636</v>
      </c>
      <c r="D1747" t="s">
        <v>7636</v>
      </c>
      <c r="E1747" t="s">
        <v>7637</v>
      </c>
      <c r="F1747" t="s">
        <v>2425</v>
      </c>
      <c r="G1747">
        <v>3</v>
      </c>
      <c r="H1747">
        <v>1</v>
      </c>
      <c r="I1747">
        <v>1E-4</v>
      </c>
      <c r="J1747">
        <v>1000</v>
      </c>
      <c r="K1747">
        <v>-0.53</v>
      </c>
      <c r="L1747">
        <v>93.5</v>
      </c>
      <c r="M1747">
        <v>94.017099999999999</v>
      </c>
      <c r="N1747">
        <v>95.941999999999993</v>
      </c>
      <c r="O1747">
        <v>93.5</v>
      </c>
      <c r="P1747">
        <v>0</v>
      </c>
      <c r="Q1747">
        <v>0</v>
      </c>
      <c r="R1747">
        <v>0</v>
      </c>
      <c r="S1747">
        <v>93.516300000000001</v>
      </c>
      <c r="T1747">
        <v>94</v>
      </c>
      <c r="U1747">
        <v>93.499899999999997</v>
      </c>
      <c r="V1747">
        <v>94</v>
      </c>
      <c r="W1747">
        <v>111219305</v>
      </c>
      <c r="X1747">
        <v>92.9</v>
      </c>
      <c r="Y1747">
        <v>93.5</v>
      </c>
      <c r="Z1747">
        <v>11</v>
      </c>
      <c r="AA1747">
        <v>315559</v>
      </c>
      <c r="AB1747">
        <v>105540585.36</v>
      </c>
      <c r="AC1747">
        <v>0</v>
      </c>
      <c r="AD1747" t="s">
        <v>2</v>
      </c>
      <c r="AE1747" t="s">
        <v>94</v>
      </c>
      <c r="AF1747" t="s">
        <v>226</v>
      </c>
      <c r="AG1747" t="s">
        <v>226</v>
      </c>
      <c r="AH1747">
        <v>-100</v>
      </c>
      <c r="AI1747" t="s">
        <v>3537</v>
      </c>
      <c r="AJ1747" t="s">
        <v>1976</v>
      </c>
      <c r="AK1747" t="s">
        <v>2426</v>
      </c>
      <c r="AL1747" t="s">
        <v>272</v>
      </c>
    </row>
    <row r="1748" spans="1:38">
      <c r="A1748" t="s">
        <v>7638</v>
      </c>
      <c r="B1748" t="s">
        <v>7639</v>
      </c>
      <c r="C1748" t="s">
        <v>7640</v>
      </c>
      <c r="D1748" t="s">
        <v>7640</v>
      </c>
      <c r="E1748" t="s">
        <v>7641</v>
      </c>
      <c r="F1748" t="s">
        <v>2425</v>
      </c>
      <c r="G1748">
        <v>3</v>
      </c>
      <c r="H1748">
        <v>1</v>
      </c>
      <c r="I1748">
        <v>1E-4</v>
      </c>
      <c r="J1748">
        <v>1000</v>
      </c>
      <c r="K1748">
        <v>-1.17</v>
      </c>
      <c r="L1748">
        <v>84.5</v>
      </c>
      <c r="M1748">
        <v>86</v>
      </c>
      <c r="N1748">
        <v>86.172899999999998</v>
      </c>
      <c r="O1748">
        <v>84.5</v>
      </c>
      <c r="P1748">
        <v>0</v>
      </c>
      <c r="Q1748">
        <v>0</v>
      </c>
      <c r="R1748">
        <v>0</v>
      </c>
      <c r="S1748">
        <v>84.5</v>
      </c>
      <c r="T1748">
        <v>84.5017</v>
      </c>
      <c r="U1748">
        <v>84.5</v>
      </c>
      <c r="V1748">
        <v>84.5017</v>
      </c>
      <c r="W1748">
        <v>155230638</v>
      </c>
      <c r="X1748">
        <v>84.040099999999995</v>
      </c>
      <c r="Y1748">
        <v>84.999899999999997</v>
      </c>
      <c r="Z1748">
        <v>10</v>
      </c>
      <c r="AA1748">
        <v>333485</v>
      </c>
      <c r="AB1748">
        <v>20996513.690000001</v>
      </c>
      <c r="AC1748">
        <v>0</v>
      </c>
      <c r="AD1748" t="s">
        <v>2</v>
      </c>
      <c r="AE1748" t="s">
        <v>94</v>
      </c>
      <c r="AF1748" t="s">
        <v>226</v>
      </c>
      <c r="AG1748" t="s">
        <v>226</v>
      </c>
      <c r="AH1748">
        <v>-100</v>
      </c>
      <c r="AI1748" t="s">
        <v>3537</v>
      </c>
      <c r="AJ1748" t="s">
        <v>1976</v>
      </c>
      <c r="AK1748" t="s">
        <v>2426</v>
      </c>
      <c r="AL1748" t="s">
        <v>272</v>
      </c>
    </row>
    <row r="1749" spans="1:38">
      <c r="A1749" t="s">
        <v>7642</v>
      </c>
      <c r="B1749" t="s">
        <v>7643</v>
      </c>
      <c r="C1749" t="s">
        <v>7644</v>
      </c>
      <c r="D1749" t="s">
        <v>7644</v>
      </c>
      <c r="E1749" t="s">
        <v>7645</v>
      </c>
      <c r="F1749" t="s">
        <v>2413</v>
      </c>
      <c r="G1749">
        <v>3</v>
      </c>
      <c r="H1749">
        <v>1</v>
      </c>
      <c r="I1749">
        <v>0.01</v>
      </c>
      <c r="J1749">
        <v>1000</v>
      </c>
      <c r="K1749">
        <v>0.1</v>
      </c>
      <c r="L1749">
        <v>88.48</v>
      </c>
      <c r="M1749">
        <v>88.39</v>
      </c>
      <c r="N1749">
        <v>88.83</v>
      </c>
      <c r="O1749">
        <v>88.28</v>
      </c>
      <c r="P1749">
        <v>0</v>
      </c>
      <c r="Q1749">
        <v>0</v>
      </c>
      <c r="R1749">
        <v>0</v>
      </c>
      <c r="S1749">
        <v>88.05</v>
      </c>
      <c r="T1749">
        <v>90.26</v>
      </c>
      <c r="U1749">
        <v>87</v>
      </c>
      <c r="V1749">
        <v>90.26</v>
      </c>
      <c r="W1749">
        <v>465810</v>
      </c>
      <c r="X1749">
        <v>88.07</v>
      </c>
      <c r="Y1749">
        <v>88.48</v>
      </c>
      <c r="Z1749">
        <v>137</v>
      </c>
      <c r="AA1749">
        <v>150000</v>
      </c>
      <c r="AB1749">
        <v>884.8</v>
      </c>
      <c r="AC1749">
        <v>0</v>
      </c>
      <c r="AD1749" t="s">
        <v>94</v>
      </c>
      <c r="AE1749" t="s">
        <v>94</v>
      </c>
      <c r="AF1749" t="s">
        <v>226</v>
      </c>
      <c r="AG1749" t="s">
        <v>226</v>
      </c>
      <c r="AH1749">
        <v>6</v>
      </c>
      <c r="AI1749" t="s">
        <v>3537</v>
      </c>
      <c r="AJ1749" t="s">
        <v>1976</v>
      </c>
      <c r="AK1749" t="s">
        <v>2416</v>
      </c>
      <c r="AL1749" t="s">
        <v>272</v>
      </c>
    </row>
    <row r="1750" spans="1:38">
      <c r="A1750" t="s">
        <v>7646</v>
      </c>
      <c r="B1750" t="s">
        <v>7647</v>
      </c>
      <c r="C1750" t="s">
        <v>7648</v>
      </c>
      <c r="D1750" t="s">
        <v>7648</v>
      </c>
      <c r="E1750" t="s">
        <v>7649</v>
      </c>
      <c r="F1750" t="s">
        <v>2413</v>
      </c>
      <c r="G1750">
        <v>3</v>
      </c>
      <c r="H1750">
        <v>1</v>
      </c>
      <c r="I1750">
        <v>0.01</v>
      </c>
      <c r="J1750">
        <v>1000</v>
      </c>
      <c r="K1750">
        <v>0.13</v>
      </c>
      <c r="L1750">
        <v>94.8</v>
      </c>
      <c r="M1750">
        <v>94.68</v>
      </c>
      <c r="N1750">
        <v>94.5</v>
      </c>
      <c r="O1750">
        <v>94.8</v>
      </c>
      <c r="P1750">
        <v>0</v>
      </c>
      <c r="Q1750">
        <v>0</v>
      </c>
      <c r="R1750">
        <v>0</v>
      </c>
      <c r="S1750">
        <v>94.64</v>
      </c>
      <c r="T1750">
        <v>94.22</v>
      </c>
      <c r="U1750">
        <v>94.2</v>
      </c>
      <c r="V1750">
        <v>94.97</v>
      </c>
      <c r="W1750">
        <v>652062</v>
      </c>
      <c r="X1750">
        <v>94.84</v>
      </c>
      <c r="Y1750">
        <v>95</v>
      </c>
      <c r="Z1750">
        <v>35</v>
      </c>
      <c r="AA1750">
        <v>5000000</v>
      </c>
      <c r="AB1750">
        <v>142200</v>
      </c>
      <c r="AC1750">
        <v>0</v>
      </c>
      <c r="AD1750" t="s">
        <v>94</v>
      </c>
      <c r="AE1750" t="s">
        <v>94</v>
      </c>
      <c r="AF1750" t="s">
        <v>226</v>
      </c>
      <c r="AG1750" t="s">
        <v>226</v>
      </c>
      <c r="AH1750">
        <v>6</v>
      </c>
      <c r="AI1750" t="s">
        <v>3537</v>
      </c>
      <c r="AJ1750" t="s">
        <v>1976</v>
      </c>
      <c r="AK1750" t="s">
        <v>2416</v>
      </c>
      <c r="AL1750" t="s">
        <v>272</v>
      </c>
    </row>
    <row r="1751" spans="1:38">
      <c r="A1751" t="s">
        <v>7650</v>
      </c>
      <c r="B1751" t="s">
        <v>7651</v>
      </c>
      <c r="C1751" t="s">
        <v>7652</v>
      </c>
      <c r="D1751" t="s">
        <v>7652</v>
      </c>
      <c r="E1751" t="s">
        <v>7653</v>
      </c>
      <c r="F1751" t="s">
        <v>2413</v>
      </c>
      <c r="G1751">
        <v>2</v>
      </c>
      <c r="H1751">
        <v>1</v>
      </c>
      <c r="I1751">
        <v>0.01</v>
      </c>
      <c r="J1751">
        <v>1000</v>
      </c>
      <c r="K1751">
        <v>1.33</v>
      </c>
      <c r="L1751">
        <v>66.290000000000006</v>
      </c>
      <c r="M1751">
        <v>65.42</v>
      </c>
      <c r="N1751">
        <v>68.430000000000007</v>
      </c>
      <c r="O1751">
        <v>65.760000000000005</v>
      </c>
      <c r="P1751">
        <v>0</v>
      </c>
      <c r="Q1751">
        <v>0</v>
      </c>
      <c r="R1751">
        <v>0</v>
      </c>
      <c r="S1751">
        <v>65.7</v>
      </c>
      <c r="T1751">
        <v>65.459999999999994</v>
      </c>
      <c r="U1751">
        <v>65.459999999999994</v>
      </c>
      <c r="V1751">
        <v>66.52</v>
      </c>
      <c r="W1751">
        <v>29563</v>
      </c>
      <c r="X1751">
        <v>66.209999999999994</v>
      </c>
      <c r="Y1751">
        <v>66.540000000000006</v>
      </c>
      <c r="Z1751">
        <v>22</v>
      </c>
      <c r="AA1751">
        <v>5000000</v>
      </c>
      <c r="AB1751">
        <v>662.9</v>
      </c>
      <c r="AC1751">
        <v>0</v>
      </c>
      <c r="AD1751" t="s">
        <v>94</v>
      </c>
      <c r="AE1751" t="s">
        <v>94</v>
      </c>
      <c r="AF1751" t="s">
        <v>226</v>
      </c>
      <c r="AG1751" t="s">
        <v>226</v>
      </c>
      <c r="AH1751">
        <v>6</v>
      </c>
      <c r="AI1751" t="s">
        <v>3537</v>
      </c>
      <c r="AJ1751" t="s">
        <v>1976</v>
      </c>
      <c r="AK1751" t="s">
        <v>2416</v>
      </c>
      <c r="AL1751" t="s">
        <v>272</v>
      </c>
    </row>
    <row r="1752" spans="1:38">
      <c r="A1752" t="s">
        <v>7654</v>
      </c>
      <c r="B1752" t="s">
        <v>7655</v>
      </c>
      <c r="C1752" t="s">
        <v>7656</v>
      </c>
      <c r="D1752" t="s">
        <v>7656</v>
      </c>
      <c r="E1752" t="s">
        <v>7657</v>
      </c>
      <c r="F1752" t="s">
        <v>2413</v>
      </c>
      <c r="G1752">
        <v>2</v>
      </c>
      <c r="H1752">
        <v>1</v>
      </c>
      <c r="I1752">
        <v>0.01</v>
      </c>
      <c r="J1752">
        <v>1000</v>
      </c>
      <c r="K1752">
        <v>0.16</v>
      </c>
      <c r="L1752">
        <v>74.290000000000006</v>
      </c>
      <c r="M1752">
        <v>74.17</v>
      </c>
      <c r="N1752">
        <v>73.94</v>
      </c>
      <c r="O1752">
        <v>74.25</v>
      </c>
      <c r="P1752">
        <v>0</v>
      </c>
      <c r="Q1752">
        <v>0</v>
      </c>
      <c r="R1752">
        <v>0</v>
      </c>
      <c r="S1752">
        <v>74.069999999999993</v>
      </c>
      <c r="T1752">
        <v>74.23</v>
      </c>
      <c r="U1752">
        <v>73.540000000000006</v>
      </c>
      <c r="V1752">
        <v>74.45</v>
      </c>
      <c r="W1752">
        <v>726626</v>
      </c>
      <c r="X1752">
        <v>74.349999999999994</v>
      </c>
      <c r="Y1752">
        <v>74.459999999999994</v>
      </c>
      <c r="Z1752">
        <v>117</v>
      </c>
      <c r="AA1752">
        <v>7500000</v>
      </c>
      <c r="AB1752">
        <v>1485.8</v>
      </c>
      <c r="AC1752">
        <v>0</v>
      </c>
      <c r="AD1752" t="s">
        <v>94</v>
      </c>
      <c r="AE1752" t="s">
        <v>94</v>
      </c>
      <c r="AF1752" t="s">
        <v>226</v>
      </c>
      <c r="AG1752" t="s">
        <v>226</v>
      </c>
      <c r="AH1752">
        <v>6</v>
      </c>
      <c r="AI1752" t="s">
        <v>3537</v>
      </c>
      <c r="AJ1752" t="s">
        <v>1976</v>
      </c>
      <c r="AK1752" t="s">
        <v>2416</v>
      </c>
      <c r="AL1752" t="s">
        <v>272</v>
      </c>
    </row>
    <row r="1753" spans="1:38">
      <c r="A1753" t="s">
        <v>7658</v>
      </c>
      <c r="B1753" t="s">
        <v>7659</v>
      </c>
      <c r="C1753" t="s">
        <v>7660</v>
      </c>
      <c r="D1753" t="s">
        <v>7660</v>
      </c>
      <c r="E1753" t="s">
        <v>7661</v>
      </c>
      <c r="F1753" t="s">
        <v>2413</v>
      </c>
      <c r="G1753">
        <v>2</v>
      </c>
      <c r="H1753">
        <v>1</v>
      </c>
      <c r="I1753">
        <v>0.01</v>
      </c>
      <c r="J1753">
        <v>1000</v>
      </c>
      <c r="K1753">
        <v>-0.83</v>
      </c>
      <c r="L1753">
        <v>75.680000000000007</v>
      </c>
      <c r="M1753">
        <v>76.31</v>
      </c>
      <c r="N1753">
        <v>76.739999999999995</v>
      </c>
      <c r="O1753">
        <v>75.67</v>
      </c>
      <c r="P1753">
        <v>0</v>
      </c>
      <c r="Q1753">
        <v>0</v>
      </c>
      <c r="R1753">
        <v>0</v>
      </c>
      <c r="S1753">
        <v>75.84</v>
      </c>
      <c r="T1753">
        <v>76.34</v>
      </c>
      <c r="U1753">
        <v>75.010000000000005</v>
      </c>
      <c r="V1753">
        <v>76.34</v>
      </c>
      <c r="W1753">
        <v>1708710</v>
      </c>
      <c r="X1753">
        <v>75.69</v>
      </c>
      <c r="Y1753">
        <v>75.7</v>
      </c>
      <c r="Z1753">
        <v>243</v>
      </c>
      <c r="AA1753">
        <v>3500000</v>
      </c>
      <c r="AB1753">
        <v>756.8</v>
      </c>
      <c r="AC1753">
        <v>0</v>
      </c>
      <c r="AD1753" t="s">
        <v>94</v>
      </c>
      <c r="AE1753" t="s">
        <v>94</v>
      </c>
      <c r="AF1753" t="s">
        <v>226</v>
      </c>
      <c r="AG1753" t="s">
        <v>226</v>
      </c>
      <c r="AH1753">
        <v>6</v>
      </c>
      <c r="AI1753" t="s">
        <v>3537</v>
      </c>
      <c r="AJ1753" t="s">
        <v>1976</v>
      </c>
      <c r="AK1753" t="s">
        <v>2416</v>
      </c>
      <c r="AL1753" t="s">
        <v>272</v>
      </c>
    </row>
    <row r="1754" spans="1:38">
      <c r="A1754" t="s">
        <v>7662</v>
      </c>
      <c r="B1754" t="s">
        <v>7663</v>
      </c>
      <c r="C1754" t="s">
        <v>7664</v>
      </c>
      <c r="D1754" t="s">
        <v>7664</v>
      </c>
      <c r="E1754" t="s">
        <v>7665</v>
      </c>
      <c r="F1754" t="s">
        <v>2413</v>
      </c>
      <c r="G1754">
        <v>3</v>
      </c>
      <c r="H1754">
        <v>1</v>
      </c>
      <c r="I1754">
        <v>0.01</v>
      </c>
      <c r="J1754">
        <v>1000</v>
      </c>
      <c r="K1754">
        <v>-0.12</v>
      </c>
      <c r="L1754">
        <v>74.48</v>
      </c>
      <c r="M1754">
        <v>74.45</v>
      </c>
      <c r="N1754">
        <v>74.41</v>
      </c>
      <c r="O1754">
        <v>74.47</v>
      </c>
      <c r="P1754">
        <v>0</v>
      </c>
      <c r="Q1754">
        <v>0</v>
      </c>
      <c r="R1754">
        <v>0</v>
      </c>
      <c r="S1754">
        <v>74.45</v>
      </c>
      <c r="T1754">
        <v>74.319999999999993</v>
      </c>
      <c r="U1754">
        <v>74.3</v>
      </c>
      <c r="V1754">
        <v>74.61</v>
      </c>
      <c r="W1754">
        <v>974591</v>
      </c>
      <c r="X1754">
        <v>74.48</v>
      </c>
      <c r="Y1754">
        <v>74.5</v>
      </c>
      <c r="Z1754">
        <v>115</v>
      </c>
      <c r="AA1754">
        <v>8500000</v>
      </c>
      <c r="AB1754">
        <v>25323.200000000001</v>
      </c>
      <c r="AC1754">
        <v>0</v>
      </c>
      <c r="AD1754" t="s">
        <v>94</v>
      </c>
      <c r="AE1754" t="s">
        <v>94</v>
      </c>
      <c r="AF1754" t="s">
        <v>226</v>
      </c>
      <c r="AG1754" t="s">
        <v>226</v>
      </c>
      <c r="AH1754">
        <v>6</v>
      </c>
      <c r="AI1754" t="s">
        <v>3537</v>
      </c>
      <c r="AJ1754" t="s">
        <v>1976</v>
      </c>
      <c r="AK1754" t="s">
        <v>2416</v>
      </c>
      <c r="AL1754" t="s">
        <v>272</v>
      </c>
    </row>
    <row r="1755" spans="1:38">
      <c r="A1755" t="s">
        <v>7666</v>
      </c>
      <c r="B1755" t="s">
        <v>7667</v>
      </c>
      <c r="C1755" t="s">
        <v>7668</v>
      </c>
      <c r="D1755" t="s">
        <v>7668</v>
      </c>
      <c r="E1755" t="s">
        <v>7669</v>
      </c>
      <c r="F1755" t="s">
        <v>2413</v>
      </c>
      <c r="G1755">
        <v>2</v>
      </c>
      <c r="H1755">
        <v>1</v>
      </c>
      <c r="I1755">
        <v>0.01</v>
      </c>
      <c r="J1755">
        <v>1000</v>
      </c>
      <c r="K1755">
        <v>7.0000000000000007E-2</v>
      </c>
      <c r="L1755">
        <v>85.85</v>
      </c>
      <c r="M1755">
        <v>85.69</v>
      </c>
      <c r="N1755">
        <v>85.63</v>
      </c>
      <c r="O1755">
        <v>85.85</v>
      </c>
      <c r="P1755">
        <v>0</v>
      </c>
      <c r="Q1755">
        <v>0</v>
      </c>
      <c r="R1755">
        <v>0</v>
      </c>
      <c r="S1755">
        <v>85.83</v>
      </c>
      <c r="T1755">
        <v>85.71</v>
      </c>
      <c r="U1755">
        <v>85.71</v>
      </c>
      <c r="V1755">
        <v>85.85</v>
      </c>
      <c r="W1755">
        <v>11158</v>
      </c>
      <c r="X1755">
        <v>85.35</v>
      </c>
      <c r="Y1755">
        <v>85.85</v>
      </c>
      <c r="Z1755">
        <v>6</v>
      </c>
      <c r="AA1755">
        <v>5000000</v>
      </c>
      <c r="AB1755">
        <v>2575.5</v>
      </c>
      <c r="AC1755">
        <v>0</v>
      </c>
      <c r="AD1755" t="s">
        <v>94</v>
      </c>
      <c r="AE1755" t="s">
        <v>94</v>
      </c>
      <c r="AF1755" t="s">
        <v>226</v>
      </c>
      <c r="AG1755" t="s">
        <v>226</v>
      </c>
      <c r="AH1755">
        <v>-100</v>
      </c>
      <c r="AI1755" t="s">
        <v>3537</v>
      </c>
      <c r="AJ1755" t="s">
        <v>1976</v>
      </c>
      <c r="AK1755" t="s">
        <v>2416</v>
      </c>
      <c r="AL1755" t="s">
        <v>272</v>
      </c>
    </row>
    <row r="1756" spans="1:38">
      <c r="A1756" t="s">
        <v>7670</v>
      </c>
      <c r="B1756" t="s">
        <v>7671</v>
      </c>
      <c r="C1756" t="s">
        <v>7672</v>
      </c>
      <c r="D1756" t="s">
        <v>7672</v>
      </c>
      <c r="E1756" t="s">
        <v>7673</v>
      </c>
      <c r="F1756" t="s">
        <v>2425</v>
      </c>
      <c r="G1756">
        <v>3</v>
      </c>
      <c r="H1756">
        <v>1</v>
      </c>
      <c r="I1756">
        <v>0.01</v>
      </c>
      <c r="J1756">
        <v>1000</v>
      </c>
      <c r="K1756">
        <v>0.21</v>
      </c>
      <c r="L1756">
        <v>85.99</v>
      </c>
      <c r="M1756">
        <v>85.81</v>
      </c>
      <c r="N1756">
        <v>83.7</v>
      </c>
      <c r="O1756">
        <v>85.99</v>
      </c>
      <c r="P1756">
        <v>0</v>
      </c>
      <c r="Q1756">
        <v>0</v>
      </c>
      <c r="R1756">
        <v>0</v>
      </c>
      <c r="S1756">
        <v>86.07</v>
      </c>
      <c r="T1756">
        <v>86.19</v>
      </c>
      <c r="U1756">
        <v>85.99</v>
      </c>
      <c r="V1756">
        <v>86.19</v>
      </c>
      <c r="W1756">
        <v>9467</v>
      </c>
      <c r="X1756">
        <v>85.82</v>
      </c>
      <c r="Y1756">
        <v>85.98</v>
      </c>
      <c r="Z1756">
        <v>7</v>
      </c>
      <c r="AA1756">
        <v>6642000</v>
      </c>
      <c r="AB1756">
        <v>859.9</v>
      </c>
      <c r="AC1756">
        <v>0</v>
      </c>
      <c r="AD1756" t="s">
        <v>94</v>
      </c>
      <c r="AE1756" t="s">
        <v>94</v>
      </c>
      <c r="AF1756" t="s">
        <v>226</v>
      </c>
      <c r="AG1756" t="s">
        <v>226</v>
      </c>
      <c r="AH1756">
        <v>-100</v>
      </c>
      <c r="AI1756" t="s">
        <v>3537</v>
      </c>
      <c r="AJ1756" t="s">
        <v>1976</v>
      </c>
      <c r="AK1756" t="s">
        <v>2426</v>
      </c>
      <c r="AL1756" t="s">
        <v>272</v>
      </c>
    </row>
    <row r="1757" spans="1:38">
      <c r="A1757" t="s">
        <v>7674</v>
      </c>
      <c r="B1757" t="s">
        <v>7675</v>
      </c>
      <c r="C1757" t="s">
        <v>7676</v>
      </c>
      <c r="D1757" t="s">
        <v>7676</v>
      </c>
      <c r="E1757" t="s">
        <v>7677</v>
      </c>
      <c r="F1757" t="s">
        <v>2413</v>
      </c>
      <c r="G1757">
        <v>3</v>
      </c>
      <c r="H1757">
        <v>1</v>
      </c>
      <c r="I1757">
        <v>0.01</v>
      </c>
      <c r="J1757">
        <v>1000</v>
      </c>
      <c r="K1757">
        <v>1.06</v>
      </c>
      <c r="L1757">
        <v>94.98</v>
      </c>
      <c r="M1757">
        <v>93.98</v>
      </c>
      <c r="N1757">
        <v>92.13</v>
      </c>
      <c r="O1757">
        <v>94.99</v>
      </c>
      <c r="P1757">
        <v>0</v>
      </c>
      <c r="Q1757">
        <v>0</v>
      </c>
      <c r="R1757">
        <v>0</v>
      </c>
      <c r="S1757">
        <v>93.39</v>
      </c>
      <c r="T1757">
        <v>93.96</v>
      </c>
      <c r="U1757">
        <v>91.88</v>
      </c>
      <c r="V1757">
        <v>95</v>
      </c>
      <c r="W1757">
        <v>1200038</v>
      </c>
      <c r="X1757">
        <v>94.98</v>
      </c>
      <c r="Y1757">
        <v>94.99</v>
      </c>
      <c r="Z1757">
        <v>145</v>
      </c>
      <c r="AA1757">
        <v>400000</v>
      </c>
      <c r="AB1757">
        <v>949.8</v>
      </c>
      <c r="AC1757">
        <v>0</v>
      </c>
      <c r="AD1757" t="s">
        <v>94</v>
      </c>
      <c r="AE1757" t="s">
        <v>94</v>
      </c>
      <c r="AF1757" t="s">
        <v>226</v>
      </c>
      <c r="AG1757" t="s">
        <v>226</v>
      </c>
      <c r="AH1757">
        <v>6</v>
      </c>
      <c r="AI1757" t="s">
        <v>3537</v>
      </c>
      <c r="AJ1757" t="s">
        <v>1976</v>
      </c>
      <c r="AK1757" t="s">
        <v>2416</v>
      </c>
      <c r="AL1757" t="s">
        <v>272</v>
      </c>
    </row>
    <row r="1758" spans="1:38">
      <c r="A1758" t="s">
        <v>7678</v>
      </c>
      <c r="B1758" t="s">
        <v>7679</v>
      </c>
      <c r="C1758" t="s">
        <v>7680</v>
      </c>
      <c r="D1758" t="s">
        <v>7680</v>
      </c>
      <c r="E1758" t="s">
        <v>7681</v>
      </c>
      <c r="F1758" t="s">
        <v>2413</v>
      </c>
      <c r="G1758">
        <v>3</v>
      </c>
      <c r="H1758">
        <v>1</v>
      </c>
      <c r="I1758">
        <v>0.01</v>
      </c>
      <c r="J1758">
        <v>1000</v>
      </c>
      <c r="K1758">
        <v>1.4</v>
      </c>
      <c r="L1758">
        <v>93.26</v>
      </c>
      <c r="M1758">
        <v>91.97</v>
      </c>
      <c r="N1758">
        <v>94.44</v>
      </c>
      <c r="O1758">
        <v>93.26</v>
      </c>
      <c r="P1758">
        <v>0</v>
      </c>
      <c r="Q1758">
        <v>0</v>
      </c>
      <c r="R1758">
        <v>0</v>
      </c>
      <c r="S1758">
        <v>93.11</v>
      </c>
      <c r="T1758">
        <v>93.09</v>
      </c>
      <c r="U1758">
        <v>93.09</v>
      </c>
      <c r="V1758">
        <v>93.26</v>
      </c>
      <c r="W1758">
        <v>7449</v>
      </c>
      <c r="X1758">
        <v>93.47</v>
      </c>
      <c r="Y1758">
        <v>93.75</v>
      </c>
      <c r="Z1758">
        <v>4</v>
      </c>
      <c r="AA1758">
        <v>1000000</v>
      </c>
      <c r="AB1758">
        <v>932.6</v>
      </c>
      <c r="AC1758">
        <v>0</v>
      </c>
      <c r="AD1758" t="s">
        <v>94</v>
      </c>
      <c r="AE1758" t="s">
        <v>94</v>
      </c>
      <c r="AF1758" t="s">
        <v>226</v>
      </c>
      <c r="AG1758" t="s">
        <v>226</v>
      </c>
      <c r="AH1758">
        <v>6</v>
      </c>
      <c r="AI1758" t="s">
        <v>3537</v>
      </c>
      <c r="AJ1758" t="s">
        <v>1976</v>
      </c>
      <c r="AK1758" t="s">
        <v>2416</v>
      </c>
      <c r="AL1758" t="s">
        <v>272</v>
      </c>
    </row>
    <row r="1759" spans="1:38">
      <c r="A1759" t="s">
        <v>7682</v>
      </c>
      <c r="B1759" t="s">
        <v>7683</v>
      </c>
      <c r="C1759" t="s">
        <v>7684</v>
      </c>
      <c r="D1759" t="s">
        <v>7684</v>
      </c>
      <c r="E1759" t="s">
        <v>7685</v>
      </c>
      <c r="F1759" t="s">
        <v>2413</v>
      </c>
      <c r="G1759">
        <v>3</v>
      </c>
      <c r="H1759">
        <v>1</v>
      </c>
      <c r="I1759">
        <v>0.01</v>
      </c>
      <c r="J1759">
        <v>1000</v>
      </c>
      <c r="K1759">
        <v>1.1399999999999999</v>
      </c>
      <c r="L1759">
        <v>87.99</v>
      </c>
      <c r="M1759">
        <v>87</v>
      </c>
      <c r="N1759">
        <v>87.57</v>
      </c>
      <c r="O1759">
        <v>87.99</v>
      </c>
      <c r="P1759">
        <v>0</v>
      </c>
      <c r="Q1759">
        <v>0</v>
      </c>
      <c r="R1759">
        <v>0</v>
      </c>
      <c r="S1759">
        <v>88.43</v>
      </c>
      <c r="T1759">
        <v>87.91</v>
      </c>
      <c r="U1759">
        <v>86.89</v>
      </c>
      <c r="V1759">
        <v>89</v>
      </c>
      <c r="W1759">
        <v>283850</v>
      </c>
      <c r="X1759">
        <v>87.6</v>
      </c>
      <c r="Y1759">
        <v>87.99</v>
      </c>
      <c r="Z1759">
        <v>38</v>
      </c>
      <c r="AA1759">
        <v>700000</v>
      </c>
      <c r="AB1759">
        <v>3519.6</v>
      </c>
      <c r="AC1759">
        <v>0</v>
      </c>
      <c r="AD1759" t="s">
        <v>94</v>
      </c>
      <c r="AE1759" t="s">
        <v>94</v>
      </c>
      <c r="AF1759" t="s">
        <v>226</v>
      </c>
      <c r="AG1759" t="s">
        <v>226</v>
      </c>
      <c r="AH1759">
        <v>6</v>
      </c>
      <c r="AI1759" t="s">
        <v>3537</v>
      </c>
      <c r="AJ1759" t="s">
        <v>1976</v>
      </c>
      <c r="AK1759" t="s">
        <v>2416</v>
      </c>
      <c r="AL1759" t="s">
        <v>272</v>
      </c>
    </row>
    <row r="1760" spans="1:38">
      <c r="A1760" t="s">
        <v>7686</v>
      </c>
      <c r="B1760" t="s">
        <v>7687</v>
      </c>
      <c r="C1760" t="s">
        <v>7688</v>
      </c>
      <c r="D1760" t="s">
        <v>7688</v>
      </c>
      <c r="E1760" t="s">
        <v>7689</v>
      </c>
      <c r="F1760" t="s">
        <v>2413</v>
      </c>
      <c r="G1760">
        <v>3</v>
      </c>
      <c r="H1760">
        <v>1</v>
      </c>
      <c r="I1760">
        <v>0.01</v>
      </c>
      <c r="J1760">
        <v>1000</v>
      </c>
      <c r="K1760">
        <v>-1.32</v>
      </c>
      <c r="L1760">
        <v>88.81</v>
      </c>
      <c r="M1760">
        <v>90</v>
      </c>
      <c r="N1760">
        <v>89.05</v>
      </c>
      <c r="O1760">
        <v>88.81</v>
      </c>
      <c r="P1760">
        <v>0</v>
      </c>
      <c r="Q1760">
        <v>0</v>
      </c>
      <c r="R1760">
        <v>0</v>
      </c>
      <c r="S1760">
        <v>88.9</v>
      </c>
      <c r="T1760">
        <v>90.14</v>
      </c>
      <c r="U1760">
        <v>88.19</v>
      </c>
      <c r="V1760">
        <v>90.15</v>
      </c>
      <c r="W1760">
        <v>1059700</v>
      </c>
      <c r="X1760">
        <v>88.52</v>
      </c>
      <c r="Y1760">
        <v>88.81</v>
      </c>
      <c r="Z1760">
        <v>124</v>
      </c>
      <c r="AA1760">
        <v>600000</v>
      </c>
      <c r="AB1760">
        <v>126110.2</v>
      </c>
      <c r="AC1760">
        <v>0</v>
      </c>
      <c r="AD1760" t="s">
        <v>94</v>
      </c>
      <c r="AE1760" t="s">
        <v>94</v>
      </c>
      <c r="AF1760" t="s">
        <v>226</v>
      </c>
      <c r="AG1760" t="s">
        <v>226</v>
      </c>
      <c r="AH1760">
        <v>800</v>
      </c>
      <c r="AI1760" t="s">
        <v>3537</v>
      </c>
      <c r="AJ1760" t="s">
        <v>1976</v>
      </c>
      <c r="AK1760" t="s">
        <v>2416</v>
      </c>
      <c r="AL1760" t="s">
        <v>272</v>
      </c>
    </row>
    <row r="1761" spans="1:38">
      <c r="A1761" t="s">
        <v>7690</v>
      </c>
      <c r="B1761" t="s">
        <v>7691</v>
      </c>
      <c r="C1761" t="s">
        <v>7692</v>
      </c>
      <c r="D1761" t="s">
        <v>7692</v>
      </c>
      <c r="E1761" t="s">
        <v>7693</v>
      </c>
      <c r="F1761" t="s">
        <v>3754</v>
      </c>
      <c r="G1761">
        <v>1</v>
      </c>
      <c r="H1761">
        <v>1</v>
      </c>
      <c r="I1761">
        <v>0.01</v>
      </c>
      <c r="J1761">
        <v>700</v>
      </c>
      <c r="K1761">
        <v>-0.2</v>
      </c>
      <c r="L1761">
        <v>90</v>
      </c>
      <c r="M1761">
        <v>90.18</v>
      </c>
      <c r="N1761">
        <v>90.47</v>
      </c>
      <c r="O1761">
        <v>90</v>
      </c>
      <c r="P1761">
        <v>0</v>
      </c>
      <c r="Q1761">
        <v>0</v>
      </c>
      <c r="R1761">
        <v>0</v>
      </c>
      <c r="S1761">
        <v>90.03</v>
      </c>
      <c r="T1761">
        <v>90.52</v>
      </c>
      <c r="U1761">
        <v>89.96</v>
      </c>
      <c r="V1761">
        <v>90.52</v>
      </c>
      <c r="W1761">
        <v>36551</v>
      </c>
      <c r="X1761">
        <v>89.96</v>
      </c>
      <c r="Y1761">
        <v>90.01</v>
      </c>
      <c r="Z1761">
        <v>22</v>
      </c>
      <c r="AA1761">
        <v>5000000</v>
      </c>
      <c r="AB1761">
        <v>4410</v>
      </c>
      <c r="AC1761">
        <v>0</v>
      </c>
      <c r="AD1761" t="s">
        <v>94</v>
      </c>
      <c r="AE1761" t="s">
        <v>94</v>
      </c>
      <c r="AF1761" t="s">
        <v>226</v>
      </c>
      <c r="AG1761" t="s">
        <v>226</v>
      </c>
      <c r="AH1761">
        <v>-100</v>
      </c>
      <c r="AI1761" t="s">
        <v>3537</v>
      </c>
      <c r="AJ1761" t="s">
        <v>1976</v>
      </c>
      <c r="AK1761" t="s">
        <v>3755</v>
      </c>
      <c r="AL1761" t="s">
        <v>272</v>
      </c>
    </row>
    <row r="1762" spans="1:38">
      <c r="A1762" t="s">
        <v>7694</v>
      </c>
      <c r="B1762" t="s">
        <v>7695</v>
      </c>
      <c r="C1762" t="s">
        <v>7696</v>
      </c>
      <c r="D1762" t="s">
        <v>7696</v>
      </c>
      <c r="E1762" t="s">
        <v>7697</v>
      </c>
      <c r="F1762" t="s">
        <v>3754</v>
      </c>
      <c r="G1762">
        <v>1</v>
      </c>
      <c r="H1762">
        <v>1</v>
      </c>
      <c r="I1762">
        <v>0.01</v>
      </c>
      <c r="J1762">
        <v>200</v>
      </c>
      <c r="K1762">
        <v>0</v>
      </c>
      <c r="L1762">
        <v>95.93</v>
      </c>
      <c r="M1762">
        <v>95.93</v>
      </c>
      <c r="N1762">
        <v>95.92</v>
      </c>
      <c r="O1762">
        <v>95.94</v>
      </c>
      <c r="P1762">
        <v>0</v>
      </c>
      <c r="Q1762">
        <v>0</v>
      </c>
      <c r="R1762">
        <v>0</v>
      </c>
      <c r="S1762">
        <v>96.07</v>
      </c>
      <c r="T1762">
        <v>96.02</v>
      </c>
      <c r="U1762">
        <v>95.93</v>
      </c>
      <c r="V1762">
        <v>96.5</v>
      </c>
      <c r="W1762">
        <v>172150</v>
      </c>
      <c r="X1762">
        <v>95.92</v>
      </c>
      <c r="Y1762">
        <v>95.98</v>
      </c>
      <c r="Z1762">
        <v>110</v>
      </c>
      <c r="AA1762">
        <v>5000000</v>
      </c>
      <c r="AB1762">
        <v>4796.5</v>
      </c>
      <c r="AC1762">
        <v>0</v>
      </c>
      <c r="AD1762" t="s">
        <v>94</v>
      </c>
      <c r="AE1762" t="s">
        <v>94</v>
      </c>
      <c r="AF1762" t="s">
        <v>226</v>
      </c>
      <c r="AG1762" t="s">
        <v>226</v>
      </c>
      <c r="AH1762">
        <v>-100</v>
      </c>
      <c r="AI1762" t="s">
        <v>3537</v>
      </c>
      <c r="AJ1762" t="s">
        <v>1976</v>
      </c>
      <c r="AK1762" t="s">
        <v>3755</v>
      </c>
      <c r="AL1762" t="s">
        <v>272</v>
      </c>
    </row>
    <row r="1763" spans="1:38">
      <c r="A1763" t="s">
        <v>7698</v>
      </c>
      <c r="B1763" t="s">
        <v>7699</v>
      </c>
      <c r="C1763" t="s">
        <v>7700</v>
      </c>
      <c r="D1763" t="s">
        <v>7700</v>
      </c>
      <c r="E1763" t="s">
        <v>7701</v>
      </c>
      <c r="F1763" t="s">
        <v>3754</v>
      </c>
      <c r="G1763">
        <v>1</v>
      </c>
      <c r="H1763">
        <v>1</v>
      </c>
      <c r="I1763">
        <v>0.01</v>
      </c>
      <c r="J1763">
        <v>1000</v>
      </c>
      <c r="K1763">
        <v>-0.72</v>
      </c>
      <c r="L1763">
        <v>82.78</v>
      </c>
      <c r="M1763">
        <v>83.38</v>
      </c>
      <c r="N1763">
        <v>87.1</v>
      </c>
      <c r="O1763">
        <v>82.78</v>
      </c>
      <c r="P1763">
        <v>0</v>
      </c>
      <c r="Q1763">
        <v>0</v>
      </c>
      <c r="R1763">
        <v>0</v>
      </c>
      <c r="S1763">
        <v>82.32</v>
      </c>
      <c r="T1763">
        <v>82.45</v>
      </c>
      <c r="U1763">
        <v>81.97</v>
      </c>
      <c r="V1763">
        <v>83.24</v>
      </c>
      <c r="W1763">
        <v>57625</v>
      </c>
      <c r="X1763">
        <v>81.83</v>
      </c>
      <c r="Y1763">
        <v>82.8</v>
      </c>
      <c r="Z1763">
        <v>24</v>
      </c>
      <c r="AA1763">
        <v>4000000</v>
      </c>
      <c r="AB1763">
        <v>827.8</v>
      </c>
      <c r="AC1763">
        <v>0</v>
      </c>
      <c r="AD1763" t="s">
        <v>94</v>
      </c>
      <c r="AE1763" t="s">
        <v>94</v>
      </c>
      <c r="AF1763" t="s">
        <v>226</v>
      </c>
      <c r="AG1763" t="s">
        <v>226</v>
      </c>
      <c r="AH1763">
        <v>-100</v>
      </c>
      <c r="AI1763" t="s">
        <v>3537</v>
      </c>
      <c r="AJ1763" t="s">
        <v>1976</v>
      </c>
      <c r="AK1763" t="s">
        <v>3755</v>
      </c>
      <c r="AL1763" t="s">
        <v>272</v>
      </c>
    </row>
    <row r="1764" spans="1:38">
      <c r="A1764" t="s">
        <v>7702</v>
      </c>
      <c r="B1764" t="s">
        <v>7703</v>
      </c>
      <c r="C1764" t="s">
        <v>7704</v>
      </c>
      <c r="D1764" t="s">
        <v>7704</v>
      </c>
      <c r="E1764" t="s">
        <v>7705</v>
      </c>
      <c r="F1764" t="s">
        <v>2425</v>
      </c>
      <c r="G1764">
        <v>3</v>
      </c>
      <c r="H1764">
        <v>1</v>
      </c>
      <c r="I1764">
        <v>0.01</v>
      </c>
      <c r="J1764">
        <v>1000</v>
      </c>
      <c r="K1764">
        <v>0</v>
      </c>
      <c r="L1764">
        <v>40</v>
      </c>
      <c r="M1764">
        <v>40</v>
      </c>
      <c r="N1764">
        <v>38.65</v>
      </c>
      <c r="O1764">
        <v>40</v>
      </c>
      <c r="P1764">
        <v>0</v>
      </c>
      <c r="Q1764">
        <v>0</v>
      </c>
      <c r="R1764">
        <v>0</v>
      </c>
      <c r="S1764">
        <v>40</v>
      </c>
      <c r="T1764">
        <v>40</v>
      </c>
      <c r="U1764">
        <v>40</v>
      </c>
      <c r="V1764">
        <v>40</v>
      </c>
      <c r="W1764">
        <v>83200</v>
      </c>
      <c r="X1764">
        <v>37.01</v>
      </c>
      <c r="Y1764">
        <v>40</v>
      </c>
      <c r="Z1764">
        <v>9</v>
      </c>
      <c r="AA1764">
        <v>200000</v>
      </c>
      <c r="AB1764">
        <v>4800</v>
      </c>
      <c r="AC1764">
        <v>0</v>
      </c>
      <c r="AD1764" t="s">
        <v>94</v>
      </c>
      <c r="AE1764" t="s">
        <v>94</v>
      </c>
      <c r="AF1764" t="s">
        <v>304</v>
      </c>
      <c r="AG1764" t="s">
        <v>226</v>
      </c>
      <c r="AH1764">
        <v>0</v>
      </c>
      <c r="AI1764" t="s">
        <v>3537</v>
      </c>
      <c r="AJ1764" t="s">
        <v>1976</v>
      </c>
      <c r="AK1764" t="s">
        <v>2426</v>
      </c>
      <c r="AL1764" t="s">
        <v>272</v>
      </c>
    </row>
    <row r="1765" spans="1:38">
      <c r="A1765" t="s">
        <v>7706</v>
      </c>
      <c r="B1765" t="s">
        <v>7707</v>
      </c>
      <c r="C1765" t="s">
        <v>7708</v>
      </c>
      <c r="D1765" t="s">
        <v>7708</v>
      </c>
      <c r="E1765" t="s">
        <v>7709</v>
      </c>
      <c r="F1765" t="s">
        <v>2425</v>
      </c>
      <c r="G1765">
        <v>3</v>
      </c>
      <c r="H1765">
        <v>1</v>
      </c>
      <c r="I1765">
        <v>0.01</v>
      </c>
      <c r="J1765">
        <v>1000</v>
      </c>
      <c r="K1765">
        <v>3.71</v>
      </c>
      <c r="L1765">
        <v>52.89</v>
      </c>
      <c r="M1765">
        <v>51</v>
      </c>
      <c r="N1765">
        <v>51.25</v>
      </c>
      <c r="O1765">
        <v>52.89</v>
      </c>
      <c r="P1765">
        <v>0</v>
      </c>
      <c r="Q1765">
        <v>0</v>
      </c>
      <c r="R1765">
        <v>0</v>
      </c>
      <c r="S1765">
        <v>51.26</v>
      </c>
      <c r="T1765">
        <v>51</v>
      </c>
      <c r="U1765">
        <v>51</v>
      </c>
      <c r="V1765">
        <v>52.89</v>
      </c>
      <c r="W1765">
        <v>14866</v>
      </c>
      <c r="X1765">
        <v>50.06</v>
      </c>
      <c r="Y1765">
        <v>52.8</v>
      </c>
      <c r="Z1765">
        <v>2</v>
      </c>
      <c r="AA1765">
        <v>400001</v>
      </c>
      <c r="AB1765">
        <v>2115.6</v>
      </c>
      <c r="AC1765">
        <v>0</v>
      </c>
      <c r="AD1765" t="s">
        <v>94</v>
      </c>
      <c r="AE1765" t="s">
        <v>94</v>
      </c>
      <c r="AF1765" t="s">
        <v>304</v>
      </c>
      <c r="AG1765" t="s">
        <v>226</v>
      </c>
      <c r="AH1765">
        <v>0</v>
      </c>
      <c r="AI1765" t="s">
        <v>3537</v>
      </c>
      <c r="AJ1765" t="s">
        <v>1976</v>
      </c>
      <c r="AK1765" t="s">
        <v>2426</v>
      </c>
      <c r="AL1765" t="s">
        <v>272</v>
      </c>
    </row>
    <row r="1766" spans="1:38">
      <c r="A1766" t="s">
        <v>7710</v>
      </c>
      <c r="B1766" t="s">
        <v>7711</v>
      </c>
      <c r="C1766" t="s">
        <v>7712</v>
      </c>
      <c r="D1766" t="s">
        <v>7712</v>
      </c>
      <c r="E1766" t="s">
        <v>7713</v>
      </c>
      <c r="F1766" t="s">
        <v>2413</v>
      </c>
      <c r="G1766">
        <v>2</v>
      </c>
      <c r="H1766">
        <v>1</v>
      </c>
      <c r="I1766">
        <v>0.01</v>
      </c>
      <c r="J1766">
        <v>1000</v>
      </c>
      <c r="K1766">
        <v>0</v>
      </c>
      <c r="L1766">
        <v>0</v>
      </c>
      <c r="M1766">
        <v>86.55</v>
      </c>
      <c r="N1766">
        <v>83.02</v>
      </c>
      <c r="O1766">
        <v>86.55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86.5</v>
      </c>
      <c r="Y1766">
        <v>87.27</v>
      </c>
      <c r="Z1766">
        <v>0</v>
      </c>
      <c r="AA1766">
        <v>24000000</v>
      </c>
      <c r="AB1766">
        <v>0</v>
      </c>
      <c r="AC1766">
        <v>0</v>
      </c>
      <c r="AD1766" t="s">
        <v>94</v>
      </c>
      <c r="AE1766" t="s">
        <v>94</v>
      </c>
      <c r="AF1766" t="s">
        <v>226</v>
      </c>
      <c r="AG1766" t="s">
        <v>226</v>
      </c>
      <c r="AH1766">
        <v>6</v>
      </c>
      <c r="AI1766" t="s">
        <v>3537</v>
      </c>
      <c r="AJ1766" t="s">
        <v>1976</v>
      </c>
      <c r="AK1766" t="s">
        <v>2416</v>
      </c>
      <c r="AL1766" t="s">
        <v>272</v>
      </c>
    </row>
    <row r="1767" spans="1:38">
      <c r="A1767" t="s">
        <v>7714</v>
      </c>
      <c r="B1767" t="s">
        <v>7715</v>
      </c>
      <c r="C1767" t="s">
        <v>7716</v>
      </c>
      <c r="D1767" t="s">
        <v>7716</v>
      </c>
      <c r="E1767" t="s">
        <v>7717</v>
      </c>
      <c r="F1767" t="s">
        <v>2413</v>
      </c>
      <c r="G1767">
        <v>2</v>
      </c>
      <c r="H1767">
        <v>1</v>
      </c>
      <c r="I1767">
        <v>0.01</v>
      </c>
      <c r="J1767">
        <v>1000</v>
      </c>
      <c r="K1767">
        <v>0</v>
      </c>
      <c r="L1767">
        <v>0</v>
      </c>
      <c r="M1767">
        <v>86.32</v>
      </c>
      <c r="N1767">
        <v>0</v>
      </c>
      <c r="O1767">
        <v>86.32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86.32</v>
      </c>
      <c r="Y1767">
        <v>0</v>
      </c>
      <c r="Z1767">
        <v>0</v>
      </c>
      <c r="AA1767">
        <v>18000000</v>
      </c>
      <c r="AB1767">
        <v>0</v>
      </c>
      <c r="AC1767">
        <v>0</v>
      </c>
      <c r="AD1767" t="s">
        <v>94</v>
      </c>
      <c r="AE1767" t="s">
        <v>94</v>
      </c>
      <c r="AF1767" t="s">
        <v>226</v>
      </c>
      <c r="AG1767" t="s">
        <v>226</v>
      </c>
      <c r="AH1767">
        <v>6</v>
      </c>
      <c r="AI1767" t="s">
        <v>3537</v>
      </c>
      <c r="AJ1767" t="s">
        <v>1976</v>
      </c>
      <c r="AK1767" t="s">
        <v>2416</v>
      </c>
      <c r="AL1767" t="s">
        <v>272</v>
      </c>
    </row>
    <row r="1768" spans="1:38">
      <c r="A1768" t="s">
        <v>7718</v>
      </c>
      <c r="B1768" t="s">
        <v>7719</v>
      </c>
      <c r="C1768" t="s">
        <v>7720</v>
      </c>
      <c r="D1768" t="s">
        <v>7720</v>
      </c>
      <c r="E1768" t="s">
        <v>7721</v>
      </c>
      <c r="F1768" t="s">
        <v>2413</v>
      </c>
      <c r="G1768">
        <v>1</v>
      </c>
      <c r="H1768">
        <v>1</v>
      </c>
      <c r="I1768">
        <v>0.01</v>
      </c>
      <c r="J1768">
        <v>1000</v>
      </c>
      <c r="K1768">
        <v>-0.04</v>
      </c>
      <c r="L1768">
        <v>76.59</v>
      </c>
      <c r="M1768">
        <v>76.709999999999994</v>
      </c>
      <c r="N1768">
        <v>76.13</v>
      </c>
      <c r="O1768">
        <v>76.59</v>
      </c>
      <c r="P1768">
        <v>0</v>
      </c>
      <c r="Q1768">
        <v>0</v>
      </c>
      <c r="R1768">
        <v>0</v>
      </c>
      <c r="S1768">
        <v>75.7</v>
      </c>
      <c r="T1768">
        <v>75.56</v>
      </c>
      <c r="U1768">
        <v>75.55</v>
      </c>
      <c r="V1768">
        <v>76.59</v>
      </c>
      <c r="W1768">
        <v>5299</v>
      </c>
      <c r="X1768">
        <v>75.709999999999994</v>
      </c>
      <c r="Y1768">
        <v>76.59</v>
      </c>
      <c r="Z1768">
        <v>4</v>
      </c>
      <c r="AA1768">
        <v>15000000</v>
      </c>
      <c r="AB1768">
        <v>765.9</v>
      </c>
      <c r="AC1768">
        <v>0</v>
      </c>
      <c r="AD1768" t="s">
        <v>94</v>
      </c>
      <c r="AE1768" t="s">
        <v>94</v>
      </c>
      <c r="AF1768" t="s">
        <v>226</v>
      </c>
      <c r="AG1768" t="s">
        <v>226</v>
      </c>
      <c r="AH1768">
        <v>6</v>
      </c>
      <c r="AI1768" t="s">
        <v>3537</v>
      </c>
      <c r="AJ1768" t="s">
        <v>1976</v>
      </c>
      <c r="AK1768" t="s">
        <v>2416</v>
      </c>
      <c r="AL1768" t="s">
        <v>272</v>
      </c>
    </row>
    <row r="1769" spans="1:38">
      <c r="A1769" t="s">
        <v>7722</v>
      </c>
      <c r="B1769" t="s">
        <v>7723</v>
      </c>
      <c r="C1769" t="s">
        <v>7724</v>
      </c>
      <c r="D1769" t="s">
        <v>7724</v>
      </c>
      <c r="E1769" t="s">
        <v>7725</v>
      </c>
      <c r="F1769" t="s">
        <v>2413</v>
      </c>
      <c r="G1769">
        <v>1</v>
      </c>
      <c r="H1769">
        <v>1</v>
      </c>
      <c r="I1769">
        <v>0.01</v>
      </c>
      <c r="J1769">
        <v>1000</v>
      </c>
      <c r="K1769">
        <v>1.94</v>
      </c>
      <c r="L1769">
        <v>73.099999999999994</v>
      </c>
      <c r="M1769">
        <v>71.709999999999994</v>
      </c>
      <c r="N1769">
        <v>73.28</v>
      </c>
      <c r="O1769">
        <v>72.11</v>
      </c>
      <c r="P1769">
        <v>0</v>
      </c>
      <c r="Q1769">
        <v>0</v>
      </c>
      <c r="R1769">
        <v>0</v>
      </c>
      <c r="S1769">
        <v>71.14</v>
      </c>
      <c r="T1769">
        <v>70.739999999999995</v>
      </c>
      <c r="U1769">
        <v>70.739999999999995</v>
      </c>
      <c r="V1769">
        <v>73.17</v>
      </c>
      <c r="W1769">
        <v>17074</v>
      </c>
      <c r="X1769">
        <v>70.739999999999995</v>
      </c>
      <c r="Y1769">
        <v>72.959999999999994</v>
      </c>
      <c r="Z1769">
        <v>22</v>
      </c>
      <c r="AA1769">
        <v>10000000</v>
      </c>
      <c r="AB1769">
        <v>2193</v>
      </c>
      <c r="AC1769">
        <v>0</v>
      </c>
      <c r="AD1769" t="s">
        <v>94</v>
      </c>
      <c r="AE1769" t="s">
        <v>94</v>
      </c>
      <c r="AF1769" t="s">
        <v>226</v>
      </c>
      <c r="AG1769" t="s">
        <v>226</v>
      </c>
      <c r="AH1769">
        <v>6</v>
      </c>
      <c r="AI1769" t="s">
        <v>3537</v>
      </c>
      <c r="AJ1769" t="s">
        <v>1976</v>
      </c>
      <c r="AK1769" t="s">
        <v>2416</v>
      </c>
      <c r="AL1769" t="s">
        <v>272</v>
      </c>
    </row>
    <row r="1770" spans="1:38">
      <c r="A1770" t="s">
        <v>7726</v>
      </c>
      <c r="B1770" t="s">
        <v>7727</v>
      </c>
      <c r="C1770" t="s">
        <v>7728</v>
      </c>
      <c r="D1770" t="s">
        <v>7728</v>
      </c>
      <c r="E1770" t="s">
        <v>7729</v>
      </c>
      <c r="F1770" t="s">
        <v>2413</v>
      </c>
      <c r="G1770">
        <v>1</v>
      </c>
      <c r="H1770">
        <v>1</v>
      </c>
      <c r="I1770">
        <v>0.01</v>
      </c>
      <c r="J1770">
        <v>1000</v>
      </c>
      <c r="K1770">
        <v>0.71</v>
      </c>
      <c r="L1770">
        <v>96.6</v>
      </c>
      <c r="M1770">
        <v>95.92</v>
      </c>
      <c r="N1770">
        <v>96.24</v>
      </c>
      <c r="O1770">
        <v>96.6</v>
      </c>
      <c r="P1770">
        <v>0</v>
      </c>
      <c r="Q1770">
        <v>0</v>
      </c>
      <c r="R1770">
        <v>0</v>
      </c>
      <c r="S1770">
        <v>97.48</v>
      </c>
      <c r="T1770">
        <v>98.08</v>
      </c>
      <c r="U1770">
        <v>96.6</v>
      </c>
      <c r="V1770">
        <v>98.08</v>
      </c>
      <c r="W1770">
        <v>2925</v>
      </c>
      <c r="X1770">
        <v>96.72</v>
      </c>
      <c r="Y1770">
        <v>97.77</v>
      </c>
      <c r="Z1770">
        <v>3</v>
      </c>
      <c r="AA1770">
        <v>15000000</v>
      </c>
      <c r="AB1770">
        <v>966</v>
      </c>
      <c r="AC1770">
        <v>0</v>
      </c>
      <c r="AD1770" t="s">
        <v>94</v>
      </c>
      <c r="AE1770" t="s">
        <v>94</v>
      </c>
      <c r="AF1770" t="s">
        <v>226</v>
      </c>
      <c r="AG1770" t="s">
        <v>226</v>
      </c>
      <c r="AH1770">
        <v>6</v>
      </c>
      <c r="AI1770" t="s">
        <v>3537</v>
      </c>
      <c r="AJ1770" t="s">
        <v>1976</v>
      </c>
      <c r="AK1770" t="s">
        <v>2416</v>
      </c>
      <c r="AL1770" t="s">
        <v>272</v>
      </c>
    </row>
    <row r="1771" spans="1:38">
      <c r="A1771" t="s">
        <v>7730</v>
      </c>
      <c r="B1771" t="s">
        <v>7731</v>
      </c>
      <c r="C1771" t="s">
        <v>7732</v>
      </c>
      <c r="D1771" t="s">
        <v>7732</v>
      </c>
      <c r="E1771" t="s">
        <v>7733</v>
      </c>
      <c r="F1771" t="s">
        <v>2413</v>
      </c>
      <c r="G1771">
        <v>3</v>
      </c>
      <c r="H1771">
        <v>1</v>
      </c>
      <c r="I1771">
        <v>0.01</v>
      </c>
      <c r="J1771">
        <v>1000</v>
      </c>
      <c r="K1771">
        <v>0</v>
      </c>
      <c r="L1771">
        <v>0</v>
      </c>
      <c r="M1771">
        <v>70.42</v>
      </c>
      <c r="N1771">
        <v>0</v>
      </c>
      <c r="O1771">
        <v>70.42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55.42</v>
      </c>
      <c r="Y1771">
        <v>85.42</v>
      </c>
      <c r="Z1771">
        <v>0</v>
      </c>
      <c r="AA1771">
        <v>79047</v>
      </c>
      <c r="AB1771">
        <v>0</v>
      </c>
      <c r="AC1771">
        <v>0</v>
      </c>
      <c r="AD1771" t="s">
        <v>94</v>
      </c>
      <c r="AE1771" t="s">
        <v>94</v>
      </c>
      <c r="AF1771" t="s">
        <v>226</v>
      </c>
      <c r="AG1771" t="s">
        <v>226</v>
      </c>
      <c r="AH1771">
        <v>800</v>
      </c>
      <c r="AI1771" t="s">
        <v>3537</v>
      </c>
      <c r="AJ1771" t="s">
        <v>1976</v>
      </c>
      <c r="AK1771" t="s">
        <v>2416</v>
      </c>
      <c r="AL1771" t="s">
        <v>272</v>
      </c>
    </row>
    <row r="1772" spans="1:38">
      <c r="A1772" t="s">
        <v>7734</v>
      </c>
      <c r="B1772" t="s">
        <v>7735</v>
      </c>
      <c r="C1772" t="s">
        <v>7736</v>
      </c>
      <c r="D1772" t="s">
        <v>7736</v>
      </c>
      <c r="E1772" t="s">
        <v>7737</v>
      </c>
      <c r="F1772" t="s">
        <v>2413</v>
      </c>
      <c r="G1772">
        <v>3</v>
      </c>
      <c r="H1772">
        <v>1</v>
      </c>
      <c r="I1772">
        <v>0.01</v>
      </c>
      <c r="J1772">
        <v>1000</v>
      </c>
      <c r="K1772">
        <v>-1.23</v>
      </c>
      <c r="L1772">
        <v>78.8</v>
      </c>
      <c r="M1772">
        <v>79.78</v>
      </c>
      <c r="N1772">
        <v>79.19</v>
      </c>
      <c r="O1772">
        <v>78.81</v>
      </c>
      <c r="P1772">
        <v>0</v>
      </c>
      <c r="Q1772">
        <v>0</v>
      </c>
      <c r="R1772">
        <v>0</v>
      </c>
      <c r="S1772">
        <v>79.2</v>
      </c>
      <c r="T1772">
        <v>80.13</v>
      </c>
      <c r="U1772">
        <v>78.8</v>
      </c>
      <c r="V1772">
        <v>80.2</v>
      </c>
      <c r="W1772">
        <v>186120</v>
      </c>
      <c r="X1772">
        <v>78.83</v>
      </c>
      <c r="Y1772">
        <v>79.23</v>
      </c>
      <c r="Z1772">
        <v>35</v>
      </c>
      <c r="AA1772">
        <v>500000</v>
      </c>
      <c r="AB1772">
        <v>1576</v>
      </c>
      <c r="AC1772">
        <v>0</v>
      </c>
      <c r="AD1772" t="s">
        <v>94</v>
      </c>
      <c r="AE1772" t="s">
        <v>94</v>
      </c>
      <c r="AF1772" t="s">
        <v>226</v>
      </c>
      <c r="AG1772" t="s">
        <v>226</v>
      </c>
      <c r="AH1772">
        <v>6</v>
      </c>
      <c r="AI1772" t="s">
        <v>3537</v>
      </c>
      <c r="AJ1772" t="s">
        <v>1976</v>
      </c>
      <c r="AK1772" t="s">
        <v>2416</v>
      </c>
      <c r="AL1772" t="s">
        <v>272</v>
      </c>
    </row>
    <row r="1773" spans="1:38">
      <c r="A1773" t="s">
        <v>7738</v>
      </c>
      <c r="B1773" t="s">
        <v>7739</v>
      </c>
      <c r="C1773" t="s">
        <v>7740</v>
      </c>
      <c r="D1773" t="s">
        <v>7740</v>
      </c>
      <c r="E1773" t="s">
        <v>7741</v>
      </c>
      <c r="F1773" t="s">
        <v>2413</v>
      </c>
      <c r="G1773">
        <v>3</v>
      </c>
      <c r="H1773">
        <v>1</v>
      </c>
      <c r="I1773">
        <v>0.01</v>
      </c>
      <c r="J1773">
        <v>1000</v>
      </c>
      <c r="K1773">
        <v>-0.86</v>
      </c>
      <c r="L1773">
        <v>89.49</v>
      </c>
      <c r="M1773">
        <v>90.27</v>
      </c>
      <c r="N1773">
        <v>89.72</v>
      </c>
      <c r="O1773">
        <v>89.81</v>
      </c>
      <c r="P1773">
        <v>0</v>
      </c>
      <c r="Q1773">
        <v>0</v>
      </c>
      <c r="R1773">
        <v>0</v>
      </c>
      <c r="S1773">
        <v>89.89</v>
      </c>
      <c r="T1773">
        <v>90.82</v>
      </c>
      <c r="U1773">
        <v>89.05</v>
      </c>
      <c r="V1773">
        <v>90.82</v>
      </c>
      <c r="W1773">
        <v>284966</v>
      </c>
      <c r="X1773">
        <v>89.33</v>
      </c>
      <c r="Y1773">
        <v>89.92</v>
      </c>
      <c r="Z1773">
        <v>39</v>
      </c>
      <c r="AA1773">
        <v>200000</v>
      </c>
      <c r="AB1773">
        <v>894.9</v>
      </c>
      <c r="AC1773">
        <v>0</v>
      </c>
      <c r="AD1773" t="s">
        <v>94</v>
      </c>
      <c r="AE1773" t="s">
        <v>94</v>
      </c>
      <c r="AF1773" t="s">
        <v>226</v>
      </c>
      <c r="AG1773" t="s">
        <v>226</v>
      </c>
      <c r="AH1773">
        <v>6</v>
      </c>
      <c r="AI1773" t="s">
        <v>3537</v>
      </c>
      <c r="AJ1773" t="s">
        <v>1976</v>
      </c>
      <c r="AK1773" t="s">
        <v>2416</v>
      </c>
      <c r="AL1773" t="s">
        <v>272</v>
      </c>
    </row>
    <row r="1774" spans="1:38">
      <c r="A1774" t="s">
        <v>7742</v>
      </c>
      <c r="B1774" t="s">
        <v>7743</v>
      </c>
      <c r="C1774" t="s">
        <v>7744</v>
      </c>
      <c r="D1774" t="s">
        <v>7744</v>
      </c>
      <c r="E1774" t="s">
        <v>7745</v>
      </c>
      <c r="F1774" t="s">
        <v>2413</v>
      </c>
      <c r="G1774">
        <v>3</v>
      </c>
      <c r="H1774">
        <v>1</v>
      </c>
      <c r="I1774">
        <v>0.01</v>
      </c>
      <c r="J1774">
        <v>1000</v>
      </c>
      <c r="K1774">
        <v>0</v>
      </c>
      <c r="L1774">
        <v>0</v>
      </c>
      <c r="M1774">
        <v>39</v>
      </c>
      <c r="N1774">
        <v>0</v>
      </c>
      <c r="O1774">
        <v>39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158</v>
      </c>
      <c r="AB1774">
        <v>0</v>
      </c>
      <c r="AC1774">
        <v>0</v>
      </c>
      <c r="AD1774" t="s">
        <v>94</v>
      </c>
      <c r="AE1774" t="s">
        <v>94</v>
      </c>
      <c r="AF1774" t="s">
        <v>226</v>
      </c>
      <c r="AG1774" t="s">
        <v>226</v>
      </c>
      <c r="AH1774">
        <v>6</v>
      </c>
      <c r="AI1774" t="s">
        <v>3537</v>
      </c>
      <c r="AJ1774" t="s">
        <v>1976</v>
      </c>
      <c r="AK1774" t="s">
        <v>2416</v>
      </c>
      <c r="AL1774" t="s">
        <v>272</v>
      </c>
    </row>
    <row r="1775" spans="1:38">
      <c r="A1775" t="s">
        <v>7746</v>
      </c>
      <c r="B1775" t="s">
        <v>7747</v>
      </c>
      <c r="C1775" t="s">
        <v>7748</v>
      </c>
      <c r="D1775" t="s">
        <v>7748</v>
      </c>
      <c r="E1775" t="s">
        <v>7749</v>
      </c>
      <c r="F1775" t="s">
        <v>2413</v>
      </c>
      <c r="G1775">
        <v>3</v>
      </c>
      <c r="H1775">
        <v>1</v>
      </c>
      <c r="I1775">
        <v>0.01</v>
      </c>
      <c r="J1775">
        <v>1000</v>
      </c>
      <c r="K1775">
        <v>-37.32</v>
      </c>
      <c r="L1775">
        <v>15.03</v>
      </c>
      <c r="M1775">
        <v>23.98</v>
      </c>
      <c r="N1775">
        <v>0</v>
      </c>
      <c r="O1775">
        <v>15.03</v>
      </c>
      <c r="P1775">
        <v>0</v>
      </c>
      <c r="Q1775">
        <v>0</v>
      </c>
      <c r="R1775">
        <v>0</v>
      </c>
      <c r="S1775">
        <v>15.03</v>
      </c>
      <c r="T1775">
        <v>15.03</v>
      </c>
      <c r="U1775">
        <v>15.03</v>
      </c>
      <c r="V1775">
        <v>15.03</v>
      </c>
      <c r="W1775">
        <v>150</v>
      </c>
      <c r="X1775">
        <v>22</v>
      </c>
      <c r="Y1775">
        <v>30</v>
      </c>
      <c r="Z1775">
        <v>1</v>
      </c>
      <c r="AA1775">
        <v>18537</v>
      </c>
      <c r="AB1775">
        <v>150.30000000000001</v>
      </c>
      <c r="AC1775">
        <v>0</v>
      </c>
      <c r="AD1775" t="s">
        <v>94</v>
      </c>
      <c r="AE1775" t="s">
        <v>94</v>
      </c>
      <c r="AF1775" t="s">
        <v>226</v>
      </c>
      <c r="AG1775" t="s">
        <v>226</v>
      </c>
      <c r="AH1775">
        <v>6</v>
      </c>
      <c r="AI1775" t="s">
        <v>3537</v>
      </c>
      <c r="AJ1775" t="s">
        <v>1976</v>
      </c>
      <c r="AK1775" t="s">
        <v>2416</v>
      </c>
      <c r="AL1775" t="s">
        <v>272</v>
      </c>
    </row>
    <row r="1776" spans="1:38">
      <c r="A1776" t="s">
        <v>7750</v>
      </c>
      <c r="B1776" t="s">
        <v>7751</v>
      </c>
      <c r="C1776" t="s">
        <v>7752</v>
      </c>
      <c r="D1776" t="s">
        <v>7752</v>
      </c>
      <c r="E1776" t="s">
        <v>7753</v>
      </c>
      <c r="F1776" t="s">
        <v>2413</v>
      </c>
      <c r="G1776">
        <v>3</v>
      </c>
      <c r="H1776">
        <v>1</v>
      </c>
      <c r="I1776">
        <v>0.01</v>
      </c>
      <c r="J1776">
        <v>1000</v>
      </c>
      <c r="K1776">
        <v>0</v>
      </c>
      <c r="L1776">
        <v>0</v>
      </c>
      <c r="M1776">
        <v>35</v>
      </c>
      <c r="N1776">
        <v>32.979999999999997</v>
      </c>
      <c r="O1776">
        <v>35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25</v>
      </c>
      <c r="Y1776">
        <v>35</v>
      </c>
      <c r="Z1776">
        <v>0</v>
      </c>
      <c r="AA1776">
        <v>21998</v>
      </c>
      <c r="AB1776">
        <v>0</v>
      </c>
      <c r="AC1776">
        <v>0</v>
      </c>
      <c r="AD1776" t="s">
        <v>94</v>
      </c>
      <c r="AE1776" t="s">
        <v>94</v>
      </c>
      <c r="AF1776" t="s">
        <v>226</v>
      </c>
      <c r="AG1776" t="s">
        <v>226</v>
      </c>
      <c r="AH1776">
        <v>6</v>
      </c>
      <c r="AI1776" t="s">
        <v>3537</v>
      </c>
      <c r="AJ1776" t="s">
        <v>1976</v>
      </c>
      <c r="AK1776" t="s">
        <v>2416</v>
      </c>
      <c r="AL1776" t="s">
        <v>272</v>
      </c>
    </row>
    <row r="1777" spans="1:38">
      <c r="A1777" t="s">
        <v>7754</v>
      </c>
      <c r="B1777" t="s">
        <v>7755</v>
      </c>
      <c r="C1777" t="s">
        <v>7756</v>
      </c>
      <c r="D1777" t="s">
        <v>7756</v>
      </c>
      <c r="E1777" t="s">
        <v>7757</v>
      </c>
      <c r="F1777" t="s">
        <v>2425</v>
      </c>
      <c r="G1777">
        <v>3</v>
      </c>
      <c r="H1777">
        <v>1</v>
      </c>
      <c r="I1777">
        <v>0.01</v>
      </c>
      <c r="J1777">
        <v>329</v>
      </c>
      <c r="K1777">
        <v>0</v>
      </c>
      <c r="L1777">
        <v>11</v>
      </c>
      <c r="M1777">
        <v>11</v>
      </c>
      <c r="N1777">
        <v>11</v>
      </c>
      <c r="O1777">
        <v>11</v>
      </c>
      <c r="P1777">
        <v>0</v>
      </c>
      <c r="Q1777">
        <v>0</v>
      </c>
      <c r="R1777">
        <v>0</v>
      </c>
      <c r="S1777">
        <v>11</v>
      </c>
      <c r="T1777">
        <v>11</v>
      </c>
      <c r="U1777">
        <v>11</v>
      </c>
      <c r="V1777">
        <v>11</v>
      </c>
      <c r="W1777">
        <v>36</v>
      </c>
      <c r="X1777">
        <v>11</v>
      </c>
      <c r="Y1777">
        <v>11.87</v>
      </c>
      <c r="Z1777">
        <v>1</v>
      </c>
      <c r="AA1777">
        <v>210313736</v>
      </c>
      <c r="AB1777">
        <v>36.19</v>
      </c>
      <c r="AC1777">
        <v>0</v>
      </c>
      <c r="AD1777" t="s">
        <v>94</v>
      </c>
      <c r="AE1777" t="s">
        <v>94</v>
      </c>
      <c r="AF1777" t="s">
        <v>226</v>
      </c>
      <c r="AG1777" t="s">
        <v>226</v>
      </c>
      <c r="AH1777">
        <v>13</v>
      </c>
      <c r="AI1777" t="s">
        <v>3537</v>
      </c>
      <c r="AJ1777" t="s">
        <v>1976</v>
      </c>
      <c r="AK1777" t="s">
        <v>2426</v>
      </c>
      <c r="AL1777" t="s">
        <v>272</v>
      </c>
    </row>
    <row r="1778" spans="1:38">
      <c r="A1778" t="s">
        <v>7758</v>
      </c>
      <c r="B1778" t="s">
        <v>7759</v>
      </c>
      <c r="C1778" t="s">
        <v>7760</v>
      </c>
      <c r="D1778" t="s">
        <v>7760</v>
      </c>
      <c r="E1778" t="s">
        <v>7761</v>
      </c>
      <c r="F1778" t="s">
        <v>2413</v>
      </c>
      <c r="G1778">
        <v>3</v>
      </c>
      <c r="H1778">
        <v>1</v>
      </c>
      <c r="I1778">
        <v>0.01</v>
      </c>
      <c r="J1778">
        <v>1000</v>
      </c>
      <c r="K1778">
        <v>0</v>
      </c>
      <c r="L1778">
        <v>0</v>
      </c>
      <c r="M1778">
        <v>24.38</v>
      </c>
      <c r="N1778">
        <v>0</v>
      </c>
      <c r="O1778">
        <v>24.38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24.38</v>
      </c>
      <c r="Y1778">
        <v>34.299999999999997</v>
      </c>
      <c r="Z1778">
        <v>0</v>
      </c>
      <c r="AA1778">
        <v>41705</v>
      </c>
      <c r="AB1778">
        <v>0</v>
      </c>
      <c r="AC1778">
        <v>0</v>
      </c>
      <c r="AD1778" t="s">
        <v>94</v>
      </c>
      <c r="AE1778" t="s">
        <v>94</v>
      </c>
      <c r="AF1778" t="s">
        <v>226</v>
      </c>
      <c r="AG1778" t="s">
        <v>226</v>
      </c>
      <c r="AH1778">
        <v>6</v>
      </c>
      <c r="AI1778" t="s">
        <v>3537</v>
      </c>
      <c r="AJ1778" t="s">
        <v>1976</v>
      </c>
      <c r="AK1778" t="s">
        <v>2416</v>
      </c>
      <c r="AL1778" t="s">
        <v>272</v>
      </c>
    </row>
    <row r="1779" spans="1:38">
      <c r="A1779" t="s">
        <v>7762</v>
      </c>
      <c r="B1779" t="s">
        <v>7763</v>
      </c>
      <c r="C1779" t="s">
        <v>7764</v>
      </c>
      <c r="D1779" t="s">
        <v>7764</v>
      </c>
      <c r="E1779" t="s">
        <v>7765</v>
      </c>
      <c r="F1779" t="s">
        <v>2413</v>
      </c>
      <c r="G1779">
        <v>3</v>
      </c>
      <c r="H1779">
        <v>1</v>
      </c>
      <c r="I1779">
        <v>0.01</v>
      </c>
      <c r="J1779">
        <v>1000</v>
      </c>
      <c r="K1779">
        <v>0</v>
      </c>
      <c r="L1779">
        <v>0</v>
      </c>
      <c r="M1779">
        <v>35</v>
      </c>
      <c r="N1779">
        <v>0</v>
      </c>
      <c r="O1779">
        <v>35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22.01</v>
      </c>
      <c r="Y1779">
        <v>41</v>
      </c>
      <c r="Z1779">
        <v>0</v>
      </c>
      <c r="AA1779">
        <v>113675</v>
      </c>
      <c r="AB1779">
        <v>0</v>
      </c>
      <c r="AC1779">
        <v>0</v>
      </c>
      <c r="AD1779" t="s">
        <v>94</v>
      </c>
      <c r="AE1779" t="s">
        <v>94</v>
      </c>
      <c r="AF1779" t="s">
        <v>226</v>
      </c>
      <c r="AG1779" t="s">
        <v>226</v>
      </c>
      <c r="AH1779">
        <v>6</v>
      </c>
      <c r="AI1779" t="s">
        <v>3537</v>
      </c>
      <c r="AJ1779" t="s">
        <v>1976</v>
      </c>
      <c r="AK1779" t="s">
        <v>2416</v>
      </c>
      <c r="AL1779" t="s">
        <v>272</v>
      </c>
    </row>
    <row r="1780" spans="1:38">
      <c r="A1780" t="s">
        <v>7766</v>
      </c>
      <c r="B1780" t="s">
        <v>7767</v>
      </c>
      <c r="C1780" t="s">
        <v>7768</v>
      </c>
      <c r="D1780" t="s">
        <v>7768</v>
      </c>
      <c r="E1780" t="s">
        <v>7769</v>
      </c>
      <c r="F1780" t="s">
        <v>2413</v>
      </c>
      <c r="G1780">
        <v>1</v>
      </c>
      <c r="H1780">
        <v>1</v>
      </c>
      <c r="I1780">
        <v>0.01</v>
      </c>
      <c r="J1780">
        <v>1000</v>
      </c>
      <c r="K1780">
        <v>4.6500000000000004</v>
      </c>
      <c r="L1780">
        <v>98.64</v>
      </c>
      <c r="M1780">
        <v>94.26</v>
      </c>
      <c r="N1780">
        <v>98.62</v>
      </c>
      <c r="O1780">
        <v>98.64</v>
      </c>
      <c r="P1780">
        <v>0</v>
      </c>
      <c r="Q1780">
        <v>0</v>
      </c>
      <c r="R1780">
        <v>0</v>
      </c>
      <c r="S1780">
        <v>97.86</v>
      </c>
      <c r="T1780">
        <v>97.46</v>
      </c>
      <c r="U1780">
        <v>94.32</v>
      </c>
      <c r="V1780">
        <v>99.03</v>
      </c>
      <c r="W1780">
        <v>28380</v>
      </c>
      <c r="X1780">
        <v>94.32</v>
      </c>
      <c r="Y1780">
        <v>99.03</v>
      </c>
      <c r="Z1780">
        <v>11</v>
      </c>
      <c r="AA1780">
        <v>7000000</v>
      </c>
      <c r="AB1780">
        <v>986.4</v>
      </c>
      <c r="AC1780">
        <v>0</v>
      </c>
      <c r="AD1780" t="s">
        <v>94</v>
      </c>
      <c r="AE1780" t="s">
        <v>94</v>
      </c>
      <c r="AF1780" t="s">
        <v>226</v>
      </c>
      <c r="AG1780" t="s">
        <v>226</v>
      </c>
      <c r="AH1780">
        <v>800</v>
      </c>
      <c r="AI1780" t="s">
        <v>3537</v>
      </c>
      <c r="AJ1780" t="s">
        <v>1976</v>
      </c>
      <c r="AK1780" t="s">
        <v>2416</v>
      </c>
      <c r="AL1780" t="s">
        <v>272</v>
      </c>
    </row>
    <row r="1781" spans="1:38">
      <c r="A1781" t="s">
        <v>7770</v>
      </c>
      <c r="B1781" t="s">
        <v>7771</v>
      </c>
      <c r="C1781" t="s">
        <v>7772</v>
      </c>
      <c r="D1781" t="s">
        <v>7772</v>
      </c>
      <c r="E1781" t="s">
        <v>7773</v>
      </c>
      <c r="F1781" t="s">
        <v>2413</v>
      </c>
      <c r="G1781">
        <v>2</v>
      </c>
      <c r="H1781">
        <v>1</v>
      </c>
      <c r="I1781">
        <v>0.01</v>
      </c>
      <c r="J1781">
        <v>250</v>
      </c>
      <c r="K1781">
        <v>-0.03</v>
      </c>
      <c r="L1781">
        <v>99.84</v>
      </c>
      <c r="M1781">
        <v>99.79</v>
      </c>
      <c r="N1781">
        <v>99.84</v>
      </c>
      <c r="O1781">
        <v>99.89</v>
      </c>
      <c r="P1781">
        <v>0</v>
      </c>
      <c r="Q1781">
        <v>0</v>
      </c>
      <c r="R1781">
        <v>0</v>
      </c>
      <c r="S1781">
        <v>99.97</v>
      </c>
      <c r="T1781">
        <v>99.87</v>
      </c>
      <c r="U1781">
        <v>99.8</v>
      </c>
      <c r="V1781">
        <v>100.03</v>
      </c>
      <c r="W1781">
        <v>3005753</v>
      </c>
      <c r="X1781">
        <v>99.84</v>
      </c>
      <c r="Y1781">
        <v>99.9</v>
      </c>
      <c r="Z1781">
        <v>104</v>
      </c>
      <c r="AA1781">
        <v>7000000</v>
      </c>
      <c r="AB1781">
        <v>748.8</v>
      </c>
      <c r="AC1781">
        <v>0</v>
      </c>
      <c r="AD1781" t="s">
        <v>94</v>
      </c>
      <c r="AE1781" t="s">
        <v>94</v>
      </c>
      <c r="AF1781" t="s">
        <v>226</v>
      </c>
      <c r="AG1781" t="s">
        <v>226</v>
      </c>
      <c r="AH1781">
        <v>6</v>
      </c>
      <c r="AI1781" t="s">
        <v>3537</v>
      </c>
      <c r="AJ1781" t="s">
        <v>1976</v>
      </c>
      <c r="AK1781" t="s">
        <v>2416</v>
      </c>
      <c r="AL1781" t="s">
        <v>272</v>
      </c>
    </row>
    <row r="1782" spans="1:38">
      <c r="A1782" t="s">
        <v>7774</v>
      </c>
      <c r="B1782" t="s">
        <v>2680</v>
      </c>
      <c r="C1782" t="s">
        <v>2681</v>
      </c>
      <c r="D1782" t="s">
        <v>2681</v>
      </c>
      <c r="E1782" t="s">
        <v>2682</v>
      </c>
      <c r="F1782" t="s">
        <v>2413</v>
      </c>
      <c r="G1782">
        <v>2</v>
      </c>
      <c r="H1782">
        <v>1</v>
      </c>
      <c r="I1782">
        <v>1E-4</v>
      </c>
      <c r="J1782">
        <v>1000</v>
      </c>
      <c r="K1782">
        <v>-1.71</v>
      </c>
      <c r="L1782">
        <v>71.650000000000006</v>
      </c>
      <c r="M1782">
        <v>72.899900000000002</v>
      </c>
      <c r="N1782">
        <v>73.040899999999993</v>
      </c>
      <c r="O1782">
        <v>71.674999999999997</v>
      </c>
      <c r="P1782">
        <v>0</v>
      </c>
      <c r="Q1782">
        <v>0</v>
      </c>
      <c r="R1782">
        <v>0</v>
      </c>
      <c r="S1782">
        <v>72.176400000000001</v>
      </c>
      <c r="T1782">
        <v>73.999600000000001</v>
      </c>
      <c r="U1782">
        <v>71.5</v>
      </c>
      <c r="V1782">
        <v>73.999600000000001</v>
      </c>
      <c r="W1782">
        <v>81011140</v>
      </c>
      <c r="X1782">
        <v>71.600899999999996</v>
      </c>
      <c r="Y1782">
        <v>71.7</v>
      </c>
      <c r="Z1782">
        <v>169</v>
      </c>
      <c r="AA1782">
        <v>395000</v>
      </c>
      <c r="AB1782">
        <v>76083.56</v>
      </c>
      <c r="AC1782">
        <v>0</v>
      </c>
      <c r="AD1782" t="s">
        <v>2</v>
      </c>
      <c r="AE1782" t="s">
        <v>94</v>
      </c>
      <c r="AF1782" t="s">
        <v>226</v>
      </c>
      <c r="AG1782" t="s">
        <v>226</v>
      </c>
      <c r="AH1782">
        <v>6</v>
      </c>
      <c r="AI1782" t="s">
        <v>3537</v>
      </c>
      <c r="AJ1782" t="s">
        <v>1976</v>
      </c>
      <c r="AK1782" t="s">
        <v>2416</v>
      </c>
      <c r="AL1782" t="s">
        <v>272</v>
      </c>
    </row>
    <row r="1783" spans="1:38">
      <c r="A1783" t="s">
        <v>7775</v>
      </c>
      <c r="B1783" t="s">
        <v>7776</v>
      </c>
      <c r="C1783" t="s">
        <v>7777</v>
      </c>
      <c r="D1783" t="s">
        <v>7777</v>
      </c>
      <c r="E1783" t="s">
        <v>7778</v>
      </c>
      <c r="F1783" t="s">
        <v>2413</v>
      </c>
      <c r="G1783">
        <v>3</v>
      </c>
      <c r="H1783">
        <v>1</v>
      </c>
      <c r="I1783">
        <v>0.01</v>
      </c>
      <c r="J1783">
        <v>1000</v>
      </c>
      <c r="K1783">
        <v>0.56999999999999995</v>
      </c>
      <c r="L1783">
        <v>81.36</v>
      </c>
      <c r="M1783">
        <v>80.86</v>
      </c>
      <c r="N1783">
        <v>81.2</v>
      </c>
      <c r="O1783">
        <v>81.36</v>
      </c>
      <c r="P1783">
        <v>0</v>
      </c>
      <c r="Q1783">
        <v>0</v>
      </c>
      <c r="R1783">
        <v>0</v>
      </c>
      <c r="S1783">
        <v>82.42</v>
      </c>
      <c r="T1783">
        <v>80.989999999999995</v>
      </c>
      <c r="U1783">
        <v>80.989999999999995</v>
      </c>
      <c r="V1783">
        <v>82.78</v>
      </c>
      <c r="W1783">
        <v>145885</v>
      </c>
      <c r="X1783">
        <v>81.56</v>
      </c>
      <c r="Y1783">
        <v>81.8</v>
      </c>
      <c r="Z1783">
        <v>24</v>
      </c>
      <c r="AA1783">
        <v>175000</v>
      </c>
      <c r="AB1783">
        <v>813.6</v>
      </c>
      <c r="AC1783">
        <v>0</v>
      </c>
      <c r="AD1783" t="s">
        <v>94</v>
      </c>
      <c r="AE1783" t="s">
        <v>94</v>
      </c>
      <c r="AF1783" t="s">
        <v>226</v>
      </c>
      <c r="AG1783" t="s">
        <v>226</v>
      </c>
      <c r="AH1783">
        <v>6</v>
      </c>
      <c r="AI1783" t="s">
        <v>3537</v>
      </c>
      <c r="AJ1783" t="s">
        <v>1976</v>
      </c>
      <c r="AK1783" t="s">
        <v>2416</v>
      </c>
      <c r="AL1783" t="s">
        <v>272</v>
      </c>
    </row>
    <row r="1784" spans="1:38">
      <c r="A1784" t="s">
        <v>7779</v>
      </c>
      <c r="B1784" t="s">
        <v>7780</v>
      </c>
      <c r="C1784" t="s">
        <v>7781</v>
      </c>
      <c r="D1784" t="s">
        <v>7781</v>
      </c>
      <c r="E1784" t="s">
        <v>7782</v>
      </c>
      <c r="F1784" t="s">
        <v>2413</v>
      </c>
      <c r="G1784">
        <v>3</v>
      </c>
      <c r="H1784">
        <v>1</v>
      </c>
      <c r="I1784">
        <v>0.01</v>
      </c>
      <c r="J1784">
        <v>1000</v>
      </c>
      <c r="K1784">
        <v>0.13</v>
      </c>
      <c r="L1784">
        <v>74.900000000000006</v>
      </c>
      <c r="M1784">
        <v>74.8</v>
      </c>
      <c r="N1784">
        <v>74.56</v>
      </c>
      <c r="O1784">
        <v>74.900000000000006</v>
      </c>
      <c r="P1784">
        <v>0</v>
      </c>
      <c r="Q1784">
        <v>0</v>
      </c>
      <c r="R1784">
        <v>0</v>
      </c>
      <c r="S1784">
        <v>74.42</v>
      </c>
      <c r="T1784">
        <v>75.08</v>
      </c>
      <c r="U1784">
        <v>73.900000000000006</v>
      </c>
      <c r="V1784">
        <v>75.099999999999994</v>
      </c>
      <c r="W1784">
        <v>186062</v>
      </c>
      <c r="X1784">
        <v>74.489999999999995</v>
      </c>
      <c r="Y1784">
        <v>74.900000000000006</v>
      </c>
      <c r="Z1784">
        <v>41</v>
      </c>
      <c r="AA1784">
        <v>150000</v>
      </c>
      <c r="AB1784">
        <v>749</v>
      </c>
      <c r="AC1784">
        <v>0</v>
      </c>
      <c r="AD1784" t="s">
        <v>94</v>
      </c>
      <c r="AE1784" t="s">
        <v>94</v>
      </c>
      <c r="AF1784" t="s">
        <v>226</v>
      </c>
      <c r="AG1784" t="s">
        <v>226</v>
      </c>
      <c r="AH1784">
        <v>6</v>
      </c>
      <c r="AI1784" t="s">
        <v>3537</v>
      </c>
      <c r="AJ1784" t="s">
        <v>1976</v>
      </c>
      <c r="AK1784" t="s">
        <v>2416</v>
      </c>
      <c r="AL1784" t="s">
        <v>272</v>
      </c>
    </row>
    <row r="1785" spans="1:38">
      <c r="A1785" t="s">
        <v>7783</v>
      </c>
      <c r="B1785" t="s">
        <v>7784</v>
      </c>
      <c r="C1785" t="s">
        <v>7785</v>
      </c>
      <c r="D1785" t="s">
        <v>7785</v>
      </c>
      <c r="E1785" t="s">
        <v>7786</v>
      </c>
      <c r="F1785" t="s">
        <v>2413</v>
      </c>
      <c r="G1785">
        <v>3</v>
      </c>
      <c r="H1785">
        <v>1</v>
      </c>
      <c r="I1785">
        <v>0.01</v>
      </c>
      <c r="J1785">
        <v>1000</v>
      </c>
      <c r="K1785">
        <v>1.18</v>
      </c>
      <c r="L1785">
        <v>88.38</v>
      </c>
      <c r="M1785">
        <v>87.36</v>
      </c>
      <c r="N1785">
        <v>89.06</v>
      </c>
      <c r="O1785">
        <v>88.31</v>
      </c>
      <c r="P1785">
        <v>0</v>
      </c>
      <c r="Q1785">
        <v>0</v>
      </c>
      <c r="R1785">
        <v>0</v>
      </c>
      <c r="S1785">
        <v>88.25</v>
      </c>
      <c r="T1785">
        <v>88.1</v>
      </c>
      <c r="U1785">
        <v>88.1</v>
      </c>
      <c r="V1785">
        <v>88.38</v>
      </c>
      <c r="W1785">
        <v>68837</v>
      </c>
      <c r="X1785">
        <v>87.55</v>
      </c>
      <c r="Y1785">
        <v>95.24</v>
      </c>
      <c r="Z1785">
        <v>7</v>
      </c>
      <c r="AA1785">
        <v>43052</v>
      </c>
      <c r="AB1785">
        <v>29165.4</v>
      </c>
      <c r="AC1785">
        <v>0</v>
      </c>
      <c r="AD1785" t="s">
        <v>94</v>
      </c>
      <c r="AE1785" t="s">
        <v>94</v>
      </c>
      <c r="AF1785" t="s">
        <v>226</v>
      </c>
      <c r="AG1785" t="s">
        <v>226</v>
      </c>
      <c r="AH1785">
        <v>6</v>
      </c>
      <c r="AI1785" t="s">
        <v>3537</v>
      </c>
      <c r="AJ1785" t="s">
        <v>1976</v>
      </c>
      <c r="AK1785" t="s">
        <v>2416</v>
      </c>
      <c r="AL1785" t="s">
        <v>272</v>
      </c>
    </row>
    <row r="1786" spans="1:38">
      <c r="A1786" t="s">
        <v>7787</v>
      </c>
      <c r="B1786" t="s">
        <v>7788</v>
      </c>
      <c r="C1786" t="s">
        <v>7789</v>
      </c>
      <c r="D1786" t="s">
        <v>7789</v>
      </c>
      <c r="E1786" t="s">
        <v>7790</v>
      </c>
      <c r="F1786" t="s">
        <v>2413</v>
      </c>
      <c r="G1786">
        <v>3</v>
      </c>
      <c r="H1786">
        <v>1</v>
      </c>
      <c r="I1786">
        <v>0.01</v>
      </c>
      <c r="J1786">
        <v>400</v>
      </c>
      <c r="K1786">
        <v>-0.01</v>
      </c>
      <c r="L1786">
        <v>94</v>
      </c>
      <c r="M1786">
        <v>94.03</v>
      </c>
      <c r="N1786">
        <v>94</v>
      </c>
      <c r="O1786">
        <v>94</v>
      </c>
      <c r="P1786">
        <v>0</v>
      </c>
      <c r="Q1786">
        <v>0</v>
      </c>
      <c r="R1786">
        <v>0</v>
      </c>
      <c r="S1786">
        <v>94.01</v>
      </c>
      <c r="T1786">
        <v>94.28</v>
      </c>
      <c r="U1786">
        <v>93.54</v>
      </c>
      <c r="V1786">
        <v>94.43</v>
      </c>
      <c r="W1786">
        <v>100774</v>
      </c>
      <c r="X1786">
        <v>93.84</v>
      </c>
      <c r="Y1786">
        <v>94</v>
      </c>
      <c r="Z1786">
        <v>24</v>
      </c>
      <c r="AA1786">
        <v>1500000</v>
      </c>
      <c r="AB1786">
        <v>1880</v>
      </c>
      <c r="AC1786">
        <v>0</v>
      </c>
      <c r="AD1786" t="s">
        <v>94</v>
      </c>
      <c r="AE1786" t="s">
        <v>94</v>
      </c>
      <c r="AF1786" t="s">
        <v>226</v>
      </c>
      <c r="AG1786" t="s">
        <v>226</v>
      </c>
      <c r="AH1786">
        <v>6</v>
      </c>
      <c r="AI1786" t="s">
        <v>3537</v>
      </c>
      <c r="AJ1786" t="s">
        <v>1976</v>
      </c>
      <c r="AK1786" t="s">
        <v>2416</v>
      </c>
      <c r="AL1786" t="s">
        <v>272</v>
      </c>
    </row>
    <row r="1787" spans="1:38">
      <c r="A1787" t="s">
        <v>7791</v>
      </c>
      <c r="B1787" t="s">
        <v>7792</v>
      </c>
      <c r="C1787" t="s">
        <v>7793</v>
      </c>
      <c r="D1787" t="s">
        <v>7793</v>
      </c>
      <c r="E1787" t="s">
        <v>7794</v>
      </c>
      <c r="F1787" t="s">
        <v>2413</v>
      </c>
      <c r="G1787">
        <v>3</v>
      </c>
      <c r="H1787">
        <v>1</v>
      </c>
      <c r="I1787">
        <v>0.01</v>
      </c>
      <c r="J1787">
        <v>500</v>
      </c>
      <c r="K1787">
        <v>0.15</v>
      </c>
      <c r="L1787">
        <v>94.99</v>
      </c>
      <c r="M1787">
        <v>94.85</v>
      </c>
      <c r="N1787">
        <v>94.72</v>
      </c>
      <c r="O1787">
        <v>94.99</v>
      </c>
      <c r="P1787">
        <v>0</v>
      </c>
      <c r="Q1787">
        <v>0</v>
      </c>
      <c r="R1787">
        <v>0</v>
      </c>
      <c r="S1787">
        <v>95.07</v>
      </c>
      <c r="T1787">
        <v>94.87</v>
      </c>
      <c r="U1787">
        <v>94.87</v>
      </c>
      <c r="V1787">
        <v>95.34</v>
      </c>
      <c r="W1787">
        <v>45160</v>
      </c>
      <c r="X1787">
        <v>94.99</v>
      </c>
      <c r="Y1787">
        <v>95</v>
      </c>
      <c r="Z1787">
        <v>26</v>
      </c>
      <c r="AA1787">
        <v>1500000</v>
      </c>
      <c r="AB1787">
        <v>1424.85</v>
      </c>
      <c r="AC1787">
        <v>0</v>
      </c>
      <c r="AD1787" t="s">
        <v>94</v>
      </c>
      <c r="AE1787" t="s">
        <v>94</v>
      </c>
      <c r="AF1787" t="s">
        <v>226</v>
      </c>
      <c r="AG1787" t="s">
        <v>226</v>
      </c>
      <c r="AH1787">
        <v>6</v>
      </c>
      <c r="AI1787" t="s">
        <v>3537</v>
      </c>
      <c r="AJ1787" t="s">
        <v>1976</v>
      </c>
      <c r="AK1787" t="s">
        <v>2416</v>
      </c>
      <c r="AL1787" t="s">
        <v>272</v>
      </c>
    </row>
    <row r="1788" spans="1:38">
      <c r="A1788" t="s">
        <v>7795</v>
      </c>
      <c r="B1788" t="s">
        <v>7796</v>
      </c>
      <c r="C1788" t="s">
        <v>7797</v>
      </c>
      <c r="D1788" t="s">
        <v>7797</v>
      </c>
      <c r="E1788" t="s">
        <v>7798</v>
      </c>
      <c r="F1788" t="s">
        <v>2413</v>
      </c>
      <c r="G1788">
        <v>3</v>
      </c>
      <c r="H1788">
        <v>1</v>
      </c>
      <c r="I1788">
        <v>0.01</v>
      </c>
      <c r="J1788">
        <v>1000</v>
      </c>
      <c r="K1788">
        <v>-0.31</v>
      </c>
      <c r="L1788">
        <v>85.45</v>
      </c>
      <c r="M1788">
        <v>85.72</v>
      </c>
      <c r="N1788">
        <v>85.75</v>
      </c>
      <c r="O1788">
        <v>85.45</v>
      </c>
      <c r="P1788">
        <v>0</v>
      </c>
      <c r="Q1788">
        <v>0</v>
      </c>
      <c r="R1788">
        <v>0</v>
      </c>
      <c r="S1788">
        <v>85.34</v>
      </c>
      <c r="T1788">
        <v>85.74</v>
      </c>
      <c r="U1788">
        <v>85.07</v>
      </c>
      <c r="V1788">
        <v>85.74</v>
      </c>
      <c r="W1788">
        <v>4465991</v>
      </c>
      <c r="X1788">
        <v>85.42</v>
      </c>
      <c r="Y1788">
        <v>85.45</v>
      </c>
      <c r="Z1788">
        <v>105</v>
      </c>
      <c r="AA1788">
        <v>2000000</v>
      </c>
      <c r="AB1788">
        <v>11108.5</v>
      </c>
      <c r="AC1788">
        <v>0</v>
      </c>
      <c r="AD1788" t="s">
        <v>94</v>
      </c>
      <c r="AE1788" t="s">
        <v>94</v>
      </c>
      <c r="AF1788" t="s">
        <v>226</v>
      </c>
      <c r="AG1788" t="s">
        <v>226</v>
      </c>
      <c r="AH1788">
        <v>6</v>
      </c>
      <c r="AI1788" t="s">
        <v>3537</v>
      </c>
      <c r="AJ1788" t="s">
        <v>1976</v>
      </c>
      <c r="AK1788" t="s">
        <v>2416</v>
      </c>
      <c r="AL1788" t="s">
        <v>272</v>
      </c>
    </row>
    <row r="1789" spans="1:38">
      <c r="A1789" t="s">
        <v>7799</v>
      </c>
      <c r="B1789" t="s">
        <v>7800</v>
      </c>
      <c r="C1789" t="s">
        <v>7801</v>
      </c>
      <c r="D1789" t="s">
        <v>7801</v>
      </c>
      <c r="E1789" t="s">
        <v>7802</v>
      </c>
      <c r="F1789" t="s">
        <v>2413</v>
      </c>
      <c r="G1789">
        <v>3</v>
      </c>
      <c r="H1789">
        <v>1</v>
      </c>
      <c r="I1789">
        <v>0.01</v>
      </c>
      <c r="J1789">
        <v>1000</v>
      </c>
      <c r="K1789">
        <v>-0.11</v>
      </c>
      <c r="L1789">
        <v>91.37</v>
      </c>
      <c r="M1789">
        <v>91.43</v>
      </c>
      <c r="N1789">
        <v>91.37</v>
      </c>
      <c r="O1789">
        <v>91.29</v>
      </c>
      <c r="P1789">
        <v>0</v>
      </c>
      <c r="Q1789">
        <v>0</v>
      </c>
      <c r="R1789">
        <v>0</v>
      </c>
      <c r="S1789">
        <v>91.39</v>
      </c>
      <c r="T1789">
        <v>92.2</v>
      </c>
      <c r="U1789">
        <v>91.16</v>
      </c>
      <c r="V1789">
        <v>92.2</v>
      </c>
      <c r="W1789">
        <v>2424500</v>
      </c>
      <c r="X1789">
        <v>91.27</v>
      </c>
      <c r="Y1789">
        <v>91.33</v>
      </c>
      <c r="Z1789">
        <v>121</v>
      </c>
      <c r="AA1789">
        <v>3000000</v>
      </c>
      <c r="AB1789">
        <v>9137</v>
      </c>
      <c r="AC1789">
        <v>0</v>
      </c>
      <c r="AD1789" t="s">
        <v>94</v>
      </c>
      <c r="AE1789" t="s">
        <v>94</v>
      </c>
      <c r="AF1789" t="s">
        <v>226</v>
      </c>
      <c r="AG1789" t="s">
        <v>226</v>
      </c>
      <c r="AH1789">
        <v>800</v>
      </c>
      <c r="AI1789" t="s">
        <v>3537</v>
      </c>
      <c r="AJ1789" t="s">
        <v>1976</v>
      </c>
      <c r="AK1789" t="s">
        <v>2416</v>
      </c>
      <c r="AL1789" t="s">
        <v>272</v>
      </c>
    </row>
    <row r="1790" spans="1:38">
      <c r="A1790" t="s">
        <v>7803</v>
      </c>
      <c r="B1790" t="s">
        <v>7804</v>
      </c>
      <c r="C1790" t="s">
        <v>7805</v>
      </c>
      <c r="D1790" t="s">
        <v>7805</v>
      </c>
      <c r="E1790" t="s">
        <v>7806</v>
      </c>
      <c r="F1790" t="s">
        <v>2413</v>
      </c>
      <c r="G1790">
        <v>3</v>
      </c>
      <c r="H1790">
        <v>1</v>
      </c>
      <c r="I1790">
        <v>0.01</v>
      </c>
      <c r="J1790">
        <v>1000</v>
      </c>
      <c r="K1790">
        <v>0.38</v>
      </c>
      <c r="L1790">
        <v>99.24</v>
      </c>
      <c r="M1790">
        <v>98.86</v>
      </c>
      <c r="N1790">
        <v>98.86</v>
      </c>
      <c r="O1790">
        <v>99.25</v>
      </c>
      <c r="P1790">
        <v>0</v>
      </c>
      <c r="Q1790">
        <v>0</v>
      </c>
      <c r="R1790">
        <v>0</v>
      </c>
      <c r="S1790">
        <v>98.96</v>
      </c>
      <c r="T1790">
        <v>98.96</v>
      </c>
      <c r="U1790">
        <v>98.85</v>
      </c>
      <c r="V1790">
        <v>99.34</v>
      </c>
      <c r="W1790">
        <v>1258795</v>
      </c>
      <c r="X1790">
        <v>99.06</v>
      </c>
      <c r="Y1790">
        <v>99.24</v>
      </c>
      <c r="Z1790">
        <v>98</v>
      </c>
      <c r="AA1790">
        <v>1000000</v>
      </c>
      <c r="AB1790">
        <v>9924</v>
      </c>
      <c r="AC1790">
        <v>0</v>
      </c>
      <c r="AD1790" t="s">
        <v>94</v>
      </c>
      <c r="AE1790" t="s">
        <v>94</v>
      </c>
      <c r="AF1790" t="s">
        <v>226</v>
      </c>
      <c r="AG1790" t="s">
        <v>226</v>
      </c>
      <c r="AH1790">
        <v>800</v>
      </c>
      <c r="AI1790" t="s">
        <v>3537</v>
      </c>
      <c r="AJ1790" t="s">
        <v>1976</v>
      </c>
      <c r="AK1790" t="s">
        <v>2416</v>
      </c>
      <c r="AL1790" t="s">
        <v>272</v>
      </c>
    </row>
    <row r="1791" spans="1:38">
      <c r="A1791" t="s">
        <v>7807</v>
      </c>
      <c r="B1791" t="s">
        <v>7808</v>
      </c>
      <c r="C1791" t="s">
        <v>7809</v>
      </c>
      <c r="D1791" t="s">
        <v>7809</v>
      </c>
      <c r="E1791" t="s">
        <v>7810</v>
      </c>
      <c r="F1791" t="s">
        <v>2425</v>
      </c>
      <c r="G1791">
        <v>2</v>
      </c>
      <c r="H1791">
        <v>1</v>
      </c>
      <c r="I1791">
        <v>0.01</v>
      </c>
      <c r="J1791">
        <v>1000</v>
      </c>
      <c r="K1791">
        <v>-0.44</v>
      </c>
      <c r="L1791">
        <v>84.57</v>
      </c>
      <c r="M1791">
        <v>84.94</v>
      </c>
      <c r="N1791">
        <v>86.54</v>
      </c>
      <c r="O1791">
        <v>84.57</v>
      </c>
      <c r="P1791">
        <v>0</v>
      </c>
      <c r="Q1791">
        <v>0</v>
      </c>
      <c r="R1791">
        <v>0</v>
      </c>
      <c r="S1791">
        <v>85.08</v>
      </c>
      <c r="T1791">
        <v>84.93</v>
      </c>
      <c r="U1791">
        <v>84.35</v>
      </c>
      <c r="V1791">
        <v>85.47</v>
      </c>
      <c r="W1791">
        <v>23822</v>
      </c>
      <c r="X1791">
        <v>84.47</v>
      </c>
      <c r="Y1791">
        <v>84.57</v>
      </c>
      <c r="Z1791">
        <v>10</v>
      </c>
      <c r="AA1791">
        <v>5000000</v>
      </c>
      <c r="AB1791">
        <v>845.7</v>
      </c>
      <c r="AC1791">
        <v>0</v>
      </c>
      <c r="AD1791" t="s">
        <v>94</v>
      </c>
      <c r="AE1791" t="s">
        <v>94</v>
      </c>
      <c r="AF1791" t="s">
        <v>226</v>
      </c>
      <c r="AG1791" t="s">
        <v>226</v>
      </c>
      <c r="AH1791">
        <v>6</v>
      </c>
      <c r="AI1791" t="s">
        <v>3537</v>
      </c>
      <c r="AJ1791" t="s">
        <v>1976</v>
      </c>
      <c r="AK1791" t="s">
        <v>2426</v>
      </c>
      <c r="AL1791" t="s">
        <v>272</v>
      </c>
    </row>
    <row r="1792" spans="1:38">
      <c r="A1792" t="s">
        <v>7811</v>
      </c>
      <c r="B1792" t="s">
        <v>7812</v>
      </c>
      <c r="C1792" t="s">
        <v>7813</v>
      </c>
      <c r="D1792" t="s">
        <v>7813</v>
      </c>
      <c r="E1792" t="s">
        <v>7814</v>
      </c>
      <c r="F1792" t="s">
        <v>2425</v>
      </c>
      <c r="G1792">
        <v>2</v>
      </c>
      <c r="H1792">
        <v>1</v>
      </c>
      <c r="I1792">
        <v>0.01</v>
      </c>
      <c r="J1792">
        <v>1000</v>
      </c>
      <c r="K1792">
        <v>0</v>
      </c>
      <c r="L1792">
        <v>0</v>
      </c>
      <c r="M1792">
        <v>77.81</v>
      </c>
      <c r="N1792">
        <v>76.010000000000005</v>
      </c>
      <c r="O1792">
        <v>77.81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76.489999999999995</v>
      </c>
      <c r="Y1792">
        <v>77.89</v>
      </c>
      <c r="Z1792">
        <v>0</v>
      </c>
      <c r="AA1792">
        <v>5000000</v>
      </c>
      <c r="AB1792">
        <v>0</v>
      </c>
      <c r="AC1792">
        <v>0</v>
      </c>
      <c r="AD1792" t="s">
        <v>94</v>
      </c>
      <c r="AE1792" t="s">
        <v>94</v>
      </c>
      <c r="AF1792" t="s">
        <v>226</v>
      </c>
      <c r="AG1792" t="s">
        <v>226</v>
      </c>
      <c r="AH1792">
        <v>6</v>
      </c>
      <c r="AI1792" t="s">
        <v>3537</v>
      </c>
      <c r="AJ1792" t="s">
        <v>1976</v>
      </c>
      <c r="AK1792" t="s">
        <v>2426</v>
      </c>
      <c r="AL1792" t="s">
        <v>272</v>
      </c>
    </row>
    <row r="1793" spans="1:38">
      <c r="A1793" t="s">
        <v>7815</v>
      </c>
      <c r="B1793" t="s">
        <v>7816</v>
      </c>
      <c r="C1793" t="s">
        <v>7817</v>
      </c>
      <c r="D1793" t="s">
        <v>7817</v>
      </c>
      <c r="E1793" t="s">
        <v>7818</v>
      </c>
      <c r="F1793" t="s">
        <v>2425</v>
      </c>
      <c r="G1793">
        <v>2</v>
      </c>
      <c r="H1793">
        <v>1</v>
      </c>
      <c r="I1793">
        <v>0.01</v>
      </c>
      <c r="J1793">
        <v>1000</v>
      </c>
      <c r="K1793">
        <v>0.8</v>
      </c>
      <c r="L1793">
        <v>85.7</v>
      </c>
      <c r="M1793">
        <v>85.02</v>
      </c>
      <c r="N1793">
        <v>83.11</v>
      </c>
      <c r="O1793">
        <v>85.7</v>
      </c>
      <c r="P1793">
        <v>0</v>
      </c>
      <c r="Q1793">
        <v>0</v>
      </c>
      <c r="R1793">
        <v>0</v>
      </c>
      <c r="S1793">
        <v>85.7</v>
      </c>
      <c r="T1793">
        <v>85.7</v>
      </c>
      <c r="U1793">
        <v>85.7</v>
      </c>
      <c r="V1793">
        <v>85.7</v>
      </c>
      <c r="W1793">
        <v>857</v>
      </c>
      <c r="X1793">
        <v>84.59</v>
      </c>
      <c r="Y1793">
        <v>84.6</v>
      </c>
      <c r="Z1793">
        <v>1</v>
      </c>
      <c r="AA1793">
        <v>5000000</v>
      </c>
      <c r="AB1793">
        <v>857</v>
      </c>
      <c r="AC1793">
        <v>0</v>
      </c>
      <c r="AD1793" t="s">
        <v>94</v>
      </c>
      <c r="AE1793" t="s">
        <v>94</v>
      </c>
      <c r="AF1793" t="s">
        <v>226</v>
      </c>
      <c r="AG1793" t="s">
        <v>226</v>
      </c>
      <c r="AH1793">
        <v>6</v>
      </c>
      <c r="AI1793" t="s">
        <v>3537</v>
      </c>
      <c r="AJ1793" t="s">
        <v>1976</v>
      </c>
      <c r="AK1793" t="s">
        <v>2426</v>
      </c>
      <c r="AL1793" t="s">
        <v>272</v>
      </c>
    </row>
    <row r="1794" spans="1:38">
      <c r="A1794" t="s">
        <v>7819</v>
      </c>
      <c r="B1794" t="s">
        <v>7820</v>
      </c>
      <c r="C1794" t="s">
        <v>7821</v>
      </c>
      <c r="D1794" t="s">
        <v>7821</v>
      </c>
      <c r="E1794" t="s">
        <v>7822</v>
      </c>
      <c r="F1794" t="s">
        <v>2413</v>
      </c>
      <c r="G1794">
        <v>3</v>
      </c>
      <c r="H1794">
        <v>1</v>
      </c>
      <c r="I1794">
        <v>0.01</v>
      </c>
      <c r="J1794">
        <v>1000</v>
      </c>
      <c r="K1794">
        <v>0.2</v>
      </c>
      <c r="L1794">
        <v>94.72</v>
      </c>
      <c r="M1794">
        <v>94.47</v>
      </c>
      <c r="N1794">
        <v>94.1</v>
      </c>
      <c r="O1794">
        <v>94.72</v>
      </c>
      <c r="P1794">
        <v>0</v>
      </c>
      <c r="Q1794">
        <v>0</v>
      </c>
      <c r="R1794">
        <v>0</v>
      </c>
      <c r="S1794">
        <v>94.7</v>
      </c>
      <c r="T1794">
        <v>94.51</v>
      </c>
      <c r="U1794">
        <v>94.08</v>
      </c>
      <c r="V1794">
        <v>95.22</v>
      </c>
      <c r="W1794">
        <v>214016</v>
      </c>
      <c r="X1794">
        <v>94.72</v>
      </c>
      <c r="Y1794">
        <v>94.85</v>
      </c>
      <c r="Z1794">
        <v>62</v>
      </c>
      <c r="AA1794">
        <v>10000000</v>
      </c>
      <c r="AB1794">
        <v>9472</v>
      </c>
      <c r="AC1794">
        <v>0</v>
      </c>
      <c r="AD1794" t="s">
        <v>94</v>
      </c>
      <c r="AE1794" t="s">
        <v>94</v>
      </c>
      <c r="AF1794" t="s">
        <v>226</v>
      </c>
      <c r="AG1794" t="s">
        <v>226</v>
      </c>
      <c r="AH1794">
        <v>6</v>
      </c>
      <c r="AI1794" t="s">
        <v>3537</v>
      </c>
      <c r="AJ1794" t="s">
        <v>1976</v>
      </c>
      <c r="AK1794" t="s">
        <v>2416</v>
      </c>
      <c r="AL1794" t="s">
        <v>272</v>
      </c>
    </row>
    <row r="1795" spans="1:38">
      <c r="A1795" t="s">
        <v>7823</v>
      </c>
      <c r="B1795" t="s">
        <v>7824</v>
      </c>
      <c r="C1795" t="s">
        <v>7825</v>
      </c>
      <c r="D1795" t="s">
        <v>7825</v>
      </c>
      <c r="E1795" t="s">
        <v>7826</v>
      </c>
      <c r="F1795" t="s">
        <v>2413</v>
      </c>
      <c r="G1795">
        <v>3</v>
      </c>
      <c r="H1795">
        <v>1</v>
      </c>
      <c r="I1795">
        <v>0.01</v>
      </c>
      <c r="J1795">
        <v>1000</v>
      </c>
      <c r="K1795">
        <v>1.63</v>
      </c>
      <c r="L1795">
        <v>91.55</v>
      </c>
      <c r="M1795">
        <v>90.08</v>
      </c>
      <c r="N1795">
        <v>89.9</v>
      </c>
      <c r="O1795">
        <v>91.55</v>
      </c>
      <c r="P1795">
        <v>0</v>
      </c>
      <c r="Q1795">
        <v>0</v>
      </c>
      <c r="R1795">
        <v>0</v>
      </c>
      <c r="S1795">
        <v>91.64</v>
      </c>
      <c r="T1795">
        <v>90.57</v>
      </c>
      <c r="U1795">
        <v>90.57</v>
      </c>
      <c r="V1795">
        <v>94.98</v>
      </c>
      <c r="W1795">
        <v>73310</v>
      </c>
      <c r="X1795">
        <v>90.65</v>
      </c>
      <c r="Y1795">
        <v>91.98</v>
      </c>
      <c r="Z1795">
        <v>7</v>
      </c>
      <c r="AA1795">
        <v>250000</v>
      </c>
      <c r="AB1795">
        <v>63169.5</v>
      </c>
      <c r="AC1795">
        <v>0</v>
      </c>
      <c r="AD1795" t="s">
        <v>94</v>
      </c>
      <c r="AE1795" t="s">
        <v>94</v>
      </c>
      <c r="AF1795" t="s">
        <v>226</v>
      </c>
      <c r="AG1795" t="s">
        <v>226</v>
      </c>
      <c r="AH1795">
        <v>6</v>
      </c>
      <c r="AI1795" t="s">
        <v>3537</v>
      </c>
      <c r="AJ1795" t="s">
        <v>1976</v>
      </c>
      <c r="AK1795" t="s">
        <v>2416</v>
      </c>
      <c r="AL1795" t="s">
        <v>272</v>
      </c>
    </row>
    <row r="1796" spans="1:38">
      <c r="A1796" t="s">
        <v>7827</v>
      </c>
      <c r="B1796" t="s">
        <v>7828</v>
      </c>
      <c r="C1796" t="s">
        <v>7829</v>
      </c>
      <c r="D1796" t="s">
        <v>7829</v>
      </c>
      <c r="E1796" t="s">
        <v>7830</v>
      </c>
      <c r="F1796" t="s">
        <v>2413</v>
      </c>
      <c r="G1796">
        <v>3</v>
      </c>
      <c r="H1796">
        <v>1</v>
      </c>
      <c r="I1796">
        <v>0.01</v>
      </c>
      <c r="J1796">
        <v>1000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93.03</v>
      </c>
      <c r="Y1796">
        <v>0</v>
      </c>
      <c r="Z1796">
        <v>0</v>
      </c>
      <c r="AA1796">
        <v>250000</v>
      </c>
      <c r="AB1796">
        <v>0</v>
      </c>
      <c r="AC1796">
        <v>0</v>
      </c>
      <c r="AD1796" t="s">
        <v>94</v>
      </c>
      <c r="AE1796" t="s">
        <v>94</v>
      </c>
      <c r="AF1796" t="s">
        <v>226</v>
      </c>
      <c r="AG1796" t="s">
        <v>226</v>
      </c>
      <c r="AH1796">
        <v>6</v>
      </c>
      <c r="AI1796" t="s">
        <v>3537</v>
      </c>
      <c r="AJ1796" t="s">
        <v>1976</v>
      </c>
      <c r="AK1796" t="s">
        <v>2416</v>
      </c>
      <c r="AL1796" t="s">
        <v>272</v>
      </c>
    </row>
    <row r="1797" spans="1:38">
      <c r="A1797" t="s">
        <v>7831</v>
      </c>
      <c r="B1797" t="s">
        <v>7832</v>
      </c>
      <c r="C1797" t="s">
        <v>7833</v>
      </c>
      <c r="D1797" t="s">
        <v>7833</v>
      </c>
      <c r="E1797" t="s">
        <v>7834</v>
      </c>
      <c r="F1797" t="s">
        <v>2413</v>
      </c>
      <c r="G1797">
        <v>3</v>
      </c>
      <c r="H1797">
        <v>1</v>
      </c>
      <c r="I1797">
        <v>0.01</v>
      </c>
      <c r="J1797">
        <v>1000</v>
      </c>
      <c r="K1797">
        <v>-0.27</v>
      </c>
      <c r="L1797">
        <v>98.69</v>
      </c>
      <c r="M1797">
        <v>98.96</v>
      </c>
      <c r="N1797">
        <v>98.49</v>
      </c>
      <c r="O1797">
        <v>98.69</v>
      </c>
      <c r="P1797">
        <v>0</v>
      </c>
      <c r="Q1797">
        <v>0</v>
      </c>
      <c r="R1797">
        <v>0</v>
      </c>
      <c r="S1797">
        <v>98.9</v>
      </c>
      <c r="T1797">
        <v>98.96</v>
      </c>
      <c r="U1797">
        <v>98.2</v>
      </c>
      <c r="V1797">
        <v>98.96</v>
      </c>
      <c r="W1797">
        <v>53407</v>
      </c>
      <c r="X1797">
        <v>98.51</v>
      </c>
      <c r="Y1797">
        <v>98.69</v>
      </c>
      <c r="Z1797">
        <v>12</v>
      </c>
      <c r="AA1797">
        <v>400000</v>
      </c>
      <c r="AB1797">
        <v>986.9</v>
      </c>
      <c r="AC1797">
        <v>0</v>
      </c>
      <c r="AD1797" t="s">
        <v>94</v>
      </c>
      <c r="AE1797" t="s">
        <v>94</v>
      </c>
      <c r="AF1797" t="s">
        <v>226</v>
      </c>
      <c r="AG1797" t="s">
        <v>226</v>
      </c>
      <c r="AH1797">
        <v>6</v>
      </c>
      <c r="AI1797" t="s">
        <v>3537</v>
      </c>
      <c r="AJ1797" t="s">
        <v>1976</v>
      </c>
      <c r="AK1797" t="s">
        <v>2416</v>
      </c>
      <c r="AL1797" t="s">
        <v>272</v>
      </c>
    </row>
    <row r="1798" spans="1:38">
      <c r="A1798" t="s">
        <v>7835</v>
      </c>
      <c r="B1798" t="s">
        <v>7836</v>
      </c>
      <c r="C1798" t="s">
        <v>7837</v>
      </c>
      <c r="D1798" t="s">
        <v>7837</v>
      </c>
      <c r="E1798" t="s">
        <v>7838</v>
      </c>
      <c r="F1798" t="s">
        <v>2413</v>
      </c>
      <c r="G1798">
        <v>2</v>
      </c>
      <c r="H1798">
        <v>1</v>
      </c>
      <c r="I1798">
        <v>0.01</v>
      </c>
      <c r="J1798">
        <v>1000</v>
      </c>
      <c r="K1798">
        <v>-0.05</v>
      </c>
      <c r="L1798">
        <v>97</v>
      </c>
      <c r="M1798">
        <v>97.04</v>
      </c>
      <c r="N1798">
        <v>96.68</v>
      </c>
      <c r="O1798">
        <v>97</v>
      </c>
      <c r="P1798">
        <v>0</v>
      </c>
      <c r="Q1798">
        <v>0</v>
      </c>
      <c r="R1798">
        <v>0</v>
      </c>
      <c r="S1798">
        <v>96.95</v>
      </c>
      <c r="T1798">
        <v>96.93</v>
      </c>
      <c r="U1798">
        <v>96.93</v>
      </c>
      <c r="V1798">
        <v>97.08</v>
      </c>
      <c r="W1798">
        <v>505347</v>
      </c>
      <c r="X1798">
        <v>96.92</v>
      </c>
      <c r="Y1798">
        <v>97.06</v>
      </c>
      <c r="Z1798">
        <v>38</v>
      </c>
      <c r="AA1798">
        <v>1750000</v>
      </c>
      <c r="AB1798">
        <v>4850</v>
      </c>
      <c r="AC1798">
        <v>0</v>
      </c>
      <c r="AD1798" t="s">
        <v>94</v>
      </c>
      <c r="AE1798" t="s">
        <v>94</v>
      </c>
      <c r="AF1798" t="s">
        <v>226</v>
      </c>
      <c r="AG1798" t="s">
        <v>226</v>
      </c>
      <c r="AH1798">
        <v>6</v>
      </c>
      <c r="AI1798" t="s">
        <v>3537</v>
      </c>
      <c r="AJ1798" t="s">
        <v>1976</v>
      </c>
      <c r="AK1798" t="s">
        <v>2416</v>
      </c>
      <c r="AL1798" t="s">
        <v>272</v>
      </c>
    </row>
    <row r="1799" spans="1:38">
      <c r="A1799" t="s">
        <v>7839</v>
      </c>
      <c r="B1799" t="s">
        <v>7840</v>
      </c>
      <c r="C1799" t="s">
        <v>7841</v>
      </c>
      <c r="D1799" t="s">
        <v>7841</v>
      </c>
      <c r="E1799" t="s">
        <v>7842</v>
      </c>
      <c r="F1799" t="s">
        <v>2413</v>
      </c>
      <c r="G1799">
        <v>2</v>
      </c>
      <c r="H1799">
        <v>1</v>
      </c>
      <c r="I1799">
        <v>0.01</v>
      </c>
      <c r="J1799">
        <v>1000</v>
      </c>
      <c r="K1799">
        <v>-0.87</v>
      </c>
      <c r="L1799">
        <v>69.13</v>
      </c>
      <c r="M1799">
        <v>69.75</v>
      </c>
      <c r="N1799">
        <v>69.41</v>
      </c>
      <c r="O1799">
        <v>69.13</v>
      </c>
      <c r="P1799">
        <v>0</v>
      </c>
      <c r="Q1799">
        <v>0</v>
      </c>
      <c r="R1799">
        <v>0</v>
      </c>
      <c r="S1799">
        <v>69.03</v>
      </c>
      <c r="T1799">
        <v>68.72</v>
      </c>
      <c r="U1799">
        <v>68.290000000000006</v>
      </c>
      <c r="V1799">
        <v>69.680000000000007</v>
      </c>
      <c r="W1799">
        <v>528082</v>
      </c>
      <c r="X1799">
        <v>69.11</v>
      </c>
      <c r="Y1799">
        <v>69.13</v>
      </c>
      <c r="Z1799">
        <v>71</v>
      </c>
      <c r="AA1799">
        <v>1500000</v>
      </c>
      <c r="AB1799">
        <v>1382.6</v>
      </c>
      <c r="AC1799">
        <v>0</v>
      </c>
      <c r="AD1799" t="s">
        <v>94</v>
      </c>
      <c r="AE1799" t="s">
        <v>94</v>
      </c>
      <c r="AF1799" t="s">
        <v>226</v>
      </c>
      <c r="AG1799" t="s">
        <v>226</v>
      </c>
      <c r="AH1799">
        <v>6</v>
      </c>
      <c r="AI1799" t="s">
        <v>3537</v>
      </c>
      <c r="AJ1799" t="s">
        <v>1976</v>
      </c>
      <c r="AK1799" t="s">
        <v>2416</v>
      </c>
      <c r="AL1799" t="s">
        <v>272</v>
      </c>
    </row>
    <row r="1800" spans="1:38">
      <c r="A1800" t="s">
        <v>7843</v>
      </c>
      <c r="B1800" t="s">
        <v>7844</v>
      </c>
      <c r="C1800" t="s">
        <v>7845</v>
      </c>
      <c r="D1800" t="s">
        <v>7845</v>
      </c>
      <c r="E1800" t="s">
        <v>7846</v>
      </c>
      <c r="F1800" t="s">
        <v>2425</v>
      </c>
      <c r="G1800">
        <v>3</v>
      </c>
      <c r="H1800">
        <v>1</v>
      </c>
      <c r="I1800">
        <v>0.01</v>
      </c>
      <c r="J1800">
        <v>1000</v>
      </c>
      <c r="K1800">
        <v>0</v>
      </c>
      <c r="L1800">
        <v>0</v>
      </c>
      <c r="M1800">
        <v>100.01</v>
      </c>
      <c r="N1800">
        <v>0</v>
      </c>
      <c r="O1800">
        <v>100.01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2000000</v>
      </c>
      <c r="AB1800">
        <v>0</v>
      </c>
      <c r="AC1800">
        <v>0</v>
      </c>
      <c r="AD1800" t="s">
        <v>94</v>
      </c>
      <c r="AE1800" t="s">
        <v>94</v>
      </c>
      <c r="AF1800" t="s">
        <v>226</v>
      </c>
      <c r="AG1800" t="s">
        <v>226</v>
      </c>
      <c r="AH1800">
        <v>800</v>
      </c>
      <c r="AI1800" t="s">
        <v>3537</v>
      </c>
      <c r="AJ1800" t="s">
        <v>1976</v>
      </c>
      <c r="AK1800" t="s">
        <v>2426</v>
      </c>
      <c r="AL1800" t="s">
        <v>272</v>
      </c>
    </row>
    <row r="1801" spans="1:38">
      <c r="A1801" t="s">
        <v>7847</v>
      </c>
      <c r="B1801" t="s">
        <v>7848</v>
      </c>
      <c r="C1801" t="s">
        <v>7849</v>
      </c>
      <c r="D1801" t="s">
        <v>7849</v>
      </c>
      <c r="E1801" t="s">
        <v>7850</v>
      </c>
      <c r="F1801" t="s">
        <v>2413</v>
      </c>
      <c r="G1801">
        <v>3</v>
      </c>
      <c r="H1801">
        <v>1</v>
      </c>
      <c r="I1801">
        <v>0.01</v>
      </c>
      <c r="J1801">
        <v>1000</v>
      </c>
      <c r="K1801">
        <v>-0.14000000000000001</v>
      </c>
      <c r="L1801">
        <v>99.6</v>
      </c>
      <c r="M1801">
        <v>99.74</v>
      </c>
      <c r="N1801">
        <v>99.64</v>
      </c>
      <c r="O1801">
        <v>99.55</v>
      </c>
      <c r="P1801">
        <v>0</v>
      </c>
      <c r="Q1801">
        <v>0</v>
      </c>
      <c r="R1801">
        <v>0</v>
      </c>
      <c r="S1801">
        <v>99.57</v>
      </c>
      <c r="T1801">
        <v>99.69</v>
      </c>
      <c r="U1801">
        <v>99.3</v>
      </c>
      <c r="V1801">
        <v>99.69</v>
      </c>
      <c r="W1801">
        <v>3485011</v>
      </c>
      <c r="X1801">
        <v>99.52</v>
      </c>
      <c r="Y1801">
        <v>99.59</v>
      </c>
      <c r="Z1801">
        <v>119</v>
      </c>
      <c r="AA1801">
        <v>17000000</v>
      </c>
      <c r="AB1801">
        <v>2988</v>
      </c>
      <c r="AC1801">
        <v>0</v>
      </c>
      <c r="AD1801" t="s">
        <v>94</v>
      </c>
      <c r="AE1801" t="s">
        <v>94</v>
      </c>
      <c r="AF1801" t="s">
        <v>226</v>
      </c>
      <c r="AG1801" t="s">
        <v>226</v>
      </c>
      <c r="AH1801">
        <v>800</v>
      </c>
      <c r="AI1801" t="s">
        <v>3537</v>
      </c>
      <c r="AJ1801" t="s">
        <v>1976</v>
      </c>
      <c r="AK1801" t="s">
        <v>2416</v>
      </c>
      <c r="AL1801" t="s">
        <v>272</v>
      </c>
    </row>
    <row r="1802" spans="1:38">
      <c r="A1802" t="s">
        <v>7851</v>
      </c>
      <c r="B1802" t="s">
        <v>7852</v>
      </c>
      <c r="C1802" t="s">
        <v>7853</v>
      </c>
      <c r="D1802" t="s">
        <v>7853</v>
      </c>
      <c r="E1802" t="s">
        <v>7854</v>
      </c>
      <c r="F1802" t="s">
        <v>2413</v>
      </c>
      <c r="G1802">
        <v>3</v>
      </c>
      <c r="H1802">
        <v>1</v>
      </c>
      <c r="I1802">
        <v>0.01</v>
      </c>
      <c r="J1802">
        <v>1000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10000000</v>
      </c>
      <c r="AB1802">
        <v>0</v>
      </c>
      <c r="AC1802">
        <v>0</v>
      </c>
      <c r="AD1802" t="s">
        <v>94</v>
      </c>
      <c r="AE1802" t="s">
        <v>94</v>
      </c>
      <c r="AF1802" t="s">
        <v>226</v>
      </c>
      <c r="AG1802" t="s">
        <v>226</v>
      </c>
      <c r="AH1802">
        <v>800</v>
      </c>
      <c r="AI1802" t="s">
        <v>3537</v>
      </c>
      <c r="AJ1802" t="s">
        <v>1976</v>
      </c>
      <c r="AK1802" t="s">
        <v>2416</v>
      </c>
      <c r="AL1802" t="s">
        <v>272</v>
      </c>
    </row>
    <row r="1803" spans="1:38">
      <c r="A1803" t="s">
        <v>7855</v>
      </c>
      <c r="B1803" t="s">
        <v>7856</v>
      </c>
      <c r="C1803" t="s">
        <v>7857</v>
      </c>
      <c r="D1803" t="s">
        <v>7857</v>
      </c>
      <c r="E1803" t="s">
        <v>7858</v>
      </c>
      <c r="F1803" t="s">
        <v>2413</v>
      </c>
      <c r="G1803">
        <v>3</v>
      </c>
      <c r="H1803">
        <v>1</v>
      </c>
      <c r="I1803">
        <v>0.01</v>
      </c>
      <c r="J1803">
        <v>1000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10000000</v>
      </c>
      <c r="AB1803">
        <v>0</v>
      </c>
      <c r="AC1803">
        <v>0</v>
      </c>
      <c r="AD1803" t="s">
        <v>94</v>
      </c>
      <c r="AE1803" t="s">
        <v>94</v>
      </c>
      <c r="AF1803" t="s">
        <v>226</v>
      </c>
      <c r="AG1803" t="s">
        <v>226</v>
      </c>
      <c r="AH1803">
        <v>800</v>
      </c>
      <c r="AI1803" t="s">
        <v>3537</v>
      </c>
      <c r="AJ1803" t="s">
        <v>1976</v>
      </c>
      <c r="AK1803" t="s">
        <v>2416</v>
      </c>
      <c r="AL1803" t="s">
        <v>272</v>
      </c>
    </row>
    <row r="1804" spans="1:38">
      <c r="A1804" t="s">
        <v>7859</v>
      </c>
      <c r="B1804" t="s">
        <v>7860</v>
      </c>
      <c r="C1804" t="s">
        <v>7861</v>
      </c>
      <c r="D1804" t="s">
        <v>7861</v>
      </c>
      <c r="E1804" t="s">
        <v>7862</v>
      </c>
      <c r="F1804" t="s">
        <v>2413</v>
      </c>
      <c r="G1804">
        <v>3</v>
      </c>
      <c r="H1804">
        <v>1</v>
      </c>
      <c r="I1804">
        <v>0.01</v>
      </c>
      <c r="J1804">
        <v>1000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10000000</v>
      </c>
      <c r="AB1804">
        <v>0</v>
      </c>
      <c r="AC1804">
        <v>0</v>
      </c>
      <c r="AD1804" t="s">
        <v>94</v>
      </c>
      <c r="AE1804" t="s">
        <v>94</v>
      </c>
      <c r="AF1804" t="s">
        <v>226</v>
      </c>
      <c r="AG1804" t="s">
        <v>226</v>
      </c>
      <c r="AH1804">
        <v>800</v>
      </c>
      <c r="AI1804" t="s">
        <v>3537</v>
      </c>
      <c r="AJ1804" t="s">
        <v>1976</v>
      </c>
      <c r="AK1804" t="s">
        <v>2416</v>
      </c>
      <c r="AL1804" t="s">
        <v>272</v>
      </c>
    </row>
    <row r="1805" spans="1:38">
      <c r="A1805" t="s">
        <v>7863</v>
      </c>
      <c r="B1805" t="s">
        <v>7864</v>
      </c>
      <c r="C1805" t="s">
        <v>7865</v>
      </c>
      <c r="D1805" t="s">
        <v>7865</v>
      </c>
      <c r="E1805" t="s">
        <v>7866</v>
      </c>
      <c r="F1805" t="s">
        <v>2425</v>
      </c>
      <c r="G1805">
        <v>3</v>
      </c>
      <c r="H1805">
        <v>1</v>
      </c>
      <c r="I1805">
        <v>0.01</v>
      </c>
      <c r="J1805">
        <v>1000</v>
      </c>
      <c r="K1805">
        <v>0</v>
      </c>
      <c r="L1805">
        <v>0</v>
      </c>
      <c r="M1805">
        <v>100.01</v>
      </c>
      <c r="N1805">
        <v>0</v>
      </c>
      <c r="O1805">
        <v>100.01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3000000</v>
      </c>
      <c r="AB1805">
        <v>0</v>
      </c>
      <c r="AC1805">
        <v>0</v>
      </c>
      <c r="AD1805" t="s">
        <v>94</v>
      </c>
      <c r="AE1805" t="s">
        <v>94</v>
      </c>
      <c r="AF1805" t="s">
        <v>226</v>
      </c>
      <c r="AG1805" t="s">
        <v>226</v>
      </c>
      <c r="AH1805">
        <v>800</v>
      </c>
      <c r="AI1805" t="s">
        <v>3537</v>
      </c>
      <c r="AJ1805" t="s">
        <v>1976</v>
      </c>
      <c r="AK1805" t="s">
        <v>2426</v>
      </c>
      <c r="AL1805" t="s">
        <v>272</v>
      </c>
    </row>
    <row r="1806" spans="1:38">
      <c r="A1806" t="s">
        <v>7867</v>
      </c>
      <c r="B1806" t="s">
        <v>7868</v>
      </c>
      <c r="C1806" t="s">
        <v>7869</v>
      </c>
      <c r="D1806" t="s">
        <v>7869</v>
      </c>
      <c r="E1806" t="s">
        <v>7870</v>
      </c>
      <c r="F1806" t="s">
        <v>2413</v>
      </c>
      <c r="G1806">
        <v>3</v>
      </c>
      <c r="H1806">
        <v>1</v>
      </c>
      <c r="I1806">
        <v>0.01</v>
      </c>
      <c r="J1806">
        <v>1000</v>
      </c>
      <c r="K1806">
        <v>-0.77</v>
      </c>
      <c r="L1806">
        <v>94.3</v>
      </c>
      <c r="M1806">
        <v>95.08</v>
      </c>
      <c r="N1806">
        <v>95.3</v>
      </c>
      <c r="O1806">
        <v>94.36</v>
      </c>
      <c r="P1806">
        <v>0</v>
      </c>
      <c r="Q1806">
        <v>0</v>
      </c>
      <c r="R1806">
        <v>0</v>
      </c>
      <c r="S1806">
        <v>94.83</v>
      </c>
      <c r="T1806">
        <v>95.11</v>
      </c>
      <c r="U1806">
        <v>94</v>
      </c>
      <c r="V1806">
        <v>95.17</v>
      </c>
      <c r="W1806">
        <v>1507803</v>
      </c>
      <c r="X1806">
        <v>94.14</v>
      </c>
      <c r="Y1806">
        <v>94.3</v>
      </c>
      <c r="Z1806">
        <v>140</v>
      </c>
      <c r="AA1806">
        <v>300000</v>
      </c>
      <c r="AB1806">
        <v>7544</v>
      </c>
      <c r="AC1806">
        <v>0</v>
      </c>
      <c r="AD1806" t="s">
        <v>94</v>
      </c>
      <c r="AE1806" t="s">
        <v>94</v>
      </c>
      <c r="AF1806" t="s">
        <v>226</v>
      </c>
      <c r="AG1806" t="s">
        <v>226</v>
      </c>
      <c r="AH1806">
        <v>6</v>
      </c>
      <c r="AI1806" t="s">
        <v>3537</v>
      </c>
      <c r="AJ1806" t="s">
        <v>1976</v>
      </c>
      <c r="AK1806" t="s">
        <v>2416</v>
      </c>
      <c r="AL1806" t="s">
        <v>272</v>
      </c>
    </row>
    <row r="1807" spans="1:38">
      <c r="A1807" t="s">
        <v>7871</v>
      </c>
      <c r="B1807" t="s">
        <v>7872</v>
      </c>
      <c r="C1807" t="s">
        <v>7873</v>
      </c>
      <c r="D1807" t="s">
        <v>7873</v>
      </c>
      <c r="E1807" t="s">
        <v>7874</v>
      </c>
      <c r="F1807" t="s">
        <v>2413</v>
      </c>
      <c r="G1807">
        <v>3</v>
      </c>
      <c r="H1807">
        <v>1</v>
      </c>
      <c r="I1807">
        <v>0.01</v>
      </c>
      <c r="J1807">
        <v>1000000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23070</v>
      </c>
      <c r="AB1807">
        <v>0</v>
      </c>
      <c r="AC1807">
        <v>0</v>
      </c>
      <c r="AD1807" t="s">
        <v>94</v>
      </c>
      <c r="AE1807" t="s">
        <v>94</v>
      </c>
      <c r="AF1807" t="s">
        <v>304</v>
      </c>
      <c r="AG1807" t="s">
        <v>226</v>
      </c>
      <c r="AH1807">
        <v>0</v>
      </c>
      <c r="AI1807" t="s">
        <v>3537</v>
      </c>
      <c r="AJ1807" t="s">
        <v>1976</v>
      </c>
      <c r="AK1807" t="s">
        <v>2416</v>
      </c>
      <c r="AL1807" t="s">
        <v>272</v>
      </c>
    </row>
    <row r="1808" spans="1:38">
      <c r="A1808" t="s">
        <v>7875</v>
      </c>
      <c r="B1808" t="s">
        <v>7876</v>
      </c>
      <c r="C1808" t="s">
        <v>7877</v>
      </c>
      <c r="D1808" t="s">
        <v>7877</v>
      </c>
      <c r="E1808" t="s">
        <v>7878</v>
      </c>
      <c r="F1808" t="s">
        <v>2413</v>
      </c>
      <c r="G1808">
        <v>2</v>
      </c>
      <c r="H1808">
        <v>1</v>
      </c>
      <c r="I1808">
        <v>0.01</v>
      </c>
      <c r="J1808">
        <v>1000</v>
      </c>
      <c r="K1808">
        <v>4.5</v>
      </c>
      <c r="L1808">
        <v>78.5</v>
      </c>
      <c r="M1808">
        <v>75.12</v>
      </c>
      <c r="N1808">
        <v>75.3</v>
      </c>
      <c r="O1808">
        <v>78.19</v>
      </c>
      <c r="P1808">
        <v>0</v>
      </c>
      <c r="Q1808">
        <v>0</v>
      </c>
      <c r="R1808">
        <v>0</v>
      </c>
      <c r="S1808">
        <v>77.819999999999993</v>
      </c>
      <c r="T1808">
        <v>75.989999999999995</v>
      </c>
      <c r="U1808">
        <v>75.989999999999995</v>
      </c>
      <c r="V1808">
        <v>79.72</v>
      </c>
      <c r="W1808">
        <v>91050</v>
      </c>
      <c r="X1808">
        <v>77.97</v>
      </c>
      <c r="Y1808">
        <v>78.47</v>
      </c>
      <c r="Z1808">
        <v>23</v>
      </c>
      <c r="AA1808">
        <v>500000</v>
      </c>
      <c r="AB1808">
        <v>785</v>
      </c>
      <c r="AC1808">
        <v>0</v>
      </c>
      <c r="AD1808" t="s">
        <v>94</v>
      </c>
      <c r="AE1808" t="s">
        <v>94</v>
      </c>
      <c r="AF1808" t="s">
        <v>226</v>
      </c>
      <c r="AG1808" t="s">
        <v>226</v>
      </c>
      <c r="AH1808">
        <v>6</v>
      </c>
      <c r="AI1808" t="s">
        <v>3537</v>
      </c>
      <c r="AJ1808" t="s">
        <v>1976</v>
      </c>
      <c r="AK1808" t="s">
        <v>2416</v>
      </c>
      <c r="AL1808" t="s">
        <v>272</v>
      </c>
    </row>
    <row r="1809" spans="1:38">
      <c r="A1809" t="s">
        <v>7879</v>
      </c>
      <c r="B1809" t="s">
        <v>7880</v>
      </c>
      <c r="C1809" t="s">
        <v>7881</v>
      </c>
      <c r="D1809" t="s">
        <v>7881</v>
      </c>
      <c r="E1809" t="s">
        <v>7882</v>
      </c>
      <c r="F1809" t="s">
        <v>2413</v>
      </c>
      <c r="G1809">
        <v>3</v>
      </c>
      <c r="H1809">
        <v>1</v>
      </c>
      <c r="I1809">
        <v>0.01</v>
      </c>
      <c r="J1809">
        <v>536</v>
      </c>
      <c r="K1809">
        <v>0.34</v>
      </c>
      <c r="L1809">
        <v>91.39</v>
      </c>
      <c r="M1809">
        <v>91.08</v>
      </c>
      <c r="N1809">
        <v>89.09</v>
      </c>
      <c r="O1809">
        <v>91.39</v>
      </c>
      <c r="P1809">
        <v>0</v>
      </c>
      <c r="Q1809">
        <v>0</v>
      </c>
      <c r="R1809">
        <v>0</v>
      </c>
      <c r="S1809">
        <v>91.39</v>
      </c>
      <c r="T1809">
        <v>91.38</v>
      </c>
      <c r="U1809">
        <v>91.38</v>
      </c>
      <c r="V1809">
        <v>91.39</v>
      </c>
      <c r="W1809">
        <v>3919</v>
      </c>
      <c r="X1809">
        <v>87.4</v>
      </c>
      <c r="Y1809">
        <v>91.39</v>
      </c>
      <c r="Z1809">
        <v>3</v>
      </c>
      <c r="AA1809">
        <v>8014</v>
      </c>
      <c r="AB1809">
        <v>489.85</v>
      </c>
      <c r="AC1809">
        <v>0</v>
      </c>
      <c r="AD1809" t="s">
        <v>94</v>
      </c>
      <c r="AE1809" t="s">
        <v>94</v>
      </c>
      <c r="AF1809" t="s">
        <v>226</v>
      </c>
      <c r="AG1809" t="s">
        <v>226</v>
      </c>
      <c r="AH1809">
        <v>6</v>
      </c>
      <c r="AI1809" t="s">
        <v>3537</v>
      </c>
      <c r="AJ1809" t="s">
        <v>1976</v>
      </c>
      <c r="AK1809" t="s">
        <v>2416</v>
      </c>
      <c r="AL1809" t="s">
        <v>272</v>
      </c>
    </row>
    <row r="1810" spans="1:38">
      <c r="A1810" t="s">
        <v>7883</v>
      </c>
      <c r="B1810" t="s">
        <v>7884</v>
      </c>
      <c r="C1810" t="s">
        <v>7885</v>
      </c>
      <c r="D1810" t="s">
        <v>7885</v>
      </c>
      <c r="E1810" t="s">
        <v>7886</v>
      </c>
      <c r="F1810" t="s">
        <v>2413</v>
      </c>
      <c r="G1810">
        <v>3</v>
      </c>
      <c r="H1810">
        <v>1</v>
      </c>
      <c r="I1810">
        <v>0.01</v>
      </c>
      <c r="J1810">
        <v>1000</v>
      </c>
      <c r="K1810">
        <v>0.47</v>
      </c>
      <c r="L1810">
        <v>85</v>
      </c>
      <c r="M1810">
        <v>84.6</v>
      </c>
      <c r="N1810">
        <v>84.11</v>
      </c>
      <c r="O1810">
        <v>84.68</v>
      </c>
      <c r="P1810">
        <v>0</v>
      </c>
      <c r="Q1810">
        <v>0</v>
      </c>
      <c r="R1810">
        <v>0</v>
      </c>
      <c r="S1810">
        <v>84.54</v>
      </c>
      <c r="T1810">
        <v>84.65</v>
      </c>
      <c r="U1810">
        <v>84.02</v>
      </c>
      <c r="V1810">
        <v>85</v>
      </c>
      <c r="W1810">
        <v>187683</v>
      </c>
      <c r="X1810">
        <v>84.45</v>
      </c>
      <c r="Y1810">
        <v>85</v>
      </c>
      <c r="Z1810">
        <v>30</v>
      </c>
      <c r="AA1810">
        <v>400000</v>
      </c>
      <c r="AB1810">
        <v>850</v>
      </c>
      <c r="AC1810">
        <v>0</v>
      </c>
      <c r="AD1810" t="s">
        <v>94</v>
      </c>
      <c r="AE1810" t="s">
        <v>94</v>
      </c>
      <c r="AF1810" t="s">
        <v>304</v>
      </c>
      <c r="AG1810" t="s">
        <v>226</v>
      </c>
      <c r="AH1810">
        <v>0</v>
      </c>
      <c r="AI1810" t="s">
        <v>3537</v>
      </c>
      <c r="AJ1810" t="s">
        <v>1976</v>
      </c>
      <c r="AK1810" t="s">
        <v>2416</v>
      </c>
      <c r="AL1810" t="s">
        <v>272</v>
      </c>
    </row>
    <row r="1811" spans="1:38">
      <c r="A1811" t="s">
        <v>7887</v>
      </c>
      <c r="B1811" t="s">
        <v>7888</v>
      </c>
      <c r="C1811" t="s">
        <v>7889</v>
      </c>
      <c r="D1811" t="s">
        <v>7889</v>
      </c>
      <c r="E1811" t="s">
        <v>7890</v>
      </c>
      <c r="F1811" t="s">
        <v>2413</v>
      </c>
      <c r="G1811">
        <v>3</v>
      </c>
      <c r="H1811">
        <v>1</v>
      </c>
      <c r="I1811">
        <v>0.01</v>
      </c>
      <c r="J1811">
        <v>1000</v>
      </c>
      <c r="K1811">
        <v>1</v>
      </c>
      <c r="L1811">
        <v>100.44</v>
      </c>
      <c r="M1811">
        <v>99.6</v>
      </c>
      <c r="N1811">
        <v>99.49</v>
      </c>
      <c r="O1811">
        <v>100.44</v>
      </c>
      <c r="P1811">
        <v>0</v>
      </c>
      <c r="Q1811">
        <v>0</v>
      </c>
      <c r="R1811">
        <v>0</v>
      </c>
      <c r="S1811">
        <v>99.99</v>
      </c>
      <c r="T1811">
        <v>99.62</v>
      </c>
      <c r="U1811">
        <v>99.37</v>
      </c>
      <c r="V1811">
        <v>100.98</v>
      </c>
      <c r="W1811">
        <v>247968</v>
      </c>
      <c r="X1811">
        <v>100.44</v>
      </c>
      <c r="Y1811">
        <v>100.45</v>
      </c>
      <c r="Z1811">
        <v>74</v>
      </c>
      <c r="AA1811">
        <v>300000</v>
      </c>
      <c r="AB1811">
        <v>7030.8</v>
      </c>
      <c r="AC1811">
        <v>0</v>
      </c>
      <c r="AD1811" t="s">
        <v>94</v>
      </c>
      <c r="AE1811" t="s">
        <v>94</v>
      </c>
      <c r="AF1811" t="s">
        <v>226</v>
      </c>
      <c r="AG1811" t="s">
        <v>226</v>
      </c>
      <c r="AH1811">
        <v>800</v>
      </c>
      <c r="AI1811" t="s">
        <v>3537</v>
      </c>
      <c r="AJ1811" t="s">
        <v>1976</v>
      </c>
      <c r="AK1811" t="s">
        <v>2416</v>
      </c>
      <c r="AL1811" t="s">
        <v>272</v>
      </c>
    </row>
    <row r="1812" spans="1:38">
      <c r="A1812" t="s">
        <v>7891</v>
      </c>
      <c r="B1812" t="s">
        <v>7892</v>
      </c>
      <c r="C1812" t="s">
        <v>7893</v>
      </c>
      <c r="D1812" t="s">
        <v>7893</v>
      </c>
      <c r="E1812" t="s">
        <v>7894</v>
      </c>
      <c r="F1812" t="s">
        <v>2413</v>
      </c>
      <c r="G1812">
        <v>3</v>
      </c>
      <c r="H1812">
        <v>1</v>
      </c>
      <c r="I1812">
        <v>0.01</v>
      </c>
      <c r="J1812">
        <v>1000</v>
      </c>
      <c r="K1812">
        <v>0.14000000000000001</v>
      </c>
      <c r="L1812">
        <v>99.91</v>
      </c>
      <c r="M1812">
        <v>99.71</v>
      </c>
      <c r="N1812">
        <v>99.72</v>
      </c>
      <c r="O1812">
        <v>99.91</v>
      </c>
      <c r="P1812">
        <v>0</v>
      </c>
      <c r="Q1812">
        <v>0</v>
      </c>
      <c r="R1812">
        <v>0</v>
      </c>
      <c r="S1812">
        <v>99.87</v>
      </c>
      <c r="T1812">
        <v>99.1</v>
      </c>
      <c r="U1812">
        <v>99.01</v>
      </c>
      <c r="V1812">
        <v>100</v>
      </c>
      <c r="W1812">
        <v>1115591</v>
      </c>
      <c r="X1812">
        <v>99.71</v>
      </c>
      <c r="Y1812">
        <v>99.89</v>
      </c>
      <c r="Z1812">
        <v>167</v>
      </c>
      <c r="AA1812">
        <v>400000</v>
      </c>
      <c r="AB1812">
        <v>999.1</v>
      </c>
      <c r="AC1812">
        <v>0</v>
      </c>
      <c r="AD1812" t="s">
        <v>94</v>
      </c>
      <c r="AE1812" t="s">
        <v>94</v>
      </c>
      <c r="AF1812" t="s">
        <v>226</v>
      </c>
      <c r="AG1812" t="s">
        <v>226</v>
      </c>
      <c r="AH1812">
        <v>800</v>
      </c>
      <c r="AI1812" t="s">
        <v>3537</v>
      </c>
      <c r="AJ1812" t="s">
        <v>1976</v>
      </c>
      <c r="AK1812" t="s">
        <v>2416</v>
      </c>
      <c r="AL1812" t="s">
        <v>272</v>
      </c>
    </row>
    <row r="1813" spans="1:38">
      <c r="A1813" t="s">
        <v>7895</v>
      </c>
      <c r="B1813" t="s">
        <v>7896</v>
      </c>
      <c r="C1813" t="s">
        <v>7897</v>
      </c>
      <c r="D1813" t="s">
        <v>7897</v>
      </c>
      <c r="E1813" t="s">
        <v>7898</v>
      </c>
      <c r="F1813" t="s">
        <v>2413</v>
      </c>
      <c r="G1813">
        <v>3</v>
      </c>
      <c r="H1813">
        <v>1</v>
      </c>
      <c r="I1813">
        <v>0.01</v>
      </c>
      <c r="J1813">
        <v>1000</v>
      </c>
      <c r="K1813">
        <v>-0.28000000000000003</v>
      </c>
      <c r="L1813">
        <v>95.83</v>
      </c>
      <c r="M1813">
        <v>96.1</v>
      </c>
      <c r="N1813">
        <v>95.9</v>
      </c>
      <c r="O1813">
        <v>95.8</v>
      </c>
      <c r="P1813">
        <v>0</v>
      </c>
      <c r="Q1813">
        <v>0</v>
      </c>
      <c r="R1813">
        <v>0</v>
      </c>
      <c r="S1813">
        <v>95.5</v>
      </c>
      <c r="T1813">
        <v>96.79</v>
      </c>
      <c r="U1813">
        <v>94.7</v>
      </c>
      <c r="V1813">
        <v>96.79</v>
      </c>
      <c r="W1813">
        <v>273139</v>
      </c>
      <c r="X1813">
        <v>95.61</v>
      </c>
      <c r="Y1813">
        <v>95.83</v>
      </c>
      <c r="Z1813">
        <v>91</v>
      </c>
      <c r="AA1813">
        <v>350000</v>
      </c>
      <c r="AB1813">
        <v>1916.6</v>
      </c>
      <c r="AC1813">
        <v>0</v>
      </c>
      <c r="AD1813" t="s">
        <v>94</v>
      </c>
      <c r="AE1813" t="s">
        <v>94</v>
      </c>
      <c r="AF1813" t="s">
        <v>226</v>
      </c>
      <c r="AG1813" t="s">
        <v>226</v>
      </c>
      <c r="AH1813">
        <v>6</v>
      </c>
      <c r="AI1813" t="s">
        <v>3537</v>
      </c>
      <c r="AJ1813" t="s">
        <v>1976</v>
      </c>
      <c r="AK1813" t="s">
        <v>2416</v>
      </c>
      <c r="AL1813" t="s">
        <v>272</v>
      </c>
    </row>
    <row r="1814" spans="1:38">
      <c r="A1814" t="s">
        <v>7899</v>
      </c>
      <c r="B1814" t="s">
        <v>7900</v>
      </c>
      <c r="C1814" t="s">
        <v>7901</v>
      </c>
      <c r="D1814" t="s">
        <v>7901</v>
      </c>
      <c r="E1814" t="s">
        <v>7902</v>
      </c>
      <c r="F1814" t="s">
        <v>2425</v>
      </c>
      <c r="G1814">
        <v>3</v>
      </c>
      <c r="H1814">
        <v>1</v>
      </c>
      <c r="I1814">
        <v>0.01</v>
      </c>
      <c r="J1814">
        <v>1000</v>
      </c>
      <c r="K1814">
        <v>-0.02</v>
      </c>
      <c r="L1814">
        <v>85.68</v>
      </c>
      <c r="M1814">
        <v>85.7</v>
      </c>
      <c r="N1814">
        <v>85.24</v>
      </c>
      <c r="O1814">
        <v>85.68</v>
      </c>
      <c r="P1814">
        <v>0</v>
      </c>
      <c r="Q1814">
        <v>0</v>
      </c>
      <c r="R1814">
        <v>0</v>
      </c>
      <c r="S1814">
        <v>85.16</v>
      </c>
      <c r="T1814">
        <v>85.69</v>
      </c>
      <c r="U1814">
        <v>83.51</v>
      </c>
      <c r="V1814">
        <v>85.69</v>
      </c>
      <c r="W1814">
        <v>1151338</v>
      </c>
      <c r="X1814">
        <v>85.78</v>
      </c>
      <c r="Y1814">
        <v>85.93</v>
      </c>
      <c r="Z1814">
        <v>107</v>
      </c>
      <c r="AA1814">
        <v>400000</v>
      </c>
      <c r="AB1814">
        <v>5140.8</v>
      </c>
      <c r="AC1814">
        <v>0</v>
      </c>
      <c r="AD1814" t="s">
        <v>94</v>
      </c>
      <c r="AE1814" t="s">
        <v>94</v>
      </c>
      <c r="AF1814" t="s">
        <v>304</v>
      </c>
      <c r="AG1814" t="s">
        <v>226</v>
      </c>
      <c r="AH1814">
        <v>0</v>
      </c>
      <c r="AI1814" t="s">
        <v>3537</v>
      </c>
      <c r="AJ1814" t="s">
        <v>1976</v>
      </c>
      <c r="AK1814" t="s">
        <v>2426</v>
      </c>
      <c r="AL1814" t="s">
        <v>272</v>
      </c>
    </row>
    <row r="1815" spans="1:38">
      <c r="A1815" t="s">
        <v>7903</v>
      </c>
      <c r="B1815" t="s">
        <v>7904</v>
      </c>
      <c r="C1815" t="s">
        <v>7905</v>
      </c>
      <c r="D1815" t="s">
        <v>7905</v>
      </c>
      <c r="E1815" t="s">
        <v>7906</v>
      </c>
      <c r="F1815" t="s">
        <v>2413</v>
      </c>
      <c r="G1815">
        <v>2</v>
      </c>
      <c r="H1815">
        <v>1</v>
      </c>
      <c r="I1815">
        <v>0.01</v>
      </c>
      <c r="J1815">
        <v>175</v>
      </c>
      <c r="K1815">
        <v>-0.06</v>
      </c>
      <c r="L1815">
        <v>99.52</v>
      </c>
      <c r="M1815">
        <v>99.55</v>
      </c>
      <c r="N1815">
        <v>99.52</v>
      </c>
      <c r="O1815">
        <v>99.52</v>
      </c>
      <c r="P1815">
        <v>0</v>
      </c>
      <c r="Q1815">
        <v>0</v>
      </c>
      <c r="R1815">
        <v>0</v>
      </c>
      <c r="S1815">
        <v>99.43</v>
      </c>
      <c r="T1815">
        <v>99.54</v>
      </c>
      <c r="U1815">
        <v>98.99</v>
      </c>
      <c r="V1815">
        <v>99.7</v>
      </c>
      <c r="W1815">
        <v>7343275</v>
      </c>
      <c r="X1815">
        <v>99.51</v>
      </c>
      <c r="Y1815">
        <v>99.52</v>
      </c>
      <c r="Z1815">
        <v>160</v>
      </c>
      <c r="AA1815">
        <v>5000000</v>
      </c>
      <c r="AB1815">
        <v>696.64</v>
      </c>
      <c r="AC1815">
        <v>0</v>
      </c>
      <c r="AD1815" t="s">
        <v>94</v>
      </c>
      <c r="AE1815" t="s">
        <v>94</v>
      </c>
      <c r="AF1815" t="s">
        <v>226</v>
      </c>
      <c r="AG1815" t="s">
        <v>226</v>
      </c>
      <c r="AH1815">
        <v>6</v>
      </c>
      <c r="AI1815" t="s">
        <v>3537</v>
      </c>
      <c r="AJ1815" t="s">
        <v>1976</v>
      </c>
      <c r="AK1815" t="s">
        <v>2416</v>
      </c>
      <c r="AL1815" t="s">
        <v>272</v>
      </c>
    </row>
    <row r="1816" spans="1:38">
      <c r="A1816" t="s">
        <v>7907</v>
      </c>
      <c r="B1816" t="s">
        <v>7908</v>
      </c>
      <c r="C1816" t="s">
        <v>7909</v>
      </c>
      <c r="D1816" t="s">
        <v>7909</v>
      </c>
      <c r="E1816" t="s">
        <v>7910</v>
      </c>
      <c r="F1816" t="s">
        <v>2413</v>
      </c>
      <c r="G1816">
        <v>2</v>
      </c>
      <c r="H1816">
        <v>1</v>
      </c>
      <c r="I1816">
        <v>0.01</v>
      </c>
      <c r="J1816">
        <v>1000</v>
      </c>
      <c r="K1816">
        <v>1.26</v>
      </c>
      <c r="L1816">
        <v>90.5</v>
      </c>
      <c r="M1816">
        <v>89.37</v>
      </c>
      <c r="N1816">
        <v>89.22</v>
      </c>
      <c r="O1816">
        <v>90.5</v>
      </c>
      <c r="P1816">
        <v>0</v>
      </c>
      <c r="Q1816">
        <v>0</v>
      </c>
      <c r="R1816">
        <v>0</v>
      </c>
      <c r="S1816">
        <v>90.53</v>
      </c>
      <c r="T1816">
        <v>89.49</v>
      </c>
      <c r="U1816">
        <v>89.49</v>
      </c>
      <c r="V1816">
        <v>90.88</v>
      </c>
      <c r="W1816">
        <v>1098150</v>
      </c>
      <c r="X1816">
        <v>90.29</v>
      </c>
      <c r="Y1816">
        <v>90.5</v>
      </c>
      <c r="Z1816">
        <v>135</v>
      </c>
      <c r="AA1816">
        <v>3000000</v>
      </c>
      <c r="AB1816">
        <v>905</v>
      </c>
      <c r="AC1816">
        <v>0</v>
      </c>
      <c r="AD1816" t="s">
        <v>94</v>
      </c>
      <c r="AE1816" t="s">
        <v>94</v>
      </c>
      <c r="AF1816" t="s">
        <v>226</v>
      </c>
      <c r="AG1816" t="s">
        <v>226</v>
      </c>
      <c r="AH1816">
        <v>6</v>
      </c>
      <c r="AI1816" t="s">
        <v>3537</v>
      </c>
      <c r="AJ1816" t="s">
        <v>1976</v>
      </c>
      <c r="AK1816" t="s">
        <v>2416</v>
      </c>
      <c r="AL1816" t="s">
        <v>272</v>
      </c>
    </row>
    <row r="1817" spans="1:38">
      <c r="A1817" t="s">
        <v>7911</v>
      </c>
      <c r="B1817" t="s">
        <v>7912</v>
      </c>
      <c r="C1817" t="s">
        <v>7913</v>
      </c>
      <c r="D1817" t="s">
        <v>7913</v>
      </c>
      <c r="E1817" t="s">
        <v>7914</v>
      </c>
      <c r="F1817" t="s">
        <v>2413</v>
      </c>
      <c r="G1817">
        <v>3</v>
      </c>
      <c r="H1817">
        <v>1</v>
      </c>
      <c r="I1817">
        <v>0.01</v>
      </c>
      <c r="J1817">
        <v>1000</v>
      </c>
      <c r="K1817">
        <v>-1.54</v>
      </c>
      <c r="L1817">
        <v>88.75</v>
      </c>
      <c r="M1817">
        <v>90.14</v>
      </c>
      <c r="N1817">
        <v>89.32</v>
      </c>
      <c r="O1817">
        <v>88.75</v>
      </c>
      <c r="P1817">
        <v>0</v>
      </c>
      <c r="Q1817">
        <v>0</v>
      </c>
      <c r="R1817">
        <v>0</v>
      </c>
      <c r="S1817">
        <v>89.33</v>
      </c>
      <c r="T1817">
        <v>90.14</v>
      </c>
      <c r="U1817">
        <v>88.51</v>
      </c>
      <c r="V1817">
        <v>90.9</v>
      </c>
      <c r="W1817">
        <v>3544537</v>
      </c>
      <c r="X1817">
        <v>88.74</v>
      </c>
      <c r="Y1817">
        <v>88.75</v>
      </c>
      <c r="Z1817">
        <v>284</v>
      </c>
      <c r="AA1817">
        <v>2500000</v>
      </c>
      <c r="AB1817">
        <v>887.5</v>
      </c>
      <c r="AC1817">
        <v>0</v>
      </c>
      <c r="AD1817" t="s">
        <v>94</v>
      </c>
      <c r="AE1817" t="s">
        <v>94</v>
      </c>
      <c r="AF1817" t="s">
        <v>226</v>
      </c>
      <c r="AG1817" t="s">
        <v>226</v>
      </c>
      <c r="AH1817">
        <v>6</v>
      </c>
      <c r="AI1817" t="s">
        <v>3537</v>
      </c>
      <c r="AJ1817" t="s">
        <v>1976</v>
      </c>
      <c r="AK1817" t="s">
        <v>2416</v>
      </c>
      <c r="AL1817" t="s">
        <v>272</v>
      </c>
    </row>
    <row r="1818" spans="1:38">
      <c r="A1818" t="s">
        <v>7915</v>
      </c>
      <c r="B1818" t="s">
        <v>7916</v>
      </c>
      <c r="C1818" t="s">
        <v>7917</v>
      </c>
      <c r="D1818" t="s">
        <v>7917</v>
      </c>
      <c r="E1818" t="s">
        <v>7918</v>
      </c>
      <c r="F1818" t="s">
        <v>2413</v>
      </c>
      <c r="G1818">
        <v>1</v>
      </c>
      <c r="H1818">
        <v>1</v>
      </c>
      <c r="I1818">
        <v>0.01</v>
      </c>
      <c r="J1818">
        <v>1000</v>
      </c>
      <c r="K1818">
        <v>-0.08</v>
      </c>
      <c r="L1818">
        <v>99.1</v>
      </c>
      <c r="M1818">
        <v>99.18</v>
      </c>
      <c r="N1818">
        <v>99.11</v>
      </c>
      <c r="O1818">
        <v>98.93</v>
      </c>
      <c r="P1818">
        <v>0</v>
      </c>
      <c r="Q1818">
        <v>0</v>
      </c>
      <c r="R1818">
        <v>0</v>
      </c>
      <c r="S1818">
        <v>99.09</v>
      </c>
      <c r="T1818">
        <v>99.17</v>
      </c>
      <c r="U1818">
        <v>98.82</v>
      </c>
      <c r="V1818">
        <v>99.59</v>
      </c>
      <c r="W1818">
        <v>1306016</v>
      </c>
      <c r="X1818">
        <v>98.96</v>
      </c>
      <c r="Y1818">
        <v>99.18</v>
      </c>
      <c r="Z1818">
        <v>87</v>
      </c>
      <c r="AA1818">
        <v>20000000</v>
      </c>
      <c r="AB1818">
        <v>991</v>
      </c>
      <c r="AC1818">
        <v>0</v>
      </c>
      <c r="AD1818" t="s">
        <v>94</v>
      </c>
      <c r="AE1818" t="s">
        <v>94</v>
      </c>
      <c r="AF1818" t="s">
        <v>226</v>
      </c>
      <c r="AG1818" t="s">
        <v>226</v>
      </c>
      <c r="AH1818">
        <v>800</v>
      </c>
      <c r="AI1818" t="s">
        <v>3537</v>
      </c>
      <c r="AJ1818" t="s">
        <v>1976</v>
      </c>
      <c r="AK1818" t="s">
        <v>2416</v>
      </c>
      <c r="AL1818" t="s">
        <v>272</v>
      </c>
    </row>
    <row r="1819" spans="1:38">
      <c r="A1819" t="s">
        <v>7919</v>
      </c>
      <c r="B1819" t="s">
        <v>2475</v>
      </c>
      <c r="C1819" t="s">
        <v>2476</v>
      </c>
      <c r="D1819" t="s">
        <v>2476</v>
      </c>
      <c r="E1819" t="s">
        <v>2477</v>
      </c>
      <c r="F1819" t="s">
        <v>2413</v>
      </c>
      <c r="G1819">
        <v>1</v>
      </c>
      <c r="H1819">
        <v>1</v>
      </c>
      <c r="I1819">
        <v>1E-4</v>
      </c>
      <c r="J1819">
        <v>1000</v>
      </c>
      <c r="K1819">
        <v>-0.94</v>
      </c>
      <c r="L1819">
        <v>78.099999999999994</v>
      </c>
      <c r="M1819">
        <v>79.1678</v>
      </c>
      <c r="N1819">
        <v>78.739099999999993</v>
      </c>
      <c r="O1819">
        <v>79.525000000000006</v>
      </c>
      <c r="P1819">
        <v>0</v>
      </c>
      <c r="Q1819">
        <v>0</v>
      </c>
      <c r="R1819">
        <v>0</v>
      </c>
      <c r="S1819">
        <v>79.051900000000003</v>
      </c>
      <c r="T1819">
        <v>77.150099999999995</v>
      </c>
      <c r="U1819">
        <v>77.150099999999995</v>
      </c>
      <c r="V1819">
        <v>78.534099999999995</v>
      </c>
      <c r="W1819">
        <v>17839036</v>
      </c>
      <c r="X1819">
        <v>77.770799999999994</v>
      </c>
      <c r="Y1819">
        <v>78.099999999999994</v>
      </c>
      <c r="Z1819">
        <v>126</v>
      </c>
      <c r="AA1819">
        <v>4600000</v>
      </c>
      <c r="AB1819">
        <v>11367.06</v>
      </c>
      <c r="AC1819">
        <v>0</v>
      </c>
      <c r="AD1819" t="s">
        <v>1663</v>
      </c>
      <c r="AE1819" t="s">
        <v>94</v>
      </c>
      <c r="AF1819" t="s">
        <v>226</v>
      </c>
      <c r="AG1819" t="s">
        <v>226</v>
      </c>
      <c r="AH1819">
        <v>-100</v>
      </c>
      <c r="AI1819" t="s">
        <v>3537</v>
      </c>
      <c r="AJ1819" t="s">
        <v>1976</v>
      </c>
      <c r="AK1819" t="s">
        <v>2416</v>
      </c>
      <c r="AL1819" t="s">
        <v>272</v>
      </c>
    </row>
    <row r="1820" spans="1:38">
      <c r="A1820" t="s">
        <v>7920</v>
      </c>
      <c r="B1820" t="s">
        <v>7921</v>
      </c>
      <c r="C1820" t="s">
        <v>7922</v>
      </c>
      <c r="D1820" t="s">
        <v>7922</v>
      </c>
      <c r="E1820" t="s">
        <v>7923</v>
      </c>
      <c r="F1820" t="s">
        <v>2413</v>
      </c>
      <c r="G1820">
        <v>1</v>
      </c>
      <c r="H1820">
        <v>1</v>
      </c>
      <c r="I1820">
        <v>0.01</v>
      </c>
      <c r="J1820">
        <v>1000</v>
      </c>
      <c r="K1820">
        <v>0.01</v>
      </c>
      <c r="L1820">
        <v>78.47</v>
      </c>
      <c r="M1820">
        <v>78.459999999999994</v>
      </c>
      <c r="N1820">
        <v>78.569999999999993</v>
      </c>
      <c r="O1820">
        <v>78.47</v>
      </c>
      <c r="P1820">
        <v>0</v>
      </c>
      <c r="Q1820">
        <v>0</v>
      </c>
      <c r="R1820">
        <v>0</v>
      </c>
      <c r="S1820">
        <v>78.55</v>
      </c>
      <c r="T1820">
        <v>78.89</v>
      </c>
      <c r="U1820">
        <v>78.3</v>
      </c>
      <c r="V1820">
        <v>79.3</v>
      </c>
      <c r="W1820">
        <v>730514</v>
      </c>
      <c r="X1820">
        <v>78.459999999999994</v>
      </c>
      <c r="Y1820">
        <v>78.47</v>
      </c>
      <c r="Z1820">
        <v>178</v>
      </c>
      <c r="AA1820">
        <v>20000000</v>
      </c>
      <c r="AB1820">
        <v>784.7</v>
      </c>
      <c r="AC1820">
        <v>0</v>
      </c>
      <c r="AD1820" t="s">
        <v>94</v>
      </c>
      <c r="AE1820" t="s">
        <v>94</v>
      </c>
      <c r="AF1820" t="s">
        <v>226</v>
      </c>
      <c r="AG1820" t="s">
        <v>226</v>
      </c>
      <c r="AH1820">
        <v>-100</v>
      </c>
      <c r="AI1820" t="s">
        <v>3537</v>
      </c>
      <c r="AJ1820" t="s">
        <v>1976</v>
      </c>
      <c r="AK1820" t="s">
        <v>2416</v>
      </c>
      <c r="AL1820" t="s">
        <v>272</v>
      </c>
    </row>
    <row r="1821" spans="1:38">
      <c r="A1821" t="s">
        <v>7924</v>
      </c>
      <c r="B1821" t="s">
        <v>7925</v>
      </c>
      <c r="C1821" t="s">
        <v>7926</v>
      </c>
      <c r="D1821" t="s">
        <v>7926</v>
      </c>
      <c r="E1821" t="s">
        <v>7927</v>
      </c>
      <c r="F1821" t="s">
        <v>2413</v>
      </c>
      <c r="G1821">
        <v>1</v>
      </c>
      <c r="H1821">
        <v>1</v>
      </c>
      <c r="I1821">
        <v>1E-4</v>
      </c>
      <c r="J1821">
        <v>100</v>
      </c>
      <c r="K1821">
        <v>-2.82</v>
      </c>
      <c r="L1821">
        <v>84.260099999999994</v>
      </c>
      <c r="M1821">
        <v>86.704999999999998</v>
      </c>
      <c r="N1821">
        <v>87.040599999999998</v>
      </c>
      <c r="O1821">
        <v>84.274900000000002</v>
      </c>
      <c r="P1821">
        <v>0</v>
      </c>
      <c r="Q1821">
        <v>0</v>
      </c>
      <c r="R1821">
        <v>0</v>
      </c>
      <c r="S1821">
        <v>84.397199999999998</v>
      </c>
      <c r="T1821">
        <v>89.119399999999999</v>
      </c>
      <c r="U1821">
        <v>83.916499999999999</v>
      </c>
      <c r="V1821">
        <v>89.119399999999999</v>
      </c>
      <c r="W1821">
        <v>54694776</v>
      </c>
      <c r="X1821">
        <v>84.260199999999998</v>
      </c>
      <c r="Y1821">
        <v>84.299899999999994</v>
      </c>
      <c r="Z1821">
        <v>294</v>
      </c>
      <c r="AA1821">
        <v>1500000</v>
      </c>
      <c r="AB1821">
        <v>26842.18</v>
      </c>
      <c r="AC1821">
        <v>0</v>
      </c>
      <c r="AD1821" t="s">
        <v>2</v>
      </c>
      <c r="AE1821" t="s">
        <v>94</v>
      </c>
      <c r="AF1821" t="s">
        <v>226</v>
      </c>
      <c r="AG1821" t="s">
        <v>226</v>
      </c>
      <c r="AH1821">
        <v>-100</v>
      </c>
      <c r="AI1821" t="s">
        <v>3537</v>
      </c>
      <c r="AJ1821" t="s">
        <v>1976</v>
      </c>
      <c r="AK1821" t="s">
        <v>2416</v>
      </c>
      <c r="AL1821" t="s">
        <v>272</v>
      </c>
    </row>
    <row r="1822" spans="1:38">
      <c r="A1822" t="s">
        <v>7928</v>
      </c>
      <c r="B1822" t="s">
        <v>7929</v>
      </c>
      <c r="C1822" t="s">
        <v>7930</v>
      </c>
      <c r="D1822" t="s">
        <v>7930</v>
      </c>
      <c r="E1822" t="s">
        <v>7931</v>
      </c>
      <c r="F1822" t="s">
        <v>2425</v>
      </c>
      <c r="G1822">
        <v>3</v>
      </c>
      <c r="H1822">
        <v>1</v>
      </c>
      <c r="I1822">
        <v>1E-4</v>
      </c>
      <c r="J1822">
        <v>1000</v>
      </c>
      <c r="K1822">
        <v>-2.6</v>
      </c>
      <c r="L1822">
        <v>74.75</v>
      </c>
      <c r="M1822">
        <v>76.380399999999995</v>
      </c>
      <c r="N1822">
        <v>75.945999999999998</v>
      </c>
      <c r="O1822">
        <v>74.75</v>
      </c>
      <c r="P1822">
        <v>0</v>
      </c>
      <c r="Q1822">
        <v>0</v>
      </c>
      <c r="R1822">
        <v>0</v>
      </c>
      <c r="S1822">
        <v>74.935199999999995</v>
      </c>
      <c r="T1822">
        <v>77.329899999999995</v>
      </c>
      <c r="U1822">
        <v>74.5</v>
      </c>
      <c r="V1822">
        <v>78</v>
      </c>
      <c r="W1822">
        <v>259007106</v>
      </c>
      <c r="X1822">
        <v>74.7</v>
      </c>
      <c r="Y1822">
        <v>74.75</v>
      </c>
      <c r="Z1822">
        <v>181</v>
      </c>
      <c r="AA1822">
        <v>450832</v>
      </c>
      <c r="AB1822">
        <v>79375.38</v>
      </c>
      <c r="AC1822">
        <v>0</v>
      </c>
      <c r="AD1822" t="s">
        <v>2</v>
      </c>
      <c r="AE1822" t="s">
        <v>94</v>
      </c>
      <c r="AF1822" t="s">
        <v>226</v>
      </c>
      <c r="AG1822" t="s">
        <v>226</v>
      </c>
      <c r="AH1822">
        <v>-100</v>
      </c>
      <c r="AI1822" t="s">
        <v>3537</v>
      </c>
      <c r="AJ1822" t="s">
        <v>1976</v>
      </c>
      <c r="AK1822" t="s">
        <v>2426</v>
      </c>
      <c r="AL1822" t="s">
        <v>272</v>
      </c>
    </row>
    <row r="1823" spans="1:38">
      <c r="A1823" t="s">
        <v>7932</v>
      </c>
      <c r="B1823" t="s">
        <v>7933</v>
      </c>
      <c r="C1823" t="s">
        <v>7934</v>
      </c>
      <c r="D1823" t="s">
        <v>7934</v>
      </c>
      <c r="E1823" t="s">
        <v>7935</v>
      </c>
      <c r="F1823" t="s">
        <v>2413</v>
      </c>
      <c r="G1823">
        <v>2</v>
      </c>
      <c r="H1823">
        <v>1</v>
      </c>
      <c r="I1823">
        <v>0.01</v>
      </c>
      <c r="J1823">
        <v>1000</v>
      </c>
      <c r="K1823">
        <v>0.14000000000000001</v>
      </c>
      <c r="L1823">
        <v>99.54</v>
      </c>
      <c r="M1823">
        <v>99.4</v>
      </c>
      <c r="N1823">
        <v>99.51</v>
      </c>
      <c r="O1823">
        <v>99.55</v>
      </c>
      <c r="P1823">
        <v>0</v>
      </c>
      <c r="Q1823">
        <v>0</v>
      </c>
      <c r="R1823">
        <v>0</v>
      </c>
      <c r="S1823">
        <v>99.48</v>
      </c>
      <c r="T1823">
        <v>99.38</v>
      </c>
      <c r="U1823">
        <v>99.37</v>
      </c>
      <c r="V1823">
        <v>99.55</v>
      </c>
      <c r="W1823">
        <v>1285336</v>
      </c>
      <c r="X1823">
        <v>99.38</v>
      </c>
      <c r="Y1823">
        <v>99.54</v>
      </c>
      <c r="Z1823">
        <v>15</v>
      </c>
      <c r="AA1823">
        <v>10000000</v>
      </c>
      <c r="AB1823">
        <v>995.4</v>
      </c>
      <c r="AC1823">
        <v>0</v>
      </c>
      <c r="AD1823" t="s">
        <v>94</v>
      </c>
      <c r="AE1823" t="s">
        <v>94</v>
      </c>
      <c r="AF1823" t="s">
        <v>226</v>
      </c>
      <c r="AG1823" t="s">
        <v>226</v>
      </c>
      <c r="AH1823">
        <v>6</v>
      </c>
      <c r="AI1823" t="s">
        <v>3537</v>
      </c>
      <c r="AJ1823" t="s">
        <v>1976</v>
      </c>
      <c r="AK1823" t="s">
        <v>2416</v>
      </c>
      <c r="AL1823" t="s">
        <v>272</v>
      </c>
    </row>
    <row r="1824" spans="1:38">
      <c r="A1824" t="s">
        <v>7936</v>
      </c>
      <c r="B1824" t="s">
        <v>7937</v>
      </c>
      <c r="C1824" t="s">
        <v>7938</v>
      </c>
      <c r="D1824" t="s">
        <v>7938</v>
      </c>
      <c r="E1824" t="s">
        <v>7939</v>
      </c>
      <c r="F1824" t="s">
        <v>2413</v>
      </c>
      <c r="G1824">
        <v>2</v>
      </c>
      <c r="H1824">
        <v>1</v>
      </c>
      <c r="I1824">
        <v>0.01</v>
      </c>
      <c r="J1824">
        <v>1000</v>
      </c>
      <c r="K1824">
        <v>0.03</v>
      </c>
      <c r="L1824">
        <v>76</v>
      </c>
      <c r="M1824">
        <v>75.98</v>
      </c>
      <c r="N1824">
        <v>76.08</v>
      </c>
      <c r="O1824">
        <v>76</v>
      </c>
      <c r="P1824">
        <v>0</v>
      </c>
      <c r="Q1824">
        <v>0</v>
      </c>
      <c r="R1824">
        <v>0</v>
      </c>
      <c r="S1824">
        <v>75.87</v>
      </c>
      <c r="T1824">
        <v>75.7</v>
      </c>
      <c r="U1824">
        <v>74.760000000000005</v>
      </c>
      <c r="V1824">
        <v>76</v>
      </c>
      <c r="W1824">
        <v>2156868</v>
      </c>
      <c r="X1824">
        <v>75.989999999999995</v>
      </c>
      <c r="Y1824">
        <v>76</v>
      </c>
      <c r="Z1824">
        <v>100</v>
      </c>
      <c r="AA1824">
        <v>10000000</v>
      </c>
      <c r="AB1824">
        <v>148960</v>
      </c>
      <c r="AC1824">
        <v>0</v>
      </c>
      <c r="AD1824" t="s">
        <v>94</v>
      </c>
      <c r="AE1824" t="s">
        <v>94</v>
      </c>
      <c r="AF1824" t="s">
        <v>226</v>
      </c>
      <c r="AG1824" t="s">
        <v>226</v>
      </c>
      <c r="AH1824">
        <v>6</v>
      </c>
      <c r="AI1824" t="s">
        <v>3537</v>
      </c>
      <c r="AJ1824" t="s">
        <v>1976</v>
      </c>
      <c r="AK1824" t="s">
        <v>2416</v>
      </c>
      <c r="AL1824" t="s">
        <v>272</v>
      </c>
    </row>
    <row r="1825" spans="1:38">
      <c r="A1825" t="s">
        <v>7940</v>
      </c>
      <c r="B1825" t="s">
        <v>7941</v>
      </c>
      <c r="C1825" t="s">
        <v>7942</v>
      </c>
      <c r="D1825" t="s">
        <v>7942</v>
      </c>
      <c r="E1825" t="s">
        <v>7943</v>
      </c>
      <c r="F1825" t="s">
        <v>2413</v>
      </c>
      <c r="G1825">
        <v>2</v>
      </c>
      <c r="H1825">
        <v>1</v>
      </c>
      <c r="I1825">
        <v>0.01</v>
      </c>
      <c r="J1825">
        <v>1000</v>
      </c>
      <c r="K1825">
        <v>-0.04</v>
      </c>
      <c r="L1825">
        <v>79.790000000000006</v>
      </c>
      <c r="M1825">
        <v>79.819999999999993</v>
      </c>
      <c r="N1825">
        <v>79.459999999999994</v>
      </c>
      <c r="O1825">
        <v>79.790000000000006</v>
      </c>
      <c r="P1825">
        <v>0</v>
      </c>
      <c r="Q1825">
        <v>0</v>
      </c>
      <c r="R1825">
        <v>0</v>
      </c>
      <c r="S1825">
        <v>79.459999999999994</v>
      </c>
      <c r="T1825">
        <v>84.59</v>
      </c>
      <c r="U1825">
        <v>78.75</v>
      </c>
      <c r="V1825">
        <v>84.59</v>
      </c>
      <c r="W1825">
        <v>133489</v>
      </c>
      <c r="X1825">
        <v>79.38</v>
      </c>
      <c r="Y1825">
        <v>79.790000000000006</v>
      </c>
      <c r="Z1825">
        <v>37</v>
      </c>
      <c r="AA1825">
        <v>10000000</v>
      </c>
      <c r="AB1825">
        <v>25532.799999999999</v>
      </c>
      <c r="AC1825">
        <v>0</v>
      </c>
      <c r="AD1825" t="s">
        <v>94</v>
      </c>
      <c r="AE1825" t="s">
        <v>94</v>
      </c>
      <c r="AF1825" t="s">
        <v>226</v>
      </c>
      <c r="AG1825" t="s">
        <v>226</v>
      </c>
      <c r="AH1825">
        <v>6</v>
      </c>
      <c r="AI1825" t="s">
        <v>3537</v>
      </c>
      <c r="AJ1825" t="s">
        <v>1976</v>
      </c>
      <c r="AK1825" t="s">
        <v>2416</v>
      </c>
      <c r="AL1825" t="s">
        <v>272</v>
      </c>
    </row>
    <row r="1826" spans="1:38">
      <c r="A1826" t="s">
        <v>7944</v>
      </c>
      <c r="B1826" t="s">
        <v>7945</v>
      </c>
      <c r="C1826" t="s">
        <v>7946</v>
      </c>
      <c r="D1826" t="s">
        <v>7946</v>
      </c>
      <c r="E1826" t="s">
        <v>7947</v>
      </c>
      <c r="F1826" t="s">
        <v>2413</v>
      </c>
      <c r="G1826">
        <v>2</v>
      </c>
      <c r="H1826">
        <v>1</v>
      </c>
      <c r="I1826">
        <v>0.01</v>
      </c>
      <c r="J1826">
        <v>1000</v>
      </c>
      <c r="K1826">
        <v>0.74</v>
      </c>
      <c r="L1826">
        <v>68</v>
      </c>
      <c r="M1826">
        <v>67.5</v>
      </c>
      <c r="N1826">
        <v>67.12</v>
      </c>
      <c r="O1826">
        <v>68</v>
      </c>
      <c r="P1826">
        <v>0</v>
      </c>
      <c r="Q1826">
        <v>0</v>
      </c>
      <c r="R1826">
        <v>0</v>
      </c>
      <c r="S1826">
        <v>68.33</v>
      </c>
      <c r="T1826">
        <v>68.88</v>
      </c>
      <c r="U1826">
        <v>66.650000000000006</v>
      </c>
      <c r="V1826">
        <v>68.89</v>
      </c>
      <c r="W1826">
        <v>233680</v>
      </c>
      <c r="X1826">
        <v>68</v>
      </c>
      <c r="Y1826">
        <v>68.27</v>
      </c>
      <c r="Z1826">
        <v>34</v>
      </c>
      <c r="AA1826">
        <v>10000000</v>
      </c>
      <c r="AB1826">
        <v>680</v>
      </c>
      <c r="AC1826">
        <v>0</v>
      </c>
      <c r="AD1826" t="s">
        <v>94</v>
      </c>
      <c r="AE1826" t="s">
        <v>94</v>
      </c>
      <c r="AF1826" t="s">
        <v>226</v>
      </c>
      <c r="AG1826" t="s">
        <v>226</v>
      </c>
      <c r="AH1826">
        <v>6</v>
      </c>
      <c r="AI1826" t="s">
        <v>3537</v>
      </c>
      <c r="AJ1826" t="s">
        <v>1976</v>
      </c>
      <c r="AK1826" t="s">
        <v>2416</v>
      </c>
      <c r="AL1826" t="s">
        <v>272</v>
      </c>
    </row>
    <row r="1827" spans="1:38">
      <c r="A1827" t="s">
        <v>7948</v>
      </c>
      <c r="B1827" t="s">
        <v>7949</v>
      </c>
      <c r="C1827" t="s">
        <v>7950</v>
      </c>
      <c r="D1827" t="s">
        <v>7950</v>
      </c>
      <c r="E1827" t="s">
        <v>7951</v>
      </c>
      <c r="F1827" t="s">
        <v>2413</v>
      </c>
      <c r="G1827">
        <v>3</v>
      </c>
      <c r="H1827">
        <v>1</v>
      </c>
      <c r="I1827">
        <v>0.01</v>
      </c>
      <c r="J1827">
        <v>1000</v>
      </c>
      <c r="K1827">
        <v>-0.48</v>
      </c>
      <c r="L1827">
        <v>68.819999999999993</v>
      </c>
      <c r="M1827">
        <v>69.150000000000006</v>
      </c>
      <c r="N1827">
        <v>69.28</v>
      </c>
      <c r="O1827">
        <v>68.83</v>
      </c>
      <c r="P1827">
        <v>0</v>
      </c>
      <c r="Q1827">
        <v>0</v>
      </c>
      <c r="R1827">
        <v>0</v>
      </c>
      <c r="S1827">
        <v>69.28</v>
      </c>
      <c r="T1827">
        <v>68.69</v>
      </c>
      <c r="U1827">
        <v>68.34</v>
      </c>
      <c r="V1827">
        <v>69.97</v>
      </c>
      <c r="W1827">
        <v>1786789</v>
      </c>
      <c r="X1827">
        <v>68.61</v>
      </c>
      <c r="Y1827">
        <v>68.83</v>
      </c>
      <c r="Z1827">
        <v>61</v>
      </c>
      <c r="AA1827">
        <v>20000000</v>
      </c>
      <c r="AB1827">
        <v>688.2</v>
      </c>
      <c r="AC1827">
        <v>0</v>
      </c>
      <c r="AD1827" t="s">
        <v>94</v>
      </c>
      <c r="AE1827" t="s">
        <v>94</v>
      </c>
      <c r="AF1827" t="s">
        <v>226</v>
      </c>
      <c r="AG1827" t="s">
        <v>226</v>
      </c>
      <c r="AH1827">
        <v>6</v>
      </c>
      <c r="AI1827" t="s">
        <v>3537</v>
      </c>
      <c r="AJ1827" t="s">
        <v>1976</v>
      </c>
      <c r="AK1827" t="s">
        <v>2416</v>
      </c>
      <c r="AL1827" t="s">
        <v>272</v>
      </c>
    </row>
    <row r="1828" spans="1:38">
      <c r="A1828" t="s">
        <v>7952</v>
      </c>
      <c r="B1828" t="s">
        <v>7953</v>
      </c>
      <c r="C1828" t="s">
        <v>7954</v>
      </c>
      <c r="D1828" t="s">
        <v>7954</v>
      </c>
      <c r="E1828" t="s">
        <v>7955</v>
      </c>
      <c r="F1828" t="s">
        <v>2413</v>
      </c>
      <c r="G1828">
        <v>3</v>
      </c>
      <c r="H1828">
        <v>1</v>
      </c>
      <c r="I1828">
        <v>0.01</v>
      </c>
      <c r="J1828">
        <v>1000</v>
      </c>
      <c r="K1828">
        <v>-3.71</v>
      </c>
      <c r="L1828">
        <v>88.53</v>
      </c>
      <c r="M1828">
        <v>91.94</v>
      </c>
      <c r="N1828">
        <v>95.98</v>
      </c>
      <c r="O1828">
        <v>88.53</v>
      </c>
      <c r="P1828">
        <v>0</v>
      </c>
      <c r="Q1828">
        <v>0</v>
      </c>
      <c r="R1828">
        <v>0</v>
      </c>
      <c r="S1828">
        <v>88</v>
      </c>
      <c r="T1828">
        <v>91.71</v>
      </c>
      <c r="U1828">
        <v>85</v>
      </c>
      <c r="V1828">
        <v>91.71</v>
      </c>
      <c r="W1828">
        <v>109999</v>
      </c>
      <c r="X1828">
        <v>88.61</v>
      </c>
      <c r="Y1828">
        <v>88.79</v>
      </c>
      <c r="Z1828">
        <v>45</v>
      </c>
      <c r="AA1828">
        <v>5000000</v>
      </c>
      <c r="AB1828">
        <v>885.3</v>
      </c>
      <c r="AC1828">
        <v>0</v>
      </c>
      <c r="AD1828" t="s">
        <v>94</v>
      </c>
      <c r="AE1828" t="s">
        <v>94</v>
      </c>
      <c r="AF1828" t="s">
        <v>226</v>
      </c>
      <c r="AG1828" t="s">
        <v>226</v>
      </c>
      <c r="AH1828">
        <v>6</v>
      </c>
      <c r="AI1828" t="s">
        <v>3537</v>
      </c>
      <c r="AJ1828" t="s">
        <v>1976</v>
      </c>
      <c r="AK1828" t="s">
        <v>2416</v>
      </c>
      <c r="AL1828" t="s">
        <v>272</v>
      </c>
    </row>
    <row r="1829" spans="1:38">
      <c r="A1829" t="s">
        <v>7956</v>
      </c>
      <c r="B1829" t="s">
        <v>7957</v>
      </c>
      <c r="C1829" t="s">
        <v>7958</v>
      </c>
      <c r="D1829" t="s">
        <v>7958</v>
      </c>
      <c r="E1829" t="s">
        <v>7959</v>
      </c>
      <c r="F1829" t="s">
        <v>2413</v>
      </c>
      <c r="G1829">
        <v>3</v>
      </c>
      <c r="H1829">
        <v>1</v>
      </c>
      <c r="I1829">
        <v>0.01</v>
      </c>
      <c r="J1829">
        <v>1000</v>
      </c>
      <c r="K1829">
        <v>1.47</v>
      </c>
      <c r="L1829">
        <v>82.7</v>
      </c>
      <c r="M1829">
        <v>81.5</v>
      </c>
      <c r="N1829">
        <v>81.47</v>
      </c>
      <c r="O1829">
        <v>82.53</v>
      </c>
      <c r="P1829">
        <v>0</v>
      </c>
      <c r="Q1829">
        <v>0</v>
      </c>
      <c r="R1829">
        <v>0</v>
      </c>
      <c r="S1829">
        <v>82.31</v>
      </c>
      <c r="T1829">
        <v>81.09</v>
      </c>
      <c r="U1829">
        <v>81.09</v>
      </c>
      <c r="V1829">
        <v>83.5</v>
      </c>
      <c r="W1829">
        <v>74902</v>
      </c>
      <c r="X1829">
        <v>82.32</v>
      </c>
      <c r="Y1829">
        <v>82.95</v>
      </c>
      <c r="Z1829">
        <v>30</v>
      </c>
      <c r="AA1829">
        <v>5000000</v>
      </c>
      <c r="AB1829">
        <v>827</v>
      </c>
      <c r="AC1829">
        <v>0</v>
      </c>
      <c r="AD1829" t="s">
        <v>94</v>
      </c>
      <c r="AE1829" t="s">
        <v>94</v>
      </c>
      <c r="AF1829" t="s">
        <v>226</v>
      </c>
      <c r="AG1829" t="s">
        <v>226</v>
      </c>
      <c r="AH1829">
        <v>6</v>
      </c>
      <c r="AI1829" t="s">
        <v>3537</v>
      </c>
      <c r="AJ1829" t="s">
        <v>1976</v>
      </c>
      <c r="AK1829" t="s">
        <v>2416</v>
      </c>
      <c r="AL1829" t="s">
        <v>272</v>
      </c>
    </row>
    <row r="1830" spans="1:38">
      <c r="A1830" t="s">
        <v>7960</v>
      </c>
      <c r="B1830" t="s">
        <v>7961</v>
      </c>
      <c r="C1830" t="s">
        <v>7962</v>
      </c>
      <c r="D1830" t="s">
        <v>7962</v>
      </c>
      <c r="E1830" t="s">
        <v>7963</v>
      </c>
      <c r="F1830" t="s">
        <v>2413</v>
      </c>
      <c r="G1830">
        <v>3</v>
      </c>
      <c r="H1830">
        <v>1</v>
      </c>
      <c r="I1830">
        <v>0.01</v>
      </c>
      <c r="J1830">
        <v>1000</v>
      </c>
      <c r="K1830">
        <v>0.52</v>
      </c>
      <c r="L1830">
        <v>86.56</v>
      </c>
      <c r="M1830">
        <v>86.11</v>
      </c>
      <c r="N1830">
        <v>83.75</v>
      </c>
      <c r="O1830">
        <v>86.56</v>
      </c>
      <c r="P1830">
        <v>0</v>
      </c>
      <c r="Q1830">
        <v>0</v>
      </c>
      <c r="R1830">
        <v>0</v>
      </c>
      <c r="S1830">
        <v>82.56</v>
      </c>
      <c r="T1830">
        <v>81.23</v>
      </c>
      <c r="U1830">
        <v>81.23</v>
      </c>
      <c r="V1830">
        <v>86.56</v>
      </c>
      <c r="W1830">
        <v>3303</v>
      </c>
      <c r="X1830">
        <v>85.73</v>
      </c>
      <c r="Y1830">
        <v>87.02</v>
      </c>
      <c r="Z1830">
        <v>2</v>
      </c>
      <c r="AA1830">
        <v>5000000</v>
      </c>
      <c r="AB1830">
        <v>865.6</v>
      </c>
      <c r="AC1830">
        <v>0</v>
      </c>
      <c r="AD1830" t="s">
        <v>94</v>
      </c>
      <c r="AE1830" t="s">
        <v>94</v>
      </c>
      <c r="AF1830" t="s">
        <v>226</v>
      </c>
      <c r="AG1830" t="s">
        <v>226</v>
      </c>
      <c r="AH1830">
        <v>6</v>
      </c>
      <c r="AI1830" t="s">
        <v>3537</v>
      </c>
      <c r="AJ1830" t="s">
        <v>1976</v>
      </c>
      <c r="AK1830" t="s">
        <v>2416</v>
      </c>
      <c r="AL1830" t="s">
        <v>272</v>
      </c>
    </row>
    <row r="1831" spans="1:38">
      <c r="A1831" t="s">
        <v>7964</v>
      </c>
      <c r="B1831" t="s">
        <v>7965</v>
      </c>
      <c r="C1831" t="s">
        <v>7966</v>
      </c>
      <c r="D1831" t="s">
        <v>7966</v>
      </c>
      <c r="E1831" t="s">
        <v>7967</v>
      </c>
      <c r="F1831" t="s">
        <v>2413</v>
      </c>
      <c r="G1831">
        <v>3</v>
      </c>
      <c r="H1831">
        <v>1</v>
      </c>
      <c r="I1831">
        <v>0.01</v>
      </c>
      <c r="J1831">
        <v>1000</v>
      </c>
      <c r="K1831">
        <v>0.63</v>
      </c>
      <c r="L1831">
        <v>84.58</v>
      </c>
      <c r="M1831">
        <v>84.05</v>
      </c>
      <c r="N1831">
        <v>83.74</v>
      </c>
      <c r="O1831">
        <v>84.58</v>
      </c>
      <c r="P1831">
        <v>0</v>
      </c>
      <c r="Q1831">
        <v>0</v>
      </c>
      <c r="R1831">
        <v>0</v>
      </c>
      <c r="S1831">
        <v>84.59</v>
      </c>
      <c r="T1831">
        <v>84.58</v>
      </c>
      <c r="U1831">
        <v>84.58</v>
      </c>
      <c r="V1831">
        <v>84.64</v>
      </c>
      <c r="W1831">
        <v>71898</v>
      </c>
      <c r="X1831">
        <v>84.58</v>
      </c>
      <c r="Y1831">
        <v>84.76</v>
      </c>
      <c r="Z1831">
        <v>9</v>
      </c>
      <c r="AA1831">
        <v>5000000</v>
      </c>
      <c r="AB1831">
        <v>45673.2</v>
      </c>
      <c r="AC1831">
        <v>0</v>
      </c>
      <c r="AD1831" t="s">
        <v>94</v>
      </c>
      <c r="AE1831" t="s">
        <v>94</v>
      </c>
      <c r="AF1831" t="s">
        <v>226</v>
      </c>
      <c r="AG1831" t="s">
        <v>226</v>
      </c>
      <c r="AH1831">
        <v>6</v>
      </c>
      <c r="AI1831" t="s">
        <v>3537</v>
      </c>
      <c r="AJ1831" t="s">
        <v>1976</v>
      </c>
      <c r="AK1831" t="s">
        <v>2416</v>
      </c>
      <c r="AL1831" t="s">
        <v>272</v>
      </c>
    </row>
    <row r="1832" spans="1:38">
      <c r="A1832" t="s">
        <v>7968</v>
      </c>
      <c r="B1832" t="s">
        <v>7969</v>
      </c>
      <c r="C1832" t="s">
        <v>7970</v>
      </c>
      <c r="D1832" t="s">
        <v>7970</v>
      </c>
      <c r="E1832" t="s">
        <v>7971</v>
      </c>
      <c r="F1832" t="s">
        <v>2413</v>
      </c>
      <c r="G1832">
        <v>3</v>
      </c>
      <c r="H1832">
        <v>1</v>
      </c>
      <c r="I1832">
        <v>0.01</v>
      </c>
      <c r="J1832">
        <v>1000</v>
      </c>
      <c r="K1832">
        <v>0</v>
      </c>
      <c r="L1832">
        <v>0</v>
      </c>
      <c r="M1832">
        <v>90.05</v>
      </c>
      <c r="N1832">
        <v>91.7</v>
      </c>
      <c r="O1832">
        <v>90.05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90.02</v>
      </c>
      <c r="Y1832">
        <v>91.67</v>
      </c>
      <c r="Z1832">
        <v>0</v>
      </c>
      <c r="AA1832">
        <v>5000000</v>
      </c>
      <c r="AB1832">
        <v>0</v>
      </c>
      <c r="AC1832">
        <v>0</v>
      </c>
      <c r="AD1832" t="s">
        <v>94</v>
      </c>
      <c r="AE1832" t="s">
        <v>94</v>
      </c>
      <c r="AF1832" t="s">
        <v>226</v>
      </c>
      <c r="AG1832" t="s">
        <v>226</v>
      </c>
      <c r="AH1832">
        <v>6</v>
      </c>
      <c r="AI1832" t="s">
        <v>3537</v>
      </c>
      <c r="AJ1832" t="s">
        <v>1976</v>
      </c>
      <c r="AK1832" t="s">
        <v>2416</v>
      </c>
      <c r="AL1832" t="s">
        <v>272</v>
      </c>
    </row>
    <row r="1833" spans="1:38">
      <c r="A1833" t="s">
        <v>7972</v>
      </c>
      <c r="B1833" t="s">
        <v>7973</v>
      </c>
      <c r="C1833" t="s">
        <v>7974</v>
      </c>
      <c r="D1833" t="s">
        <v>7974</v>
      </c>
      <c r="E1833" t="s">
        <v>7975</v>
      </c>
      <c r="F1833" t="s">
        <v>2413</v>
      </c>
      <c r="G1833">
        <v>3</v>
      </c>
      <c r="H1833">
        <v>1</v>
      </c>
      <c r="I1833">
        <v>0.01</v>
      </c>
      <c r="J1833">
        <v>1000</v>
      </c>
      <c r="K1833">
        <v>2.08</v>
      </c>
      <c r="L1833">
        <v>96.98</v>
      </c>
      <c r="M1833">
        <v>95</v>
      </c>
      <c r="N1833">
        <v>95.15</v>
      </c>
      <c r="O1833">
        <v>96.98</v>
      </c>
      <c r="P1833">
        <v>0</v>
      </c>
      <c r="Q1833">
        <v>0</v>
      </c>
      <c r="R1833">
        <v>0</v>
      </c>
      <c r="S1833">
        <v>95.03</v>
      </c>
      <c r="T1833">
        <v>95</v>
      </c>
      <c r="U1833">
        <v>95</v>
      </c>
      <c r="V1833">
        <v>96.98</v>
      </c>
      <c r="W1833">
        <v>827688</v>
      </c>
      <c r="X1833">
        <v>95.4</v>
      </c>
      <c r="Y1833">
        <v>95.45</v>
      </c>
      <c r="Z1833">
        <v>2</v>
      </c>
      <c r="AA1833">
        <v>5000000</v>
      </c>
      <c r="AB1833">
        <v>11637.6</v>
      </c>
      <c r="AC1833">
        <v>0</v>
      </c>
      <c r="AD1833" t="s">
        <v>94</v>
      </c>
      <c r="AE1833" t="s">
        <v>94</v>
      </c>
      <c r="AF1833" t="s">
        <v>226</v>
      </c>
      <c r="AG1833" t="s">
        <v>226</v>
      </c>
      <c r="AH1833">
        <v>6</v>
      </c>
      <c r="AI1833" t="s">
        <v>3537</v>
      </c>
      <c r="AJ1833" t="s">
        <v>1976</v>
      </c>
      <c r="AK1833" t="s">
        <v>2416</v>
      </c>
      <c r="AL1833" t="s">
        <v>272</v>
      </c>
    </row>
    <row r="1834" spans="1:38">
      <c r="A1834" t="s">
        <v>7976</v>
      </c>
      <c r="B1834" t="s">
        <v>7977</v>
      </c>
      <c r="C1834" t="s">
        <v>7978</v>
      </c>
      <c r="D1834" t="s">
        <v>7978</v>
      </c>
      <c r="E1834" t="s">
        <v>7979</v>
      </c>
      <c r="F1834" t="s">
        <v>2413</v>
      </c>
      <c r="G1834">
        <v>3</v>
      </c>
      <c r="H1834">
        <v>1</v>
      </c>
      <c r="I1834">
        <v>0.01</v>
      </c>
      <c r="J1834">
        <v>1000</v>
      </c>
      <c r="K1834">
        <v>-0.11</v>
      </c>
      <c r="L1834">
        <v>96.14</v>
      </c>
      <c r="M1834">
        <v>95.18</v>
      </c>
      <c r="N1834">
        <v>94.29</v>
      </c>
      <c r="O1834">
        <v>96.14</v>
      </c>
      <c r="P1834">
        <v>0</v>
      </c>
      <c r="Q1834">
        <v>0</v>
      </c>
      <c r="R1834">
        <v>0</v>
      </c>
      <c r="S1834">
        <v>96.14</v>
      </c>
      <c r="T1834">
        <v>96.14</v>
      </c>
      <c r="U1834">
        <v>96.14</v>
      </c>
      <c r="V1834">
        <v>96.14</v>
      </c>
      <c r="W1834">
        <v>961</v>
      </c>
      <c r="X1834">
        <v>95.02</v>
      </c>
      <c r="Y1834">
        <v>96.19</v>
      </c>
      <c r="Z1834">
        <v>1</v>
      </c>
      <c r="AA1834">
        <v>5000000</v>
      </c>
      <c r="AB1834">
        <v>961.4</v>
      </c>
      <c r="AC1834">
        <v>0</v>
      </c>
      <c r="AD1834" t="s">
        <v>94</v>
      </c>
      <c r="AE1834" t="s">
        <v>94</v>
      </c>
      <c r="AF1834" t="s">
        <v>226</v>
      </c>
      <c r="AG1834" t="s">
        <v>226</v>
      </c>
      <c r="AH1834">
        <v>6</v>
      </c>
      <c r="AI1834" t="s">
        <v>3537</v>
      </c>
      <c r="AJ1834" t="s">
        <v>1976</v>
      </c>
      <c r="AK1834" t="s">
        <v>2416</v>
      </c>
      <c r="AL1834" t="s">
        <v>272</v>
      </c>
    </row>
    <row r="1835" spans="1:38">
      <c r="A1835" t="s">
        <v>7980</v>
      </c>
      <c r="B1835" t="s">
        <v>7981</v>
      </c>
      <c r="C1835" t="s">
        <v>7982</v>
      </c>
      <c r="D1835" t="s">
        <v>7982</v>
      </c>
      <c r="E1835" t="s">
        <v>7983</v>
      </c>
      <c r="F1835" t="s">
        <v>2413</v>
      </c>
      <c r="G1835">
        <v>2</v>
      </c>
      <c r="H1835">
        <v>1</v>
      </c>
      <c r="I1835">
        <v>0.01</v>
      </c>
      <c r="J1835">
        <v>1000</v>
      </c>
      <c r="K1835">
        <v>0</v>
      </c>
      <c r="L1835">
        <v>0</v>
      </c>
      <c r="M1835">
        <v>100.04</v>
      </c>
      <c r="N1835">
        <v>0</v>
      </c>
      <c r="O1835">
        <v>100.04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5000000</v>
      </c>
      <c r="AB1835">
        <v>0</v>
      </c>
      <c r="AC1835">
        <v>0</v>
      </c>
      <c r="AD1835" t="s">
        <v>94</v>
      </c>
      <c r="AE1835" t="s">
        <v>94</v>
      </c>
      <c r="AF1835" t="s">
        <v>226</v>
      </c>
      <c r="AG1835" t="s">
        <v>226</v>
      </c>
      <c r="AH1835">
        <v>6</v>
      </c>
      <c r="AI1835" t="s">
        <v>3537</v>
      </c>
      <c r="AJ1835" t="s">
        <v>1976</v>
      </c>
      <c r="AK1835" t="s">
        <v>2416</v>
      </c>
      <c r="AL1835" t="s">
        <v>272</v>
      </c>
    </row>
    <row r="1836" spans="1:38">
      <c r="A1836" t="s">
        <v>7984</v>
      </c>
      <c r="B1836" t="s">
        <v>7985</v>
      </c>
      <c r="C1836" t="s">
        <v>7986</v>
      </c>
      <c r="D1836" t="s">
        <v>7986</v>
      </c>
      <c r="E1836" t="s">
        <v>7987</v>
      </c>
      <c r="F1836" t="s">
        <v>2413</v>
      </c>
      <c r="G1836">
        <v>3</v>
      </c>
      <c r="H1836">
        <v>1</v>
      </c>
      <c r="I1836">
        <v>0.01</v>
      </c>
      <c r="J1836">
        <v>1000</v>
      </c>
      <c r="K1836">
        <v>0</v>
      </c>
      <c r="L1836">
        <v>0</v>
      </c>
      <c r="M1836">
        <v>103.85</v>
      </c>
      <c r="N1836">
        <v>0</v>
      </c>
      <c r="O1836">
        <v>103.85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87.02</v>
      </c>
      <c r="Y1836">
        <v>102.85</v>
      </c>
      <c r="Z1836">
        <v>0</v>
      </c>
      <c r="AA1836">
        <v>5000000</v>
      </c>
      <c r="AB1836">
        <v>0</v>
      </c>
      <c r="AC1836">
        <v>0</v>
      </c>
      <c r="AD1836" t="s">
        <v>94</v>
      </c>
      <c r="AE1836" t="s">
        <v>94</v>
      </c>
      <c r="AF1836" t="s">
        <v>226</v>
      </c>
      <c r="AG1836" t="s">
        <v>226</v>
      </c>
      <c r="AH1836">
        <v>6</v>
      </c>
      <c r="AI1836" t="s">
        <v>3537</v>
      </c>
      <c r="AJ1836" t="s">
        <v>1976</v>
      </c>
      <c r="AK1836" t="s">
        <v>2416</v>
      </c>
      <c r="AL1836" t="s">
        <v>272</v>
      </c>
    </row>
    <row r="1837" spans="1:38">
      <c r="A1837" t="s">
        <v>7988</v>
      </c>
      <c r="B1837" t="s">
        <v>7989</v>
      </c>
      <c r="C1837" t="s">
        <v>7990</v>
      </c>
      <c r="D1837" t="s">
        <v>7990</v>
      </c>
      <c r="E1837" t="s">
        <v>7991</v>
      </c>
      <c r="F1837" t="s">
        <v>2413</v>
      </c>
      <c r="G1837">
        <v>3</v>
      </c>
      <c r="H1837">
        <v>1</v>
      </c>
      <c r="I1837">
        <v>0.01</v>
      </c>
      <c r="J1837">
        <v>1000</v>
      </c>
      <c r="K1837">
        <v>0</v>
      </c>
      <c r="L1837">
        <v>0</v>
      </c>
      <c r="M1837">
        <v>102.93</v>
      </c>
      <c r="N1837">
        <v>104.33</v>
      </c>
      <c r="O1837">
        <v>102.93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100</v>
      </c>
      <c r="Y1837">
        <v>102.85</v>
      </c>
      <c r="Z1837">
        <v>0</v>
      </c>
      <c r="AA1837">
        <v>5000000</v>
      </c>
      <c r="AB1837">
        <v>0</v>
      </c>
      <c r="AC1837">
        <v>0</v>
      </c>
      <c r="AD1837" t="s">
        <v>94</v>
      </c>
      <c r="AE1837" t="s">
        <v>94</v>
      </c>
      <c r="AF1837" t="s">
        <v>226</v>
      </c>
      <c r="AG1837" t="s">
        <v>226</v>
      </c>
      <c r="AH1837">
        <v>6</v>
      </c>
      <c r="AI1837" t="s">
        <v>3537</v>
      </c>
      <c r="AJ1837" t="s">
        <v>1976</v>
      </c>
      <c r="AK1837" t="s">
        <v>2416</v>
      </c>
      <c r="AL1837" t="s">
        <v>272</v>
      </c>
    </row>
    <row r="1838" spans="1:38">
      <c r="A1838" t="s">
        <v>7992</v>
      </c>
      <c r="B1838" t="s">
        <v>7993</v>
      </c>
      <c r="C1838" t="s">
        <v>7994</v>
      </c>
      <c r="D1838" t="s">
        <v>7994</v>
      </c>
      <c r="E1838" t="s">
        <v>7995</v>
      </c>
      <c r="F1838" t="s">
        <v>2413</v>
      </c>
      <c r="G1838">
        <v>3</v>
      </c>
      <c r="H1838">
        <v>1</v>
      </c>
      <c r="I1838">
        <v>0.01</v>
      </c>
      <c r="J1838">
        <v>1000</v>
      </c>
      <c r="K1838">
        <v>-0.43</v>
      </c>
      <c r="L1838">
        <v>89.52</v>
      </c>
      <c r="M1838">
        <v>89.91</v>
      </c>
      <c r="N1838">
        <v>91.97</v>
      </c>
      <c r="O1838">
        <v>89.53</v>
      </c>
      <c r="P1838">
        <v>0</v>
      </c>
      <c r="Q1838">
        <v>0</v>
      </c>
      <c r="R1838">
        <v>0</v>
      </c>
      <c r="S1838">
        <v>90.88</v>
      </c>
      <c r="T1838">
        <v>89.91</v>
      </c>
      <c r="U1838">
        <v>89.52</v>
      </c>
      <c r="V1838">
        <v>92.46</v>
      </c>
      <c r="W1838">
        <v>14541</v>
      </c>
      <c r="X1838">
        <v>89.02</v>
      </c>
      <c r="Y1838">
        <v>90.41</v>
      </c>
      <c r="Z1838">
        <v>7</v>
      </c>
      <c r="AA1838">
        <v>5000000</v>
      </c>
      <c r="AB1838">
        <v>895.2</v>
      </c>
      <c r="AC1838">
        <v>0</v>
      </c>
      <c r="AD1838" t="s">
        <v>94</v>
      </c>
      <c r="AE1838" t="s">
        <v>94</v>
      </c>
      <c r="AF1838" t="s">
        <v>226</v>
      </c>
      <c r="AG1838" t="s">
        <v>226</v>
      </c>
      <c r="AH1838">
        <v>6</v>
      </c>
      <c r="AI1838" t="s">
        <v>3537</v>
      </c>
      <c r="AJ1838" t="s">
        <v>1976</v>
      </c>
      <c r="AK1838" t="s">
        <v>2416</v>
      </c>
      <c r="AL1838" t="s">
        <v>272</v>
      </c>
    </row>
    <row r="1839" spans="1:38">
      <c r="A1839" t="s">
        <v>7996</v>
      </c>
      <c r="B1839" t="s">
        <v>7997</v>
      </c>
      <c r="C1839" t="s">
        <v>7998</v>
      </c>
      <c r="D1839" t="s">
        <v>7998</v>
      </c>
      <c r="E1839" t="s">
        <v>7999</v>
      </c>
      <c r="F1839" t="s">
        <v>3754</v>
      </c>
      <c r="G1839">
        <v>3</v>
      </c>
      <c r="H1839">
        <v>1</v>
      </c>
      <c r="I1839">
        <v>0.01</v>
      </c>
      <c r="J1839">
        <v>700</v>
      </c>
      <c r="K1839">
        <v>0</v>
      </c>
      <c r="L1839">
        <v>0</v>
      </c>
      <c r="M1839">
        <v>100</v>
      </c>
      <c r="N1839">
        <v>0</v>
      </c>
      <c r="O1839">
        <v>100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89.85</v>
      </c>
      <c r="Y1839">
        <v>0</v>
      </c>
      <c r="Z1839">
        <v>0</v>
      </c>
      <c r="AA1839">
        <v>10000000</v>
      </c>
      <c r="AB1839">
        <v>0</v>
      </c>
      <c r="AC1839">
        <v>0</v>
      </c>
      <c r="AD1839" t="s">
        <v>94</v>
      </c>
      <c r="AE1839" t="s">
        <v>94</v>
      </c>
      <c r="AF1839" t="s">
        <v>226</v>
      </c>
      <c r="AG1839" t="s">
        <v>226</v>
      </c>
      <c r="AH1839">
        <v>-100</v>
      </c>
      <c r="AI1839" t="s">
        <v>3537</v>
      </c>
      <c r="AJ1839" t="s">
        <v>1976</v>
      </c>
      <c r="AK1839" t="s">
        <v>3755</v>
      </c>
      <c r="AL1839" t="s">
        <v>272</v>
      </c>
    </row>
    <row r="1840" spans="1:38">
      <c r="A1840" t="s">
        <v>8000</v>
      </c>
      <c r="B1840" t="s">
        <v>8001</v>
      </c>
      <c r="C1840" t="s">
        <v>8002</v>
      </c>
      <c r="D1840" t="s">
        <v>8002</v>
      </c>
      <c r="E1840" t="s">
        <v>8003</v>
      </c>
      <c r="F1840" t="s">
        <v>2413</v>
      </c>
      <c r="G1840">
        <v>3</v>
      </c>
      <c r="H1840">
        <v>1</v>
      </c>
      <c r="I1840">
        <v>0.01</v>
      </c>
      <c r="J1840">
        <v>1000</v>
      </c>
      <c r="K1840">
        <v>0</v>
      </c>
      <c r="L1840">
        <v>0</v>
      </c>
      <c r="M1840">
        <v>92.01</v>
      </c>
      <c r="N1840">
        <v>0</v>
      </c>
      <c r="O1840">
        <v>92.01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85</v>
      </c>
      <c r="Y1840">
        <v>102.01</v>
      </c>
      <c r="Z1840">
        <v>0</v>
      </c>
      <c r="AA1840">
        <v>3000000</v>
      </c>
      <c r="AB1840">
        <v>0</v>
      </c>
      <c r="AC1840">
        <v>0</v>
      </c>
      <c r="AD1840" t="s">
        <v>94</v>
      </c>
      <c r="AE1840" t="s">
        <v>94</v>
      </c>
      <c r="AF1840" t="s">
        <v>226</v>
      </c>
      <c r="AG1840" t="s">
        <v>226</v>
      </c>
      <c r="AH1840">
        <v>800</v>
      </c>
      <c r="AI1840" t="s">
        <v>3537</v>
      </c>
      <c r="AJ1840" t="s">
        <v>1976</v>
      </c>
      <c r="AK1840" t="s">
        <v>2416</v>
      </c>
      <c r="AL1840" t="s">
        <v>272</v>
      </c>
    </row>
    <row r="1841" spans="1:38">
      <c r="A1841" t="s">
        <v>8004</v>
      </c>
      <c r="B1841" t="s">
        <v>8005</v>
      </c>
      <c r="C1841" t="s">
        <v>8006</v>
      </c>
      <c r="D1841" t="s">
        <v>8006</v>
      </c>
      <c r="E1841" t="s">
        <v>8007</v>
      </c>
      <c r="F1841" t="s">
        <v>2413</v>
      </c>
      <c r="G1841">
        <v>2</v>
      </c>
      <c r="H1841">
        <v>1</v>
      </c>
      <c r="I1841">
        <v>0.01</v>
      </c>
      <c r="J1841">
        <v>1000</v>
      </c>
      <c r="K1841">
        <v>1.03</v>
      </c>
      <c r="L1841">
        <v>89.31</v>
      </c>
      <c r="M1841">
        <v>88.99</v>
      </c>
      <c r="N1841">
        <v>87.27</v>
      </c>
      <c r="O1841">
        <v>89.31</v>
      </c>
      <c r="P1841">
        <v>0</v>
      </c>
      <c r="Q1841">
        <v>0</v>
      </c>
      <c r="R1841">
        <v>0</v>
      </c>
      <c r="S1841">
        <v>89.31</v>
      </c>
      <c r="T1841">
        <v>89.31</v>
      </c>
      <c r="U1841">
        <v>89.31</v>
      </c>
      <c r="V1841">
        <v>89.31</v>
      </c>
      <c r="W1841">
        <v>893</v>
      </c>
      <c r="X1841">
        <v>88.4</v>
      </c>
      <c r="Y1841">
        <v>89.71</v>
      </c>
      <c r="Z1841">
        <v>1</v>
      </c>
      <c r="AA1841">
        <v>2000000</v>
      </c>
      <c r="AB1841">
        <v>893.1</v>
      </c>
      <c r="AC1841">
        <v>0</v>
      </c>
      <c r="AD1841" t="s">
        <v>94</v>
      </c>
      <c r="AE1841" t="s">
        <v>94</v>
      </c>
      <c r="AF1841" t="s">
        <v>226</v>
      </c>
      <c r="AG1841" t="s">
        <v>226</v>
      </c>
      <c r="AH1841">
        <v>6</v>
      </c>
      <c r="AI1841" t="s">
        <v>3537</v>
      </c>
      <c r="AJ1841" t="s">
        <v>1976</v>
      </c>
      <c r="AK1841" t="s">
        <v>2416</v>
      </c>
      <c r="AL1841" t="s">
        <v>272</v>
      </c>
    </row>
    <row r="1842" spans="1:38">
      <c r="A1842" t="s">
        <v>8008</v>
      </c>
      <c r="B1842" t="s">
        <v>8009</v>
      </c>
      <c r="C1842" t="s">
        <v>8010</v>
      </c>
      <c r="D1842" t="s">
        <v>8010</v>
      </c>
      <c r="E1842" t="s">
        <v>8011</v>
      </c>
      <c r="F1842" t="s">
        <v>2413</v>
      </c>
      <c r="G1842">
        <v>2</v>
      </c>
      <c r="H1842">
        <v>1</v>
      </c>
      <c r="I1842">
        <v>0.01</v>
      </c>
      <c r="J1842">
        <v>700</v>
      </c>
      <c r="K1842">
        <v>0.52</v>
      </c>
      <c r="L1842">
        <v>91.3</v>
      </c>
      <c r="M1842">
        <v>90.83</v>
      </c>
      <c r="N1842">
        <v>90.66</v>
      </c>
      <c r="O1842">
        <v>91.3</v>
      </c>
      <c r="P1842">
        <v>0</v>
      </c>
      <c r="Q1842">
        <v>0</v>
      </c>
      <c r="R1842">
        <v>0</v>
      </c>
      <c r="S1842">
        <v>90.62</v>
      </c>
      <c r="T1842">
        <v>90.53</v>
      </c>
      <c r="U1842">
        <v>90</v>
      </c>
      <c r="V1842">
        <v>91.33</v>
      </c>
      <c r="W1842">
        <v>206796</v>
      </c>
      <c r="X1842">
        <v>90.73</v>
      </c>
      <c r="Y1842">
        <v>91.19</v>
      </c>
      <c r="Z1842">
        <v>50</v>
      </c>
      <c r="AA1842">
        <v>3000000</v>
      </c>
      <c r="AB1842">
        <v>639.1</v>
      </c>
      <c r="AC1842">
        <v>0</v>
      </c>
      <c r="AD1842" t="s">
        <v>94</v>
      </c>
      <c r="AE1842" t="s">
        <v>94</v>
      </c>
      <c r="AF1842" t="s">
        <v>226</v>
      </c>
      <c r="AG1842" t="s">
        <v>226</v>
      </c>
      <c r="AH1842">
        <v>6</v>
      </c>
      <c r="AI1842" t="s">
        <v>3537</v>
      </c>
      <c r="AJ1842" t="s">
        <v>1976</v>
      </c>
      <c r="AK1842" t="s">
        <v>2416</v>
      </c>
      <c r="AL1842" t="s">
        <v>272</v>
      </c>
    </row>
    <row r="1843" spans="1:38">
      <c r="A1843" t="s">
        <v>8012</v>
      </c>
      <c r="B1843" t="s">
        <v>8013</v>
      </c>
      <c r="C1843" t="s">
        <v>8014</v>
      </c>
      <c r="D1843" t="s">
        <v>8014</v>
      </c>
      <c r="E1843" t="s">
        <v>8015</v>
      </c>
      <c r="F1843" t="s">
        <v>2413</v>
      </c>
      <c r="G1843">
        <v>2</v>
      </c>
      <c r="H1843">
        <v>1</v>
      </c>
      <c r="I1843">
        <v>0.01</v>
      </c>
      <c r="J1843">
        <v>889.2</v>
      </c>
      <c r="K1843">
        <v>-0.35</v>
      </c>
      <c r="L1843">
        <v>95.96</v>
      </c>
      <c r="M1843">
        <v>96.3</v>
      </c>
      <c r="N1843">
        <v>95.83</v>
      </c>
      <c r="O1843">
        <v>95.96</v>
      </c>
      <c r="P1843">
        <v>0</v>
      </c>
      <c r="Q1843">
        <v>0</v>
      </c>
      <c r="R1843">
        <v>0</v>
      </c>
      <c r="S1843">
        <v>95.8</v>
      </c>
      <c r="T1843">
        <v>96.3</v>
      </c>
      <c r="U1843">
        <v>95.52</v>
      </c>
      <c r="V1843">
        <v>97.1</v>
      </c>
      <c r="W1843">
        <v>73263</v>
      </c>
      <c r="X1843">
        <v>95.6</v>
      </c>
      <c r="Y1843">
        <v>95.96</v>
      </c>
      <c r="Z1843">
        <v>23</v>
      </c>
      <c r="AA1843">
        <v>1500000</v>
      </c>
      <c r="AB1843">
        <v>4266.38</v>
      </c>
      <c r="AC1843">
        <v>0</v>
      </c>
      <c r="AD1843" t="s">
        <v>94</v>
      </c>
      <c r="AE1843" t="s">
        <v>94</v>
      </c>
      <c r="AF1843" t="s">
        <v>226</v>
      </c>
      <c r="AG1843" t="s">
        <v>226</v>
      </c>
      <c r="AH1843">
        <v>800</v>
      </c>
      <c r="AI1843" t="s">
        <v>3537</v>
      </c>
      <c r="AJ1843" t="s">
        <v>1976</v>
      </c>
      <c r="AK1843" t="s">
        <v>2416</v>
      </c>
      <c r="AL1843" t="s">
        <v>272</v>
      </c>
    </row>
    <row r="1844" spans="1:38">
      <c r="A1844" t="s">
        <v>8016</v>
      </c>
      <c r="B1844" t="s">
        <v>8017</v>
      </c>
      <c r="C1844" t="s">
        <v>8018</v>
      </c>
      <c r="D1844" t="s">
        <v>8018</v>
      </c>
      <c r="E1844" t="s">
        <v>8019</v>
      </c>
      <c r="F1844" t="s">
        <v>2413</v>
      </c>
      <c r="G1844">
        <v>3</v>
      </c>
      <c r="H1844">
        <v>1</v>
      </c>
      <c r="I1844">
        <v>0.01</v>
      </c>
      <c r="J1844">
        <v>1000</v>
      </c>
      <c r="K1844">
        <v>-0.03</v>
      </c>
      <c r="L1844">
        <v>73.97</v>
      </c>
      <c r="M1844">
        <v>73.989999999999995</v>
      </c>
      <c r="N1844">
        <v>73.849999999999994</v>
      </c>
      <c r="O1844">
        <v>73.97</v>
      </c>
      <c r="P1844">
        <v>0</v>
      </c>
      <c r="Q1844">
        <v>0</v>
      </c>
      <c r="R1844">
        <v>0</v>
      </c>
      <c r="S1844">
        <v>73.53</v>
      </c>
      <c r="T1844">
        <v>73.989999999999995</v>
      </c>
      <c r="U1844">
        <v>72.05</v>
      </c>
      <c r="V1844">
        <v>73.989999999999995</v>
      </c>
      <c r="W1844">
        <v>794830</v>
      </c>
      <c r="X1844">
        <v>73.239999999999995</v>
      </c>
      <c r="Y1844">
        <v>73.94</v>
      </c>
      <c r="Z1844">
        <v>52</v>
      </c>
      <c r="AA1844">
        <v>500000</v>
      </c>
      <c r="AB1844">
        <v>1479.4</v>
      </c>
      <c r="AC1844">
        <v>0</v>
      </c>
      <c r="AD1844" t="s">
        <v>94</v>
      </c>
      <c r="AE1844" t="s">
        <v>94</v>
      </c>
      <c r="AF1844" t="s">
        <v>226</v>
      </c>
      <c r="AG1844" t="s">
        <v>226</v>
      </c>
      <c r="AH1844">
        <v>6</v>
      </c>
      <c r="AI1844" t="s">
        <v>3537</v>
      </c>
      <c r="AJ1844" t="s">
        <v>1976</v>
      </c>
      <c r="AK1844" t="s">
        <v>2416</v>
      </c>
      <c r="AL1844" t="s">
        <v>272</v>
      </c>
    </row>
    <row r="1845" spans="1:38">
      <c r="A1845" t="s">
        <v>8020</v>
      </c>
      <c r="B1845" t="s">
        <v>226</v>
      </c>
      <c r="C1845" t="s">
        <v>8021</v>
      </c>
      <c r="D1845" t="s">
        <v>8021</v>
      </c>
      <c r="E1845" t="s">
        <v>8022</v>
      </c>
      <c r="F1845" t="s">
        <v>2425</v>
      </c>
      <c r="G1845">
        <v>3</v>
      </c>
      <c r="H1845">
        <v>1</v>
      </c>
      <c r="I1845">
        <v>0.01</v>
      </c>
      <c r="J1845">
        <v>750</v>
      </c>
      <c r="K1845">
        <v>-1.1299999999999999</v>
      </c>
      <c r="L1845">
        <v>86.28</v>
      </c>
      <c r="M1845">
        <v>87.24</v>
      </c>
      <c r="N1845">
        <v>86.08</v>
      </c>
      <c r="O1845">
        <v>86.28</v>
      </c>
      <c r="P1845">
        <v>0</v>
      </c>
      <c r="Q1845">
        <v>0</v>
      </c>
      <c r="R1845">
        <v>0</v>
      </c>
      <c r="S1845">
        <v>86.28</v>
      </c>
      <c r="T1845">
        <v>86.28</v>
      </c>
      <c r="U1845">
        <v>86.28</v>
      </c>
      <c r="V1845">
        <v>86.28</v>
      </c>
      <c r="W1845">
        <v>647</v>
      </c>
      <c r="X1845">
        <v>86.26</v>
      </c>
      <c r="Y1845">
        <v>86.76</v>
      </c>
      <c r="Z1845">
        <v>1</v>
      </c>
      <c r="AA1845">
        <v>2450000</v>
      </c>
      <c r="AB1845">
        <v>647.1</v>
      </c>
      <c r="AC1845">
        <v>0</v>
      </c>
      <c r="AD1845" t="s">
        <v>94</v>
      </c>
      <c r="AE1845" t="s">
        <v>94</v>
      </c>
      <c r="AF1845" t="s">
        <v>226</v>
      </c>
      <c r="AG1845" t="s">
        <v>226</v>
      </c>
      <c r="AH1845">
        <v>-1</v>
      </c>
      <c r="AI1845" t="s">
        <v>3537</v>
      </c>
      <c r="AJ1845" t="s">
        <v>1976</v>
      </c>
      <c r="AK1845" t="s">
        <v>2426</v>
      </c>
      <c r="AL1845" t="s">
        <v>272</v>
      </c>
    </row>
    <row r="1846" spans="1:38">
      <c r="A1846" t="s">
        <v>8023</v>
      </c>
      <c r="B1846" t="s">
        <v>8024</v>
      </c>
      <c r="C1846" t="s">
        <v>8025</v>
      </c>
      <c r="D1846" t="s">
        <v>8025</v>
      </c>
      <c r="E1846" t="s">
        <v>8026</v>
      </c>
      <c r="F1846" t="s">
        <v>2425</v>
      </c>
      <c r="G1846">
        <v>3</v>
      </c>
      <c r="H1846">
        <v>1</v>
      </c>
      <c r="I1846">
        <v>0.01</v>
      </c>
      <c r="J1846">
        <v>10000000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675</v>
      </c>
      <c r="AB1846">
        <v>0</v>
      </c>
      <c r="AC1846">
        <v>0</v>
      </c>
      <c r="AD1846" t="s">
        <v>94</v>
      </c>
      <c r="AE1846" t="s">
        <v>94</v>
      </c>
      <c r="AF1846" t="s">
        <v>304</v>
      </c>
      <c r="AG1846" t="s">
        <v>226</v>
      </c>
      <c r="AH1846">
        <v>0</v>
      </c>
      <c r="AI1846" t="s">
        <v>3537</v>
      </c>
      <c r="AJ1846" t="s">
        <v>1976</v>
      </c>
      <c r="AK1846" t="s">
        <v>2426</v>
      </c>
      <c r="AL1846" t="s">
        <v>272</v>
      </c>
    </row>
    <row r="1847" spans="1:38">
      <c r="A1847" t="s">
        <v>8027</v>
      </c>
      <c r="B1847" t="s">
        <v>8028</v>
      </c>
      <c r="C1847" t="s">
        <v>8029</v>
      </c>
      <c r="D1847" t="s">
        <v>8029</v>
      </c>
      <c r="E1847" t="s">
        <v>8030</v>
      </c>
      <c r="F1847" t="s">
        <v>2425</v>
      </c>
      <c r="G1847">
        <v>3</v>
      </c>
      <c r="H1847">
        <v>1</v>
      </c>
      <c r="I1847">
        <v>0.01</v>
      </c>
      <c r="J1847">
        <v>10000000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1408</v>
      </c>
      <c r="AB1847">
        <v>0</v>
      </c>
      <c r="AC1847">
        <v>0</v>
      </c>
      <c r="AD1847" t="s">
        <v>94</v>
      </c>
      <c r="AE1847" t="s">
        <v>94</v>
      </c>
      <c r="AF1847" t="s">
        <v>304</v>
      </c>
      <c r="AG1847" t="s">
        <v>226</v>
      </c>
      <c r="AH1847">
        <v>0</v>
      </c>
      <c r="AI1847" t="s">
        <v>3537</v>
      </c>
      <c r="AJ1847" t="s">
        <v>1976</v>
      </c>
      <c r="AK1847" t="s">
        <v>2426</v>
      </c>
      <c r="AL1847" t="s">
        <v>272</v>
      </c>
    </row>
    <row r="1848" spans="1:38">
      <c r="A1848" t="s">
        <v>8031</v>
      </c>
      <c r="B1848" t="s">
        <v>8032</v>
      </c>
      <c r="C1848" t="s">
        <v>8033</v>
      </c>
      <c r="D1848" t="s">
        <v>8033</v>
      </c>
      <c r="E1848" t="s">
        <v>8034</v>
      </c>
      <c r="F1848" t="s">
        <v>2413</v>
      </c>
      <c r="G1848">
        <v>3</v>
      </c>
      <c r="H1848">
        <v>1</v>
      </c>
      <c r="I1848">
        <v>0.01</v>
      </c>
      <c r="J1848">
        <v>1000</v>
      </c>
      <c r="K1848">
        <v>2.81</v>
      </c>
      <c r="L1848">
        <v>83.33</v>
      </c>
      <c r="M1848">
        <v>81.05</v>
      </c>
      <c r="N1848">
        <v>81.040000000000006</v>
      </c>
      <c r="O1848">
        <v>82.39</v>
      </c>
      <c r="P1848">
        <v>0</v>
      </c>
      <c r="Q1848">
        <v>0</v>
      </c>
      <c r="R1848">
        <v>0</v>
      </c>
      <c r="S1848">
        <v>81.180000000000007</v>
      </c>
      <c r="T1848">
        <v>81.010000000000005</v>
      </c>
      <c r="U1848">
        <v>81</v>
      </c>
      <c r="V1848">
        <v>83.33</v>
      </c>
      <c r="W1848">
        <v>296291</v>
      </c>
      <c r="X1848">
        <v>81.13</v>
      </c>
      <c r="Y1848">
        <v>81.99</v>
      </c>
      <c r="Z1848">
        <v>45</v>
      </c>
      <c r="AA1848">
        <v>200000</v>
      </c>
      <c r="AB1848">
        <v>1666.6</v>
      </c>
      <c r="AC1848">
        <v>0</v>
      </c>
      <c r="AD1848" t="s">
        <v>94</v>
      </c>
      <c r="AE1848" t="s">
        <v>94</v>
      </c>
      <c r="AF1848" t="s">
        <v>226</v>
      </c>
      <c r="AG1848" t="s">
        <v>226</v>
      </c>
      <c r="AH1848">
        <v>6</v>
      </c>
      <c r="AI1848" t="s">
        <v>3537</v>
      </c>
      <c r="AJ1848" t="s">
        <v>1976</v>
      </c>
      <c r="AK1848" t="s">
        <v>2416</v>
      </c>
      <c r="AL1848" t="s">
        <v>272</v>
      </c>
    </row>
    <row r="1849" spans="1:38">
      <c r="A1849" t="s">
        <v>8035</v>
      </c>
      <c r="B1849" t="s">
        <v>8036</v>
      </c>
      <c r="C1849" t="s">
        <v>8037</v>
      </c>
      <c r="D1849" t="s">
        <v>8037</v>
      </c>
      <c r="E1849" t="s">
        <v>8038</v>
      </c>
      <c r="F1849" t="s">
        <v>2413</v>
      </c>
      <c r="G1849">
        <v>3</v>
      </c>
      <c r="H1849">
        <v>1</v>
      </c>
      <c r="I1849">
        <v>0.01</v>
      </c>
      <c r="J1849">
        <v>1000</v>
      </c>
      <c r="K1849">
        <v>-0.6</v>
      </c>
      <c r="L1849">
        <v>72.349999999999994</v>
      </c>
      <c r="M1849">
        <v>72.790000000000006</v>
      </c>
      <c r="N1849">
        <v>72.55</v>
      </c>
      <c r="O1849">
        <v>72.2</v>
      </c>
      <c r="P1849">
        <v>0</v>
      </c>
      <c r="Q1849">
        <v>0</v>
      </c>
      <c r="R1849">
        <v>0</v>
      </c>
      <c r="S1849">
        <v>72.17</v>
      </c>
      <c r="T1849">
        <v>72.06</v>
      </c>
      <c r="U1849">
        <v>72.05</v>
      </c>
      <c r="V1849">
        <v>72.42</v>
      </c>
      <c r="W1849">
        <v>152998</v>
      </c>
      <c r="X1849">
        <v>72.09</v>
      </c>
      <c r="Y1849">
        <v>72.349999999999994</v>
      </c>
      <c r="Z1849">
        <v>41</v>
      </c>
      <c r="AA1849">
        <v>200000</v>
      </c>
      <c r="AB1849">
        <v>1447</v>
      </c>
      <c r="AC1849">
        <v>0</v>
      </c>
      <c r="AD1849" t="s">
        <v>94</v>
      </c>
      <c r="AE1849" t="s">
        <v>94</v>
      </c>
      <c r="AF1849" t="s">
        <v>226</v>
      </c>
      <c r="AG1849" t="s">
        <v>226</v>
      </c>
      <c r="AH1849">
        <v>800</v>
      </c>
      <c r="AI1849" t="s">
        <v>3537</v>
      </c>
      <c r="AJ1849" t="s">
        <v>1976</v>
      </c>
      <c r="AK1849" t="s">
        <v>2416</v>
      </c>
      <c r="AL1849" t="s">
        <v>272</v>
      </c>
    </row>
    <row r="1850" spans="1:38">
      <c r="A1850" t="s">
        <v>8039</v>
      </c>
      <c r="B1850" t="s">
        <v>8040</v>
      </c>
      <c r="C1850" t="s">
        <v>8041</v>
      </c>
      <c r="D1850" t="s">
        <v>8041</v>
      </c>
      <c r="E1850" t="s">
        <v>8042</v>
      </c>
      <c r="F1850" t="s">
        <v>2413</v>
      </c>
      <c r="G1850">
        <v>3</v>
      </c>
      <c r="H1850">
        <v>1</v>
      </c>
      <c r="I1850">
        <v>0.01</v>
      </c>
      <c r="J1850">
        <v>1000</v>
      </c>
      <c r="K1850">
        <v>0.74</v>
      </c>
      <c r="L1850">
        <v>73.540000000000006</v>
      </c>
      <c r="M1850">
        <v>73</v>
      </c>
      <c r="N1850">
        <v>73.290000000000006</v>
      </c>
      <c r="O1850">
        <v>73.540000000000006</v>
      </c>
      <c r="P1850">
        <v>0</v>
      </c>
      <c r="Q1850">
        <v>0</v>
      </c>
      <c r="R1850">
        <v>0</v>
      </c>
      <c r="S1850">
        <v>72.12</v>
      </c>
      <c r="T1850">
        <v>71</v>
      </c>
      <c r="U1850">
        <v>71</v>
      </c>
      <c r="V1850">
        <v>73.540000000000006</v>
      </c>
      <c r="W1850">
        <v>257480</v>
      </c>
      <c r="X1850">
        <v>73.06</v>
      </c>
      <c r="Y1850">
        <v>73.55</v>
      </c>
      <c r="Z1850">
        <v>56</v>
      </c>
      <c r="AA1850">
        <v>200000</v>
      </c>
      <c r="AB1850">
        <v>735.4</v>
      </c>
      <c r="AC1850">
        <v>0</v>
      </c>
      <c r="AD1850" t="s">
        <v>94</v>
      </c>
      <c r="AE1850" t="s">
        <v>94</v>
      </c>
      <c r="AF1850" t="s">
        <v>226</v>
      </c>
      <c r="AG1850" t="s">
        <v>226</v>
      </c>
      <c r="AH1850">
        <v>800</v>
      </c>
      <c r="AI1850" t="s">
        <v>3537</v>
      </c>
      <c r="AJ1850" t="s">
        <v>1976</v>
      </c>
      <c r="AK1850" t="s">
        <v>2416</v>
      </c>
      <c r="AL1850" t="s">
        <v>272</v>
      </c>
    </row>
    <row r="1851" spans="1:38">
      <c r="A1851" t="s">
        <v>8043</v>
      </c>
      <c r="B1851" t="s">
        <v>8044</v>
      </c>
      <c r="C1851" t="s">
        <v>8045</v>
      </c>
      <c r="D1851" t="s">
        <v>8045</v>
      </c>
      <c r="E1851" t="s">
        <v>8046</v>
      </c>
      <c r="F1851" t="s">
        <v>2413</v>
      </c>
      <c r="G1851">
        <v>3</v>
      </c>
      <c r="H1851">
        <v>1</v>
      </c>
      <c r="I1851">
        <v>0.01</v>
      </c>
      <c r="J1851">
        <v>650</v>
      </c>
      <c r="K1851">
        <v>0.27</v>
      </c>
      <c r="L1851">
        <v>88.54</v>
      </c>
      <c r="M1851">
        <v>88.3</v>
      </c>
      <c r="N1851">
        <v>88.42</v>
      </c>
      <c r="O1851">
        <v>88.54</v>
      </c>
      <c r="P1851">
        <v>0</v>
      </c>
      <c r="Q1851">
        <v>0</v>
      </c>
      <c r="R1851">
        <v>0</v>
      </c>
      <c r="S1851">
        <v>88.36</v>
      </c>
      <c r="T1851">
        <v>88.25</v>
      </c>
      <c r="U1851">
        <v>88.2</v>
      </c>
      <c r="V1851">
        <v>88.55</v>
      </c>
      <c r="W1851">
        <v>75242</v>
      </c>
      <c r="X1851">
        <v>88.27</v>
      </c>
      <c r="Y1851">
        <v>88.54</v>
      </c>
      <c r="Z1851">
        <v>17</v>
      </c>
      <c r="AA1851">
        <v>375000</v>
      </c>
      <c r="AB1851">
        <v>1151.02</v>
      </c>
      <c r="AC1851">
        <v>0</v>
      </c>
      <c r="AD1851" t="s">
        <v>94</v>
      </c>
      <c r="AE1851" t="s">
        <v>94</v>
      </c>
      <c r="AF1851" t="s">
        <v>304</v>
      </c>
      <c r="AG1851" t="s">
        <v>226</v>
      </c>
      <c r="AH1851">
        <v>0</v>
      </c>
      <c r="AI1851" t="s">
        <v>3537</v>
      </c>
      <c r="AJ1851" t="s">
        <v>1976</v>
      </c>
      <c r="AK1851" t="s">
        <v>2416</v>
      </c>
      <c r="AL1851" t="s">
        <v>272</v>
      </c>
    </row>
    <row r="1852" spans="1:38">
      <c r="A1852" t="s">
        <v>8047</v>
      </c>
      <c r="B1852" t="s">
        <v>8048</v>
      </c>
      <c r="C1852" t="s">
        <v>8049</v>
      </c>
      <c r="D1852" t="s">
        <v>8049</v>
      </c>
      <c r="E1852" t="s">
        <v>8050</v>
      </c>
      <c r="F1852" t="s">
        <v>2425</v>
      </c>
      <c r="G1852">
        <v>3</v>
      </c>
      <c r="H1852">
        <v>1</v>
      </c>
      <c r="I1852">
        <v>0.01</v>
      </c>
      <c r="J1852">
        <v>1000</v>
      </c>
      <c r="K1852">
        <v>8.5299999999999994</v>
      </c>
      <c r="L1852">
        <v>98.95</v>
      </c>
      <c r="M1852">
        <v>91.17</v>
      </c>
      <c r="N1852">
        <v>98.13</v>
      </c>
      <c r="O1852">
        <v>98.95</v>
      </c>
      <c r="P1852">
        <v>0</v>
      </c>
      <c r="Q1852">
        <v>0</v>
      </c>
      <c r="R1852">
        <v>0</v>
      </c>
      <c r="S1852">
        <v>96.85</v>
      </c>
      <c r="T1852">
        <v>96.77</v>
      </c>
      <c r="U1852">
        <v>96.77</v>
      </c>
      <c r="V1852">
        <v>98.95</v>
      </c>
      <c r="W1852">
        <v>32928</v>
      </c>
      <c r="X1852">
        <v>94</v>
      </c>
      <c r="Y1852">
        <v>98.96</v>
      </c>
      <c r="Z1852">
        <v>9</v>
      </c>
      <c r="AA1852">
        <v>400000</v>
      </c>
      <c r="AB1852">
        <v>989.5</v>
      </c>
      <c r="AC1852">
        <v>0</v>
      </c>
      <c r="AD1852" t="s">
        <v>94</v>
      </c>
      <c r="AE1852" t="s">
        <v>94</v>
      </c>
      <c r="AF1852" t="s">
        <v>304</v>
      </c>
      <c r="AG1852" t="s">
        <v>226</v>
      </c>
      <c r="AH1852">
        <v>0</v>
      </c>
      <c r="AI1852" t="s">
        <v>3537</v>
      </c>
      <c r="AJ1852" t="s">
        <v>1976</v>
      </c>
      <c r="AK1852" t="s">
        <v>2426</v>
      </c>
      <c r="AL1852" t="s">
        <v>272</v>
      </c>
    </row>
    <row r="1853" spans="1:38">
      <c r="A1853" t="s">
        <v>8051</v>
      </c>
      <c r="B1853" t="s">
        <v>8052</v>
      </c>
      <c r="C1853" t="s">
        <v>8053</v>
      </c>
      <c r="D1853" t="s">
        <v>8053</v>
      </c>
      <c r="E1853" t="s">
        <v>8054</v>
      </c>
      <c r="F1853" t="s">
        <v>2413</v>
      </c>
      <c r="G1853">
        <v>3</v>
      </c>
      <c r="H1853">
        <v>1</v>
      </c>
      <c r="I1853">
        <v>0.01</v>
      </c>
      <c r="J1853">
        <v>1000</v>
      </c>
      <c r="K1853">
        <v>-1.07</v>
      </c>
      <c r="L1853">
        <v>88.74</v>
      </c>
      <c r="M1853">
        <v>89.7</v>
      </c>
      <c r="N1853">
        <v>91.86</v>
      </c>
      <c r="O1853">
        <v>88.74</v>
      </c>
      <c r="P1853">
        <v>0</v>
      </c>
      <c r="Q1853">
        <v>0</v>
      </c>
      <c r="R1853">
        <v>0</v>
      </c>
      <c r="S1853">
        <v>88.98</v>
      </c>
      <c r="T1853">
        <v>89.22</v>
      </c>
      <c r="U1853">
        <v>88.74</v>
      </c>
      <c r="V1853">
        <v>89.22</v>
      </c>
      <c r="W1853">
        <v>1780</v>
      </c>
      <c r="X1853">
        <v>88.27</v>
      </c>
      <c r="Y1853">
        <v>89.61</v>
      </c>
      <c r="Z1853">
        <v>2</v>
      </c>
      <c r="AA1853">
        <v>3000000</v>
      </c>
      <c r="AB1853">
        <v>887.4</v>
      </c>
      <c r="AC1853">
        <v>0</v>
      </c>
      <c r="AD1853" t="s">
        <v>94</v>
      </c>
      <c r="AE1853" t="s">
        <v>94</v>
      </c>
      <c r="AF1853" t="s">
        <v>226</v>
      </c>
      <c r="AG1853" t="s">
        <v>226</v>
      </c>
      <c r="AH1853">
        <v>800</v>
      </c>
      <c r="AI1853" t="s">
        <v>3537</v>
      </c>
      <c r="AJ1853" t="s">
        <v>1976</v>
      </c>
      <c r="AK1853" t="s">
        <v>2416</v>
      </c>
      <c r="AL1853" t="s">
        <v>272</v>
      </c>
    </row>
    <row r="1854" spans="1:38">
      <c r="A1854" t="s">
        <v>8055</v>
      </c>
      <c r="B1854" t="s">
        <v>8056</v>
      </c>
      <c r="C1854" t="s">
        <v>8057</v>
      </c>
      <c r="D1854" t="s">
        <v>8057</v>
      </c>
      <c r="E1854" t="s">
        <v>8058</v>
      </c>
      <c r="F1854" t="s">
        <v>2413</v>
      </c>
      <c r="G1854">
        <v>3</v>
      </c>
      <c r="H1854">
        <v>1</v>
      </c>
      <c r="I1854">
        <v>0.01</v>
      </c>
      <c r="J1854">
        <v>1000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3000000</v>
      </c>
      <c r="AB1854">
        <v>0</v>
      </c>
      <c r="AC1854">
        <v>0</v>
      </c>
      <c r="AD1854" t="s">
        <v>94</v>
      </c>
      <c r="AE1854" t="s">
        <v>94</v>
      </c>
      <c r="AF1854" t="s">
        <v>226</v>
      </c>
      <c r="AG1854" t="s">
        <v>226</v>
      </c>
      <c r="AH1854">
        <v>800</v>
      </c>
      <c r="AI1854" t="s">
        <v>3537</v>
      </c>
      <c r="AJ1854" t="s">
        <v>1976</v>
      </c>
      <c r="AK1854" t="s">
        <v>2416</v>
      </c>
      <c r="AL1854" t="s">
        <v>272</v>
      </c>
    </row>
    <row r="1855" spans="1:38">
      <c r="A1855" t="s">
        <v>8059</v>
      </c>
      <c r="B1855" t="s">
        <v>8060</v>
      </c>
      <c r="C1855" t="s">
        <v>8061</v>
      </c>
      <c r="D1855" t="s">
        <v>8061</v>
      </c>
      <c r="E1855" t="s">
        <v>8062</v>
      </c>
      <c r="F1855" t="s">
        <v>2413</v>
      </c>
      <c r="G1855">
        <v>3</v>
      </c>
      <c r="H1855">
        <v>1</v>
      </c>
      <c r="I1855">
        <v>0.01</v>
      </c>
      <c r="J1855">
        <v>1000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1000000</v>
      </c>
      <c r="AB1855">
        <v>0</v>
      </c>
      <c r="AC1855">
        <v>0</v>
      </c>
      <c r="AD1855" t="s">
        <v>94</v>
      </c>
      <c r="AE1855" t="s">
        <v>94</v>
      </c>
      <c r="AF1855" t="s">
        <v>304</v>
      </c>
      <c r="AG1855" t="s">
        <v>226</v>
      </c>
      <c r="AH1855">
        <v>800</v>
      </c>
      <c r="AI1855" t="s">
        <v>3537</v>
      </c>
      <c r="AJ1855" t="s">
        <v>1976</v>
      </c>
      <c r="AK1855" t="s">
        <v>2416</v>
      </c>
      <c r="AL1855" t="s">
        <v>272</v>
      </c>
    </row>
    <row r="1856" spans="1:38">
      <c r="A1856" t="s">
        <v>8063</v>
      </c>
      <c r="B1856" t="s">
        <v>8064</v>
      </c>
      <c r="C1856" t="s">
        <v>8065</v>
      </c>
      <c r="D1856" t="s">
        <v>8065</v>
      </c>
      <c r="E1856" t="s">
        <v>8066</v>
      </c>
      <c r="F1856" t="s">
        <v>2413</v>
      </c>
      <c r="G1856">
        <v>3</v>
      </c>
      <c r="H1856">
        <v>1</v>
      </c>
      <c r="I1856">
        <v>0.01</v>
      </c>
      <c r="J1856">
        <v>1000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1000000</v>
      </c>
      <c r="AB1856">
        <v>0</v>
      </c>
      <c r="AC1856">
        <v>0</v>
      </c>
      <c r="AD1856" t="s">
        <v>94</v>
      </c>
      <c r="AE1856" t="s">
        <v>94</v>
      </c>
      <c r="AF1856" t="s">
        <v>304</v>
      </c>
      <c r="AG1856" t="s">
        <v>226</v>
      </c>
      <c r="AH1856">
        <v>800</v>
      </c>
      <c r="AI1856" t="s">
        <v>3537</v>
      </c>
      <c r="AJ1856" t="s">
        <v>1976</v>
      </c>
      <c r="AK1856" t="s">
        <v>2416</v>
      </c>
      <c r="AL1856" t="s">
        <v>272</v>
      </c>
    </row>
    <row r="1857" spans="1:38">
      <c r="A1857" t="s">
        <v>8067</v>
      </c>
      <c r="B1857" t="s">
        <v>8068</v>
      </c>
      <c r="C1857" t="s">
        <v>8069</v>
      </c>
      <c r="D1857" t="s">
        <v>8069</v>
      </c>
      <c r="E1857" t="s">
        <v>8070</v>
      </c>
      <c r="F1857" t="s">
        <v>2413</v>
      </c>
      <c r="G1857">
        <v>3</v>
      </c>
      <c r="H1857">
        <v>1</v>
      </c>
      <c r="I1857">
        <v>0.01</v>
      </c>
      <c r="J1857">
        <v>600</v>
      </c>
      <c r="K1857">
        <v>-0.18</v>
      </c>
      <c r="L1857">
        <v>84.99</v>
      </c>
      <c r="M1857">
        <v>85.14</v>
      </c>
      <c r="N1857">
        <v>84.6</v>
      </c>
      <c r="O1857">
        <v>84.99</v>
      </c>
      <c r="P1857">
        <v>0</v>
      </c>
      <c r="Q1857">
        <v>0</v>
      </c>
      <c r="R1857">
        <v>0</v>
      </c>
      <c r="S1857">
        <v>85.11</v>
      </c>
      <c r="T1857">
        <v>85.21</v>
      </c>
      <c r="U1857">
        <v>84.3</v>
      </c>
      <c r="V1857">
        <v>85.61</v>
      </c>
      <c r="W1857">
        <v>182307</v>
      </c>
      <c r="X1857">
        <v>84.58</v>
      </c>
      <c r="Y1857">
        <v>84.98</v>
      </c>
      <c r="Z1857">
        <v>38</v>
      </c>
      <c r="AA1857">
        <v>200000</v>
      </c>
      <c r="AB1857">
        <v>509.94</v>
      </c>
      <c r="AC1857">
        <v>0</v>
      </c>
      <c r="AD1857" t="s">
        <v>94</v>
      </c>
      <c r="AE1857" t="s">
        <v>94</v>
      </c>
      <c r="AF1857" t="s">
        <v>226</v>
      </c>
      <c r="AG1857" t="s">
        <v>226</v>
      </c>
      <c r="AH1857">
        <v>6</v>
      </c>
      <c r="AI1857" t="s">
        <v>3537</v>
      </c>
      <c r="AJ1857" t="s">
        <v>1976</v>
      </c>
      <c r="AK1857" t="s">
        <v>2416</v>
      </c>
      <c r="AL1857" t="s">
        <v>272</v>
      </c>
    </row>
    <row r="1858" spans="1:38">
      <c r="A1858" t="s">
        <v>8071</v>
      </c>
      <c r="B1858" t="s">
        <v>8072</v>
      </c>
      <c r="C1858" t="s">
        <v>8073</v>
      </c>
      <c r="D1858" t="s">
        <v>8073</v>
      </c>
      <c r="E1858" t="s">
        <v>8074</v>
      </c>
      <c r="F1858" t="s">
        <v>2413</v>
      </c>
      <c r="G1858">
        <v>2</v>
      </c>
      <c r="H1858">
        <v>1</v>
      </c>
      <c r="I1858">
        <v>0.01</v>
      </c>
      <c r="J1858">
        <v>1000</v>
      </c>
      <c r="K1858">
        <v>0.32</v>
      </c>
      <c r="L1858">
        <v>91.38</v>
      </c>
      <c r="M1858">
        <v>91.09</v>
      </c>
      <c r="N1858">
        <v>90.83</v>
      </c>
      <c r="O1858">
        <v>91.38</v>
      </c>
      <c r="P1858">
        <v>0</v>
      </c>
      <c r="Q1858">
        <v>0</v>
      </c>
      <c r="R1858">
        <v>0</v>
      </c>
      <c r="S1858">
        <v>90.82</v>
      </c>
      <c r="T1858">
        <v>91.46</v>
      </c>
      <c r="U1858">
        <v>90.45</v>
      </c>
      <c r="V1858">
        <v>91.58</v>
      </c>
      <c r="W1858">
        <v>118968</v>
      </c>
      <c r="X1858">
        <v>91</v>
      </c>
      <c r="Y1858">
        <v>91.28</v>
      </c>
      <c r="Z1858">
        <v>29</v>
      </c>
      <c r="AA1858">
        <v>5000000</v>
      </c>
      <c r="AB1858">
        <v>913.8</v>
      </c>
      <c r="AC1858">
        <v>0</v>
      </c>
      <c r="AD1858" t="s">
        <v>94</v>
      </c>
      <c r="AE1858" t="s">
        <v>94</v>
      </c>
      <c r="AF1858" t="s">
        <v>226</v>
      </c>
      <c r="AG1858" t="s">
        <v>226</v>
      </c>
      <c r="AH1858">
        <v>6</v>
      </c>
      <c r="AI1858" t="s">
        <v>3537</v>
      </c>
      <c r="AJ1858" t="s">
        <v>1976</v>
      </c>
      <c r="AK1858" t="s">
        <v>2416</v>
      </c>
      <c r="AL1858" t="s">
        <v>272</v>
      </c>
    </row>
    <row r="1859" spans="1:38">
      <c r="A1859" t="s">
        <v>8075</v>
      </c>
      <c r="B1859" t="s">
        <v>8076</v>
      </c>
      <c r="C1859" t="s">
        <v>8077</v>
      </c>
      <c r="D1859" t="s">
        <v>8077</v>
      </c>
      <c r="E1859" t="s">
        <v>8078</v>
      </c>
      <c r="F1859" t="s">
        <v>2413</v>
      </c>
      <c r="G1859">
        <v>2</v>
      </c>
      <c r="H1859">
        <v>1</v>
      </c>
      <c r="I1859">
        <v>0.01</v>
      </c>
      <c r="J1859">
        <v>1000</v>
      </c>
      <c r="K1859">
        <v>-0.85</v>
      </c>
      <c r="L1859">
        <v>90.51</v>
      </c>
      <c r="M1859">
        <v>91.28</v>
      </c>
      <c r="N1859">
        <v>90.89</v>
      </c>
      <c r="O1859">
        <v>90.77</v>
      </c>
      <c r="P1859">
        <v>0</v>
      </c>
      <c r="Q1859">
        <v>0</v>
      </c>
      <c r="R1859">
        <v>0</v>
      </c>
      <c r="S1859">
        <v>91.64</v>
      </c>
      <c r="T1859">
        <v>90.59</v>
      </c>
      <c r="U1859">
        <v>90.51</v>
      </c>
      <c r="V1859">
        <v>91.8</v>
      </c>
      <c r="W1859">
        <v>390407</v>
      </c>
      <c r="X1859">
        <v>90.54</v>
      </c>
      <c r="Y1859">
        <v>90.9</v>
      </c>
      <c r="Z1859">
        <v>44</v>
      </c>
      <c r="AA1859">
        <v>7000000</v>
      </c>
      <c r="AB1859">
        <v>905.1</v>
      </c>
      <c r="AC1859">
        <v>0</v>
      </c>
      <c r="AD1859" t="s">
        <v>94</v>
      </c>
      <c r="AE1859" t="s">
        <v>94</v>
      </c>
      <c r="AF1859" t="s">
        <v>226</v>
      </c>
      <c r="AG1859" t="s">
        <v>226</v>
      </c>
      <c r="AH1859">
        <v>6</v>
      </c>
      <c r="AI1859" t="s">
        <v>3537</v>
      </c>
      <c r="AJ1859" t="s">
        <v>1976</v>
      </c>
      <c r="AK1859" t="s">
        <v>2416</v>
      </c>
      <c r="AL1859" t="s">
        <v>272</v>
      </c>
    </row>
    <row r="1860" spans="1:38">
      <c r="A1860" t="s">
        <v>8079</v>
      </c>
      <c r="B1860" t="s">
        <v>8080</v>
      </c>
      <c r="C1860" t="s">
        <v>8081</v>
      </c>
      <c r="D1860" t="s">
        <v>8081</v>
      </c>
      <c r="E1860" t="s">
        <v>8082</v>
      </c>
      <c r="F1860" t="s">
        <v>2413</v>
      </c>
      <c r="G1860">
        <v>2</v>
      </c>
      <c r="H1860">
        <v>1</v>
      </c>
      <c r="I1860">
        <v>0.01</v>
      </c>
      <c r="J1860">
        <v>1000</v>
      </c>
      <c r="K1860">
        <v>0.04</v>
      </c>
      <c r="L1860">
        <v>100</v>
      </c>
      <c r="M1860">
        <v>99.96</v>
      </c>
      <c r="N1860">
        <v>99.33</v>
      </c>
      <c r="O1860">
        <v>100</v>
      </c>
      <c r="P1860">
        <v>0</v>
      </c>
      <c r="Q1860">
        <v>0</v>
      </c>
      <c r="R1860">
        <v>0</v>
      </c>
      <c r="S1860">
        <v>99.77</v>
      </c>
      <c r="T1860">
        <v>99.96</v>
      </c>
      <c r="U1860">
        <v>99.18</v>
      </c>
      <c r="V1860">
        <v>100</v>
      </c>
      <c r="W1860">
        <v>156640</v>
      </c>
      <c r="X1860">
        <v>99.77</v>
      </c>
      <c r="Y1860">
        <v>100.05</v>
      </c>
      <c r="Z1860">
        <v>17</v>
      </c>
      <c r="AA1860">
        <v>1000000</v>
      </c>
      <c r="AB1860">
        <v>20000</v>
      </c>
      <c r="AC1860">
        <v>0</v>
      </c>
      <c r="AD1860" t="s">
        <v>94</v>
      </c>
      <c r="AE1860" t="s">
        <v>94</v>
      </c>
      <c r="AF1860" t="s">
        <v>226</v>
      </c>
      <c r="AG1860" t="s">
        <v>226</v>
      </c>
      <c r="AH1860">
        <v>6</v>
      </c>
      <c r="AI1860" t="s">
        <v>3537</v>
      </c>
      <c r="AJ1860" t="s">
        <v>1976</v>
      </c>
      <c r="AK1860" t="s">
        <v>2416</v>
      </c>
      <c r="AL1860" t="s">
        <v>272</v>
      </c>
    </row>
    <row r="1861" spans="1:38">
      <c r="A1861" t="s">
        <v>8083</v>
      </c>
      <c r="B1861" t="s">
        <v>8084</v>
      </c>
      <c r="C1861" t="s">
        <v>8085</v>
      </c>
      <c r="D1861" t="s">
        <v>8085</v>
      </c>
      <c r="E1861" t="s">
        <v>8086</v>
      </c>
      <c r="F1861" t="s">
        <v>2413</v>
      </c>
      <c r="G1861">
        <v>2</v>
      </c>
      <c r="H1861">
        <v>1</v>
      </c>
      <c r="I1861">
        <v>0.01</v>
      </c>
      <c r="J1861">
        <v>1000</v>
      </c>
      <c r="K1861">
        <v>-0.09</v>
      </c>
      <c r="L1861">
        <v>81.28</v>
      </c>
      <c r="M1861">
        <v>81.349999999999994</v>
      </c>
      <c r="N1861">
        <v>81.040000000000006</v>
      </c>
      <c r="O1861">
        <v>81.28</v>
      </c>
      <c r="P1861">
        <v>0</v>
      </c>
      <c r="Q1861">
        <v>0</v>
      </c>
      <c r="R1861">
        <v>0</v>
      </c>
      <c r="S1861">
        <v>81.2</v>
      </c>
      <c r="T1861">
        <v>81.319999999999993</v>
      </c>
      <c r="U1861">
        <v>81</v>
      </c>
      <c r="V1861">
        <v>81.34</v>
      </c>
      <c r="W1861">
        <v>222481</v>
      </c>
      <c r="X1861">
        <v>81.180000000000007</v>
      </c>
      <c r="Y1861">
        <v>81.28</v>
      </c>
      <c r="Z1861">
        <v>24</v>
      </c>
      <c r="AA1861">
        <v>14500000</v>
      </c>
      <c r="AB1861">
        <v>39827.199999999997</v>
      </c>
      <c r="AC1861">
        <v>0</v>
      </c>
      <c r="AD1861" t="s">
        <v>94</v>
      </c>
      <c r="AE1861" t="s">
        <v>94</v>
      </c>
      <c r="AF1861" t="s">
        <v>226</v>
      </c>
      <c r="AG1861" t="s">
        <v>226</v>
      </c>
      <c r="AH1861">
        <v>6</v>
      </c>
      <c r="AI1861" t="s">
        <v>3537</v>
      </c>
      <c r="AJ1861" t="s">
        <v>1976</v>
      </c>
      <c r="AK1861" t="s">
        <v>2416</v>
      </c>
      <c r="AL1861" t="s">
        <v>272</v>
      </c>
    </row>
    <row r="1862" spans="1:38">
      <c r="A1862" t="s">
        <v>8087</v>
      </c>
      <c r="B1862" t="s">
        <v>8088</v>
      </c>
      <c r="C1862" t="s">
        <v>8089</v>
      </c>
      <c r="D1862" t="s">
        <v>8089</v>
      </c>
      <c r="E1862" t="s">
        <v>8090</v>
      </c>
      <c r="F1862" t="s">
        <v>2413</v>
      </c>
      <c r="G1862">
        <v>2</v>
      </c>
      <c r="H1862">
        <v>1</v>
      </c>
      <c r="I1862">
        <v>0.01</v>
      </c>
      <c r="J1862">
        <v>1000</v>
      </c>
      <c r="K1862">
        <v>-0.24</v>
      </c>
      <c r="L1862">
        <v>83.65</v>
      </c>
      <c r="M1862">
        <v>83.73</v>
      </c>
      <c r="N1862">
        <v>83.49</v>
      </c>
      <c r="O1862">
        <v>83.65</v>
      </c>
      <c r="P1862">
        <v>0</v>
      </c>
      <c r="Q1862">
        <v>0</v>
      </c>
      <c r="R1862">
        <v>0</v>
      </c>
      <c r="S1862">
        <v>83.95</v>
      </c>
      <c r="T1862">
        <v>83.88</v>
      </c>
      <c r="U1862">
        <v>83.61</v>
      </c>
      <c r="V1862">
        <v>83.96</v>
      </c>
      <c r="W1862">
        <v>1788062</v>
      </c>
      <c r="X1862">
        <v>83.6</v>
      </c>
      <c r="Y1862">
        <v>83.65</v>
      </c>
      <c r="Z1862">
        <v>20</v>
      </c>
      <c r="AA1862">
        <v>5000000</v>
      </c>
      <c r="AB1862">
        <v>7528.5</v>
      </c>
      <c r="AC1862">
        <v>0</v>
      </c>
      <c r="AD1862" t="s">
        <v>94</v>
      </c>
      <c r="AE1862" t="s">
        <v>94</v>
      </c>
      <c r="AF1862" t="s">
        <v>226</v>
      </c>
      <c r="AG1862" t="s">
        <v>226</v>
      </c>
      <c r="AH1862">
        <v>6</v>
      </c>
      <c r="AI1862" t="s">
        <v>3537</v>
      </c>
      <c r="AJ1862" t="s">
        <v>1976</v>
      </c>
      <c r="AK1862" t="s">
        <v>2416</v>
      </c>
      <c r="AL1862" t="s">
        <v>272</v>
      </c>
    </row>
    <row r="1863" spans="1:38">
      <c r="A1863" t="s">
        <v>8091</v>
      </c>
      <c r="B1863" t="s">
        <v>8092</v>
      </c>
      <c r="C1863" t="s">
        <v>8093</v>
      </c>
      <c r="D1863" t="s">
        <v>8093</v>
      </c>
      <c r="E1863" t="s">
        <v>8094</v>
      </c>
      <c r="F1863" t="s">
        <v>2413</v>
      </c>
      <c r="G1863">
        <v>2</v>
      </c>
      <c r="H1863">
        <v>1</v>
      </c>
      <c r="I1863">
        <v>0.01</v>
      </c>
      <c r="J1863">
        <v>1000</v>
      </c>
      <c r="K1863">
        <v>3.25</v>
      </c>
      <c r="L1863">
        <v>102.98</v>
      </c>
      <c r="M1863">
        <v>99.74</v>
      </c>
      <c r="N1863">
        <v>103.83</v>
      </c>
      <c r="O1863">
        <v>102.98</v>
      </c>
      <c r="P1863">
        <v>0</v>
      </c>
      <c r="Q1863">
        <v>0</v>
      </c>
      <c r="R1863">
        <v>0</v>
      </c>
      <c r="S1863">
        <v>102.98</v>
      </c>
      <c r="T1863">
        <v>102.98</v>
      </c>
      <c r="U1863">
        <v>102.98</v>
      </c>
      <c r="V1863">
        <v>102.98</v>
      </c>
      <c r="W1863">
        <v>1030</v>
      </c>
      <c r="X1863">
        <v>97.11</v>
      </c>
      <c r="Y1863">
        <v>102.98</v>
      </c>
      <c r="Z1863">
        <v>1</v>
      </c>
      <c r="AA1863">
        <v>3000000</v>
      </c>
      <c r="AB1863">
        <v>1029.8</v>
      </c>
      <c r="AC1863">
        <v>0</v>
      </c>
      <c r="AD1863" t="s">
        <v>94</v>
      </c>
      <c r="AE1863" t="s">
        <v>94</v>
      </c>
      <c r="AF1863" t="s">
        <v>226</v>
      </c>
      <c r="AG1863" t="s">
        <v>226</v>
      </c>
      <c r="AH1863">
        <v>6</v>
      </c>
      <c r="AI1863" t="s">
        <v>3537</v>
      </c>
      <c r="AJ1863" t="s">
        <v>1976</v>
      </c>
      <c r="AK1863" t="s">
        <v>2416</v>
      </c>
      <c r="AL1863" t="s">
        <v>272</v>
      </c>
    </row>
    <row r="1864" spans="1:38">
      <c r="A1864" t="s">
        <v>8095</v>
      </c>
      <c r="B1864" t="s">
        <v>8096</v>
      </c>
      <c r="C1864" t="s">
        <v>8097</v>
      </c>
      <c r="D1864" t="s">
        <v>8097</v>
      </c>
      <c r="E1864" t="s">
        <v>8098</v>
      </c>
      <c r="F1864" t="s">
        <v>2413</v>
      </c>
      <c r="G1864">
        <v>3</v>
      </c>
      <c r="H1864">
        <v>1</v>
      </c>
      <c r="I1864">
        <v>0.01</v>
      </c>
      <c r="J1864">
        <v>1000</v>
      </c>
      <c r="K1864">
        <v>0</v>
      </c>
      <c r="L1864">
        <v>0</v>
      </c>
      <c r="M1864">
        <v>100.09</v>
      </c>
      <c r="N1864">
        <v>101.95</v>
      </c>
      <c r="O1864">
        <v>100.09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98.01</v>
      </c>
      <c r="Y1864">
        <v>101.99</v>
      </c>
      <c r="Z1864">
        <v>0</v>
      </c>
      <c r="AA1864">
        <v>100000</v>
      </c>
      <c r="AB1864">
        <v>0</v>
      </c>
      <c r="AC1864">
        <v>0</v>
      </c>
      <c r="AD1864" t="s">
        <v>94</v>
      </c>
      <c r="AE1864" t="s">
        <v>94</v>
      </c>
      <c r="AF1864" t="s">
        <v>226</v>
      </c>
      <c r="AG1864" t="s">
        <v>226</v>
      </c>
      <c r="AH1864">
        <v>6</v>
      </c>
      <c r="AI1864" t="s">
        <v>3537</v>
      </c>
      <c r="AJ1864" t="s">
        <v>1976</v>
      </c>
      <c r="AK1864" t="s">
        <v>2416</v>
      </c>
      <c r="AL1864" t="s">
        <v>272</v>
      </c>
    </row>
    <row r="1865" spans="1:38">
      <c r="A1865" t="s">
        <v>8099</v>
      </c>
      <c r="B1865" t="s">
        <v>8100</v>
      </c>
      <c r="C1865" t="s">
        <v>8101</v>
      </c>
      <c r="D1865" t="s">
        <v>8101</v>
      </c>
      <c r="E1865" t="s">
        <v>8102</v>
      </c>
      <c r="F1865" t="s">
        <v>2413</v>
      </c>
      <c r="G1865">
        <v>2</v>
      </c>
      <c r="H1865">
        <v>1</v>
      </c>
      <c r="I1865">
        <v>0.01</v>
      </c>
      <c r="J1865">
        <v>1000</v>
      </c>
      <c r="K1865">
        <v>-4.3899999999999997</v>
      </c>
      <c r="L1865">
        <v>96.56</v>
      </c>
      <c r="M1865">
        <v>100.99</v>
      </c>
      <c r="N1865">
        <v>101.34</v>
      </c>
      <c r="O1865">
        <v>96.7</v>
      </c>
      <c r="P1865">
        <v>0</v>
      </c>
      <c r="Q1865">
        <v>0</v>
      </c>
      <c r="R1865">
        <v>0</v>
      </c>
      <c r="S1865">
        <v>96.83</v>
      </c>
      <c r="T1865">
        <v>98.33</v>
      </c>
      <c r="U1865">
        <v>96.56</v>
      </c>
      <c r="V1865">
        <v>100.88</v>
      </c>
      <c r="W1865">
        <v>111352</v>
      </c>
      <c r="X1865">
        <v>97</v>
      </c>
      <c r="Y1865">
        <v>99.8</v>
      </c>
      <c r="Z1865">
        <v>21</v>
      </c>
      <c r="AA1865">
        <v>9000000</v>
      </c>
      <c r="AB1865">
        <v>24140</v>
      </c>
      <c r="AC1865">
        <v>0</v>
      </c>
      <c r="AD1865" t="s">
        <v>94</v>
      </c>
      <c r="AE1865" t="s">
        <v>94</v>
      </c>
      <c r="AF1865" t="s">
        <v>304</v>
      </c>
      <c r="AG1865" t="s">
        <v>226</v>
      </c>
      <c r="AH1865">
        <v>8</v>
      </c>
      <c r="AI1865" t="s">
        <v>3537</v>
      </c>
      <c r="AJ1865" t="s">
        <v>1976</v>
      </c>
      <c r="AK1865" t="s">
        <v>2416</v>
      </c>
      <c r="AL1865" t="s">
        <v>272</v>
      </c>
    </row>
    <row r="1866" spans="1:38">
      <c r="A1866" t="s">
        <v>8103</v>
      </c>
      <c r="B1866" t="s">
        <v>8104</v>
      </c>
      <c r="C1866" t="s">
        <v>8105</v>
      </c>
      <c r="D1866" t="s">
        <v>8105</v>
      </c>
      <c r="E1866" t="s">
        <v>8106</v>
      </c>
      <c r="F1866" t="s">
        <v>2413</v>
      </c>
      <c r="G1866">
        <v>2</v>
      </c>
      <c r="H1866">
        <v>1</v>
      </c>
      <c r="I1866">
        <v>0.01</v>
      </c>
      <c r="J1866">
        <v>1000</v>
      </c>
      <c r="K1866">
        <v>-0.78</v>
      </c>
      <c r="L1866">
        <v>98.95</v>
      </c>
      <c r="M1866">
        <v>99.73</v>
      </c>
      <c r="N1866">
        <v>98.43</v>
      </c>
      <c r="O1866">
        <v>98.95</v>
      </c>
      <c r="P1866">
        <v>0</v>
      </c>
      <c r="Q1866">
        <v>0</v>
      </c>
      <c r="R1866">
        <v>0</v>
      </c>
      <c r="S1866">
        <v>98.95</v>
      </c>
      <c r="T1866">
        <v>98.95</v>
      </c>
      <c r="U1866">
        <v>98.95</v>
      </c>
      <c r="V1866">
        <v>98.95</v>
      </c>
      <c r="W1866">
        <v>3958</v>
      </c>
      <c r="X1866">
        <v>98.27</v>
      </c>
      <c r="Y1866">
        <v>98.95</v>
      </c>
      <c r="Z1866">
        <v>1</v>
      </c>
      <c r="AA1866">
        <v>6000000</v>
      </c>
      <c r="AB1866">
        <v>3958</v>
      </c>
      <c r="AC1866">
        <v>0</v>
      </c>
      <c r="AD1866" t="s">
        <v>94</v>
      </c>
      <c r="AE1866" t="s">
        <v>94</v>
      </c>
      <c r="AF1866" t="s">
        <v>304</v>
      </c>
      <c r="AG1866" t="s">
        <v>226</v>
      </c>
      <c r="AH1866">
        <v>8</v>
      </c>
      <c r="AI1866" t="s">
        <v>3537</v>
      </c>
      <c r="AJ1866" t="s">
        <v>1976</v>
      </c>
      <c r="AK1866" t="s">
        <v>2416</v>
      </c>
      <c r="AL1866" t="s">
        <v>272</v>
      </c>
    </row>
    <row r="1867" spans="1:38">
      <c r="A1867" t="s">
        <v>8107</v>
      </c>
      <c r="B1867" t="s">
        <v>8108</v>
      </c>
      <c r="C1867" t="s">
        <v>8109</v>
      </c>
      <c r="D1867" t="s">
        <v>8109</v>
      </c>
      <c r="E1867" t="s">
        <v>8110</v>
      </c>
      <c r="F1867" t="s">
        <v>2413</v>
      </c>
      <c r="G1867">
        <v>2</v>
      </c>
      <c r="H1867">
        <v>1</v>
      </c>
      <c r="I1867">
        <v>0.01</v>
      </c>
      <c r="J1867">
        <v>1000</v>
      </c>
      <c r="K1867">
        <v>-1.1299999999999999</v>
      </c>
      <c r="L1867">
        <v>88.98</v>
      </c>
      <c r="M1867">
        <v>90</v>
      </c>
      <c r="N1867">
        <v>90</v>
      </c>
      <c r="O1867">
        <v>88.8</v>
      </c>
      <c r="P1867">
        <v>0</v>
      </c>
      <c r="Q1867">
        <v>0</v>
      </c>
      <c r="R1867">
        <v>0</v>
      </c>
      <c r="S1867">
        <v>89</v>
      </c>
      <c r="T1867">
        <v>90</v>
      </c>
      <c r="U1867">
        <v>88.75</v>
      </c>
      <c r="V1867">
        <v>90</v>
      </c>
      <c r="W1867">
        <v>2522743</v>
      </c>
      <c r="X1867">
        <v>88.81</v>
      </c>
      <c r="Y1867">
        <v>89.05</v>
      </c>
      <c r="Z1867">
        <v>143</v>
      </c>
      <c r="AA1867">
        <v>11000000</v>
      </c>
      <c r="AB1867">
        <v>889.8</v>
      </c>
      <c r="AC1867">
        <v>0</v>
      </c>
      <c r="AD1867" t="s">
        <v>94</v>
      </c>
      <c r="AE1867" t="s">
        <v>94</v>
      </c>
      <c r="AF1867" t="s">
        <v>226</v>
      </c>
      <c r="AG1867" t="s">
        <v>226</v>
      </c>
      <c r="AH1867">
        <v>8</v>
      </c>
      <c r="AI1867" t="s">
        <v>3537</v>
      </c>
      <c r="AJ1867" t="s">
        <v>1976</v>
      </c>
      <c r="AK1867" t="s">
        <v>2416</v>
      </c>
      <c r="AL1867" t="s">
        <v>272</v>
      </c>
    </row>
    <row r="1868" spans="1:38">
      <c r="A1868" t="s">
        <v>8111</v>
      </c>
      <c r="B1868" t="s">
        <v>8112</v>
      </c>
      <c r="C1868" t="s">
        <v>8113</v>
      </c>
      <c r="D1868" t="s">
        <v>8113</v>
      </c>
      <c r="E1868" t="s">
        <v>8114</v>
      </c>
      <c r="F1868" t="s">
        <v>2413</v>
      </c>
      <c r="G1868">
        <v>2</v>
      </c>
      <c r="H1868">
        <v>1</v>
      </c>
      <c r="I1868">
        <v>0.01</v>
      </c>
      <c r="J1868">
        <v>1000</v>
      </c>
      <c r="K1868">
        <v>0</v>
      </c>
      <c r="L1868">
        <v>0</v>
      </c>
      <c r="M1868">
        <v>99</v>
      </c>
      <c r="N1868">
        <v>0</v>
      </c>
      <c r="O1868">
        <v>99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99</v>
      </c>
      <c r="Y1868">
        <v>0</v>
      </c>
      <c r="Z1868">
        <v>0</v>
      </c>
      <c r="AA1868">
        <v>3000000</v>
      </c>
      <c r="AB1868">
        <v>0</v>
      </c>
      <c r="AC1868">
        <v>0</v>
      </c>
      <c r="AD1868" t="s">
        <v>94</v>
      </c>
      <c r="AE1868" t="s">
        <v>94</v>
      </c>
      <c r="AF1868" t="s">
        <v>226</v>
      </c>
      <c r="AG1868" t="s">
        <v>226</v>
      </c>
      <c r="AH1868">
        <v>6</v>
      </c>
      <c r="AI1868" t="s">
        <v>3537</v>
      </c>
      <c r="AJ1868" t="s">
        <v>1976</v>
      </c>
      <c r="AK1868" t="s">
        <v>2416</v>
      </c>
      <c r="AL1868" t="s">
        <v>272</v>
      </c>
    </row>
    <row r="1869" spans="1:38">
      <c r="A1869" t="s">
        <v>8115</v>
      </c>
      <c r="B1869" t="s">
        <v>8116</v>
      </c>
      <c r="C1869" t="s">
        <v>8117</v>
      </c>
      <c r="D1869" t="s">
        <v>8117</v>
      </c>
      <c r="E1869" t="s">
        <v>8118</v>
      </c>
      <c r="F1869" t="s">
        <v>2413</v>
      </c>
      <c r="G1869">
        <v>2</v>
      </c>
      <c r="H1869">
        <v>1</v>
      </c>
      <c r="I1869">
        <v>0.01</v>
      </c>
      <c r="J1869">
        <v>1000</v>
      </c>
      <c r="K1869">
        <v>0</v>
      </c>
      <c r="L1869">
        <v>0</v>
      </c>
      <c r="M1869">
        <v>137.28</v>
      </c>
      <c r="N1869">
        <v>0</v>
      </c>
      <c r="O1869">
        <v>137.28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99.86</v>
      </c>
      <c r="Y1869">
        <v>137.27000000000001</v>
      </c>
      <c r="Z1869">
        <v>0</v>
      </c>
      <c r="AA1869">
        <v>3000000</v>
      </c>
      <c r="AB1869">
        <v>0</v>
      </c>
      <c r="AC1869">
        <v>0</v>
      </c>
      <c r="AD1869" t="s">
        <v>94</v>
      </c>
      <c r="AE1869" t="s">
        <v>94</v>
      </c>
      <c r="AF1869" t="s">
        <v>226</v>
      </c>
      <c r="AG1869" t="s">
        <v>226</v>
      </c>
      <c r="AH1869">
        <v>6</v>
      </c>
      <c r="AI1869" t="s">
        <v>3537</v>
      </c>
      <c r="AJ1869" t="s">
        <v>1976</v>
      </c>
      <c r="AK1869" t="s">
        <v>2416</v>
      </c>
      <c r="AL1869" t="s">
        <v>272</v>
      </c>
    </row>
    <row r="1870" spans="1:38">
      <c r="A1870" t="s">
        <v>8119</v>
      </c>
      <c r="B1870" t="s">
        <v>8120</v>
      </c>
      <c r="C1870" t="s">
        <v>8121</v>
      </c>
      <c r="D1870" t="s">
        <v>8121</v>
      </c>
      <c r="E1870" t="s">
        <v>8122</v>
      </c>
      <c r="F1870" t="s">
        <v>2413</v>
      </c>
      <c r="G1870">
        <v>2</v>
      </c>
      <c r="H1870">
        <v>1</v>
      </c>
      <c r="I1870">
        <v>0.01</v>
      </c>
      <c r="J1870">
        <v>1000</v>
      </c>
      <c r="K1870">
        <v>0</v>
      </c>
      <c r="L1870">
        <v>0</v>
      </c>
      <c r="M1870">
        <v>99.12</v>
      </c>
      <c r="N1870">
        <v>101.47</v>
      </c>
      <c r="O1870">
        <v>99.12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97.62</v>
      </c>
      <c r="Y1870">
        <v>99.5</v>
      </c>
      <c r="Z1870">
        <v>0</v>
      </c>
      <c r="AA1870">
        <v>3000000</v>
      </c>
      <c r="AB1870">
        <v>0</v>
      </c>
      <c r="AC1870">
        <v>0</v>
      </c>
      <c r="AD1870" t="s">
        <v>94</v>
      </c>
      <c r="AE1870" t="s">
        <v>94</v>
      </c>
      <c r="AF1870" t="s">
        <v>226</v>
      </c>
      <c r="AG1870" t="s">
        <v>226</v>
      </c>
      <c r="AH1870">
        <v>6</v>
      </c>
      <c r="AI1870" t="s">
        <v>3537</v>
      </c>
      <c r="AJ1870" t="s">
        <v>1976</v>
      </c>
      <c r="AK1870" t="s">
        <v>2416</v>
      </c>
      <c r="AL1870" t="s">
        <v>272</v>
      </c>
    </row>
    <row r="1871" spans="1:38">
      <c r="A1871" t="s">
        <v>8123</v>
      </c>
      <c r="B1871" t="s">
        <v>8124</v>
      </c>
      <c r="C1871" t="s">
        <v>8125</v>
      </c>
      <c r="D1871" t="s">
        <v>8125</v>
      </c>
      <c r="E1871" t="s">
        <v>8126</v>
      </c>
      <c r="F1871" t="s">
        <v>2413</v>
      </c>
      <c r="G1871">
        <v>3</v>
      </c>
      <c r="H1871">
        <v>1</v>
      </c>
      <c r="I1871">
        <v>0.01</v>
      </c>
      <c r="J1871">
        <v>1000</v>
      </c>
      <c r="K1871">
        <v>-0.78</v>
      </c>
      <c r="L1871">
        <v>96.83</v>
      </c>
      <c r="M1871">
        <v>97.59</v>
      </c>
      <c r="N1871">
        <v>97.47</v>
      </c>
      <c r="O1871">
        <v>96.83</v>
      </c>
      <c r="P1871">
        <v>0</v>
      </c>
      <c r="Q1871">
        <v>0</v>
      </c>
      <c r="R1871">
        <v>0</v>
      </c>
      <c r="S1871">
        <v>96.99</v>
      </c>
      <c r="T1871">
        <v>97.36</v>
      </c>
      <c r="U1871">
        <v>96.81</v>
      </c>
      <c r="V1871">
        <v>97.98</v>
      </c>
      <c r="W1871">
        <v>514026</v>
      </c>
      <c r="X1871">
        <v>96.81</v>
      </c>
      <c r="Y1871">
        <v>97.06</v>
      </c>
      <c r="Z1871">
        <v>48</v>
      </c>
      <c r="AA1871">
        <v>7000000</v>
      </c>
      <c r="AB1871">
        <v>19366</v>
      </c>
      <c r="AC1871">
        <v>0</v>
      </c>
      <c r="AD1871" t="s">
        <v>94</v>
      </c>
      <c r="AE1871" t="s">
        <v>94</v>
      </c>
      <c r="AF1871" t="s">
        <v>226</v>
      </c>
      <c r="AG1871" t="s">
        <v>226</v>
      </c>
      <c r="AH1871">
        <v>8</v>
      </c>
      <c r="AI1871" t="s">
        <v>3537</v>
      </c>
      <c r="AJ1871" t="s">
        <v>1976</v>
      </c>
      <c r="AK1871" t="s">
        <v>2416</v>
      </c>
      <c r="AL1871" t="s">
        <v>272</v>
      </c>
    </row>
    <row r="1872" spans="1:38">
      <c r="A1872" t="s">
        <v>8127</v>
      </c>
      <c r="B1872" t="s">
        <v>8128</v>
      </c>
      <c r="C1872" t="s">
        <v>8129</v>
      </c>
      <c r="D1872" t="s">
        <v>8129</v>
      </c>
      <c r="E1872" t="s">
        <v>8130</v>
      </c>
      <c r="F1872" t="s">
        <v>2413</v>
      </c>
      <c r="G1872">
        <v>3</v>
      </c>
      <c r="H1872">
        <v>1</v>
      </c>
      <c r="I1872">
        <v>0.01</v>
      </c>
      <c r="J1872">
        <v>1000</v>
      </c>
      <c r="K1872">
        <v>-8.64</v>
      </c>
      <c r="L1872">
        <v>95.01</v>
      </c>
      <c r="M1872">
        <v>104</v>
      </c>
      <c r="N1872">
        <v>0</v>
      </c>
      <c r="O1872">
        <v>95.01</v>
      </c>
      <c r="P1872">
        <v>0</v>
      </c>
      <c r="Q1872">
        <v>0</v>
      </c>
      <c r="R1872">
        <v>0</v>
      </c>
      <c r="S1872">
        <v>95.01</v>
      </c>
      <c r="T1872">
        <v>95.01</v>
      </c>
      <c r="U1872">
        <v>95.01</v>
      </c>
      <c r="V1872">
        <v>95.01</v>
      </c>
      <c r="W1872">
        <v>950</v>
      </c>
      <c r="X1872">
        <v>97</v>
      </c>
      <c r="Y1872">
        <v>100.01</v>
      </c>
      <c r="Z1872">
        <v>1</v>
      </c>
      <c r="AA1872">
        <v>5000000</v>
      </c>
      <c r="AB1872">
        <v>950.1</v>
      </c>
      <c r="AC1872">
        <v>0</v>
      </c>
      <c r="AD1872" t="s">
        <v>94</v>
      </c>
      <c r="AE1872" t="s">
        <v>94</v>
      </c>
      <c r="AF1872" t="s">
        <v>226</v>
      </c>
      <c r="AG1872" t="s">
        <v>226</v>
      </c>
      <c r="AH1872">
        <v>8</v>
      </c>
      <c r="AI1872" t="s">
        <v>3537</v>
      </c>
      <c r="AJ1872" t="s">
        <v>1976</v>
      </c>
      <c r="AK1872" t="s">
        <v>2416</v>
      </c>
      <c r="AL1872" t="s">
        <v>272</v>
      </c>
    </row>
    <row r="1873" spans="1:38">
      <c r="A1873" t="s">
        <v>8131</v>
      </c>
      <c r="B1873" t="s">
        <v>8132</v>
      </c>
      <c r="C1873" t="s">
        <v>8133</v>
      </c>
      <c r="D1873" t="s">
        <v>8133</v>
      </c>
      <c r="E1873" t="s">
        <v>8134</v>
      </c>
      <c r="F1873" t="s">
        <v>2413</v>
      </c>
      <c r="G1873">
        <v>2</v>
      </c>
      <c r="H1873">
        <v>1</v>
      </c>
      <c r="I1873">
        <v>0.01</v>
      </c>
      <c r="J1873">
        <v>1000</v>
      </c>
      <c r="K1873">
        <v>0</v>
      </c>
      <c r="L1873">
        <v>0</v>
      </c>
      <c r="M1873">
        <v>89.36</v>
      </c>
      <c r="N1873">
        <v>0</v>
      </c>
      <c r="O1873">
        <v>89.36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91.5</v>
      </c>
      <c r="Y1873">
        <v>93.97</v>
      </c>
      <c r="Z1873">
        <v>0</v>
      </c>
      <c r="AA1873">
        <v>3000000</v>
      </c>
      <c r="AB1873">
        <v>0</v>
      </c>
      <c r="AC1873">
        <v>0</v>
      </c>
      <c r="AD1873" t="s">
        <v>94</v>
      </c>
      <c r="AE1873" t="s">
        <v>94</v>
      </c>
      <c r="AF1873" t="s">
        <v>226</v>
      </c>
      <c r="AG1873" t="s">
        <v>226</v>
      </c>
      <c r="AH1873">
        <v>6</v>
      </c>
      <c r="AI1873" t="s">
        <v>3537</v>
      </c>
      <c r="AJ1873" t="s">
        <v>1976</v>
      </c>
      <c r="AK1873" t="s">
        <v>2416</v>
      </c>
      <c r="AL1873" t="s">
        <v>272</v>
      </c>
    </row>
    <row r="1874" spans="1:38">
      <c r="A1874" t="s">
        <v>8135</v>
      </c>
      <c r="B1874" t="s">
        <v>8136</v>
      </c>
      <c r="C1874" t="s">
        <v>8137</v>
      </c>
      <c r="D1874" t="s">
        <v>8137</v>
      </c>
      <c r="E1874" t="s">
        <v>8138</v>
      </c>
      <c r="F1874" t="s">
        <v>2413</v>
      </c>
      <c r="G1874">
        <v>2</v>
      </c>
      <c r="H1874">
        <v>1</v>
      </c>
      <c r="I1874">
        <v>0.01</v>
      </c>
      <c r="J1874">
        <v>1000</v>
      </c>
      <c r="K1874">
        <v>0.01</v>
      </c>
      <c r="L1874">
        <v>99.68</v>
      </c>
      <c r="M1874">
        <v>99.67</v>
      </c>
      <c r="N1874">
        <v>99.66</v>
      </c>
      <c r="O1874">
        <v>99.68</v>
      </c>
      <c r="P1874">
        <v>0</v>
      </c>
      <c r="Q1874">
        <v>0</v>
      </c>
      <c r="R1874">
        <v>0</v>
      </c>
      <c r="S1874">
        <v>99.69</v>
      </c>
      <c r="T1874">
        <v>99.75</v>
      </c>
      <c r="U1874">
        <v>99.68</v>
      </c>
      <c r="V1874">
        <v>99.75</v>
      </c>
      <c r="W1874">
        <v>35888</v>
      </c>
      <c r="X1874">
        <v>99.65</v>
      </c>
      <c r="Y1874">
        <v>99.69</v>
      </c>
      <c r="Z1874">
        <v>14</v>
      </c>
      <c r="AA1874">
        <v>5000000</v>
      </c>
      <c r="AB1874">
        <v>1993.6</v>
      </c>
      <c r="AC1874">
        <v>0</v>
      </c>
      <c r="AD1874" t="s">
        <v>94</v>
      </c>
      <c r="AE1874" t="s">
        <v>94</v>
      </c>
      <c r="AF1874" t="s">
        <v>226</v>
      </c>
      <c r="AG1874" t="s">
        <v>226</v>
      </c>
      <c r="AH1874">
        <v>6</v>
      </c>
      <c r="AI1874" t="s">
        <v>3537</v>
      </c>
      <c r="AJ1874" t="s">
        <v>1976</v>
      </c>
      <c r="AK1874" t="s">
        <v>2416</v>
      </c>
      <c r="AL1874" t="s">
        <v>272</v>
      </c>
    </row>
    <row r="1875" spans="1:38">
      <c r="A1875" t="s">
        <v>8139</v>
      </c>
      <c r="B1875" t="s">
        <v>8140</v>
      </c>
      <c r="C1875" t="s">
        <v>8141</v>
      </c>
      <c r="D1875" t="s">
        <v>8141</v>
      </c>
      <c r="E1875" t="s">
        <v>8142</v>
      </c>
      <c r="F1875" t="s">
        <v>2413</v>
      </c>
      <c r="G1875">
        <v>2</v>
      </c>
      <c r="H1875">
        <v>1</v>
      </c>
      <c r="I1875">
        <v>0.01</v>
      </c>
      <c r="J1875">
        <v>1000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8000000</v>
      </c>
      <c r="AB1875">
        <v>0</v>
      </c>
      <c r="AC1875">
        <v>0</v>
      </c>
      <c r="AD1875" t="s">
        <v>94</v>
      </c>
      <c r="AE1875" t="s">
        <v>94</v>
      </c>
      <c r="AF1875" t="s">
        <v>226</v>
      </c>
      <c r="AG1875" t="s">
        <v>226</v>
      </c>
      <c r="AH1875">
        <v>6</v>
      </c>
      <c r="AI1875" t="s">
        <v>3537</v>
      </c>
      <c r="AJ1875" t="s">
        <v>1976</v>
      </c>
      <c r="AK1875" t="s">
        <v>2416</v>
      </c>
      <c r="AL1875" t="s">
        <v>272</v>
      </c>
    </row>
    <row r="1876" spans="1:38">
      <c r="A1876" t="s">
        <v>8143</v>
      </c>
      <c r="B1876" t="s">
        <v>8144</v>
      </c>
      <c r="C1876" t="s">
        <v>8145</v>
      </c>
      <c r="D1876" t="s">
        <v>8145</v>
      </c>
      <c r="E1876" t="s">
        <v>8146</v>
      </c>
      <c r="F1876" t="s">
        <v>2425</v>
      </c>
      <c r="G1876">
        <v>3</v>
      </c>
      <c r="H1876">
        <v>1</v>
      </c>
      <c r="I1876">
        <v>0.01</v>
      </c>
      <c r="J1876">
        <v>1000</v>
      </c>
      <c r="K1876">
        <v>0</v>
      </c>
      <c r="L1876">
        <v>88.85</v>
      </c>
      <c r="M1876">
        <v>88.85</v>
      </c>
      <c r="N1876">
        <v>0</v>
      </c>
      <c r="O1876">
        <v>88.85</v>
      </c>
      <c r="P1876">
        <v>0</v>
      </c>
      <c r="Q1876">
        <v>0</v>
      </c>
      <c r="R1876">
        <v>0</v>
      </c>
      <c r="S1876">
        <v>88.85</v>
      </c>
      <c r="T1876">
        <v>88.85</v>
      </c>
      <c r="U1876">
        <v>88.85</v>
      </c>
      <c r="V1876">
        <v>88.85</v>
      </c>
      <c r="W1876">
        <v>2666</v>
      </c>
      <c r="X1876">
        <v>88.61</v>
      </c>
      <c r="Y1876">
        <v>88.85</v>
      </c>
      <c r="Z1876">
        <v>3</v>
      </c>
      <c r="AA1876">
        <v>30000000</v>
      </c>
      <c r="AB1876">
        <v>888.5</v>
      </c>
      <c r="AC1876">
        <v>0</v>
      </c>
      <c r="AD1876" t="s">
        <v>94</v>
      </c>
      <c r="AE1876" t="s">
        <v>94</v>
      </c>
      <c r="AF1876" t="s">
        <v>7497</v>
      </c>
      <c r="AG1876" t="s">
        <v>226</v>
      </c>
      <c r="AH1876">
        <v>0</v>
      </c>
      <c r="AI1876" t="s">
        <v>3537</v>
      </c>
      <c r="AJ1876" t="s">
        <v>1976</v>
      </c>
      <c r="AK1876" t="s">
        <v>2426</v>
      </c>
      <c r="AL1876" t="s">
        <v>272</v>
      </c>
    </row>
    <row r="1877" spans="1:38">
      <c r="A1877" t="s">
        <v>8147</v>
      </c>
      <c r="B1877" t="s">
        <v>8148</v>
      </c>
      <c r="C1877" t="s">
        <v>8149</v>
      </c>
      <c r="D1877" t="s">
        <v>8149</v>
      </c>
      <c r="E1877" t="s">
        <v>8150</v>
      </c>
      <c r="F1877" t="s">
        <v>2425</v>
      </c>
      <c r="G1877">
        <v>3</v>
      </c>
      <c r="H1877">
        <v>1</v>
      </c>
      <c r="I1877">
        <v>0.01</v>
      </c>
      <c r="J1877">
        <v>1000</v>
      </c>
      <c r="K1877">
        <v>0</v>
      </c>
      <c r="L1877">
        <v>87.2</v>
      </c>
      <c r="M1877">
        <v>87.2</v>
      </c>
      <c r="N1877">
        <v>0</v>
      </c>
      <c r="O1877">
        <v>87.2</v>
      </c>
      <c r="P1877">
        <v>0</v>
      </c>
      <c r="Q1877">
        <v>0</v>
      </c>
      <c r="R1877">
        <v>0</v>
      </c>
      <c r="S1877">
        <v>87.2</v>
      </c>
      <c r="T1877">
        <v>87.2</v>
      </c>
      <c r="U1877">
        <v>87.2</v>
      </c>
      <c r="V1877">
        <v>87.2</v>
      </c>
      <c r="W1877">
        <v>2616</v>
      </c>
      <c r="X1877">
        <v>86.96</v>
      </c>
      <c r="Y1877">
        <v>87.2</v>
      </c>
      <c r="Z1877">
        <v>3</v>
      </c>
      <c r="AA1877">
        <v>20000000</v>
      </c>
      <c r="AB1877">
        <v>872</v>
      </c>
      <c r="AC1877">
        <v>0</v>
      </c>
      <c r="AD1877" t="s">
        <v>94</v>
      </c>
      <c r="AE1877" t="s">
        <v>94</v>
      </c>
      <c r="AF1877" t="s">
        <v>7497</v>
      </c>
      <c r="AG1877" t="s">
        <v>226</v>
      </c>
      <c r="AH1877">
        <v>0</v>
      </c>
      <c r="AI1877" t="s">
        <v>3537</v>
      </c>
      <c r="AJ1877" t="s">
        <v>1976</v>
      </c>
      <c r="AK1877" t="s">
        <v>2426</v>
      </c>
      <c r="AL1877" t="s">
        <v>272</v>
      </c>
    </row>
    <row r="1878" spans="1:38">
      <c r="A1878" t="s">
        <v>8151</v>
      </c>
      <c r="B1878" t="s">
        <v>8152</v>
      </c>
      <c r="C1878" t="s">
        <v>8153</v>
      </c>
      <c r="D1878" t="s">
        <v>8153</v>
      </c>
      <c r="E1878" t="s">
        <v>8154</v>
      </c>
      <c r="F1878" t="s">
        <v>2425</v>
      </c>
      <c r="G1878">
        <v>3</v>
      </c>
      <c r="H1878">
        <v>1</v>
      </c>
      <c r="I1878">
        <v>0.01</v>
      </c>
      <c r="J1878">
        <v>1000</v>
      </c>
      <c r="K1878">
        <v>0</v>
      </c>
      <c r="L1878">
        <v>99.21</v>
      </c>
      <c r="M1878">
        <v>99.21</v>
      </c>
      <c r="N1878">
        <v>99.19</v>
      </c>
      <c r="O1878">
        <v>99.21</v>
      </c>
      <c r="P1878">
        <v>0</v>
      </c>
      <c r="Q1878">
        <v>0</v>
      </c>
      <c r="R1878">
        <v>0</v>
      </c>
      <c r="S1878">
        <v>99.21</v>
      </c>
      <c r="T1878">
        <v>99.21</v>
      </c>
      <c r="U1878">
        <v>99.21</v>
      </c>
      <c r="V1878">
        <v>99.21</v>
      </c>
      <c r="W1878">
        <v>2976</v>
      </c>
      <c r="X1878">
        <v>98.94</v>
      </c>
      <c r="Y1878">
        <v>99.21</v>
      </c>
      <c r="Z1878">
        <v>3</v>
      </c>
      <c r="AA1878">
        <v>100000000</v>
      </c>
      <c r="AB1878">
        <v>992.1</v>
      </c>
      <c r="AC1878">
        <v>0</v>
      </c>
      <c r="AD1878" t="s">
        <v>94</v>
      </c>
      <c r="AE1878" t="s">
        <v>94</v>
      </c>
      <c r="AF1878" t="s">
        <v>7497</v>
      </c>
      <c r="AG1878" t="s">
        <v>226</v>
      </c>
      <c r="AH1878">
        <v>0</v>
      </c>
      <c r="AI1878" t="s">
        <v>3537</v>
      </c>
      <c r="AJ1878" t="s">
        <v>1976</v>
      </c>
      <c r="AK1878" t="s">
        <v>2426</v>
      </c>
      <c r="AL1878" t="s">
        <v>272</v>
      </c>
    </row>
    <row r="1879" spans="1:38">
      <c r="A1879" t="s">
        <v>8155</v>
      </c>
      <c r="B1879" t="s">
        <v>8156</v>
      </c>
      <c r="C1879" t="s">
        <v>8157</v>
      </c>
      <c r="D1879" t="s">
        <v>8157</v>
      </c>
      <c r="E1879" t="s">
        <v>8158</v>
      </c>
      <c r="F1879" t="s">
        <v>2425</v>
      </c>
      <c r="G1879">
        <v>3</v>
      </c>
      <c r="H1879">
        <v>1</v>
      </c>
      <c r="I1879">
        <v>0.01</v>
      </c>
      <c r="J1879">
        <v>1000</v>
      </c>
      <c r="K1879">
        <v>0</v>
      </c>
      <c r="L1879">
        <v>0</v>
      </c>
      <c r="M1879">
        <v>97</v>
      </c>
      <c r="N1879">
        <v>0</v>
      </c>
      <c r="O1879">
        <v>97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98</v>
      </c>
      <c r="Y1879">
        <v>99.91</v>
      </c>
      <c r="Z1879">
        <v>0</v>
      </c>
      <c r="AA1879">
        <v>80000000</v>
      </c>
      <c r="AB1879">
        <v>0</v>
      </c>
      <c r="AC1879">
        <v>0</v>
      </c>
      <c r="AD1879" t="s">
        <v>94</v>
      </c>
      <c r="AE1879" t="s">
        <v>94</v>
      </c>
      <c r="AF1879" t="s">
        <v>7497</v>
      </c>
      <c r="AG1879" t="s">
        <v>226</v>
      </c>
      <c r="AH1879">
        <v>0</v>
      </c>
      <c r="AI1879" t="s">
        <v>3537</v>
      </c>
      <c r="AJ1879" t="s">
        <v>1976</v>
      </c>
      <c r="AK1879" t="s">
        <v>2426</v>
      </c>
      <c r="AL1879" t="s">
        <v>272</v>
      </c>
    </row>
    <row r="1880" spans="1:38">
      <c r="A1880" t="s">
        <v>8159</v>
      </c>
      <c r="B1880" t="s">
        <v>8160</v>
      </c>
      <c r="C1880" t="s">
        <v>8161</v>
      </c>
      <c r="D1880" t="s">
        <v>8161</v>
      </c>
      <c r="E1880" t="s">
        <v>8162</v>
      </c>
      <c r="F1880" t="s">
        <v>2425</v>
      </c>
      <c r="G1880">
        <v>3</v>
      </c>
      <c r="H1880">
        <v>1</v>
      </c>
      <c r="I1880">
        <v>0.01</v>
      </c>
      <c r="J1880">
        <v>1000000</v>
      </c>
      <c r="K1880">
        <v>0</v>
      </c>
      <c r="L1880">
        <v>0</v>
      </c>
      <c r="M1880">
        <v>100</v>
      </c>
      <c r="N1880">
        <v>0</v>
      </c>
      <c r="O1880">
        <v>100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100</v>
      </c>
      <c r="Z1880">
        <v>0</v>
      </c>
      <c r="AA1880">
        <v>33000</v>
      </c>
      <c r="AB1880">
        <v>0</v>
      </c>
      <c r="AC1880">
        <v>0</v>
      </c>
      <c r="AD1880" t="s">
        <v>94</v>
      </c>
      <c r="AE1880" t="s">
        <v>94</v>
      </c>
      <c r="AF1880" t="s">
        <v>7497</v>
      </c>
      <c r="AG1880" t="s">
        <v>226</v>
      </c>
      <c r="AH1880">
        <v>0</v>
      </c>
      <c r="AI1880" t="s">
        <v>3537</v>
      </c>
      <c r="AJ1880" t="s">
        <v>1976</v>
      </c>
      <c r="AK1880" t="s">
        <v>2426</v>
      </c>
      <c r="AL1880" t="s">
        <v>272</v>
      </c>
    </row>
    <row r="1881" spans="1:38">
      <c r="A1881" t="s">
        <v>8163</v>
      </c>
      <c r="B1881" t="s">
        <v>8164</v>
      </c>
      <c r="C1881" t="s">
        <v>8165</v>
      </c>
      <c r="D1881" t="s">
        <v>8165</v>
      </c>
      <c r="E1881" t="s">
        <v>8166</v>
      </c>
      <c r="F1881" t="s">
        <v>2425</v>
      </c>
      <c r="G1881">
        <v>3</v>
      </c>
      <c r="H1881">
        <v>1</v>
      </c>
      <c r="I1881">
        <v>0.01</v>
      </c>
      <c r="J1881">
        <v>1000000</v>
      </c>
      <c r="K1881">
        <v>0</v>
      </c>
      <c r="L1881">
        <v>0</v>
      </c>
      <c r="M1881">
        <v>99</v>
      </c>
      <c r="N1881">
        <v>97.55</v>
      </c>
      <c r="O1881">
        <v>99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98</v>
      </c>
      <c r="Z1881">
        <v>0</v>
      </c>
      <c r="AA1881">
        <v>40000</v>
      </c>
      <c r="AB1881">
        <v>0</v>
      </c>
      <c r="AC1881">
        <v>0</v>
      </c>
      <c r="AD1881" t="s">
        <v>94</v>
      </c>
      <c r="AE1881" t="s">
        <v>94</v>
      </c>
      <c r="AF1881" t="s">
        <v>7497</v>
      </c>
      <c r="AG1881" t="s">
        <v>226</v>
      </c>
      <c r="AH1881">
        <v>0</v>
      </c>
      <c r="AI1881" t="s">
        <v>3537</v>
      </c>
      <c r="AJ1881" t="s">
        <v>1976</v>
      </c>
      <c r="AK1881" t="s">
        <v>2426</v>
      </c>
      <c r="AL1881" t="s">
        <v>272</v>
      </c>
    </row>
    <row r="1882" spans="1:38">
      <c r="A1882" t="s">
        <v>8167</v>
      </c>
      <c r="B1882" t="s">
        <v>8168</v>
      </c>
      <c r="C1882" t="s">
        <v>8169</v>
      </c>
      <c r="D1882" t="s">
        <v>8169</v>
      </c>
      <c r="E1882" t="s">
        <v>8170</v>
      </c>
      <c r="F1882" t="s">
        <v>2425</v>
      </c>
      <c r="G1882">
        <v>3</v>
      </c>
      <c r="H1882">
        <v>1</v>
      </c>
      <c r="I1882">
        <v>0.01</v>
      </c>
      <c r="J1882">
        <v>1000000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10000</v>
      </c>
      <c r="AB1882">
        <v>0</v>
      </c>
      <c r="AC1882">
        <v>0</v>
      </c>
      <c r="AD1882" t="s">
        <v>94</v>
      </c>
      <c r="AE1882" t="s">
        <v>94</v>
      </c>
      <c r="AF1882" t="s">
        <v>7497</v>
      </c>
      <c r="AG1882" t="s">
        <v>226</v>
      </c>
      <c r="AH1882">
        <v>0</v>
      </c>
      <c r="AI1882" t="s">
        <v>3537</v>
      </c>
      <c r="AJ1882" t="s">
        <v>1976</v>
      </c>
      <c r="AK1882" t="s">
        <v>2426</v>
      </c>
      <c r="AL1882" t="s">
        <v>272</v>
      </c>
    </row>
    <row r="1883" spans="1:38">
      <c r="A1883" t="s">
        <v>8171</v>
      </c>
      <c r="B1883" t="s">
        <v>8172</v>
      </c>
      <c r="C1883" t="s">
        <v>8173</v>
      </c>
      <c r="D1883" t="s">
        <v>8173</v>
      </c>
      <c r="E1883" t="s">
        <v>8174</v>
      </c>
      <c r="F1883" t="s">
        <v>2425</v>
      </c>
      <c r="G1883">
        <v>3</v>
      </c>
      <c r="H1883">
        <v>1</v>
      </c>
      <c r="I1883">
        <v>0.01</v>
      </c>
      <c r="J1883">
        <v>1000000</v>
      </c>
      <c r="K1883">
        <v>0</v>
      </c>
      <c r="L1883">
        <v>0</v>
      </c>
      <c r="M1883">
        <v>98.66</v>
      </c>
      <c r="N1883">
        <v>98.68</v>
      </c>
      <c r="O1883">
        <v>98.66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98.5</v>
      </c>
      <c r="Y1883">
        <v>100</v>
      </c>
      <c r="Z1883">
        <v>0</v>
      </c>
      <c r="AA1883">
        <v>24000</v>
      </c>
      <c r="AB1883">
        <v>0</v>
      </c>
      <c r="AC1883">
        <v>0</v>
      </c>
      <c r="AD1883" t="s">
        <v>94</v>
      </c>
      <c r="AE1883" t="s">
        <v>94</v>
      </c>
      <c r="AF1883" t="s">
        <v>7497</v>
      </c>
      <c r="AG1883" t="s">
        <v>226</v>
      </c>
      <c r="AH1883">
        <v>0</v>
      </c>
      <c r="AI1883" t="s">
        <v>3537</v>
      </c>
      <c r="AJ1883" t="s">
        <v>1976</v>
      </c>
      <c r="AK1883" t="s">
        <v>2426</v>
      </c>
      <c r="AL1883" t="s">
        <v>272</v>
      </c>
    </row>
    <row r="1884" spans="1:38">
      <c r="A1884" t="s">
        <v>8175</v>
      </c>
      <c r="B1884" t="s">
        <v>8176</v>
      </c>
      <c r="C1884" t="s">
        <v>8177</v>
      </c>
      <c r="D1884" t="s">
        <v>8177</v>
      </c>
      <c r="E1884" t="s">
        <v>8178</v>
      </c>
      <c r="F1884" t="s">
        <v>2413</v>
      </c>
      <c r="G1884">
        <v>1</v>
      </c>
      <c r="H1884">
        <v>1</v>
      </c>
      <c r="I1884">
        <v>0.01</v>
      </c>
      <c r="J1884">
        <v>1000</v>
      </c>
      <c r="K1884">
        <v>0.51</v>
      </c>
      <c r="L1884">
        <v>84.33</v>
      </c>
      <c r="M1884">
        <v>83.9</v>
      </c>
      <c r="N1884">
        <v>84.2</v>
      </c>
      <c r="O1884">
        <v>84.33</v>
      </c>
      <c r="P1884">
        <v>0</v>
      </c>
      <c r="Q1884">
        <v>0</v>
      </c>
      <c r="R1884">
        <v>0</v>
      </c>
      <c r="S1884">
        <v>84.35</v>
      </c>
      <c r="T1884">
        <v>83.94</v>
      </c>
      <c r="U1884">
        <v>83.94</v>
      </c>
      <c r="V1884">
        <v>84.57</v>
      </c>
      <c r="W1884">
        <v>21086</v>
      </c>
      <c r="X1884">
        <v>84.32</v>
      </c>
      <c r="Y1884">
        <v>84.48</v>
      </c>
      <c r="Z1884">
        <v>14</v>
      </c>
      <c r="AA1884">
        <v>20000000</v>
      </c>
      <c r="AB1884">
        <v>843.3</v>
      </c>
      <c r="AC1884">
        <v>0</v>
      </c>
      <c r="AD1884" t="s">
        <v>94</v>
      </c>
      <c r="AE1884" t="s">
        <v>94</v>
      </c>
      <c r="AF1884" t="s">
        <v>226</v>
      </c>
      <c r="AG1884" t="s">
        <v>226</v>
      </c>
      <c r="AH1884">
        <v>-100</v>
      </c>
      <c r="AI1884" t="s">
        <v>3537</v>
      </c>
      <c r="AJ1884" t="s">
        <v>1976</v>
      </c>
      <c r="AK1884" t="s">
        <v>2416</v>
      </c>
      <c r="AL1884" t="s">
        <v>272</v>
      </c>
    </row>
    <row r="1885" spans="1:38">
      <c r="A1885" t="s">
        <v>8179</v>
      </c>
      <c r="B1885" t="s">
        <v>8180</v>
      </c>
      <c r="C1885" t="s">
        <v>8181</v>
      </c>
      <c r="D1885" t="s">
        <v>8181</v>
      </c>
      <c r="E1885" t="s">
        <v>8182</v>
      </c>
      <c r="F1885" t="s">
        <v>2413</v>
      </c>
      <c r="G1885">
        <v>2</v>
      </c>
      <c r="H1885">
        <v>1</v>
      </c>
      <c r="I1885">
        <v>0.01</v>
      </c>
      <c r="J1885">
        <v>1000</v>
      </c>
      <c r="K1885">
        <v>0.2</v>
      </c>
      <c r="L1885">
        <v>95.09</v>
      </c>
      <c r="M1885">
        <v>94.9</v>
      </c>
      <c r="N1885">
        <v>94.97</v>
      </c>
      <c r="O1885">
        <v>95.09</v>
      </c>
      <c r="P1885">
        <v>0</v>
      </c>
      <c r="Q1885">
        <v>0</v>
      </c>
      <c r="R1885">
        <v>0</v>
      </c>
      <c r="S1885">
        <v>95</v>
      </c>
      <c r="T1885">
        <v>94.9</v>
      </c>
      <c r="U1885">
        <v>94.72</v>
      </c>
      <c r="V1885">
        <v>95.09</v>
      </c>
      <c r="W1885">
        <v>3051396</v>
      </c>
      <c r="X1885">
        <v>95</v>
      </c>
      <c r="Y1885">
        <v>95.1</v>
      </c>
      <c r="Z1885">
        <v>8</v>
      </c>
      <c r="AA1885">
        <v>15000000</v>
      </c>
      <c r="AB1885">
        <v>950.9</v>
      </c>
      <c r="AC1885">
        <v>0</v>
      </c>
      <c r="AD1885" t="s">
        <v>94</v>
      </c>
      <c r="AE1885" t="s">
        <v>94</v>
      </c>
      <c r="AF1885" t="s">
        <v>226</v>
      </c>
      <c r="AG1885" t="s">
        <v>226</v>
      </c>
      <c r="AH1885">
        <v>-100</v>
      </c>
      <c r="AI1885" t="s">
        <v>3537</v>
      </c>
      <c r="AJ1885" t="s">
        <v>1976</v>
      </c>
      <c r="AK1885" t="s">
        <v>2416</v>
      </c>
      <c r="AL1885" t="s">
        <v>272</v>
      </c>
    </row>
    <row r="1886" spans="1:38">
      <c r="A1886" t="s">
        <v>8183</v>
      </c>
      <c r="B1886" t="s">
        <v>8184</v>
      </c>
      <c r="C1886" t="s">
        <v>8185</v>
      </c>
      <c r="D1886" t="s">
        <v>8185</v>
      </c>
      <c r="E1886" t="s">
        <v>8186</v>
      </c>
      <c r="F1886" t="s">
        <v>2413</v>
      </c>
      <c r="G1886">
        <v>1</v>
      </c>
      <c r="H1886">
        <v>1</v>
      </c>
      <c r="I1886">
        <v>0.01</v>
      </c>
      <c r="J1886">
        <v>1000</v>
      </c>
      <c r="K1886">
        <v>-0.5</v>
      </c>
      <c r="L1886">
        <v>97.91</v>
      </c>
      <c r="M1886">
        <v>98.4</v>
      </c>
      <c r="N1886">
        <v>98.29</v>
      </c>
      <c r="O1886">
        <v>97.91</v>
      </c>
      <c r="P1886">
        <v>0</v>
      </c>
      <c r="Q1886">
        <v>0</v>
      </c>
      <c r="R1886">
        <v>0</v>
      </c>
      <c r="S1886">
        <v>96.77</v>
      </c>
      <c r="T1886">
        <v>98.39</v>
      </c>
      <c r="U1886">
        <v>96</v>
      </c>
      <c r="V1886">
        <v>98.47</v>
      </c>
      <c r="W1886">
        <v>1370198</v>
      </c>
      <c r="X1886">
        <v>97.43</v>
      </c>
      <c r="Y1886">
        <v>97.92</v>
      </c>
      <c r="Z1886">
        <v>202</v>
      </c>
      <c r="AA1886">
        <v>10000000</v>
      </c>
      <c r="AB1886">
        <v>1958.2</v>
      </c>
      <c r="AC1886">
        <v>0</v>
      </c>
      <c r="AD1886" t="s">
        <v>94</v>
      </c>
      <c r="AE1886" t="s">
        <v>94</v>
      </c>
      <c r="AF1886" t="s">
        <v>226</v>
      </c>
      <c r="AG1886" t="s">
        <v>226</v>
      </c>
      <c r="AH1886">
        <v>-100</v>
      </c>
      <c r="AI1886" t="s">
        <v>3537</v>
      </c>
      <c r="AJ1886" t="s">
        <v>1976</v>
      </c>
      <c r="AK1886" t="s">
        <v>2416</v>
      </c>
      <c r="AL1886" t="s">
        <v>272</v>
      </c>
    </row>
    <row r="1887" spans="1:38">
      <c r="A1887" t="s">
        <v>8187</v>
      </c>
      <c r="B1887" t="s">
        <v>8188</v>
      </c>
      <c r="C1887" t="s">
        <v>8189</v>
      </c>
      <c r="D1887" t="s">
        <v>8189</v>
      </c>
      <c r="E1887" t="s">
        <v>8190</v>
      </c>
      <c r="F1887" t="s">
        <v>2413</v>
      </c>
      <c r="G1887">
        <v>2</v>
      </c>
      <c r="H1887">
        <v>1</v>
      </c>
      <c r="I1887">
        <v>0.01</v>
      </c>
      <c r="J1887">
        <v>1000</v>
      </c>
      <c r="K1887">
        <v>0.91</v>
      </c>
      <c r="L1887">
        <v>98.29</v>
      </c>
      <c r="M1887">
        <v>97.4</v>
      </c>
      <c r="N1887">
        <v>98.15</v>
      </c>
      <c r="O1887">
        <v>98.29</v>
      </c>
      <c r="P1887">
        <v>0</v>
      </c>
      <c r="Q1887">
        <v>0</v>
      </c>
      <c r="R1887">
        <v>0</v>
      </c>
      <c r="S1887">
        <v>97.9</v>
      </c>
      <c r="T1887">
        <v>97.81</v>
      </c>
      <c r="U1887">
        <v>97.8</v>
      </c>
      <c r="V1887">
        <v>98.34</v>
      </c>
      <c r="W1887">
        <v>20560</v>
      </c>
      <c r="X1887">
        <v>98.01</v>
      </c>
      <c r="Y1887">
        <v>98.29</v>
      </c>
      <c r="Z1887">
        <v>8</v>
      </c>
      <c r="AA1887">
        <v>10000000</v>
      </c>
      <c r="AB1887">
        <v>982.9</v>
      </c>
      <c r="AC1887">
        <v>0</v>
      </c>
      <c r="AD1887" t="s">
        <v>94</v>
      </c>
      <c r="AE1887" t="s">
        <v>94</v>
      </c>
      <c r="AF1887" t="s">
        <v>226</v>
      </c>
      <c r="AG1887" t="s">
        <v>226</v>
      </c>
      <c r="AH1887">
        <v>8</v>
      </c>
      <c r="AI1887" t="s">
        <v>3537</v>
      </c>
      <c r="AJ1887" t="s">
        <v>1976</v>
      </c>
      <c r="AK1887" t="s">
        <v>2416</v>
      </c>
      <c r="AL1887" t="s">
        <v>272</v>
      </c>
    </row>
    <row r="1888" spans="1:38">
      <c r="A1888" t="s">
        <v>8191</v>
      </c>
      <c r="B1888" t="s">
        <v>8192</v>
      </c>
      <c r="C1888" t="s">
        <v>8193</v>
      </c>
      <c r="D1888" t="s">
        <v>8193</v>
      </c>
      <c r="E1888" t="s">
        <v>8194</v>
      </c>
      <c r="F1888" t="s">
        <v>2413</v>
      </c>
      <c r="G1888">
        <v>2</v>
      </c>
      <c r="H1888">
        <v>1</v>
      </c>
      <c r="I1888">
        <v>0.01</v>
      </c>
      <c r="J1888">
        <v>1000</v>
      </c>
      <c r="K1888">
        <v>2</v>
      </c>
      <c r="L1888">
        <v>101.08</v>
      </c>
      <c r="M1888">
        <v>99.1</v>
      </c>
      <c r="N1888">
        <v>99.05</v>
      </c>
      <c r="O1888">
        <v>101.08</v>
      </c>
      <c r="P1888">
        <v>0</v>
      </c>
      <c r="Q1888">
        <v>0</v>
      </c>
      <c r="R1888">
        <v>0</v>
      </c>
      <c r="S1888">
        <v>101.08</v>
      </c>
      <c r="T1888">
        <v>101.08</v>
      </c>
      <c r="U1888">
        <v>101.08</v>
      </c>
      <c r="V1888">
        <v>101.08</v>
      </c>
      <c r="W1888">
        <v>1011</v>
      </c>
      <c r="X1888">
        <v>99.1</v>
      </c>
      <c r="Y1888">
        <v>101.09</v>
      </c>
      <c r="Z1888">
        <v>1</v>
      </c>
      <c r="AA1888">
        <v>10000000</v>
      </c>
      <c r="AB1888">
        <v>1010.8</v>
      </c>
      <c r="AC1888">
        <v>0</v>
      </c>
      <c r="AD1888" t="s">
        <v>94</v>
      </c>
      <c r="AE1888" t="s">
        <v>94</v>
      </c>
      <c r="AF1888" t="s">
        <v>226</v>
      </c>
      <c r="AG1888" t="s">
        <v>226</v>
      </c>
      <c r="AH1888">
        <v>8</v>
      </c>
      <c r="AI1888" t="s">
        <v>3537</v>
      </c>
      <c r="AJ1888" t="s">
        <v>1976</v>
      </c>
      <c r="AK1888" t="s">
        <v>2416</v>
      </c>
      <c r="AL1888" t="s">
        <v>272</v>
      </c>
    </row>
    <row r="1889" spans="1:38">
      <c r="A1889" t="s">
        <v>8195</v>
      </c>
      <c r="B1889" t="s">
        <v>8196</v>
      </c>
      <c r="C1889" t="s">
        <v>8197</v>
      </c>
      <c r="D1889" t="s">
        <v>8197</v>
      </c>
      <c r="E1889" t="s">
        <v>8198</v>
      </c>
      <c r="F1889" t="s">
        <v>2413</v>
      </c>
      <c r="G1889">
        <v>1</v>
      </c>
      <c r="H1889">
        <v>1</v>
      </c>
      <c r="I1889">
        <v>0.01</v>
      </c>
      <c r="J1889">
        <v>1000</v>
      </c>
      <c r="K1889">
        <v>0.01</v>
      </c>
      <c r="L1889">
        <v>71.92</v>
      </c>
      <c r="M1889">
        <v>71.91</v>
      </c>
      <c r="N1889">
        <v>71.930000000000007</v>
      </c>
      <c r="O1889">
        <v>71.92</v>
      </c>
      <c r="P1889">
        <v>0</v>
      </c>
      <c r="Q1889">
        <v>0</v>
      </c>
      <c r="R1889">
        <v>0</v>
      </c>
      <c r="S1889">
        <v>72.16</v>
      </c>
      <c r="T1889">
        <v>73.180000000000007</v>
      </c>
      <c r="U1889">
        <v>71.59</v>
      </c>
      <c r="V1889">
        <v>73.180000000000007</v>
      </c>
      <c r="W1889">
        <v>181113</v>
      </c>
      <c r="X1889">
        <v>71.900000000000006</v>
      </c>
      <c r="Y1889">
        <v>72.150000000000006</v>
      </c>
      <c r="Z1889">
        <v>49</v>
      </c>
      <c r="AA1889">
        <v>20000000</v>
      </c>
      <c r="AB1889">
        <v>719.2</v>
      </c>
      <c r="AC1889">
        <v>0</v>
      </c>
      <c r="AD1889" t="s">
        <v>94</v>
      </c>
      <c r="AE1889" t="s">
        <v>94</v>
      </c>
      <c r="AF1889" t="s">
        <v>226</v>
      </c>
      <c r="AG1889" t="s">
        <v>226</v>
      </c>
      <c r="AH1889">
        <v>-100</v>
      </c>
      <c r="AI1889" t="s">
        <v>3537</v>
      </c>
      <c r="AJ1889" t="s">
        <v>1976</v>
      </c>
      <c r="AK1889" t="s">
        <v>2416</v>
      </c>
      <c r="AL1889" t="s">
        <v>272</v>
      </c>
    </row>
    <row r="1890" spans="1:38">
      <c r="A1890" t="s">
        <v>8199</v>
      </c>
      <c r="B1890" t="s">
        <v>8200</v>
      </c>
      <c r="C1890" t="s">
        <v>8201</v>
      </c>
      <c r="D1890" t="s">
        <v>8201</v>
      </c>
      <c r="E1890" t="s">
        <v>8202</v>
      </c>
      <c r="F1890" t="s">
        <v>2413</v>
      </c>
      <c r="G1890">
        <v>1</v>
      </c>
      <c r="H1890">
        <v>1</v>
      </c>
      <c r="I1890">
        <v>0.01</v>
      </c>
      <c r="J1890">
        <v>1000</v>
      </c>
      <c r="K1890">
        <v>0.14000000000000001</v>
      </c>
      <c r="L1890">
        <v>72.180000000000007</v>
      </c>
      <c r="M1890">
        <v>72.069999999999993</v>
      </c>
      <c r="N1890">
        <v>71.94</v>
      </c>
      <c r="O1890">
        <v>72.180000000000007</v>
      </c>
      <c r="P1890">
        <v>0</v>
      </c>
      <c r="Q1890">
        <v>0</v>
      </c>
      <c r="R1890">
        <v>0</v>
      </c>
      <c r="S1890">
        <v>72.12</v>
      </c>
      <c r="T1890">
        <v>72.180000000000007</v>
      </c>
      <c r="U1890">
        <v>71.400000000000006</v>
      </c>
      <c r="V1890">
        <v>72.2</v>
      </c>
      <c r="W1890">
        <v>584863</v>
      </c>
      <c r="X1890">
        <v>72.16</v>
      </c>
      <c r="Y1890">
        <v>72.19</v>
      </c>
      <c r="Z1890">
        <v>76</v>
      </c>
      <c r="AA1890">
        <v>11000000</v>
      </c>
      <c r="AB1890">
        <v>204269.4</v>
      </c>
      <c r="AC1890">
        <v>0</v>
      </c>
      <c r="AD1890" t="s">
        <v>94</v>
      </c>
      <c r="AE1890" t="s">
        <v>94</v>
      </c>
      <c r="AF1890" t="s">
        <v>226</v>
      </c>
      <c r="AG1890" t="s">
        <v>226</v>
      </c>
      <c r="AH1890">
        <v>-100</v>
      </c>
      <c r="AI1890" t="s">
        <v>3537</v>
      </c>
      <c r="AJ1890" t="s">
        <v>1976</v>
      </c>
      <c r="AK1890" t="s">
        <v>2416</v>
      </c>
      <c r="AL1890" t="s">
        <v>272</v>
      </c>
    </row>
    <row r="1891" spans="1:38">
      <c r="A1891" t="s">
        <v>8203</v>
      </c>
      <c r="B1891" t="s">
        <v>8204</v>
      </c>
      <c r="C1891" t="s">
        <v>8205</v>
      </c>
      <c r="D1891" t="s">
        <v>8205</v>
      </c>
      <c r="E1891" t="s">
        <v>8206</v>
      </c>
      <c r="F1891" t="s">
        <v>2413</v>
      </c>
      <c r="G1891">
        <v>2</v>
      </c>
      <c r="H1891">
        <v>1</v>
      </c>
      <c r="I1891">
        <v>0.01</v>
      </c>
      <c r="J1891">
        <v>1000</v>
      </c>
      <c r="K1891">
        <v>1.89</v>
      </c>
      <c r="L1891">
        <v>91.01</v>
      </c>
      <c r="M1891">
        <v>89.32</v>
      </c>
      <c r="N1891">
        <v>84.6</v>
      </c>
      <c r="O1891">
        <v>91.01</v>
      </c>
      <c r="P1891">
        <v>0</v>
      </c>
      <c r="Q1891">
        <v>0</v>
      </c>
      <c r="R1891">
        <v>0</v>
      </c>
      <c r="S1891">
        <v>90.58</v>
      </c>
      <c r="T1891">
        <v>89.73</v>
      </c>
      <c r="U1891">
        <v>89.73</v>
      </c>
      <c r="V1891">
        <v>91.01</v>
      </c>
      <c r="W1891">
        <v>2718</v>
      </c>
      <c r="X1891">
        <v>91.01</v>
      </c>
      <c r="Y1891">
        <v>0</v>
      </c>
      <c r="Z1891">
        <v>3</v>
      </c>
      <c r="AA1891">
        <v>15000000</v>
      </c>
      <c r="AB1891">
        <v>910.1</v>
      </c>
      <c r="AC1891">
        <v>0</v>
      </c>
      <c r="AD1891" t="s">
        <v>94</v>
      </c>
      <c r="AE1891" t="s">
        <v>94</v>
      </c>
      <c r="AF1891" t="s">
        <v>226</v>
      </c>
      <c r="AG1891" t="s">
        <v>226</v>
      </c>
      <c r="AH1891">
        <v>-100</v>
      </c>
      <c r="AI1891" t="s">
        <v>3537</v>
      </c>
      <c r="AJ1891" t="s">
        <v>1976</v>
      </c>
      <c r="AK1891" t="s">
        <v>2416</v>
      </c>
      <c r="AL1891" t="s">
        <v>272</v>
      </c>
    </row>
    <row r="1892" spans="1:38">
      <c r="A1892" t="s">
        <v>8207</v>
      </c>
      <c r="B1892" t="s">
        <v>8208</v>
      </c>
      <c r="C1892" t="s">
        <v>8209</v>
      </c>
      <c r="D1892" t="s">
        <v>8209</v>
      </c>
      <c r="E1892" t="s">
        <v>8210</v>
      </c>
      <c r="F1892" t="s">
        <v>2413</v>
      </c>
      <c r="G1892">
        <v>1</v>
      </c>
      <c r="H1892">
        <v>1</v>
      </c>
      <c r="I1892">
        <v>0.01</v>
      </c>
      <c r="J1892">
        <v>1000</v>
      </c>
      <c r="K1892">
        <v>0.61</v>
      </c>
      <c r="L1892">
        <v>82.38</v>
      </c>
      <c r="M1892">
        <v>81.88</v>
      </c>
      <c r="N1892">
        <v>81.77</v>
      </c>
      <c r="O1892">
        <v>82.38</v>
      </c>
      <c r="P1892">
        <v>0</v>
      </c>
      <c r="Q1892">
        <v>0</v>
      </c>
      <c r="R1892">
        <v>0</v>
      </c>
      <c r="S1892">
        <v>82.17</v>
      </c>
      <c r="T1892">
        <v>81.75</v>
      </c>
      <c r="U1892">
        <v>81.599999999999994</v>
      </c>
      <c r="V1892">
        <v>84.62</v>
      </c>
      <c r="W1892">
        <v>490554</v>
      </c>
      <c r="X1892">
        <v>82.13</v>
      </c>
      <c r="Y1892">
        <v>82.37</v>
      </c>
      <c r="Z1892">
        <v>120</v>
      </c>
      <c r="AA1892">
        <v>30000000</v>
      </c>
      <c r="AB1892">
        <v>823.8</v>
      </c>
      <c r="AC1892">
        <v>0</v>
      </c>
      <c r="AD1892" t="s">
        <v>94</v>
      </c>
      <c r="AE1892" t="s">
        <v>94</v>
      </c>
      <c r="AF1892" t="s">
        <v>226</v>
      </c>
      <c r="AG1892" t="s">
        <v>226</v>
      </c>
      <c r="AH1892">
        <v>-100</v>
      </c>
      <c r="AI1892" t="s">
        <v>3537</v>
      </c>
      <c r="AJ1892" t="s">
        <v>1976</v>
      </c>
      <c r="AK1892" t="s">
        <v>2416</v>
      </c>
      <c r="AL1892" t="s">
        <v>272</v>
      </c>
    </row>
    <row r="1893" spans="1:38">
      <c r="A1893" t="s">
        <v>8211</v>
      </c>
      <c r="B1893" t="s">
        <v>8212</v>
      </c>
      <c r="C1893" t="s">
        <v>8213</v>
      </c>
      <c r="D1893" t="s">
        <v>8213</v>
      </c>
      <c r="E1893" t="s">
        <v>8214</v>
      </c>
      <c r="F1893" t="s">
        <v>2413</v>
      </c>
      <c r="G1893">
        <v>2</v>
      </c>
      <c r="H1893">
        <v>1</v>
      </c>
      <c r="I1893">
        <v>0.01</v>
      </c>
      <c r="J1893">
        <v>1000</v>
      </c>
      <c r="K1893">
        <v>0.06</v>
      </c>
      <c r="L1893">
        <v>88</v>
      </c>
      <c r="M1893">
        <v>87.94</v>
      </c>
      <c r="N1893">
        <v>87.75</v>
      </c>
      <c r="O1893">
        <v>88</v>
      </c>
      <c r="P1893">
        <v>0</v>
      </c>
      <c r="Q1893">
        <v>0</v>
      </c>
      <c r="R1893">
        <v>0</v>
      </c>
      <c r="S1893">
        <v>87.95</v>
      </c>
      <c r="T1893">
        <v>87.99</v>
      </c>
      <c r="U1893">
        <v>87.58</v>
      </c>
      <c r="V1893">
        <v>88.09</v>
      </c>
      <c r="W1893">
        <v>350935</v>
      </c>
      <c r="X1893">
        <v>87.97</v>
      </c>
      <c r="Y1893">
        <v>88</v>
      </c>
      <c r="Z1893">
        <v>60</v>
      </c>
      <c r="AA1893">
        <v>15000000</v>
      </c>
      <c r="AB1893">
        <v>880</v>
      </c>
      <c r="AC1893">
        <v>0</v>
      </c>
      <c r="AD1893" t="s">
        <v>94</v>
      </c>
      <c r="AE1893" t="s">
        <v>94</v>
      </c>
      <c r="AF1893" t="s">
        <v>226</v>
      </c>
      <c r="AG1893" t="s">
        <v>226</v>
      </c>
      <c r="AH1893">
        <v>-100</v>
      </c>
      <c r="AI1893" t="s">
        <v>3537</v>
      </c>
      <c r="AJ1893" t="s">
        <v>1976</v>
      </c>
      <c r="AK1893" t="s">
        <v>2416</v>
      </c>
      <c r="AL1893" t="s">
        <v>272</v>
      </c>
    </row>
    <row r="1894" spans="1:38">
      <c r="A1894" t="s">
        <v>8215</v>
      </c>
      <c r="B1894" t="s">
        <v>8216</v>
      </c>
      <c r="C1894" t="s">
        <v>8217</v>
      </c>
      <c r="D1894" t="s">
        <v>8217</v>
      </c>
      <c r="E1894" t="s">
        <v>8218</v>
      </c>
      <c r="F1894" t="s">
        <v>2413</v>
      </c>
      <c r="G1894">
        <v>2</v>
      </c>
      <c r="H1894">
        <v>1</v>
      </c>
      <c r="I1894">
        <v>0.01</v>
      </c>
      <c r="J1894">
        <v>1000</v>
      </c>
      <c r="K1894">
        <v>0</v>
      </c>
      <c r="L1894">
        <v>0</v>
      </c>
      <c r="M1894">
        <v>97.84</v>
      </c>
      <c r="N1894">
        <v>98.02</v>
      </c>
      <c r="O1894">
        <v>97.84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95.9</v>
      </c>
      <c r="Y1894">
        <v>97.01</v>
      </c>
      <c r="Z1894">
        <v>0</v>
      </c>
      <c r="AA1894">
        <v>15000000</v>
      </c>
      <c r="AB1894">
        <v>0</v>
      </c>
      <c r="AC1894">
        <v>0</v>
      </c>
      <c r="AD1894" t="s">
        <v>94</v>
      </c>
      <c r="AE1894" t="s">
        <v>94</v>
      </c>
      <c r="AF1894" t="s">
        <v>226</v>
      </c>
      <c r="AG1894" t="s">
        <v>226</v>
      </c>
      <c r="AH1894">
        <v>8</v>
      </c>
      <c r="AI1894" t="s">
        <v>3537</v>
      </c>
      <c r="AJ1894" t="s">
        <v>1976</v>
      </c>
      <c r="AK1894" t="s">
        <v>2416</v>
      </c>
      <c r="AL1894" t="s">
        <v>272</v>
      </c>
    </row>
    <row r="1895" spans="1:38">
      <c r="A1895" t="s">
        <v>8219</v>
      </c>
      <c r="B1895" t="s">
        <v>8220</v>
      </c>
      <c r="C1895" t="s">
        <v>8221</v>
      </c>
      <c r="D1895" t="s">
        <v>8221</v>
      </c>
      <c r="E1895" t="s">
        <v>8222</v>
      </c>
      <c r="F1895" t="s">
        <v>2413</v>
      </c>
      <c r="G1895">
        <v>2</v>
      </c>
      <c r="H1895">
        <v>1</v>
      </c>
      <c r="I1895">
        <v>0.01</v>
      </c>
      <c r="J1895">
        <v>1000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10000000</v>
      </c>
      <c r="AB1895">
        <v>0</v>
      </c>
      <c r="AC1895">
        <v>0</v>
      </c>
      <c r="AD1895" t="s">
        <v>94</v>
      </c>
      <c r="AE1895" t="s">
        <v>94</v>
      </c>
      <c r="AF1895" t="s">
        <v>226</v>
      </c>
      <c r="AG1895" t="s">
        <v>226</v>
      </c>
      <c r="AH1895">
        <v>-100</v>
      </c>
      <c r="AI1895" t="s">
        <v>3537</v>
      </c>
      <c r="AJ1895" t="s">
        <v>1976</v>
      </c>
      <c r="AK1895" t="s">
        <v>2416</v>
      </c>
      <c r="AL1895" t="s">
        <v>272</v>
      </c>
    </row>
    <row r="1896" spans="1:38">
      <c r="A1896" t="s">
        <v>8223</v>
      </c>
      <c r="B1896" t="s">
        <v>8224</v>
      </c>
      <c r="C1896" t="s">
        <v>8225</v>
      </c>
      <c r="D1896" t="s">
        <v>8225</v>
      </c>
      <c r="E1896" t="s">
        <v>8226</v>
      </c>
      <c r="F1896" t="s">
        <v>2413</v>
      </c>
      <c r="G1896">
        <v>2</v>
      </c>
      <c r="H1896">
        <v>1</v>
      </c>
      <c r="I1896">
        <v>0.01</v>
      </c>
      <c r="J1896">
        <v>1000</v>
      </c>
      <c r="K1896">
        <v>0.76</v>
      </c>
      <c r="L1896">
        <v>75.08</v>
      </c>
      <c r="M1896">
        <v>74.56</v>
      </c>
      <c r="N1896">
        <v>75.08</v>
      </c>
      <c r="O1896">
        <v>75.08</v>
      </c>
      <c r="P1896">
        <v>0</v>
      </c>
      <c r="Q1896">
        <v>0</v>
      </c>
      <c r="R1896">
        <v>0</v>
      </c>
      <c r="S1896">
        <v>74.7</v>
      </c>
      <c r="T1896">
        <v>74.55</v>
      </c>
      <c r="U1896">
        <v>74.37</v>
      </c>
      <c r="V1896">
        <v>75.11</v>
      </c>
      <c r="W1896">
        <v>168830</v>
      </c>
      <c r="X1896">
        <v>74.83</v>
      </c>
      <c r="Y1896">
        <v>75.11</v>
      </c>
      <c r="Z1896">
        <v>65</v>
      </c>
      <c r="AA1896">
        <v>15000000</v>
      </c>
      <c r="AB1896">
        <v>3754</v>
      </c>
      <c r="AC1896">
        <v>0</v>
      </c>
      <c r="AD1896" t="s">
        <v>94</v>
      </c>
      <c r="AE1896" t="s">
        <v>94</v>
      </c>
      <c r="AF1896" t="s">
        <v>226</v>
      </c>
      <c r="AG1896" t="s">
        <v>226</v>
      </c>
      <c r="AH1896">
        <v>-100</v>
      </c>
      <c r="AI1896" t="s">
        <v>3537</v>
      </c>
      <c r="AJ1896" t="s">
        <v>1976</v>
      </c>
      <c r="AK1896" t="s">
        <v>2416</v>
      </c>
      <c r="AL1896" t="s">
        <v>272</v>
      </c>
    </row>
    <row r="1897" spans="1:38">
      <c r="A1897" t="s">
        <v>8227</v>
      </c>
      <c r="B1897" t="s">
        <v>8228</v>
      </c>
      <c r="C1897" t="s">
        <v>8229</v>
      </c>
      <c r="D1897" t="s">
        <v>8229</v>
      </c>
      <c r="E1897" t="s">
        <v>8230</v>
      </c>
      <c r="F1897" t="s">
        <v>2413</v>
      </c>
      <c r="G1897">
        <v>1</v>
      </c>
      <c r="H1897">
        <v>1</v>
      </c>
      <c r="I1897">
        <v>0.01</v>
      </c>
      <c r="J1897">
        <v>1000</v>
      </c>
      <c r="K1897">
        <v>0.59</v>
      </c>
      <c r="L1897">
        <v>73.510000000000005</v>
      </c>
      <c r="M1897">
        <v>73.08</v>
      </c>
      <c r="N1897">
        <v>73.12</v>
      </c>
      <c r="O1897">
        <v>73.510000000000005</v>
      </c>
      <c r="P1897">
        <v>0</v>
      </c>
      <c r="Q1897">
        <v>0</v>
      </c>
      <c r="R1897">
        <v>0</v>
      </c>
      <c r="S1897">
        <v>73.62</v>
      </c>
      <c r="T1897">
        <v>73.53</v>
      </c>
      <c r="U1897">
        <v>73.510000000000005</v>
      </c>
      <c r="V1897">
        <v>73.7</v>
      </c>
      <c r="W1897">
        <v>63314</v>
      </c>
      <c r="X1897">
        <v>73.34</v>
      </c>
      <c r="Y1897">
        <v>73.66</v>
      </c>
      <c r="Z1897">
        <v>29</v>
      </c>
      <c r="AA1897">
        <v>20000000</v>
      </c>
      <c r="AB1897">
        <v>735.1</v>
      </c>
      <c r="AC1897">
        <v>0</v>
      </c>
      <c r="AD1897" t="s">
        <v>94</v>
      </c>
      <c r="AE1897" t="s">
        <v>94</v>
      </c>
      <c r="AF1897" t="s">
        <v>226</v>
      </c>
      <c r="AG1897" t="s">
        <v>226</v>
      </c>
      <c r="AH1897">
        <v>-100</v>
      </c>
      <c r="AI1897" t="s">
        <v>3537</v>
      </c>
      <c r="AJ1897" t="s">
        <v>1976</v>
      </c>
      <c r="AK1897" t="s">
        <v>2416</v>
      </c>
      <c r="AL1897" t="s">
        <v>272</v>
      </c>
    </row>
    <row r="1898" spans="1:38">
      <c r="A1898" t="s">
        <v>8231</v>
      </c>
      <c r="B1898" t="s">
        <v>8232</v>
      </c>
      <c r="C1898" t="s">
        <v>8233</v>
      </c>
      <c r="D1898" t="s">
        <v>8233</v>
      </c>
      <c r="E1898" t="s">
        <v>8234</v>
      </c>
      <c r="F1898" t="s">
        <v>2413</v>
      </c>
      <c r="G1898">
        <v>1</v>
      </c>
      <c r="H1898">
        <v>1</v>
      </c>
      <c r="I1898">
        <v>0.01</v>
      </c>
      <c r="J1898">
        <v>1000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10000000</v>
      </c>
      <c r="AB1898">
        <v>0</v>
      </c>
      <c r="AC1898">
        <v>0</v>
      </c>
      <c r="AD1898" t="s">
        <v>94</v>
      </c>
      <c r="AE1898" t="s">
        <v>94</v>
      </c>
      <c r="AF1898" t="s">
        <v>226</v>
      </c>
      <c r="AG1898" t="s">
        <v>226</v>
      </c>
      <c r="AH1898">
        <v>-100</v>
      </c>
      <c r="AI1898" t="s">
        <v>3537</v>
      </c>
      <c r="AJ1898" t="s">
        <v>1976</v>
      </c>
      <c r="AK1898" t="s">
        <v>2416</v>
      </c>
      <c r="AL1898" t="s">
        <v>272</v>
      </c>
    </row>
    <row r="1899" spans="1:38">
      <c r="A1899" t="s">
        <v>8235</v>
      </c>
      <c r="B1899" t="s">
        <v>8236</v>
      </c>
      <c r="C1899" t="s">
        <v>8237</v>
      </c>
      <c r="D1899" t="s">
        <v>8237</v>
      </c>
      <c r="E1899" t="s">
        <v>8238</v>
      </c>
      <c r="F1899" t="s">
        <v>2413</v>
      </c>
      <c r="G1899">
        <v>2</v>
      </c>
      <c r="H1899">
        <v>1</v>
      </c>
      <c r="I1899">
        <v>0.01</v>
      </c>
      <c r="J1899">
        <v>1000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15000000</v>
      </c>
      <c r="AB1899">
        <v>0</v>
      </c>
      <c r="AC1899">
        <v>0</v>
      </c>
      <c r="AD1899" t="s">
        <v>94</v>
      </c>
      <c r="AE1899" t="s">
        <v>94</v>
      </c>
      <c r="AF1899" t="s">
        <v>226</v>
      </c>
      <c r="AG1899" t="s">
        <v>226</v>
      </c>
      <c r="AH1899">
        <v>-100</v>
      </c>
      <c r="AI1899" t="s">
        <v>3537</v>
      </c>
      <c r="AJ1899" t="s">
        <v>1976</v>
      </c>
      <c r="AK1899" t="s">
        <v>2416</v>
      </c>
      <c r="AL1899" t="s">
        <v>272</v>
      </c>
    </row>
    <row r="1900" spans="1:38">
      <c r="A1900" t="s">
        <v>8239</v>
      </c>
      <c r="B1900" t="s">
        <v>8240</v>
      </c>
      <c r="C1900" t="s">
        <v>8241</v>
      </c>
      <c r="D1900" t="s">
        <v>8241</v>
      </c>
      <c r="E1900" t="s">
        <v>8242</v>
      </c>
      <c r="F1900" t="s">
        <v>2413</v>
      </c>
      <c r="G1900">
        <v>2</v>
      </c>
      <c r="H1900">
        <v>1</v>
      </c>
      <c r="I1900">
        <v>0.01</v>
      </c>
      <c r="J1900">
        <v>1000</v>
      </c>
      <c r="K1900">
        <v>1.1200000000000001</v>
      </c>
      <c r="L1900">
        <v>90.45</v>
      </c>
      <c r="M1900">
        <v>89.45</v>
      </c>
      <c r="N1900">
        <v>89.2</v>
      </c>
      <c r="O1900">
        <v>90.2</v>
      </c>
      <c r="P1900">
        <v>0</v>
      </c>
      <c r="Q1900">
        <v>0</v>
      </c>
      <c r="R1900">
        <v>0</v>
      </c>
      <c r="S1900">
        <v>90.14</v>
      </c>
      <c r="T1900">
        <v>87.51</v>
      </c>
      <c r="U1900">
        <v>87.51</v>
      </c>
      <c r="V1900">
        <v>92.84</v>
      </c>
      <c r="W1900">
        <v>38759</v>
      </c>
      <c r="X1900">
        <v>90.04</v>
      </c>
      <c r="Y1900">
        <v>90.45</v>
      </c>
      <c r="Z1900">
        <v>27</v>
      </c>
      <c r="AA1900">
        <v>10000000</v>
      </c>
      <c r="AB1900">
        <v>904.5</v>
      </c>
      <c r="AC1900">
        <v>0</v>
      </c>
      <c r="AD1900" t="s">
        <v>94</v>
      </c>
      <c r="AE1900" t="s">
        <v>94</v>
      </c>
      <c r="AF1900" t="s">
        <v>226</v>
      </c>
      <c r="AG1900" t="s">
        <v>226</v>
      </c>
      <c r="AH1900">
        <v>-100</v>
      </c>
      <c r="AI1900" t="s">
        <v>3537</v>
      </c>
      <c r="AJ1900" t="s">
        <v>1976</v>
      </c>
      <c r="AK1900" t="s">
        <v>2416</v>
      </c>
      <c r="AL1900" t="s">
        <v>272</v>
      </c>
    </row>
    <row r="1901" spans="1:38">
      <c r="A1901" t="s">
        <v>8243</v>
      </c>
      <c r="B1901" t="s">
        <v>8244</v>
      </c>
      <c r="C1901" t="s">
        <v>8245</v>
      </c>
      <c r="D1901" t="s">
        <v>8245</v>
      </c>
      <c r="E1901" t="s">
        <v>8246</v>
      </c>
      <c r="F1901" t="s">
        <v>2413</v>
      </c>
      <c r="G1901">
        <v>2</v>
      </c>
      <c r="H1901">
        <v>1</v>
      </c>
      <c r="I1901">
        <v>0.01</v>
      </c>
      <c r="J1901">
        <v>1000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15000000</v>
      </c>
      <c r="AB1901">
        <v>0</v>
      </c>
      <c r="AC1901">
        <v>0</v>
      </c>
      <c r="AD1901" t="s">
        <v>94</v>
      </c>
      <c r="AE1901" t="s">
        <v>94</v>
      </c>
      <c r="AF1901" t="s">
        <v>226</v>
      </c>
      <c r="AG1901" t="s">
        <v>226</v>
      </c>
      <c r="AH1901">
        <v>-100</v>
      </c>
      <c r="AI1901" t="s">
        <v>3537</v>
      </c>
      <c r="AJ1901" t="s">
        <v>1976</v>
      </c>
      <c r="AK1901" t="s">
        <v>2416</v>
      </c>
      <c r="AL1901" t="s">
        <v>272</v>
      </c>
    </row>
    <row r="1902" spans="1:38">
      <c r="A1902" t="s">
        <v>8247</v>
      </c>
      <c r="B1902" t="s">
        <v>8248</v>
      </c>
      <c r="C1902" t="s">
        <v>8249</v>
      </c>
      <c r="D1902" t="s">
        <v>8249</v>
      </c>
      <c r="E1902" t="s">
        <v>8250</v>
      </c>
      <c r="F1902" t="s">
        <v>2413</v>
      </c>
      <c r="G1902">
        <v>3</v>
      </c>
      <c r="H1902">
        <v>1</v>
      </c>
      <c r="I1902">
        <v>0.01</v>
      </c>
      <c r="J1902">
        <v>1000</v>
      </c>
      <c r="K1902">
        <v>0.45</v>
      </c>
      <c r="L1902">
        <v>95.43</v>
      </c>
      <c r="M1902">
        <v>95.06</v>
      </c>
      <c r="N1902">
        <v>95.56</v>
      </c>
      <c r="O1902">
        <v>95.41</v>
      </c>
      <c r="P1902">
        <v>0</v>
      </c>
      <c r="Q1902">
        <v>0</v>
      </c>
      <c r="R1902">
        <v>0</v>
      </c>
      <c r="S1902">
        <v>95.38</v>
      </c>
      <c r="T1902">
        <v>95.37</v>
      </c>
      <c r="U1902">
        <v>95.01</v>
      </c>
      <c r="V1902">
        <v>95.53</v>
      </c>
      <c r="W1902">
        <v>4285441</v>
      </c>
      <c r="X1902">
        <v>95.29</v>
      </c>
      <c r="Y1902">
        <v>95.4</v>
      </c>
      <c r="Z1902">
        <v>443</v>
      </c>
      <c r="AA1902">
        <v>30000000</v>
      </c>
      <c r="AB1902">
        <v>6680.1</v>
      </c>
      <c r="AC1902">
        <v>0</v>
      </c>
      <c r="AD1902" t="s">
        <v>94</v>
      </c>
      <c r="AE1902" t="s">
        <v>94</v>
      </c>
      <c r="AF1902" t="s">
        <v>226</v>
      </c>
      <c r="AG1902" t="s">
        <v>226</v>
      </c>
      <c r="AH1902">
        <v>8</v>
      </c>
      <c r="AI1902" t="s">
        <v>3537</v>
      </c>
      <c r="AJ1902" t="s">
        <v>1976</v>
      </c>
      <c r="AK1902" t="s">
        <v>2416</v>
      </c>
      <c r="AL1902" t="s">
        <v>272</v>
      </c>
    </row>
    <row r="1903" spans="1:38">
      <c r="A1903" t="s">
        <v>8251</v>
      </c>
      <c r="B1903" t="s">
        <v>8252</v>
      </c>
      <c r="C1903" t="s">
        <v>8253</v>
      </c>
      <c r="D1903" t="s">
        <v>8253</v>
      </c>
      <c r="E1903" t="s">
        <v>8254</v>
      </c>
      <c r="F1903" t="s">
        <v>2413</v>
      </c>
      <c r="G1903">
        <v>3</v>
      </c>
      <c r="H1903">
        <v>1</v>
      </c>
      <c r="I1903">
        <v>0.01</v>
      </c>
      <c r="J1903">
        <v>1000</v>
      </c>
      <c r="K1903">
        <v>-0.06</v>
      </c>
      <c r="L1903">
        <v>99.9</v>
      </c>
      <c r="M1903">
        <v>99.96</v>
      </c>
      <c r="N1903">
        <v>100.17</v>
      </c>
      <c r="O1903">
        <v>99.9</v>
      </c>
      <c r="P1903">
        <v>0</v>
      </c>
      <c r="Q1903">
        <v>0</v>
      </c>
      <c r="R1903">
        <v>0</v>
      </c>
      <c r="S1903">
        <v>100.06</v>
      </c>
      <c r="T1903">
        <v>100.74</v>
      </c>
      <c r="U1903">
        <v>99.39</v>
      </c>
      <c r="V1903">
        <v>100.76</v>
      </c>
      <c r="W1903">
        <v>729467</v>
      </c>
      <c r="X1903">
        <v>99.65</v>
      </c>
      <c r="Y1903">
        <v>99.9</v>
      </c>
      <c r="Z1903">
        <v>54</v>
      </c>
      <c r="AA1903">
        <v>30000000</v>
      </c>
      <c r="AB1903">
        <v>999</v>
      </c>
      <c r="AC1903">
        <v>0</v>
      </c>
      <c r="AD1903" t="s">
        <v>94</v>
      </c>
      <c r="AE1903" t="s">
        <v>94</v>
      </c>
      <c r="AF1903" t="s">
        <v>226</v>
      </c>
      <c r="AG1903" t="s">
        <v>226</v>
      </c>
      <c r="AH1903">
        <v>8</v>
      </c>
      <c r="AI1903" t="s">
        <v>3537</v>
      </c>
      <c r="AJ1903" t="s">
        <v>1976</v>
      </c>
      <c r="AK1903" t="s">
        <v>2416</v>
      </c>
      <c r="AL1903" t="s">
        <v>272</v>
      </c>
    </row>
    <row r="1904" spans="1:38">
      <c r="A1904" t="s">
        <v>8255</v>
      </c>
      <c r="B1904" t="s">
        <v>8256</v>
      </c>
      <c r="C1904" t="s">
        <v>8257</v>
      </c>
      <c r="D1904" t="s">
        <v>8257</v>
      </c>
      <c r="E1904" t="s">
        <v>8258</v>
      </c>
      <c r="F1904" t="s">
        <v>2413</v>
      </c>
      <c r="G1904">
        <v>3</v>
      </c>
      <c r="H1904">
        <v>1</v>
      </c>
      <c r="I1904">
        <v>0.01</v>
      </c>
      <c r="J1904">
        <v>1000</v>
      </c>
      <c r="K1904">
        <v>0.48</v>
      </c>
      <c r="L1904">
        <v>94.78</v>
      </c>
      <c r="M1904">
        <v>94.33</v>
      </c>
      <c r="N1904">
        <v>94.33</v>
      </c>
      <c r="O1904">
        <v>94.78</v>
      </c>
      <c r="P1904">
        <v>0</v>
      </c>
      <c r="Q1904">
        <v>0</v>
      </c>
      <c r="R1904">
        <v>0</v>
      </c>
      <c r="S1904">
        <v>94.59</v>
      </c>
      <c r="T1904">
        <v>94.33</v>
      </c>
      <c r="U1904">
        <v>94.29</v>
      </c>
      <c r="V1904">
        <v>94.8</v>
      </c>
      <c r="W1904">
        <v>16730092</v>
      </c>
      <c r="X1904">
        <v>94.72</v>
      </c>
      <c r="Y1904">
        <v>94.77</v>
      </c>
      <c r="Z1904">
        <v>531</v>
      </c>
      <c r="AA1904">
        <v>45000000</v>
      </c>
      <c r="AB1904">
        <v>29381.8</v>
      </c>
      <c r="AC1904">
        <v>0</v>
      </c>
      <c r="AD1904" t="s">
        <v>94</v>
      </c>
      <c r="AE1904" t="s">
        <v>94</v>
      </c>
      <c r="AF1904" t="s">
        <v>226</v>
      </c>
      <c r="AG1904" t="s">
        <v>226</v>
      </c>
      <c r="AH1904">
        <v>8</v>
      </c>
      <c r="AI1904" t="s">
        <v>3537</v>
      </c>
      <c r="AJ1904" t="s">
        <v>1976</v>
      </c>
      <c r="AK1904" t="s">
        <v>2416</v>
      </c>
      <c r="AL1904" t="s">
        <v>272</v>
      </c>
    </row>
    <row r="1905" spans="1:38">
      <c r="A1905" t="s">
        <v>8259</v>
      </c>
      <c r="B1905" t="s">
        <v>8260</v>
      </c>
      <c r="C1905" t="s">
        <v>8261</v>
      </c>
      <c r="D1905" t="s">
        <v>8261</v>
      </c>
      <c r="E1905" t="s">
        <v>8262</v>
      </c>
      <c r="F1905" t="s">
        <v>2413</v>
      </c>
      <c r="G1905">
        <v>3</v>
      </c>
      <c r="H1905">
        <v>1</v>
      </c>
      <c r="I1905">
        <v>0.01</v>
      </c>
      <c r="J1905">
        <v>1000</v>
      </c>
      <c r="K1905">
        <v>0</v>
      </c>
      <c r="L1905">
        <v>0</v>
      </c>
      <c r="M1905">
        <v>104.5</v>
      </c>
      <c r="N1905">
        <v>103.47</v>
      </c>
      <c r="O1905">
        <v>104.5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103.61</v>
      </c>
      <c r="Y1905">
        <v>105.14</v>
      </c>
      <c r="Z1905">
        <v>0</v>
      </c>
      <c r="AA1905">
        <v>45000000</v>
      </c>
      <c r="AB1905">
        <v>0</v>
      </c>
      <c r="AC1905">
        <v>0</v>
      </c>
      <c r="AD1905" t="s">
        <v>94</v>
      </c>
      <c r="AE1905" t="s">
        <v>94</v>
      </c>
      <c r="AF1905" t="s">
        <v>226</v>
      </c>
      <c r="AG1905" t="s">
        <v>226</v>
      </c>
      <c r="AH1905">
        <v>-100</v>
      </c>
      <c r="AI1905" t="s">
        <v>3537</v>
      </c>
      <c r="AJ1905" t="s">
        <v>1976</v>
      </c>
      <c r="AK1905" t="s">
        <v>2416</v>
      </c>
      <c r="AL1905" t="s">
        <v>272</v>
      </c>
    </row>
    <row r="1906" spans="1:38">
      <c r="A1906" t="s">
        <v>8263</v>
      </c>
      <c r="B1906" t="s">
        <v>8264</v>
      </c>
      <c r="C1906" t="s">
        <v>8265</v>
      </c>
      <c r="D1906" t="s">
        <v>8265</v>
      </c>
      <c r="E1906" t="s">
        <v>8266</v>
      </c>
      <c r="F1906" t="s">
        <v>2413</v>
      </c>
      <c r="G1906">
        <v>3</v>
      </c>
      <c r="H1906">
        <v>1</v>
      </c>
      <c r="I1906">
        <v>0.01</v>
      </c>
      <c r="J1906">
        <v>1000</v>
      </c>
      <c r="K1906">
        <v>0</v>
      </c>
      <c r="L1906">
        <v>0</v>
      </c>
      <c r="M1906">
        <v>100</v>
      </c>
      <c r="N1906">
        <v>0</v>
      </c>
      <c r="O1906">
        <v>100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100</v>
      </c>
      <c r="Y1906">
        <v>0</v>
      </c>
      <c r="Z1906">
        <v>0</v>
      </c>
      <c r="AA1906">
        <v>30000000</v>
      </c>
      <c r="AB1906">
        <v>0</v>
      </c>
      <c r="AC1906">
        <v>0</v>
      </c>
      <c r="AD1906" t="s">
        <v>94</v>
      </c>
      <c r="AE1906" t="s">
        <v>94</v>
      </c>
      <c r="AF1906" t="s">
        <v>226</v>
      </c>
      <c r="AG1906" t="s">
        <v>226</v>
      </c>
      <c r="AH1906">
        <v>-100</v>
      </c>
      <c r="AI1906" t="s">
        <v>3537</v>
      </c>
      <c r="AJ1906" t="s">
        <v>1976</v>
      </c>
      <c r="AK1906" t="s">
        <v>2416</v>
      </c>
      <c r="AL1906" t="s">
        <v>272</v>
      </c>
    </row>
    <row r="1907" spans="1:38">
      <c r="A1907" t="s">
        <v>8267</v>
      </c>
      <c r="B1907" t="s">
        <v>8268</v>
      </c>
      <c r="C1907" t="s">
        <v>8269</v>
      </c>
      <c r="D1907" t="s">
        <v>8269</v>
      </c>
      <c r="E1907" t="s">
        <v>8270</v>
      </c>
      <c r="F1907" t="s">
        <v>2413</v>
      </c>
      <c r="G1907">
        <v>3</v>
      </c>
      <c r="H1907">
        <v>1</v>
      </c>
      <c r="I1907">
        <v>0.01</v>
      </c>
      <c r="J1907">
        <v>1000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82</v>
      </c>
      <c r="Y1907">
        <v>0</v>
      </c>
      <c r="Z1907">
        <v>0</v>
      </c>
      <c r="AA1907">
        <v>20000000</v>
      </c>
      <c r="AB1907">
        <v>0</v>
      </c>
      <c r="AC1907">
        <v>0</v>
      </c>
      <c r="AD1907" t="s">
        <v>94</v>
      </c>
      <c r="AE1907" t="s">
        <v>94</v>
      </c>
      <c r="AF1907" t="s">
        <v>226</v>
      </c>
      <c r="AG1907" t="s">
        <v>226</v>
      </c>
      <c r="AH1907">
        <v>-100</v>
      </c>
      <c r="AI1907" t="s">
        <v>3537</v>
      </c>
      <c r="AJ1907" t="s">
        <v>1976</v>
      </c>
      <c r="AK1907" t="s">
        <v>2416</v>
      </c>
      <c r="AL1907" t="s">
        <v>272</v>
      </c>
    </row>
    <row r="1908" spans="1:38">
      <c r="A1908" t="s">
        <v>8271</v>
      </c>
      <c r="B1908" t="s">
        <v>8272</v>
      </c>
      <c r="C1908" t="s">
        <v>8273</v>
      </c>
      <c r="D1908" t="s">
        <v>8273</v>
      </c>
      <c r="E1908" t="s">
        <v>8274</v>
      </c>
      <c r="F1908" t="s">
        <v>2413</v>
      </c>
      <c r="G1908">
        <v>2</v>
      </c>
      <c r="H1908">
        <v>1</v>
      </c>
      <c r="I1908">
        <v>0.01</v>
      </c>
      <c r="J1908">
        <v>1000</v>
      </c>
      <c r="K1908">
        <v>0.04</v>
      </c>
      <c r="L1908">
        <v>95.55</v>
      </c>
      <c r="M1908">
        <v>95.84</v>
      </c>
      <c r="N1908">
        <v>95.38</v>
      </c>
      <c r="O1908">
        <v>95.55</v>
      </c>
      <c r="P1908">
        <v>0</v>
      </c>
      <c r="Q1908">
        <v>0</v>
      </c>
      <c r="R1908">
        <v>0</v>
      </c>
      <c r="S1908">
        <v>95.53</v>
      </c>
      <c r="T1908">
        <v>95.95</v>
      </c>
      <c r="U1908">
        <v>95.1</v>
      </c>
      <c r="V1908">
        <v>95.95</v>
      </c>
      <c r="W1908">
        <v>1653706</v>
      </c>
      <c r="X1908">
        <v>95.56</v>
      </c>
      <c r="Y1908">
        <v>95.71</v>
      </c>
      <c r="Z1908">
        <v>240</v>
      </c>
      <c r="AA1908">
        <v>45000000</v>
      </c>
      <c r="AB1908">
        <v>1911</v>
      </c>
      <c r="AC1908">
        <v>0</v>
      </c>
      <c r="AD1908" t="s">
        <v>94</v>
      </c>
      <c r="AE1908" t="s">
        <v>94</v>
      </c>
      <c r="AF1908" t="s">
        <v>226</v>
      </c>
      <c r="AG1908" t="s">
        <v>226</v>
      </c>
      <c r="AH1908">
        <v>8</v>
      </c>
      <c r="AI1908" t="s">
        <v>3537</v>
      </c>
      <c r="AJ1908" t="s">
        <v>1976</v>
      </c>
      <c r="AK1908" t="s">
        <v>2416</v>
      </c>
      <c r="AL1908" t="s">
        <v>272</v>
      </c>
    </row>
    <row r="1909" spans="1:38">
      <c r="A1909" t="s">
        <v>8275</v>
      </c>
      <c r="B1909" t="s">
        <v>8276</v>
      </c>
      <c r="C1909" t="s">
        <v>8277</v>
      </c>
      <c r="D1909" t="s">
        <v>8277</v>
      </c>
      <c r="E1909" t="s">
        <v>8278</v>
      </c>
      <c r="F1909" t="s">
        <v>2413</v>
      </c>
      <c r="G1909">
        <v>2</v>
      </c>
      <c r="H1909">
        <v>1</v>
      </c>
      <c r="I1909">
        <v>0.01</v>
      </c>
      <c r="J1909">
        <v>1000</v>
      </c>
      <c r="K1909">
        <v>0.2</v>
      </c>
      <c r="L1909">
        <v>100.09</v>
      </c>
      <c r="M1909">
        <v>99.89</v>
      </c>
      <c r="N1909">
        <v>98.56</v>
      </c>
      <c r="O1909">
        <v>100.09</v>
      </c>
      <c r="P1909">
        <v>0</v>
      </c>
      <c r="Q1909">
        <v>0</v>
      </c>
      <c r="R1909">
        <v>0</v>
      </c>
      <c r="S1909">
        <v>99.94</v>
      </c>
      <c r="T1909">
        <v>99.98</v>
      </c>
      <c r="U1909">
        <v>98.62</v>
      </c>
      <c r="V1909">
        <v>100.1</v>
      </c>
      <c r="W1909">
        <v>711557</v>
      </c>
      <c r="X1909">
        <v>99.91</v>
      </c>
      <c r="Y1909">
        <v>100</v>
      </c>
      <c r="Z1909">
        <v>112</v>
      </c>
      <c r="AA1909">
        <v>25000000</v>
      </c>
      <c r="AB1909">
        <v>2001.8</v>
      </c>
      <c r="AC1909">
        <v>0</v>
      </c>
      <c r="AD1909" t="s">
        <v>94</v>
      </c>
      <c r="AE1909" t="s">
        <v>94</v>
      </c>
      <c r="AF1909" t="s">
        <v>226</v>
      </c>
      <c r="AG1909" t="s">
        <v>226</v>
      </c>
      <c r="AH1909">
        <v>8</v>
      </c>
      <c r="AI1909" t="s">
        <v>3537</v>
      </c>
      <c r="AJ1909" t="s">
        <v>1976</v>
      </c>
      <c r="AK1909" t="s">
        <v>2416</v>
      </c>
      <c r="AL1909" t="s">
        <v>272</v>
      </c>
    </row>
    <row r="1910" spans="1:38">
      <c r="A1910" t="s">
        <v>8279</v>
      </c>
      <c r="B1910" t="s">
        <v>8280</v>
      </c>
      <c r="C1910" t="s">
        <v>8281</v>
      </c>
      <c r="D1910" t="s">
        <v>8281</v>
      </c>
      <c r="E1910" t="s">
        <v>8282</v>
      </c>
      <c r="F1910" t="s">
        <v>2425</v>
      </c>
      <c r="G1910">
        <v>2</v>
      </c>
      <c r="H1910">
        <v>1</v>
      </c>
      <c r="I1910">
        <v>0.01</v>
      </c>
      <c r="J1910">
        <v>1000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15200000</v>
      </c>
      <c r="AB1910">
        <v>0</v>
      </c>
      <c r="AC1910">
        <v>0</v>
      </c>
      <c r="AD1910" t="s">
        <v>94</v>
      </c>
      <c r="AE1910" t="s">
        <v>94</v>
      </c>
      <c r="AF1910" t="s">
        <v>226</v>
      </c>
      <c r="AG1910" t="s">
        <v>226</v>
      </c>
      <c r="AH1910">
        <v>8</v>
      </c>
      <c r="AI1910" t="s">
        <v>3537</v>
      </c>
      <c r="AJ1910" t="s">
        <v>1976</v>
      </c>
      <c r="AK1910" t="s">
        <v>2426</v>
      </c>
      <c r="AL1910" t="s">
        <v>272</v>
      </c>
    </row>
    <row r="1911" spans="1:38">
      <c r="A1911" t="s">
        <v>8283</v>
      </c>
      <c r="B1911" t="s">
        <v>8284</v>
      </c>
      <c r="C1911" t="s">
        <v>8285</v>
      </c>
      <c r="D1911" t="s">
        <v>8285</v>
      </c>
      <c r="E1911" t="s">
        <v>8286</v>
      </c>
      <c r="F1911" t="s">
        <v>2413</v>
      </c>
      <c r="G1911">
        <v>1</v>
      </c>
      <c r="H1911">
        <v>1</v>
      </c>
      <c r="I1911">
        <v>0.01</v>
      </c>
      <c r="J1911">
        <v>1000</v>
      </c>
      <c r="K1911">
        <v>0.02</v>
      </c>
      <c r="L1911">
        <v>94.71</v>
      </c>
      <c r="M1911">
        <v>94.69</v>
      </c>
      <c r="N1911">
        <v>94.49</v>
      </c>
      <c r="O1911">
        <v>94.7</v>
      </c>
      <c r="P1911">
        <v>0</v>
      </c>
      <c r="Q1911">
        <v>0</v>
      </c>
      <c r="R1911">
        <v>0</v>
      </c>
      <c r="S1911">
        <v>94.34</v>
      </c>
      <c r="T1911">
        <v>94.73</v>
      </c>
      <c r="U1911">
        <v>93.98</v>
      </c>
      <c r="V1911">
        <v>94.73</v>
      </c>
      <c r="W1911">
        <v>1240109</v>
      </c>
      <c r="X1911">
        <v>94.7</v>
      </c>
      <c r="Y1911">
        <v>94.71</v>
      </c>
      <c r="Z1911">
        <v>107</v>
      </c>
      <c r="AA1911">
        <v>15000000</v>
      </c>
      <c r="AB1911">
        <v>1894.2</v>
      </c>
      <c r="AC1911">
        <v>0</v>
      </c>
      <c r="AD1911" t="s">
        <v>94</v>
      </c>
      <c r="AE1911" t="s">
        <v>94</v>
      </c>
      <c r="AF1911" t="s">
        <v>226</v>
      </c>
      <c r="AG1911" t="s">
        <v>226</v>
      </c>
      <c r="AH1911">
        <v>-100</v>
      </c>
      <c r="AI1911" t="s">
        <v>3537</v>
      </c>
      <c r="AJ1911" t="s">
        <v>1976</v>
      </c>
      <c r="AK1911" t="s">
        <v>2416</v>
      </c>
      <c r="AL1911" t="s">
        <v>272</v>
      </c>
    </row>
    <row r="1912" spans="1:38">
      <c r="A1912" t="s">
        <v>8287</v>
      </c>
      <c r="B1912" t="s">
        <v>8288</v>
      </c>
      <c r="C1912" t="s">
        <v>8289</v>
      </c>
      <c r="D1912" t="s">
        <v>8289</v>
      </c>
      <c r="E1912" t="s">
        <v>8290</v>
      </c>
      <c r="F1912" t="s">
        <v>2413</v>
      </c>
      <c r="G1912">
        <v>1</v>
      </c>
      <c r="H1912">
        <v>1</v>
      </c>
      <c r="I1912">
        <v>0.01</v>
      </c>
      <c r="J1912">
        <v>1000</v>
      </c>
      <c r="K1912">
        <v>0.31</v>
      </c>
      <c r="L1912">
        <v>84.26</v>
      </c>
      <c r="M1912">
        <v>84.02</v>
      </c>
      <c r="N1912">
        <v>83.55</v>
      </c>
      <c r="O1912">
        <v>84.26</v>
      </c>
      <c r="P1912">
        <v>0</v>
      </c>
      <c r="Q1912">
        <v>0</v>
      </c>
      <c r="R1912">
        <v>0</v>
      </c>
      <c r="S1912">
        <v>83.92</v>
      </c>
      <c r="T1912">
        <v>83.78</v>
      </c>
      <c r="U1912">
        <v>83.78</v>
      </c>
      <c r="V1912">
        <v>84.26</v>
      </c>
      <c r="W1912">
        <v>4196</v>
      </c>
      <c r="X1912">
        <v>83.96</v>
      </c>
      <c r="Y1912">
        <v>84.67</v>
      </c>
      <c r="Z1912">
        <v>5</v>
      </c>
      <c r="AA1912">
        <v>15000000</v>
      </c>
      <c r="AB1912">
        <v>842.6</v>
      </c>
      <c r="AC1912">
        <v>0</v>
      </c>
      <c r="AD1912" t="s">
        <v>94</v>
      </c>
      <c r="AE1912" t="s">
        <v>94</v>
      </c>
      <c r="AF1912" t="s">
        <v>226</v>
      </c>
      <c r="AG1912" t="s">
        <v>226</v>
      </c>
      <c r="AH1912">
        <v>-100</v>
      </c>
      <c r="AI1912" t="s">
        <v>3537</v>
      </c>
      <c r="AJ1912" t="s">
        <v>1976</v>
      </c>
      <c r="AK1912" t="s">
        <v>2416</v>
      </c>
      <c r="AL1912" t="s">
        <v>272</v>
      </c>
    </row>
    <row r="1913" spans="1:38">
      <c r="A1913" t="s">
        <v>8291</v>
      </c>
      <c r="B1913" t="s">
        <v>8292</v>
      </c>
      <c r="C1913" t="s">
        <v>8293</v>
      </c>
      <c r="D1913" t="s">
        <v>8293</v>
      </c>
      <c r="E1913" t="s">
        <v>8294</v>
      </c>
      <c r="F1913" t="s">
        <v>2413</v>
      </c>
      <c r="G1913">
        <v>1</v>
      </c>
      <c r="H1913">
        <v>1</v>
      </c>
      <c r="I1913">
        <v>0.01</v>
      </c>
      <c r="J1913">
        <v>1000</v>
      </c>
      <c r="K1913">
        <v>0.22</v>
      </c>
      <c r="L1913">
        <v>93.96</v>
      </c>
      <c r="M1913">
        <v>93.75</v>
      </c>
      <c r="N1913">
        <v>93.29</v>
      </c>
      <c r="O1913">
        <v>93.96</v>
      </c>
      <c r="P1913">
        <v>0</v>
      </c>
      <c r="Q1913">
        <v>0</v>
      </c>
      <c r="R1913">
        <v>0</v>
      </c>
      <c r="S1913">
        <v>94.05</v>
      </c>
      <c r="T1913">
        <v>94.08</v>
      </c>
      <c r="U1913">
        <v>93.96</v>
      </c>
      <c r="V1913">
        <v>94.08</v>
      </c>
      <c r="W1913">
        <v>3762</v>
      </c>
      <c r="X1913">
        <v>93.79</v>
      </c>
      <c r="Y1913">
        <v>94.08</v>
      </c>
      <c r="Z1913">
        <v>2</v>
      </c>
      <c r="AA1913">
        <v>15000000</v>
      </c>
      <c r="AB1913">
        <v>939.6</v>
      </c>
      <c r="AC1913">
        <v>0</v>
      </c>
      <c r="AD1913" t="s">
        <v>94</v>
      </c>
      <c r="AE1913" t="s">
        <v>94</v>
      </c>
      <c r="AF1913" t="s">
        <v>226</v>
      </c>
      <c r="AG1913" t="s">
        <v>226</v>
      </c>
      <c r="AH1913">
        <v>-100</v>
      </c>
      <c r="AI1913" t="s">
        <v>3537</v>
      </c>
      <c r="AJ1913" t="s">
        <v>1976</v>
      </c>
      <c r="AK1913" t="s">
        <v>2416</v>
      </c>
      <c r="AL1913" t="s">
        <v>272</v>
      </c>
    </row>
    <row r="1914" spans="1:38">
      <c r="A1914" t="s">
        <v>8295</v>
      </c>
      <c r="B1914" t="s">
        <v>8296</v>
      </c>
      <c r="C1914" t="s">
        <v>8297</v>
      </c>
      <c r="D1914" t="s">
        <v>8297</v>
      </c>
      <c r="E1914" t="s">
        <v>8298</v>
      </c>
      <c r="F1914" t="s">
        <v>2413</v>
      </c>
      <c r="G1914">
        <v>1</v>
      </c>
      <c r="H1914">
        <v>1</v>
      </c>
      <c r="I1914">
        <v>0.01</v>
      </c>
      <c r="J1914">
        <v>1000</v>
      </c>
      <c r="K1914">
        <v>1.62</v>
      </c>
      <c r="L1914">
        <v>92.47</v>
      </c>
      <c r="M1914">
        <v>91.1</v>
      </c>
      <c r="N1914">
        <v>91.13</v>
      </c>
      <c r="O1914">
        <v>92.27</v>
      </c>
      <c r="P1914">
        <v>0</v>
      </c>
      <c r="Q1914">
        <v>0</v>
      </c>
      <c r="R1914">
        <v>0</v>
      </c>
      <c r="S1914">
        <v>92.82</v>
      </c>
      <c r="T1914">
        <v>90.96</v>
      </c>
      <c r="U1914">
        <v>90.95</v>
      </c>
      <c r="V1914">
        <v>93</v>
      </c>
      <c r="W1914">
        <v>193060</v>
      </c>
      <c r="X1914">
        <v>91.64</v>
      </c>
      <c r="Y1914">
        <v>92.47</v>
      </c>
      <c r="Z1914">
        <v>31</v>
      </c>
      <c r="AA1914">
        <v>15000000</v>
      </c>
      <c r="AB1914">
        <v>1849.4</v>
      </c>
      <c r="AC1914">
        <v>0</v>
      </c>
      <c r="AD1914" t="s">
        <v>94</v>
      </c>
      <c r="AE1914" t="s">
        <v>94</v>
      </c>
      <c r="AF1914" t="s">
        <v>226</v>
      </c>
      <c r="AG1914" t="s">
        <v>226</v>
      </c>
      <c r="AH1914">
        <v>-100</v>
      </c>
      <c r="AI1914" t="s">
        <v>3537</v>
      </c>
      <c r="AJ1914" t="s">
        <v>1976</v>
      </c>
      <c r="AK1914" t="s">
        <v>2416</v>
      </c>
      <c r="AL1914" t="s">
        <v>272</v>
      </c>
    </row>
    <row r="1915" spans="1:38">
      <c r="A1915" t="s">
        <v>8299</v>
      </c>
      <c r="B1915" t="s">
        <v>8300</v>
      </c>
      <c r="C1915" t="s">
        <v>8301</v>
      </c>
      <c r="D1915" t="s">
        <v>8301</v>
      </c>
      <c r="E1915" t="s">
        <v>8302</v>
      </c>
      <c r="F1915" t="s">
        <v>2413</v>
      </c>
      <c r="G1915">
        <v>3</v>
      </c>
      <c r="H1915">
        <v>1</v>
      </c>
      <c r="I1915">
        <v>0.01</v>
      </c>
      <c r="J1915">
        <v>1000</v>
      </c>
      <c r="K1915">
        <v>-0.71</v>
      </c>
      <c r="L1915">
        <v>100.88</v>
      </c>
      <c r="M1915">
        <v>101.6</v>
      </c>
      <c r="N1915">
        <v>100.34</v>
      </c>
      <c r="O1915">
        <v>100.88</v>
      </c>
      <c r="P1915">
        <v>0</v>
      </c>
      <c r="Q1915">
        <v>0</v>
      </c>
      <c r="R1915">
        <v>0</v>
      </c>
      <c r="S1915">
        <v>100.4</v>
      </c>
      <c r="T1915">
        <v>100.67</v>
      </c>
      <c r="U1915">
        <v>99.52</v>
      </c>
      <c r="V1915">
        <v>100.88</v>
      </c>
      <c r="W1915">
        <v>36143</v>
      </c>
      <c r="X1915">
        <v>100.22</v>
      </c>
      <c r="Y1915">
        <v>100.88</v>
      </c>
      <c r="Z1915">
        <v>13</v>
      </c>
      <c r="AA1915">
        <v>15000000</v>
      </c>
      <c r="AB1915">
        <v>1008.8</v>
      </c>
      <c r="AC1915">
        <v>0</v>
      </c>
      <c r="AD1915" t="s">
        <v>94</v>
      </c>
      <c r="AE1915" t="s">
        <v>94</v>
      </c>
      <c r="AF1915" t="s">
        <v>226</v>
      </c>
      <c r="AG1915" t="s">
        <v>226</v>
      </c>
      <c r="AH1915">
        <v>-100</v>
      </c>
      <c r="AI1915" t="s">
        <v>3537</v>
      </c>
      <c r="AJ1915" t="s">
        <v>1976</v>
      </c>
      <c r="AK1915" t="s">
        <v>2416</v>
      </c>
      <c r="AL1915" t="s">
        <v>272</v>
      </c>
    </row>
    <row r="1916" spans="1:38">
      <c r="A1916" t="s">
        <v>8303</v>
      </c>
      <c r="B1916" t="s">
        <v>8304</v>
      </c>
      <c r="C1916" t="s">
        <v>8305</v>
      </c>
      <c r="D1916" t="s">
        <v>8305</v>
      </c>
      <c r="E1916" t="s">
        <v>8306</v>
      </c>
      <c r="F1916" t="s">
        <v>2413</v>
      </c>
      <c r="G1916">
        <v>3</v>
      </c>
      <c r="H1916">
        <v>1</v>
      </c>
      <c r="I1916">
        <v>0.01</v>
      </c>
      <c r="J1916">
        <v>1000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10000000</v>
      </c>
      <c r="AB1916">
        <v>0</v>
      </c>
      <c r="AC1916">
        <v>0</v>
      </c>
      <c r="AD1916" t="s">
        <v>94</v>
      </c>
      <c r="AE1916" t="s">
        <v>94</v>
      </c>
      <c r="AF1916" t="s">
        <v>226</v>
      </c>
      <c r="AG1916" t="s">
        <v>226</v>
      </c>
      <c r="AH1916">
        <v>-100</v>
      </c>
      <c r="AI1916" t="s">
        <v>3537</v>
      </c>
      <c r="AJ1916" t="s">
        <v>1976</v>
      </c>
      <c r="AK1916" t="s">
        <v>2416</v>
      </c>
      <c r="AL1916" t="s">
        <v>272</v>
      </c>
    </row>
    <row r="1917" spans="1:38">
      <c r="A1917" t="s">
        <v>8307</v>
      </c>
      <c r="B1917" t="s">
        <v>8308</v>
      </c>
      <c r="C1917" t="s">
        <v>8309</v>
      </c>
      <c r="D1917" t="s">
        <v>8309</v>
      </c>
      <c r="E1917" t="s">
        <v>8310</v>
      </c>
      <c r="F1917" t="s">
        <v>2413</v>
      </c>
      <c r="G1917">
        <v>2</v>
      </c>
      <c r="H1917">
        <v>1</v>
      </c>
      <c r="I1917">
        <v>0.01</v>
      </c>
      <c r="J1917">
        <v>1000</v>
      </c>
      <c r="K1917">
        <v>-1.07</v>
      </c>
      <c r="L1917">
        <v>83.5</v>
      </c>
      <c r="M1917">
        <v>84.4</v>
      </c>
      <c r="N1917">
        <v>85.7</v>
      </c>
      <c r="O1917">
        <v>83.5</v>
      </c>
      <c r="P1917">
        <v>0</v>
      </c>
      <c r="Q1917">
        <v>0</v>
      </c>
      <c r="R1917">
        <v>0</v>
      </c>
      <c r="S1917">
        <v>83.45</v>
      </c>
      <c r="T1917">
        <v>84.35</v>
      </c>
      <c r="U1917">
        <v>83.15</v>
      </c>
      <c r="V1917">
        <v>84.35</v>
      </c>
      <c r="W1917">
        <v>205277</v>
      </c>
      <c r="X1917">
        <v>83.17</v>
      </c>
      <c r="Y1917">
        <v>83.5</v>
      </c>
      <c r="Z1917">
        <v>27</v>
      </c>
      <c r="AA1917">
        <v>20000000</v>
      </c>
      <c r="AB1917">
        <v>3340</v>
      </c>
      <c r="AC1917">
        <v>0</v>
      </c>
      <c r="AD1917" t="s">
        <v>94</v>
      </c>
      <c r="AE1917" t="s">
        <v>94</v>
      </c>
      <c r="AF1917" t="s">
        <v>226</v>
      </c>
      <c r="AG1917" t="s">
        <v>226</v>
      </c>
      <c r="AH1917">
        <v>-100</v>
      </c>
      <c r="AI1917" t="s">
        <v>3537</v>
      </c>
      <c r="AJ1917" t="s">
        <v>1976</v>
      </c>
      <c r="AK1917" t="s">
        <v>2416</v>
      </c>
      <c r="AL1917" t="s">
        <v>272</v>
      </c>
    </row>
    <row r="1918" spans="1:38">
      <c r="A1918" t="s">
        <v>8311</v>
      </c>
      <c r="B1918" t="s">
        <v>8312</v>
      </c>
      <c r="C1918" t="s">
        <v>8313</v>
      </c>
      <c r="D1918" t="s">
        <v>8313</v>
      </c>
      <c r="E1918" t="s">
        <v>8314</v>
      </c>
      <c r="F1918" t="s">
        <v>2413</v>
      </c>
      <c r="G1918">
        <v>3</v>
      </c>
      <c r="H1918">
        <v>1</v>
      </c>
      <c r="I1918">
        <v>0.01</v>
      </c>
      <c r="J1918">
        <v>1000</v>
      </c>
      <c r="K1918">
        <v>0</v>
      </c>
      <c r="L1918">
        <v>0</v>
      </c>
      <c r="M1918">
        <v>102.75</v>
      </c>
      <c r="N1918">
        <v>0</v>
      </c>
      <c r="O1918">
        <v>102.75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15000000</v>
      </c>
      <c r="AB1918">
        <v>0</v>
      </c>
      <c r="AC1918">
        <v>0</v>
      </c>
      <c r="AD1918" t="s">
        <v>94</v>
      </c>
      <c r="AE1918" t="s">
        <v>94</v>
      </c>
      <c r="AF1918" t="s">
        <v>226</v>
      </c>
      <c r="AG1918" t="s">
        <v>226</v>
      </c>
      <c r="AH1918">
        <v>-100</v>
      </c>
      <c r="AI1918" t="s">
        <v>3537</v>
      </c>
      <c r="AJ1918" t="s">
        <v>1976</v>
      </c>
      <c r="AK1918" t="s">
        <v>2416</v>
      </c>
      <c r="AL1918" t="s">
        <v>272</v>
      </c>
    </row>
    <row r="1919" spans="1:38">
      <c r="A1919" t="s">
        <v>8315</v>
      </c>
      <c r="B1919" t="s">
        <v>8316</v>
      </c>
      <c r="C1919" t="s">
        <v>8317</v>
      </c>
      <c r="D1919" t="s">
        <v>8317</v>
      </c>
      <c r="E1919" t="s">
        <v>8318</v>
      </c>
      <c r="F1919" t="s">
        <v>2413</v>
      </c>
      <c r="G1919">
        <v>3</v>
      </c>
      <c r="H1919">
        <v>1</v>
      </c>
      <c r="I1919">
        <v>0.01</v>
      </c>
      <c r="J1919">
        <v>1000</v>
      </c>
      <c r="K1919">
        <v>0</v>
      </c>
      <c r="L1919">
        <v>75.53</v>
      </c>
      <c r="M1919">
        <v>75.260000000000005</v>
      </c>
      <c r="N1919">
        <v>78.41</v>
      </c>
      <c r="O1919">
        <v>75.5</v>
      </c>
      <c r="P1919">
        <v>0</v>
      </c>
      <c r="Q1919">
        <v>0</v>
      </c>
      <c r="R1919">
        <v>0</v>
      </c>
      <c r="S1919">
        <v>75.150000000000006</v>
      </c>
      <c r="T1919">
        <v>74.61</v>
      </c>
      <c r="U1919">
        <v>74.22</v>
      </c>
      <c r="V1919">
        <v>75.650000000000006</v>
      </c>
      <c r="W1919">
        <v>4509</v>
      </c>
      <c r="X1919">
        <v>74.73</v>
      </c>
      <c r="Y1919">
        <v>75.650000000000006</v>
      </c>
      <c r="Z1919">
        <v>6</v>
      </c>
      <c r="AA1919">
        <v>15000000</v>
      </c>
      <c r="AB1919">
        <v>755.3</v>
      </c>
      <c r="AC1919">
        <v>0</v>
      </c>
      <c r="AD1919" t="s">
        <v>94</v>
      </c>
      <c r="AE1919" t="s">
        <v>94</v>
      </c>
      <c r="AF1919" t="s">
        <v>226</v>
      </c>
      <c r="AG1919" t="s">
        <v>226</v>
      </c>
      <c r="AH1919">
        <v>-100</v>
      </c>
      <c r="AI1919" t="s">
        <v>3537</v>
      </c>
      <c r="AJ1919" t="s">
        <v>1976</v>
      </c>
      <c r="AK1919" t="s">
        <v>2416</v>
      </c>
      <c r="AL1919" t="s">
        <v>272</v>
      </c>
    </row>
    <row r="1920" spans="1:38">
      <c r="A1920" t="s">
        <v>8319</v>
      </c>
      <c r="B1920" t="s">
        <v>8320</v>
      </c>
      <c r="C1920" t="s">
        <v>8321</v>
      </c>
      <c r="D1920" t="s">
        <v>8321</v>
      </c>
      <c r="E1920" t="s">
        <v>8322</v>
      </c>
      <c r="F1920" t="s">
        <v>2425</v>
      </c>
      <c r="G1920">
        <v>2</v>
      </c>
      <c r="H1920">
        <v>1</v>
      </c>
      <c r="I1920">
        <v>0.01</v>
      </c>
      <c r="J1920">
        <v>1000</v>
      </c>
      <c r="K1920">
        <v>0.15</v>
      </c>
      <c r="L1920">
        <v>99.4</v>
      </c>
      <c r="M1920">
        <v>99.24</v>
      </c>
      <c r="N1920">
        <v>99.12</v>
      </c>
      <c r="O1920">
        <v>99.4</v>
      </c>
      <c r="P1920">
        <v>0</v>
      </c>
      <c r="Q1920">
        <v>0</v>
      </c>
      <c r="R1920">
        <v>0</v>
      </c>
      <c r="S1920">
        <v>99.36</v>
      </c>
      <c r="T1920">
        <v>99.39</v>
      </c>
      <c r="U1920">
        <v>99.12</v>
      </c>
      <c r="V1920">
        <v>99.79</v>
      </c>
      <c r="W1920">
        <v>1071137</v>
      </c>
      <c r="X1920">
        <v>99.36</v>
      </c>
      <c r="Y1920">
        <v>99.4</v>
      </c>
      <c r="Z1920">
        <v>47</v>
      </c>
      <c r="AA1920">
        <v>15000000</v>
      </c>
      <c r="AB1920">
        <v>994</v>
      </c>
      <c r="AC1920">
        <v>0</v>
      </c>
      <c r="AD1920" t="s">
        <v>94</v>
      </c>
      <c r="AE1920" t="s">
        <v>94</v>
      </c>
      <c r="AF1920" t="s">
        <v>226</v>
      </c>
      <c r="AG1920" t="s">
        <v>226</v>
      </c>
      <c r="AH1920">
        <v>-100</v>
      </c>
      <c r="AI1920" t="s">
        <v>3537</v>
      </c>
      <c r="AJ1920" t="s">
        <v>1976</v>
      </c>
      <c r="AK1920" t="s">
        <v>2426</v>
      </c>
      <c r="AL1920" t="s">
        <v>272</v>
      </c>
    </row>
    <row r="1921" spans="1:38">
      <c r="A1921" t="s">
        <v>8323</v>
      </c>
      <c r="B1921" t="s">
        <v>8324</v>
      </c>
      <c r="C1921" t="s">
        <v>8325</v>
      </c>
      <c r="D1921" t="s">
        <v>8325</v>
      </c>
      <c r="E1921" t="s">
        <v>8326</v>
      </c>
      <c r="F1921" t="s">
        <v>2425</v>
      </c>
      <c r="G1921">
        <v>2</v>
      </c>
      <c r="H1921">
        <v>1</v>
      </c>
      <c r="I1921">
        <v>0.01</v>
      </c>
      <c r="J1921">
        <v>1000</v>
      </c>
      <c r="K1921">
        <v>0.02</v>
      </c>
      <c r="L1921">
        <v>97.75</v>
      </c>
      <c r="M1921">
        <v>97.71</v>
      </c>
      <c r="N1921">
        <v>97.07</v>
      </c>
      <c r="O1921">
        <v>97.74</v>
      </c>
      <c r="P1921">
        <v>0</v>
      </c>
      <c r="Q1921">
        <v>0</v>
      </c>
      <c r="R1921">
        <v>0</v>
      </c>
      <c r="S1921">
        <v>97.4</v>
      </c>
      <c r="T1921">
        <v>97.28</v>
      </c>
      <c r="U1921">
        <v>97.05</v>
      </c>
      <c r="V1921">
        <v>97.8</v>
      </c>
      <c r="W1921">
        <v>200644</v>
      </c>
      <c r="X1921">
        <v>97.28</v>
      </c>
      <c r="Y1921">
        <v>97.74</v>
      </c>
      <c r="Z1921">
        <v>32</v>
      </c>
      <c r="AA1921">
        <v>20000000</v>
      </c>
      <c r="AB1921">
        <v>32257.5</v>
      </c>
      <c r="AC1921">
        <v>0</v>
      </c>
      <c r="AD1921" t="s">
        <v>94</v>
      </c>
      <c r="AE1921" t="s">
        <v>94</v>
      </c>
      <c r="AF1921" t="s">
        <v>226</v>
      </c>
      <c r="AG1921" t="s">
        <v>226</v>
      </c>
      <c r="AH1921">
        <v>-100</v>
      </c>
      <c r="AI1921" t="s">
        <v>3537</v>
      </c>
      <c r="AJ1921" t="s">
        <v>1976</v>
      </c>
      <c r="AK1921" t="s">
        <v>2426</v>
      </c>
      <c r="AL1921" t="s">
        <v>272</v>
      </c>
    </row>
    <row r="1922" spans="1:38">
      <c r="A1922" t="s">
        <v>8327</v>
      </c>
      <c r="B1922" t="s">
        <v>8328</v>
      </c>
      <c r="C1922" t="s">
        <v>8329</v>
      </c>
      <c r="D1922" t="s">
        <v>8329</v>
      </c>
      <c r="E1922" t="s">
        <v>8330</v>
      </c>
      <c r="F1922" t="s">
        <v>2425</v>
      </c>
      <c r="G1922">
        <v>2</v>
      </c>
      <c r="H1922">
        <v>1</v>
      </c>
      <c r="I1922">
        <v>0.01</v>
      </c>
      <c r="J1922">
        <v>1000</v>
      </c>
      <c r="K1922">
        <v>0.1</v>
      </c>
      <c r="L1922">
        <v>100.01</v>
      </c>
      <c r="M1922">
        <v>99.91</v>
      </c>
      <c r="N1922">
        <v>99.91</v>
      </c>
      <c r="O1922">
        <v>100.01</v>
      </c>
      <c r="P1922">
        <v>0</v>
      </c>
      <c r="Q1922">
        <v>0</v>
      </c>
      <c r="R1922">
        <v>0</v>
      </c>
      <c r="S1922">
        <v>100.09</v>
      </c>
      <c r="T1922">
        <v>100.39</v>
      </c>
      <c r="U1922">
        <v>99.92</v>
      </c>
      <c r="V1922">
        <v>100.39</v>
      </c>
      <c r="W1922">
        <v>108096</v>
      </c>
      <c r="X1922">
        <v>100</v>
      </c>
      <c r="Y1922">
        <v>100.14</v>
      </c>
      <c r="Z1922">
        <v>21</v>
      </c>
      <c r="AA1922">
        <v>15000000</v>
      </c>
      <c r="AB1922">
        <v>1000.1</v>
      </c>
      <c r="AC1922">
        <v>0</v>
      </c>
      <c r="AD1922" t="s">
        <v>94</v>
      </c>
      <c r="AE1922" t="s">
        <v>94</v>
      </c>
      <c r="AF1922" t="s">
        <v>226</v>
      </c>
      <c r="AG1922" t="s">
        <v>226</v>
      </c>
      <c r="AH1922">
        <v>-100</v>
      </c>
      <c r="AI1922" t="s">
        <v>3537</v>
      </c>
      <c r="AJ1922" t="s">
        <v>1976</v>
      </c>
      <c r="AK1922" t="s">
        <v>2426</v>
      </c>
      <c r="AL1922" t="s">
        <v>272</v>
      </c>
    </row>
    <row r="1923" spans="1:38">
      <c r="A1923" t="s">
        <v>8331</v>
      </c>
      <c r="B1923" t="s">
        <v>8332</v>
      </c>
      <c r="C1923" t="s">
        <v>8333</v>
      </c>
      <c r="D1923" t="s">
        <v>8333</v>
      </c>
      <c r="E1923" t="s">
        <v>8334</v>
      </c>
      <c r="F1923" t="s">
        <v>2425</v>
      </c>
      <c r="G1923">
        <v>1</v>
      </c>
      <c r="H1923">
        <v>1</v>
      </c>
      <c r="I1923">
        <v>0.01</v>
      </c>
      <c r="J1923">
        <v>1000</v>
      </c>
      <c r="K1923">
        <v>1.34</v>
      </c>
      <c r="L1923">
        <v>85</v>
      </c>
      <c r="M1923">
        <v>83.88</v>
      </c>
      <c r="N1923">
        <v>83.51</v>
      </c>
      <c r="O1923">
        <v>85</v>
      </c>
      <c r="P1923">
        <v>0</v>
      </c>
      <c r="Q1923">
        <v>0</v>
      </c>
      <c r="R1923">
        <v>0</v>
      </c>
      <c r="S1923">
        <v>84.68</v>
      </c>
      <c r="T1923">
        <v>83.88</v>
      </c>
      <c r="U1923">
        <v>83.86</v>
      </c>
      <c r="V1923">
        <v>85</v>
      </c>
      <c r="W1923">
        <v>99924</v>
      </c>
      <c r="X1923">
        <v>84.53</v>
      </c>
      <c r="Y1923">
        <v>85</v>
      </c>
      <c r="Z1923">
        <v>32</v>
      </c>
      <c r="AA1923">
        <v>10000000</v>
      </c>
      <c r="AB1923">
        <v>7650</v>
      </c>
      <c r="AC1923">
        <v>0</v>
      </c>
      <c r="AD1923" t="s">
        <v>94</v>
      </c>
      <c r="AE1923" t="s">
        <v>94</v>
      </c>
      <c r="AF1923" t="s">
        <v>226</v>
      </c>
      <c r="AG1923" t="s">
        <v>226</v>
      </c>
      <c r="AH1923">
        <v>8</v>
      </c>
      <c r="AI1923" t="s">
        <v>3537</v>
      </c>
      <c r="AJ1923" t="s">
        <v>1976</v>
      </c>
      <c r="AK1923" t="s">
        <v>2426</v>
      </c>
      <c r="AL1923" t="s">
        <v>272</v>
      </c>
    </row>
    <row r="1924" spans="1:38">
      <c r="A1924" t="s">
        <v>8335</v>
      </c>
      <c r="B1924" t="s">
        <v>8336</v>
      </c>
      <c r="C1924" t="s">
        <v>8337</v>
      </c>
      <c r="D1924" t="s">
        <v>8337</v>
      </c>
      <c r="E1924" t="s">
        <v>8338</v>
      </c>
      <c r="F1924" t="s">
        <v>2425</v>
      </c>
      <c r="G1924">
        <v>3</v>
      </c>
      <c r="H1924">
        <v>1</v>
      </c>
      <c r="I1924">
        <v>0.01</v>
      </c>
      <c r="J1924">
        <v>1000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15000000</v>
      </c>
      <c r="AB1924">
        <v>0</v>
      </c>
      <c r="AC1924">
        <v>0</v>
      </c>
      <c r="AD1924" t="s">
        <v>94</v>
      </c>
      <c r="AE1924" t="s">
        <v>94</v>
      </c>
      <c r="AF1924" t="s">
        <v>226</v>
      </c>
      <c r="AG1924" t="s">
        <v>226</v>
      </c>
      <c r="AH1924">
        <v>8</v>
      </c>
      <c r="AI1924" t="s">
        <v>3537</v>
      </c>
      <c r="AJ1924" t="s">
        <v>1976</v>
      </c>
      <c r="AK1924" t="s">
        <v>2426</v>
      </c>
      <c r="AL1924" t="s">
        <v>272</v>
      </c>
    </row>
    <row r="1925" spans="1:38">
      <c r="A1925" t="s">
        <v>8339</v>
      </c>
      <c r="B1925" t="s">
        <v>8340</v>
      </c>
      <c r="C1925" t="s">
        <v>8341</v>
      </c>
      <c r="D1925" t="s">
        <v>8341</v>
      </c>
      <c r="E1925" t="s">
        <v>8342</v>
      </c>
      <c r="F1925" t="s">
        <v>2425</v>
      </c>
      <c r="G1925">
        <v>3</v>
      </c>
      <c r="H1925">
        <v>1</v>
      </c>
      <c r="I1925">
        <v>0.01</v>
      </c>
      <c r="J1925">
        <v>1000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15000000</v>
      </c>
      <c r="AB1925">
        <v>0</v>
      </c>
      <c r="AC1925">
        <v>0</v>
      </c>
      <c r="AD1925" t="s">
        <v>94</v>
      </c>
      <c r="AE1925" t="s">
        <v>94</v>
      </c>
      <c r="AF1925" t="s">
        <v>226</v>
      </c>
      <c r="AG1925" t="s">
        <v>226</v>
      </c>
      <c r="AH1925">
        <v>8</v>
      </c>
      <c r="AI1925" t="s">
        <v>3537</v>
      </c>
      <c r="AJ1925" t="s">
        <v>1976</v>
      </c>
      <c r="AK1925" t="s">
        <v>2426</v>
      </c>
      <c r="AL1925" t="s">
        <v>272</v>
      </c>
    </row>
    <row r="1926" spans="1:38">
      <c r="A1926" t="s">
        <v>8343</v>
      </c>
      <c r="B1926" t="s">
        <v>8344</v>
      </c>
      <c r="C1926" t="s">
        <v>8345</v>
      </c>
      <c r="D1926" t="s">
        <v>8345</v>
      </c>
      <c r="E1926" t="s">
        <v>8346</v>
      </c>
      <c r="F1926" t="s">
        <v>2425</v>
      </c>
      <c r="G1926">
        <v>3</v>
      </c>
      <c r="H1926">
        <v>1</v>
      </c>
      <c r="I1926">
        <v>0.01</v>
      </c>
      <c r="J1926">
        <v>1000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15000000</v>
      </c>
      <c r="AB1926">
        <v>0</v>
      </c>
      <c r="AC1926">
        <v>0</v>
      </c>
      <c r="AD1926" t="s">
        <v>94</v>
      </c>
      <c r="AE1926" t="s">
        <v>94</v>
      </c>
      <c r="AF1926" t="s">
        <v>226</v>
      </c>
      <c r="AG1926" t="s">
        <v>226</v>
      </c>
      <c r="AH1926">
        <v>8</v>
      </c>
      <c r="AI1926" t="s">
        <v>3537</v>
      </c>
      <c r="AJ1926" t="s">
        <v>1976</v>
      </c>
      <c r="AK1926" t="s">
        <v>2426</v>
      </c>
      <c r="AL1926" t="s">
        <v>272</v>
      </c>
    </row>
    <row r="1927" spans="1:38">
      <c r="A1927" t="s">
        <v>8347</v>
      </c>
      <c r="B1927" t="s">
        <v>8348</v>
      </c>
      <c r="C1927" t="s">
        <v>8349</v>
      </c>
      <c r="D1927" t="s">
        <v>8349</v>
      </c>
      <c r="E1927" t="s">
        <v>8350</v>
      </c>
      <c r="F1927" t="s">
        <v>2425</v>
      </c>
      <c r="G1927">
        <v>3</v>
      </c>
      <c r="H1927">
        <v>1</v>
      </c>
      <c r="I1927">
        <v>0.01</v>
      </c>
      <c r="J1927">
        <v>1000</v>
      </c>
      <c r="K1927">
        <v>0.22</v>
      </c>
      <c r="L1927">
        <v>100.22</v>
      </c>
      <c r="M1927">
        <v>100</v>
      </c>
      <c r="N1927">
        <v>100.01</v>
      </c>
      <c r="O1927">
        <v>100.22</v>
      </c>
      <c r="P1927">
        <v>0</v>
      </c>
      <c r="Q1927">
        <v>0</v>
      </c>
      <c r="R1927">
        <v>0</v>
      </c>
      <c r="S1927">
        <v>100.16</v>
      </c>
      <c r="T1927">
        <v>101</v>
      </c>
      <c r="U1927">
        <v>99.91</v>
      </c>
      <c r="V1927">
        <v>101</v>
      </c>
      <c r="W1927">
        <v>61028437</v>
      </c>
      <c r="X1927">
        <v>100.13</v>
      </c>
      <c r="Y1927">
        <v>100.22</v>
      </c>
      <c r="Z1927">
        <v>65</v>
      </c>
      <c r="AA1927">
        <v>15000000</v>
      </c>
      <c r="AB1927">
        <v>4124053</v>
      </c>
      <c r="AC1927">
        <v>0</v>
      </c>
      <c r="AD1927" t="s">
        <v>94</v>
      </c>
      <c r="AE1927" t="s">
        <v>94</v>
      </c>
      <c r="AF1927" t="s">
        <v>226</v>
      </c>
      <c r="AG1927" t="s">
        <v>226</v>
      </c>
      <c r="AH1927">
        <v>-100</v>
      </c>
      <c r="AI1927" t="s">
        <v>3537</v>
      </c>
      <c r="AJ1927" t="s">
        <v>1976</v>
      </c>
      <c r="AK1927" t="s">
        <v>2426</v>
      </c>
      <c r="AL1927" t="s">
        <v>272</v>
      </c>
    </row>
    <row r="1928" spans="1:38">
      <c r="A1928" t="s">
        <v>8351</v>
      </c>
      <c r="B1928" t="s">
        <v>8352</v>
      </c>
      <c r="C1928" t="s">
        <v>8353</v>
      </c>
      <c r="D1928" t="s">
        <v>8353</v>
      </c>
      <c r="E1928" t="s">
        <v>8354</v>
      </c>
      <c r="F1928" t="s">
        <v>2425</v>
      </c>
      <c r="G1928">
        <v>3</v>
      </c>
      <c r="H1928">
        <v>1</v>
      </c>
      <c r="I1928">
        <v>0.01</v>
      </c>
      <c r="J1928">
        <v>1000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15000000</v>
      </c>
      <c r="AB1928">
        <v>0</v>
      </c>
      <c r="AC1928">
        <v>0</v>
      </c>
      <c r="AD1928" t="s">
        <v>94</v>
      </c>
      <c r="AE1928" t="s">
        <v>94</v>
      </c>
      <c r="AF1928" t="s">
        <v>226</v>
      </c>
      <c r="AG1928" t="s">
        <v>226</v>
      </c>
      <c r="AH1928">
        <v>-100</v>
      </c>
      <c r="AI1928" t="s">
        <v>3537</v>
      </c>
      <c r="AJ1928" t="s">
        <v>1976</v>
      </c>
      <c r="AK1928" t="s">
        <v>2426</v>
      </c>
      <c r="AL1928" t="s">
        <v>272</v>
      </c>
    </row>
    <row r="1929" spans="1:38">
      <c r="A1929" t="s">
        <v>8355</v>
      </c>
      <c r="B1929" t="s">
        <v>8356</v>
      </c>
      <c r="C1929" t="s">
        <v>8357</v>
      </c>
      <c r="D1929" t="s">
        <v>8357</v>
      </c>
      <c r="E1929" t="s">
        <v>8358</v>
      </c>
      <c r="F1929" t="s">
        <v>2425</v>
      </c>
      <c r="G1929">
        <v>3</v>
      </c>
      <c r="H1929">
        <v>1</v>
      </c>
      <c r="I1929">
        <v>0.01</v>
      </c>
      <c r="J1929">
        <v>100000</v>
      </c>
      <c r="K1929">
        <v>0</v>
      </c>
      <c r="L1929">
        <v>89</v>
      </c>
      <c r="M1929">
        <v>89</v>
      </c>
      <c r="N1929">
        <v>89</v>
      </c>
      <c r="O1929">
        <v>89</v>
      </c>
      <c r="P1929">
        <v>0</v>
      </c>
      <c r="Q1929">
        <v>0</v>
      </c>
      <c r="R1929">
        <v>0</v>
      </c>
      <c r="S1929">
        <v>89.04</v>
      </c>
      <c r="T1929">
        <v>89.5</v>
      </c>
      <c r="U1929">
        <v>89</v>
      </c>
      <c r="V1929">
        <v>89.5</v>
      </c>
      <c r="W1929">
        <v>5075500</v>
      </c>
      <c r="X1929">
        <v>88.99</v>
      </c>
      <c r="Y1929">
        <v>89</v>
      </c>
      <c r="Z1929">
        <v>13</v>
      </c>
      <c r="AA1929">
        <v>99862</v>
      </c>
      <c r="AB1929">
        <v>801000</v>
      </c>
      <c r="AC1929">
        <v>0</v>
      </c>
      <c r="AD1929" t="s">
        <v>94</v>
      </c>
      <c r="AE1929" t="s">
        <v>94</v>
      </c>
      <c r="AF1929" t="s">
        <v>226</v>
      </c>
      <c r="AG1929" t="s">
        <v>226</v>
      </c>
      <c r="AH1929">
        <v>-100</v>
      </c>
      <c r="AI1929" t="s">
        <v>3537</v>
      </c>
      <c r="AJ1929" t="s">
        <v>1976</v>
      </c>
      <c r="AK1929" t="s">
        <v>2426</v>
      </c>
      <c r="AL1929" t="s">
        <v>272</v>
      </c>
    </row>
    <row r="1930" spans="1:38">
      <c r="A1930" t="s">
        <v>8359</v>
      </c>
      <c r="B1930" t="s">
        <v>8360</v>
      </c>
      <c r="C1930" t="s">
        <v>8361</v>
      </c>
      <c r="D1930" t="s">
        <v>8361</v>
      </c>
      <c r="E1930" t="s">
        <v>8362</v>
      </c>
      <c r="F1930" t="s">
        <v>2425</v>
      </c>
      <c r="G1930">
        <v>3</v>
      </c>
      <c r="H1930">
        <v>1</v>
      </c>
      <c r="I1930">
        <v>0.01</v>
      </c>
      <c r="J1930">
        <v>100000</v>
      </c>
      <c r="K1930">
        <v>0.21</v>
      </c>
      <c r="L1930">
        <v>77.95</v>
      </c>
      <c r="M1930">
        <v>77.73</v>
      </c>
      <c r="N1930">
        <v>77.83</v>
      </c>
      <c r="O1930">
        <v>77.959999999999994</v>
      </c>
      <c r="P1930">
        <v>0</v>
      </c>
      <c r="Q1930">
        <v>0</v>
      </c>
      <c r="R1930">
        <v>0</v>
      </c>
      <c r="S1930">
        <v>77.959999999999994</v>
      </c>
      <c r="T1930">
        <v>77.959999999999994</v>
      </c>
      <c r="U1930">
        <v>77.95</v>
      </c>
      <c r="V1930">
        <v>77.97</v>
      </c>
      <c r="W1930">
        <v>311850</v>
      </c>
      <c r="X1930">
        <v>77.53</v>
      </c>
      <c r="Y1930">
        <v>77.97</v>
      </c>
      <c r="Z1930">
        <v>4</v>
      </c>
      <c r="AA1930">
        <v>145714</v>
      </c>
      <c r="AB1930">
        <v>77950</v>
      </c>
      <c r="AC1930">
        <v>0</v>
      </c>
      <c r="AD1930" t="s">
        <v>94</v>
      </c>
      <c r="AE1930" t="s">
        <v>94</v>
      </c>
      <c r="AF1930" t="s">
        <v>226</v>
      </c>
      <c r="AG1930" t="s">
        <v>226</v>
      </c>
      <c r="AH1930">
        <v>-100</v>
      </c>
      <c r="AI1930" t="s">
        <v>3537</v>
      </c>
      <c r="AJ1930" t="s">
        <v>1976</v>
      </c>
      <c r="AK1930" t="s">
        <v>2426</v>
      </c>
      <c r="AL1930" t="s">
        <v>272</v>
      </c>
    </row>
    <row r="1931" spans="1:38">
      <c r="A1931" t="s">
        <v>8363</v>
      </c>
      <c r="B1931" t="s">
        <v>8364</v>
      </c>
      <c r="C1931" t="s">
        <v>8365</v>
      </c>
      <c r="D1931" t="s">
        <v>8365</v>
      </c>
      <c r="E1931" t="s">
        <v>8366</v>
      </c>
      <c r="F1931" t="s">
        <v>2425</v>
      </c>
      <c r="G1931">
        <v>3</v>
      </c>
      <c r="H1931">
        <v>1</v>
      </c>
      <c r="I1931">
        <v>1E-4</v>
      </c>
      <c r="J1931">
        <v>5000</v>
      </c>
      <c r="K1931">
        <v>-1</v>
      </c>
      <c r="L1931">
        <v>88</v>
      </c>
      <c r="M1931">
        <v>88.89</v>
      </c>
      <c r="N1931">
        <v>87.690299999999993</v>
      </c>
      <c r="O1931">
        <v>88</v>
      </c>
      <c r="P1931">
        <v>0</v>
      </c>
      <c r="Q1931">
        <v>0</v>
      </c>
      <c r="R1931">
        <v>0</v>
      </c>
      <c r="S1931">
        <v>88</v>
      </c>
      <c r="T1931">
        <v>88</v>
      </c>
      <c r="U1931">
        <v>88</v>
      </c>
      <c r="V1931">
        <v>88</v>
      </c>
      <c r="W1931">
        <v>527820</v>
      </c>
      <c r="X1931">
        <v>82.015699999999995</v>
      </c>
      <c r="Y1931">
        <v>85</v>
      </c>
      <c r="Z1931">
        <v>1</v>
      </c>
      <c r="AA1931">
        <v>17190</v>
      </c>
      <c r="AB1931">
        <v>527820.04</v>
      </c>
      <c r="AC1931">
        <v>0</v>
      </c>
      <c r="AD1931" t="s">
        <v>5719</v>
      </c>
      <c r="AE1931" t="s">
        <v>94</v>
      </c>
      <c r="AF1931" t="s">
        <v>226</v>
      </c>
      <c r="AG1931" t="s">
        <v>226</v>
      </c>
      <c r="AH1931">
        <v>-100</v>
      </c>
      <c r="AI1931" t="s">
        <v>3537</v>
      </c>
      <c r="AJ1931" t="s">
        <v>1976</v>
      </c>
      <c r="AK1931" t="s">
        <v>2426</v>
      </c>
      <c r="AL1931" t="s">
        <v>272</v>
      </c>
    </row>
    <row r="1932" spans="1:38">
      <c r="A1932" t="s">
        <v>8367</v>
      </c>
      <c r="B1932" t="s">
        <v>8368</v>
      </c>
      <c r="C1932" t="s">
        <v>8369</v>
      </c>
      <c r="D1932" t="s">
        <v>8369</v>
      </c>
      <c r="E1932" t="s">
        <v>8370</v>
      </c>
      <c r="F1932" t="s">
        <v>2425</v>
      </c>
      <c r="G1932">
        <v>3</v>
      </c>
      <c r="H1932">
        <v>1</v>
      </c>
      <c r="I1932">
        <v>0.01</v>
      </c>
      <c r="J1932">
        <v>100000</v>
      </c>
      <c r="K1932">
        <v>0</v>
      </c>
      <c r="L1932">
        <v>0</v>
      </c>
      <c r="M1932">
        <v>65.91</v>
      </c>
      <c r="N1932">
        <v>70.239999999999995</v>
      </c>
      <c r="O1932">
        <v>65.91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64.91</v>
      </c>
      <c r="Y1932">
        <v>69.87</v>
      </c>
      <c r="Z1932">
        <v>0</v>
      </c>
      <c r="AA1932">
        <v>173506</v>
      </c>
      <c r="AB1932">
        <v>0</v>
      </c>
      <c r="AC1932">
        <v>0</v>
      </c>
      <c r="AD1932" t="s">
        <v>94</v>
      </c>
      <c r="AE1932" t="s">
        <v>94</v>
      </c>
      <c r="AF1932" t="s">
        <v>226</v>
      </c>
      <c r="AG1932" t="s">
        <v>226</v>
      </c>
      <c r="AH1932">
        <v>-100</v>
      </c>
      <c r="AI1932" t="s">
        <v>3537</v>
      </c>
      <c r="AJ1932" t="s">
        <v>1976</v>
      </c>
      <c r="AK1932" t="s">
        <v>2426</v>
      </c>
      <c r="AL1932" t="s">
        <v>272</v>
      </c>
    </row>
    <row r="1933" spans="1:38">
      <c r="A1933" t="s">
        <v>8371</v>
      </c>
      <c r="B1933" t="s">
        <v>8372</v>
      </c>
      <c r="C1933" t="s">
        <v>8373</v>
      </c>
      <c r="D1933" t="s">
        <v>8373</v>
      </c>
      <c r="E1933" t="s">
        <v>8374</v>
      </c>
      <c r="F1933" t="s">
        <v>2425</v>
      </c>
      <c r="G1933">
        <v>3</v>
      </c>
      <c r="H1933">
        <v>1</v>
      </c>
      <c r="I1933">
        <v>0.01</v>
      </c>
      <c r="J1933">
        <v>100000</v>
      </c>
      <c r="K1933">
        <v>0</v>
      </c>
      <c r="L1933">
        <v>0</v>
      </c>
      <c r="M1933">
        <v>65.25</v>
      </c>
      <c r="N1933">
        <v>65.62</v>
      </c>
      <c r="O1933">
        <v>65.25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65.25</v>
      </c>
      <c r="Y1933">
        <v>71.98</v>
      </c>
      <c r="Z1933">
        <v>0</v>
      </c>
      <c r="AA1933">
        <v>54856</v>
      </c>
      <c r="AB1933">
        <v>0</v>
      </c>
      <c r="AC1933">
        <v>0</v>
      </c>
      <c r="AD1933" t="s">
        <v>94</v>
      </c>
      <c r="AE1933" t="s">
        <v>94</v>
      </c>
      <c r="AF1933" t="s">
        <v>226</v>
      </c>
      <c r="AG1933" t="s">
        <v>226</v>
      </c>
      <c r="AH1933">
        <v>-100</v>
      </c>
      <c r="AI1933" t="s">
        <v>3537</v>
      </c>
      <c r="AJ1933" t="s">
        <v>1976</v>
      </c>
      <c r="AK1933" t="s">
        <v>2426</v>
      </c>
      <c r="AL1933" t="s">
        <v>272</v>
      </c>
    </row>
    <row r="1934" spans="1:38">
      <c r="A1934" t="s">
        <v>8375</v>
      </c>
      <c r="B1934" t="s">
        <v>8376</v>
      </c>
      <c r="C1934" t="s">
        <v>8377</v>
      </c>
      <c r="D1934" t="s">
        <v>8377</v>
      </c>
      <c r="E1934" t="s">
        <v>8378</v>
      </c>
      <c r="F1934" t="s">
        <v>2425</v>
      </c>
      <c r="G1934">
        <v>3</v>
      </c>
      <c r="H1934">
        <v>1</v>
      </c>
      <c r="I1934">
        <v>1E-4</v>
      </c>
      <c r="J1934">
        <v>5000</v>
      </c>
      <c r="K1934">
        <v>0</v>
      </c>
      <c r="L1934">
        <v>0</v>
      </c>
      <c r="M1934">
        <v>70.996799999999993</v>
      </c>
      <c r="N1934">
        <v>71.049700000000001</v>
      </c>
      <c r="O1934">
        <v>70.75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69.25</v>
      </c>
      <c r="Y1934">
        <v>71.25</v>
      </c>
      <c r="Z1934">
        <v>0</v>
      </c>
      <c r="AA1934">
        <v>17293</v>
      </c>
      <c r="AB1934">
        <v>0</v>
      </c>
      <c r="AC1934">
        <v>0</v>
      </c>
      <c r="AD1934" t="s">
        <v>5719</v>
      </c>
      <c r="AE1934" t="s">
        <v>94</v>
      </c>
      <c r="AF1934" t="s">
        <v>226</v>
      </c>
      <c r="AG1934" t="s">
        <v>226</v>
      </c>
      <c r="AH1934">
        <v>-100</v>
      </c>
      <c r="AI1934" t="s">
        <v>3537</v>
      </c>
      <c r="AJ1934" t="s">
        <v>1976</v>
      </c>
      <c r="AK1934" t="s">
        <v>2426</v>
      </c>
      <c r="AL1934" t="s">
        <v>272</v>
      </c>
    </row>
    <row r="1935" spans="1:38">
      <c r="A1935" t="s">
        <v>8379</v>
      </c>
      <c r="B1935" t="s">
        <v>8380</v>
      </c>
      <c r="C1935" t="s">
        <v>8381</v>
      </c>
      <c r="D1935" t="s">
        <v>8381</v>
      </c>
      <c r="E1935" t="s">
        <v>8382</v>
      </c>
      <c r="F1935" t="s">
        <v>2413</v>
      </c>
      <c r="G1935">
        <v>3</v>
      </c>
      <c r="H1935">
        <v>1</v>
      </c>
      <c r="I1935">
        <v>0.01</v>
      </c>
      <c r="J1935">
        <v>1000</v>
      </c>
      <c r="K1935">
        <v>0</v>
      </c>
      <c r="L1935">
        <v>99</v>
      </c>
      <c r="M1935">
        <v>99</v>
      </c>
      <c r="N1935">
        <v>98.47</v>
      </c>
      <c r="O1935">
        <v>99</v>
      </c>
      <c r="P1935">
        <v>0</v>
      </c>
      <c r="Q1935">
        <v>0</v>
      </c>
      <c r="R1935">
        <v>0</v>
      </c>
      <c r="S1935">
        <v>98.96</v>
      </c>
      <c r="T1935">
        <v>98.24</v>
      </c>
      <c r="U1935">
        <v>97.4</v>
      </c>
      <c r="V1935">
        <v>99.7</v>
      </c>
      <c r="W1935">
        <v>391870</v>
      </c>
      <c r="X1935">
        <v>98.86</v>
      </c>
      <c r="Y1935">
        <v>99</v>
      </c>
      <c r="Z1935">
        <v>55</v>
      </c>
      <c r="AA1935">
        <v>103300</v>
      </c>
      <c r="AB1935">
        <v>4950</v>
      </c>
      <c r="AC1935">
        <v>0</v>
      </c>
      <c r="AD1935" t="s">
        <v>94</v>
      </c>
      <c r="AE1935" t="s">
        <v>94</v>
      </c>
      <c r="AF1935" t="s">
        <v>226</v>
      </c>
      <c r="AG1935" t="s">
        <v>226</v>
      </c>
      <c r="AH1935">
        <v>6</v>
      </c>
      <c r="AI1935" t="s">
        <v>3537</v>
      </c>
      <c r="AJ1935" t="s">
        <v>1976</v>
      </c>
      <c r="AK1935" t="s">
        <v>2416</v>
      </c>
      <c r="AL1935" t="s">
        <v>272</v>
      </c>
    </row>
    <row r="1936" spans="1:38">
      <c r="A1936" t="s">
        <v>8383</v>
      </c>
      <c r="B1936" t="s">
        <v>8384</v>
      </c>
      <c r="C1936" t="s">
        <v>8385</v>
      </c>
      <c r="D1936" t="s">
        <v>8385</v>
      </c>
      <c r="E1936" t="s">
        <v>8386</v>
      </c>
      <c r="F1936" t="s">
        <v>2413</v>
      </c>
      <c r="G1936">
        <v>3</v>
      </c>
      <c r="H1936">
        <v>1</v>
      </c>
      <c r="I1936">
        <v>0.01</v>
      </c>
      <c r="J1936">
        <v>1000</v>
      </c>
      <c r="K1936">
        <v>2.2799999999999998</v>
      </c>
      <c r="L1936">
        <v>71.900000000000006</v>
      </c>
      <c r="M1936">
        <v>70.3</v>
      </c>
      <c r="N1936">
        <v>69.92</v>
      </c>
      <c r="O1936">
        <v>71.900000000000006</v>
      </c>
      <c r="P1936">
        <v>0</v>
      </c>
      <c r="Q1936">
        <v>0</v>
      </c>
      <c r="R1936">
        <v>0</v>
      </c>
      <c r="S1936">
        <v>70.849999999999994</v>
      </c>
      <c r="T1936">
        <v>70.400000000000006</v>
      </c>
      <c r="U1936">
        <v>69.650000000000006</v>
      </c>
      <c r="V1936">
        <v>72.7</v>
      </c>
      <c r="W1936">
        <v>520010</v>
      </c>
      <c r="X1936">
        <v>71.510000000000005</v>
      </c>
      <c r="Y1936">
        <v>71.89</v>
      </c>
      <c r="Z1936">
        <v>150</v>
      </c>
      <c r="AA1936">
        <v>950000</v>
      </c>
      <c r="AB1936">
        <v>12223</v>
      </c>
      <c r="AC1936">
        <v>0</v>
      </c>
      <c r="AD1936" t="s">
        <v>94</v>
      </c>
      <c r="AE1936" t="s">
        <v>94</v>
      </c>
      <c r="AF1936" t="s">
        <v>226</v>
      </c>
      <c r="AG1936" t="s">
        <v>226</v>
      </c>
      <c r="AH1936">
        <v>6</v>
      </c>
      <c r="AI1936" t="s">
        <v>3537</v>
      </c>
      <c r="AJ1936" t="s">
        <v>1976</v>
      </c>
      <c r="AK1936" t="s">
        <v>2416</v>
      </c>
      <c r="AL1936" t="s">
        <v>272</v>
      </c>
    </row>
    <row r="1937" spans="1:38">
      <c r="A1937" t="s">
        <v>8387</v>
      </c>
      <c r="B1937" t="s">
        <v>8388</v>
      </c>
      <c r="C1937" t="s">
        <v>8389</v>
      </c>
      <c r="D1937" t="s">
        <v>8389</v>
      </c>
      <c r="E1937" t="s">
        <v>8390</v>
      </c>
      <c r="F1937" t="s">
        <v>2413</v>
      </c>
      <c r="G1937">
        <v>3</v>
      </c>
      <c r="H1937">
        <v>1</v>
      </c>
      <c r="I1937">
        <v>0.01</v>
      </c>
      <c r="J1937">
        <v>1000</v>
      </c>
      <c r="K1937">
        <v>-0.25</v>
      </c>
      <c r="L1937">
        <v>74.86</v>
      </c>
      <c r="M1937">
        <v>75.05</v>
      </c>
      <c r="N1937">
        <v>74.56</v>
      </c>
      <c r="O1937">
        <v>74.86</v>
      </c>
      <c r="P1937">
        <v>0</v>
      </c>
      <c r="Q1937">
        <v>0</v>
      </c>
      <c r="R1937">
        <v>0</v>
      </c>
      <c r="S1937">
        <v>75.16</v>
      </c>
      <c r="T1937">
        <v>77.86</v>
      </c>
      <c r="U1937">
        <v>74.25</v>
      </c>
      <c r="V1937">
        <v>77.86</v>
      </c>
      <c r="W1937">
        <v>136041</v>
      </c>
      <c r="X1937">
        <v>74.45</v>
      </c>
      <c r="Y1937">
        <v>74.87</v>
      </c>
      <c r="Z1937">
        <v>61</v>
      </c>
      <c r="AA1937">
        <v>500000</v>
      </c>
      <c r="AB1937">
        <v>748.6</v>
      </c>
      <c r="AC1937">
        <v>0</v>
      </c>
      <c r="AD1937" t="s">
        <v>94</v>
      </c>
      <c r="AE1937" t="s">
        <v>94</v>
      </c>
      <c r="AF1937" t="s">
        <v>226</v>
      </c>
      <c r="AG1937" t="s">
        <v>226</v>
      </c>
      <c r="AH1937">
        <v>6</v>
      </c>
      <c r="AI1937" t="s">
        <v>3537</v>
      </c>
      <c r="AJ1937" t="s">
        <v>1976</v>
      </c>
      <c r="AK1937" t="s">
        <v>2416</v>
      </c>
      <c r="AL1937" t="s">
        <v>272</v>
      </c>
    </row>
    <row r="1938" spans="1:38">
      <c r="A1938" t="s">
        <v>8391</v>
      </c>
      <c r="B1938" t="s">
        <v>8392</v>
      </c>
      <c r="C1938" t="s">
        <v>8393</v>
      </c>
      <c r="D1938" t="s">
        <v>8393</v>
      </c>
      <c r="E1938" t="s">
        <v>8394</v>
      </c>
      <c r="F1938" t="s">
        <v>2425</v>
      </c>
      <c r="G1938">
        <v>1</v>
      </c>
      <c r="H1938">
        <v>1</v>
      </c>
      <c r="I1938">
        <v>0.01</v>
      </c>
      <c r="J1938">
        <v>459.66</v>
      </c>
      <c r="K1938">
        <v>0.01</v>
      </c>
      <c r="L1938">
        <v>91.29</v>
      </c>
      <c r="M1938">
        <v>91.01</v>
      </c>
      <c r="N1938">
        <v>91.25</v>
      </c>
      <c r="O1938">
        <v>91.32</v>
      </c>
      <c r="P1938">
        <v>0</v>
      </c>
      <c r="Q1938">
        <v>0</v>
      </c>
      <c r="R1938">
        <v>0</v>
      </c>
      <c r="S1938">
        <v>91.6</v>
      </c>
      <c r="T1938">
        <v>90.91</v>
      </c>
      <c r="U1938">
        <v>90.91</v>
      </c>
      <c r="V1938">
        <v>91.79</v>
      </c>
      <c r="W1938">
        <v>581022</v>
      </c>
      <c r="X1938">
        <v>91.21</v>
      </c>
      <c r="Y1938">
        <v>91.52</v>
      </c>
      <c r="Z1938">
        <v>89</v>
      </c>
      <c r="AA1938">
        <v>10000000</v>
      </c>
      <c r="AB1938">
        <v>6294.35</v>
      </c>
      <c r="AC1938">
        <v>0</v>
      </c>
      <c r="AD1938" t="s">
        <v>94</v>
      </c>
      <c r="AE1938" t="s">
        <v>94</v>
      </c>
      <c r="AF1938" t="s">
        <v>226</v>
      </c>
      <c r="AG1938" t="s">
        <v>226</v>
      </c>
      <c r="AH1938">
        <v>-100</v>
      </c>
      <c r="AI1938" t="s">
        <v>3537</v>
      </c>
      <c r="AJ1938" t="s">
        <v>1976</v>
      </c>
      <c r="AK1938" t="s">
        <v>2426</v>
      </c>
      <c r="AL1938" t="s">
        <v>272</v>
      </c>
    </row>
    <row r="1939" spans="1:38">
      <c r="A1939" t="s">
        <v>8395</v>
      </c>
      <c r="B1939" t="s">
        <v>8396</v>
      </c>
      <c r="C1939" t="s">
        <v>8397</v>
      </c>
      <c r="D1939" t="s">
        <v>8397</v>
      </c>
      <c r="E1939" t="s">
        <v>8398</v>
      </c>
      <c r="F1939" t="s">
        <v>2425</v>
      </c>
      <c r="G1939">
        <v>1</v>
      </c>
      <c r="H1939">
        <v>1</v>
      </c>
      <c r="I1939">
        <v>0.01</v>
      </c>
      <c r="J1939">
        <v>679.52</v>
      </c>
      <c r="K1939">
        <v>-0.02</v>
      </c>
      <c r="L1939">
        <v>88.1</v>
      </c>
      <c r="M1939">
        <v>88.12</v>
      </c>
      <c r="N1939">
        <v>88.09</v>
      </c>
      <c r="O1939">
        <v>88.1</v>
      </c>
      <c r="P1939">
        <v>0</v>
      </c>
      <c r="Q1939">
        <v>0</v>
      </c>
      <c r="R1939">
        <v>0</v>
      </c>
      <c r="S1939">
        <v>88.23</v>
      </c>
      <c r="T1939">
        <v>88.77</v>
      </c>
      <c r="U1939">
        <v>88.01</v>
      </c>
      <c r="V1939">
        <v>88.88</v>
      </c>
      <c r="W1939">
        <v>2879067</v>
      </c>
      <c r="X1939">
        <v>88.02</v>
      </c>
      <c r="Y1939">
        <v>88.1</v>
      </c>
      <c r="Z1939">
        <v>94</v>
      </c>
      <c r="AA1939">
        <v>10000000</v>
      </c>
      <c r="AB1939">
        <v>598.66</v>
      </c>
      <c r="AC1939">
        <v>0</v>
      </c>
      <c r="AD1939" t="s">
        <v>94</v>
      </c>
      <c r="AE1939" t="s">
        <v>94</v>
      </c>
      <c r="AF1939" t="s">
        <v>226</v>
      </c>
      <c r="AG1939" t="s">
        <v>226</v>
      </c>
      <c r="AH1939">
        <v>-100</v>
      </c>
      <c r="AI1939" t="s">
        <v>3537</v>
      </c>
      <c r="AJ1939" t="s">
        <v>1976</v>
      </c>
      <c r="AK1939" t="s">
        <v>2426</v>
      </c>
      <c r="AL1939" t="s">
        <v>272</v>
      </c>
    </row>
    <row r="1940" spans="1:38">
      <c r="A1940" t="s">
        <v>8399</v>
      </c>
      <c r="B1940" t="s">
        <v>8400</v>
      </c>
      <c r="C1940" t="s">
        <v>8401</v>
      </c>
      <c r="D1940" t="s">
        <v>8401</v>
      </c>
      <c r="E1940" t="s">
        <v>8402</v>
      </c>
      <c r="F1940" t="s">
        <v>2425</v>
      </c>
      <c r="G1940">
        <v>1</v>
      </c>
      <c r="H1940">
        <v>1</v>
      </c>
      <c r="I1940">
        <v>0.01</v>
      </c>
      <c r="J1940">
        <v>958.67</v>
      </c>
      <c r="K1940">
        <v>0.09</v>
      </c>
      <c r="L1940">
        <v>88.1</v>
      </c>
      <c r="M1940">
        <v>88.02</v>
      </c>
      <c r="N1940">
        <v>88.42</v>
      </c>
      <c r="O1940">
        <v>88.14</v>
      </c>
      <c r="P1940">
        <v>0</v>
      </c>
      <c r="Q1940">
        <v>0</v>
      </c>
      <c r="R1940">
        <v>0</v>
      </c>
      <c r="S1940">
        <v>88.25</v>
      </c>
      <c r="T1940">
        <v>88.02</v>
      </c>
      <c r="U1940">
        <v>87.92</v>
      </c>
      <c r="V1940">
        <v>89.19</v>
      </c>
      <c r="W1940">
        <v>1932417</v>
      </c>
      <c r="X1940">
        <v>88.11</v>
      </c>
      <c r="Y1940">
        <v>88.24</v>
      </c>
      <c r="Z1940">
        <v>261</v>
      </c>
      <c r="AA1940">
        <v>10000000</v>
      </c>
      <c r="AB1940">
        <v>13513.41</v>
      </c>
      <c r="AC1940">
        <v>0</v>
      </c>
      <c r="AD1940" t="s">
        <v>94</v>
      </c>
      <c r="AE1940" t="s">
        <v>94</v>
      </c>
      <c r="AF1940" t="s">
        <v>226</v>
      </c>
      <c r="AG1940" t="s">
        <v>226</v>
      </c>
      <c r="AH1940">
        <v>-100</v>
      </c>
      <c r="AI1940" t="s">
        <v>3537</v>
      </c>
      <c r="AJ1940" t="s">
        <v>1976</v>
      </c>
      <c r="AK1940" t="s">
        <v>2426</v>
      </c>
      <c r="AL1940" t="s">
        <v>272</v>
      </c>
    </row>
    <row r="1941" spans="1:38">
      <c r="A1941" t="s">
        <v>8403</v>
      </c>
      <c r="B1941" t="s">
        <v>8404</v>
      </c>
      <c r="C1941" t="s">
        <v>8405</v>
      </c>
      <c r="D1941" t="s">
        <v>8405</v>
      </c>
      <c r="E1941" t="s">
        <v>8406</v>
      </c>
      <c r="F1941" t="s">
        <v>2425</v>
      </c>
      <c r="G1941">
        <v>1</v>
      </c>
      <c r="H1941">
        <v>1</v>
      </c>
      <c r="I1941">
        <v>0.01</v>
      </c>
      <c r="J1941">
        <v>964.52</v>
      </c>
      <c r="K1941">
        <v>-0.28999999999999998</v>
      </c>
      <c r="L1941">
        <v>99.41</v>
      </c>
      <c r="M1941">
        <v>99.7</v>
      </c>
      <c r="N1941">
        <v>99.59</v>
      </c>
      <c r="O1941">
        <v>99.46</v>
      </c>
      <c r="P1941">
        <v>0</v>
      </c>
      <c r="Q1941">
        <v>0</v>
      </c>
      <c r="R1941">
        <v>0</v>
      </c>
      <c r="S1941">
        <v>99.46</v>
      </c>
      <c r="T1941">
        <v>99.68</v>
      </c>
      <c r="U1941">
        <v>99.33</v>
      </c>
      <c r="V1941">
        <v>99.68</v>
      </c>
      <c r="W1941">
        <v>5994037</v>
      </c>
      <c r="X1941">
        <v>99.41</v>
      </c>
      <c r="Y1941">
        <v>99.47</v>
      </c>
      <c r="Z1941">
        <v>441</v>
      </c>
      <c r="AA1941">
        <v>20000000</v>
      </c>
      <c r="AB1941">
        <v>23011.9</v>
      </c>
      <c r="AC1941">
        <v>0</v>
      </c>
      <c r="AD1941" t="s">
        <v>94</v>
      </c>
      <c r="AE1941" t="s">
        <v>94</v>
      </c>
      <c r="AF1941" t="s">
        <v>226</v>
      </c>
      <c r="AG1941" t="s">
        <v>226</v>
      </c>
      <c r="AH1941">
        <v>-100</v>
      </c>
      <c r="AI1941" t="s">
        <v>3537</v>
      </c>
      <c r="AJ1941" t="s">
        <v>1976</v>
      </c>
      <c r="AK1941" t="s">
        <v>2426</v>
      </c>
      <c r="AL1941" t="s">
        <v>272</v>
      </c>
    </row>
    <row r="1942" spans="1:38">
      <c r="A1942" t="s">
        <v>8407</v>
      </c>
      <c r="B1942" t="s">
        <v>8408</v>
      </c>
      <c r="C1942" t="s">
        <v>8409</v>
      </c>
      <c r="D1942" t="s">
        <v>8409</v>
      </c>
      <c r="E1942" t="s">
        <v>8410</v>
      </c>
      <c r="F1942" t="s">
        <v>2413</v>
      </c>
      <c r="G1942">
        <v>2</v>
      </c>
      <c r="H1942">
        <v>1</v>
      </c>
      <c r="I1942">
        <v>0.01</v>
      </c>
      <c r="J1942">
        <v>1000</v>
      </c>
      <c r="K1942">
        <v>-0.64</v>
      </c>
      <c r="L1942">
        <v>93.6</v>
      </c>
      <c r="M1942">
        <v>94.13</v>
      </c>
      <c r="N1942">
        <v>93.94</v>
      </c>
      <c r="O1942">
        <v>93.59</v>
      </c>
      <c r="P1942">
        <v>0</v>
      </c>
      <c r="Q1942">
        <v>0</v>
      </c>
      <c r="R1942">
        <v>0</v>
      </c>
      <c r="S1942">
        <v>93.42</v>
      </c>
      <c r="T1942">
        <v>93.7</v>
      </c>
      <c r="U1942">
        <v>93.21</v>
      </c>
      <c r="V1942">
        <v>94.12</v>
      </c>
      <c r="W1942">
        <v>785642</v>
      </c>
      <c r="X1942">
        <v>93.24</v>
      </c>
      <c r="Y1942">
        <v>93.6</v>
      </c>
      <c r="Z1942">
        <v>88</v>
      </c>
      <c r="AA1942">
        <v>500000</v>
      </c>
      <c r="AB1942">
        <v>29016</v>
      </c>
      <c r="AC1942">
        <v>0</v>
      </c>
      <c r="AD1942" t="s">
        <v>94</v>
      </c>
      <c r="AE1942" t="s">
        <v>94</v>
      </c>
      <c r="AF1942" t="s">
        <v>226</v>
      </c>
      <c r="AG1942" t="s">
        <v>226</v>
      </c>
      <c r="AH1942">
        <v>800</v>
      </c>
      <c r="AI1942" t="s">
        <v>3537</v>
      </c>
      <c r="AJ1942" t="s">
        <v>1976</v>
      </c>
      <c r="AK1942" t="s">
        <v>2416</v>
      </c>
      <c r="AL1942" t="s">
        <v>272</v>
      </c>
    </row>
    <row r="1943" spans="1:38">
      <c r="A1943" t="s">
        <v>8411</v>
      </c>
      <c r="B1943" t="s">
        <v>8412</v>
      </c>
      <c r="C1943" t="s">
        <v>8413</v>
      </c>
      <c r="D1943" t="s">
        <v>8413</v>
      </c>
      <c r="E1943" t="s">
        <v>8414</v>
      </c>
      <c r="F1943" t="s">
        <v>2413</v>
      </c>
      <c r="G1943">
        <v>2</v>
      </c>
      <c r="H1943">
        <v>1</v>
      </c>
      <c r="I1943">
        <v>0.01</v>
      </c>
      <c r="J1943">
        <v>1000</v>
      </c>
      <c r="K1943">
        <v>0</v>
      </c>
      <c r="L1943">
        <v>100</v>
      </c>
      <c r="M1943">
        <v>100</v>
      </c>
      <c r="N1943">
        <v>100</v>
      </c>
      <c r="O1943">
        <v>100</v>
      </c>
      <c r="P1943">
        <v>0</v>
      </c>
      <c r="Q1943">
        <v>0</v>
      </c>
      <c r="R1943">
        <v>0</v>
      </c>
      <c r="S1943">
        <v>100</v>
      </c>
      <c r="T1943">
        <v>100.7</v>
      </c>
      <c r="U1943">
        <v>99.98</v>
      </c>
      <c r="V1943">
        <v>100.72</v>
      </c>
      <c r="W1943">
        <v>7211002</v>
      </c>
      <c r="X1943">
        <v>99.99</v>
      </c>
      <c r="Y1943">
        <v>100</v>
      </c>
      <c r="Z1943">
        <v>100</v>
      </c>
      <c r="AA1943">
        <v>700000</v>
      </c>
      <c r="AB1943">
        <v>1000</v>
      </c>
      <c r="AC1943">
        <v>0</v>
      </c>
      <c r="AD1943" t="s">
        <v>94</v>
      </c>
      <c r="AE1943" t="s">
        <v>94</v>
      </c>
      <c r="AF1943" t="s">
        <v>226</v>
      </c>
      <c r="AG1943" t="s">
        <v>226</v>
      </c>
      <c r="AH1943">
        <v>800</v>
      </c>
      <c r="AI1943" t="s">
        <v>3537</v>
      </c>
      <c r="AJ1943" t="s">
        <v>1976</v>
      </c>
      <c r="AK1943" t="s">
        <v>2416</v>
      </c>
      <c r="AL1943" t="s">
        <v>272</v>
      </c>
    </row>
    <row r="1944" spans="1:38">
      <c r="A1944" t="s">
        <v>8415</v>
      </c>
      <c r="B1944" t="s">
        <v>8416</v>
      </c>
      <c r="C1944" t="s">
        <v>8417</v>
      </c>
      <c r="D1944" t="s">
        <v>8417</v>
      </c>
      <c r="E1944" t="s">
        <v>8418</v>
      </c>
      <c r="F1944" t="s">
        <v>2413</v>
      </c>
      <c r="G1944">
        <v>3</v>
      </c>
      <c r="H1944">
        <v>1</v>
      </c>
      <c r="I1944">
        <v>0.01</v>
      </c>
      <c r="J1944">
        <v>1000</v>
      </c>
      <c r="K1944">
        <v>0.28999999999999998</v>
      </c>
      <c r="L1944">
        <v>100.35</v>
      </c>
      <c r="M1944">
        <v>100.06</v>
      </c>
      <c r="N1944">
        <v>100.07</v>
      </c>
      <c r="O1944">
        <v>100.35</v>
      </c>
      <c r="P1944">
        <v>0</v>
      </c>
      <c r="Q1944">
        <v>0</v>
      </c>
      <c r="R1944">
        <v>0</v>
      </c>
      <c r="S1944">
        <v>100.42</v>
      </c>
      <c r="T1944">
        <v>100.05</v>
      </c>
      <c r="U1944">
        <v>100.02</v>
      </c>
      <c r="V1944">
        <v>101.8</v>
      </c>
      <c r="W1944">
        <v>6032103</v>
      </c>
      <c r="X1944">
        <v>100.2</v>
      </c>
      <c r="Y1944">
        <v>100.35</v>
      </c>
      <c r="Z1944">
        <v>443</v>
      </c>
      <c r="AA1944">
        <v>300000</v>
      </c>
      <c r="AB1944">
        <v>5017.5</v>
      </c>
      <c r="AC1944">
        <v>0</v>
      </c>
      <c r="AD1944" t="s">
        <v>94</v>
      </c>
      <c r="AE1944" t="s">
        <v>94</v>
      </c>
      <c r="AF1944" t="s">
        <v>226</v>
      </c>
      <c r="AG1944" t="s">
        <v>226</v>
      </c>
      <c r="AH1944">
        <v>6</v>
      </c>
      <c r="AI1944" t="s">
        <v>3537</v>
      </c>
      <c r="AJ1944" t="s">
        <v>1976</v>
      </c>
      <c r="AK1944" t="s">
        <v>2416</v>
      </c>
      <c r="AL1944" t="s">
        <v>272</v>
      </c>
    </row>
    <row r="1945" spans="1:38">
      <c r="A1945" t="s">
        <v>8419</v>
      </c>
      <c r="B1945" t="s">
        <v>8420</v>
      </c>
      <c r="C1945" t="s">
        <v>8421</v>
      </c>
      <c r="D1945" t="s">
        <v>8421</v>
      </c>
      <c r="E1945" t="s">
        <v>8422</v>
      </c>
      <c r="F1945" t="s">
        <v>2413</v>
      </c>
      <c r="G1945">
        <v>3</v>
      </c>
      <c r="H1945">
        <v>1</v>
      </c>
      <c r="I1945">
        <v>0.01</v>
      </c>
      <c r="J1945">
        <v>1000</v>
      </c>
      <c r="K1945">
        <v>0</v>
      </c>
      <c r="L1945">
        <v>0</v>
      </c>
      <c r="M1945">
        <v>101.99</v>
      </c>
      <c r="N1945">
        <v>98.53</v>
      </c>
      <c r="O1945">
        <v>101.99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98.53</v>
      </c>
      <c r="Y1945">
        <v>102</v>
      </c>
      <c r="Z1945">
        <v>0</v>
      </c>
      <c r="AA1945">
        <v>1680000</v>
      </c>
      <c r="AB1945">
        <v>0</v>
      </c>
      <c r="AC1945">
        <v>0</v>
      </c>
      <c r="AD1945" t="s">
        <v>94</v>
      </c>
      <c r="AE1945" t="s">
        <v>94</v>
      </c>
      <c r="AF1945" t="s">
        <v>226</v>
      </c>
      <c r="AG1945" t="s">
        <v>226</v>
      </c>
      <c r="AH1945">
        <v>800</v>
      </c>
      <c r="AI1945" t="s">
        <v>3537</v>
      </c>
      <c r="AJ1945" t="s">
        <v>1976</v>
      </c>
      <c r="AK1945" t="s">
        <v>2416</v>
      </c>
      <c r="AL1945" t="s">
        <v>272</v>
      </c>
    </row>
    <row r="1946" spans="1:38">
      <c r="A1946" t="s">
        <v>8423</v>
      </c>
      <c r="B1946" t="s">
        <v>8424</v>
      </c>
      <c r="C1946" t="s">
        <v>8425</v>
      </c>
      <c r="D1946" t="s">
        <v>8425</v>
      </c>
      <c r="E1946" t="s">
        <v>8426</v>
      </c>
      <c r="F1946" t="s">
        <v>2425</v>
      </c>
      <c r="G1946">
        <v>3</v>
      </c>
      <c r="H1946">
        <v>1</v>
      </c>
      <c r="I1946">
        <v>0.01</v>
      </c>
      <c r="J1946">
        <v>1000</v>
      </c>
      <c r="K1946">
        <v>0.16</v>
      </c>
      <c r="L1946">
        <v>81.47</v>
      </c>
      <c r="M1946">
        <v>81.33</v>
      </c>
      <c r="N1946">
        <v>81.180000000000007</v>
      </c>
      <c r="O1946">
        <v>81.47</v>
      </c>
      <c r="P1946">
        <v>0</v>
      </c>
      <c r="Q1946">
        <v>0</v>
      </c>
      <c r="R1946">
        <v>0</v>
      </c>
      <c r="S1946">
        <v>81.2</v>
      </c>
      <c r="T1946">
        <v>81.06</v>
      </c>
      <c r="U1946">
        <v>80.569999999999993</v>
      </c>
      <c r="V1946">
        <v>81.47</v>
      </c>
      <c r="W1946">
        <v>304495</v>
      </c>
      <c r="X1946">
        <v>80.87</v>
      </c>
      <c r="Y1946">
        <v>81.47</v>
      </c>
      <c r="Z1946">
        <v>27</v>
      </c>
      <c r="AA1946">
        <v>13400000</v>
      </c>
      <c r="AB1946">
        <v>139313.70000000001</v>
      </c>
      <c r="AC1946">
        <v>0</v>
      </c>
      <c r="AD1946" t="s">
        <v>94</v>
      </c>
      <c r="AE1946" t="s">
        <v>94</v>
      </c>
      <c r="AF1946" t="s">
        <v>226</v>
      </c>
      <c r="AG1946" t="s">
        <v>226</v>
      </c>
      <c r="AH1946">
        <v>800</v>
      </c>
      <c r="AI1946" t="s">
        <v>3537</v>
      </c>
      <c r="AJ1946" t="s">
        <v>1976</v>
      </c>
      <c r="AK1946" t="s">
        <v>2426</v>
      </c>
      <c r="AL1946" t="s">
        <v>272</v>
      </c>
    </row>
    <row r="1947" spans="1:38">
      <c r="A1947" t="s">
        <v>8427</v>
      </c>
      <c r="B1947" t="s">
        <v>8428</v>
      </c>
      <c r="C1947" t="s">
        <v>8429</v>
      </c>
      <c r="D1947" t="s">
        <v>8429</v>
      </c>
      <c r="E1947" t="s">
        <v>8430</v>
      </c>
      <c r="F1947" t="s">
        <v>2425</v>
      </c>
      <c r="G1947">
        <v>3</v>
      </c>
      <c r="H1947">
        <v>1</v>
      </c>
      <c r="I1947">
        <v>0.01</v>
      </c>
      <c r="J1947">
        <v>1000</v>
      </c>
      <c r="K1947">
        <v>0</v>
      </c>
      <c r="L1947">
        <v>0</v>
      </c>
      <c r="M1947">
        <v>98.01</v>
      </c>
      <c r="N1947">
        <v>0</v>
      </c>
      <c r="O1947">
        <v>98.01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97.51</v>
      </c>
      <c r="Y1947">
        <v>105</v>
      </c>
      <c r="Z1947">
        <v>0</v>
      </c>
      <c r="AA1947">
        <v>10000000</v>
      </c>
      <c r="AB1947">
        <v>0</v>
      </c>
      <c r="AC1947">
        <v>0</v>
      </c>
      <c r="AD1947" t="s">
        <v>94</v>
      </c>
      <c r="AE1947" t="s">
        <v>94</v>
      </c>
      <c r="AF1947" t="s">
        <v>226</v>
      </c>
      <c r="AG1947" t="s">
        <v>226</v>
      </c>
      <c r="AH1947">
        <v>800</v>
      </c>
      <c r="AI1947" t="s">
        <v>3537</v>
      </c>
      <c r="AJ1947" t="s">
        <v>1976</v>
      </c>
      <c r="AK1947" t="s">
        <v>2426</v>
      </c>
      <c r="AL1947" t="s">
        <v>272</v>
      </c>
    </row>
    <row r="1948" spans="1:38">
      <c r="A1948" t="s">
        <v>8431</v>
      </c>
      <c r="B1948" t="s">
        <v>8432</v>
      </c>
      <c r="C1948" t="s">
        <v>8433</v>
      </c>
      <c r="D1948" t="s">
        <v>8433</v>
      </c>
      <c r="E1948" t="s">
        <v>8434</v>
      </c>
      <c r="F1948" t="s">
        <v>2413</v>
      </c>
      <c r="G1948">
        <v>3</v>
      </c>
      <c r="H1948">
        <v>1</v>
      </c>
      <c r="I1948">
        <v>0.01</v>
      </c>
      <c r="J1948">
        <v>1000</v>
      </c>
      <c r="K1948">
        <v>0</v>
      </c>
      <c r="L1948">
        <v>0</v>
      </c>
      <c r="M1948">
        <v>104.01</v>
      </c>
      <c r="N1948">
        <v>0</v>
      </c>
      <c r="O1948">
        <v>104.01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94.01</v>
      </c>
      <c r="Y1948">
        <v>0</v>
      </c>
      <c r="Z1948">
        <v>0</v>
      </c>
      <c r="AA1948">
        <v>20000000</v>
      </c>
      <c r="AB1948">
        <v>0</v>
      </c>
      <c r="AC1948">
        <v>0</v>
      </c>
      <c r="AD1948" t="s">
        <v>94</v>
      </c>
      <c r="AE1948" t="s">
        <v>94</v>
      </c>
      <c r="AF1948" t="s">
        <v>226</v>
      </c>
      <c r="AG1948" t="s">
        <v>226</v>
      </c>
      <c r="AH1948">
        <v>800</v>
      </c>
      <c r="AI1948" t="s">
        <v>3537</v>
      </c>
      <c r="AJ1948" t="s">
        <v>1976</v>
      </c>
      <c r="AK1948" t="s">
        <v>2416</v>
      </c>
      <c r="AL1948" t="s">
        <v>272</v>
      </c>
    </row>
    <row r="1949" spans="1:38">
      <c r="A1949" t="s">
        <v>8435</v>
      </c>
      <c r="B1949" t="s">
        <v>8436</v>
      </c>
      <c r="C1949" t="s">
        <v>8437</v>
      </c>
      <c r="D1949" t="s">
        <v>8437</v>
      </c>
      <c r="E1949" t="s">
        <v>8438</v>
      </c>
      <c r="F1949" t="s">
        <v>2413</v>
      </c>
      <c r="G1949">
        <v>3</v>
      </c>
      <c r="H1949">
        <v>1</v>
      </c>
      <c r="I1949">
        <v>0.01</v>
      </c>
      <c r="J1949">
        <v>1000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25000000</v>
      </c>
      <c r="AB1949">
        <v>0</v>
      </c>
      <c r="AC1949">
        <v>0</v>
      </c>
      <c r="AD1949" t="s">
        <v>94</v>
      </c>
      <c r="AE1949" t="s">
        <v>94</v>
      </c>
      <c r="AF1949" t="s">
        <v>226</v>
      </c>
      <c r="AG1949" t="s">
        <v>226</v>
      </c>
      <c r="AH1949">
        <v>800</v>
      </c>
      <c r="AI1949" t="s">
        <v>3537</v>
      </c>
      <c r="AJ1949" t="s">
        <v>1976</v>
      </c>
      <c r="AK1949" t="s">
        <v>2416</v>
      </c>
      <c r="AL1949" t="s">
        <v>272</v>
      </c>
    </row>
    <row r="1950" spans="1:38">
      <c r="A1950" t="s">
        <v>8439</v>
      </c>
      <c r="B1950" t="s">
        <v>8440</v>
      </c>
      <c r="C1950" t="s">
        <v>8441</v>
      </c>
      <c r="D1950" t="s">
        <v>8441</v>
      </c>
      <c r="E1950" t="s">
        <v>8442</v>
      </c>
      <c r="F1950" t="s">
        <v>2413</v>
      </c>
      <c r="G1950">
        <v>3</v>
      </c>
      <c r="H1950">
        <v>1</v>
      </c>
      <c r="I1950">
        <v>0.01</v>
      </c>
      <c r="J1950">
        <v>1000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10000000</v>
      </c>
      <c r="AB1950">
        <v>0</v>
      </c>
      <c r="AC1950">
        <v>0</v>
      </c>
      <c r="AD1950" t="s">
        <v>94</v>
      </c>
      <c r="AE1950" t="s">
        <v>94</v>
      </c>
      <c r="AF1950" t="s">
        <v>226</v>
      </c>
      <c r="AG1950" t="s">
        <v>226</v>
      </c>
      <c r="AH1950">
        <v>800</v>
      </c>
      <c r="AI1950" t="s">
        <v>3537</v>
      </c>
      <c r="AJ1950" t="s">
        <v>1976</v>
      </c>
      <c r="AK1950" t="s">
        <v>2416</v>
      </c>
      <c r="AL1950" t="s">
        <v>272</v>
      </c>
    </row>
    <row r="1951" spans="1:38">
      <c r="A1951" t="s">
        <v>8443</v>
      </c>
      <c r="B1951" t="s">
        <v>8444</v>
      </c>
      <c r="C1951" t="s">
        <v>8445</v>
      </c>
      <c r="D1951" t="s">
        <v>8445</v>
      </c>
      <c r="E1951" t="s">
        <v>8446</v>
      </c>
      <c r="F1951" t="s">
        <v>2413</v>
      </c>
      <c r="G1951">
        <v>3</v>
      </c>
      <c r="H1951">
        <v>1</v>
      </c>
      <c r="I1951">
        <v>0.01</v>
      </c>
      <c r="J1951">
        <v>1000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15000000</v>
      </c>
      <c r="AB1951">
        <v>0</v>
      </c>
      <c r="AC1951">
        <v>0</v>
      </c>
      <c r="AD1951" t="s">
        <v>94</v>
      </c>
      <c r="AE1951" t="s">
        <v>94</v>
      </c>
      <c r="AF1951" t="s">
        <v>226</v>
      </c>
      <c r="AG1951" t="s">
        <v>226</v>
      </c>
      <c r="AH1951">
        <v>800</v>
      </c>
      <c r="AI1951" t="s">
        <v>3537</v>
      </c>
      <c r="AJ1951" t="s">
        <v>1976</v>
      </c>
      <c r="AK1951" t="s">
        <v>2416</v>
      </c>
      <c r="AL1951" t="s">
        <v>272</v>
      </c>
    </row>
    <row r="1952" spans="1:38">
      <c r="A1952" t="s">
        <v>8447</v>
      </c>
      <c r="B1952" t="s">
        <v>8448</v>
      </c>
      <c r="C1952" t="s">
        <v>8449</v>
      </c>
      <c r="D1952" t="s">
        <v>8449</v>
      </c>
      <c r="E1952" t="s">
        <v>8450</v>
      </c>
      <c r="F1952" t="s">
        <v>2413</v>
      </c>
      <c r="G1952">
        <v>3</v>
      </c>
      <c r="H1952">
        <v>1</v>
      </c>
      <c r="I1952">
        <v>0.01</v>
      </c>
      <c r="J1952">
        <v>1000</v>
      </c>
      <c r="K1952">
        <v>0</v>
      </c>
      <c r="L1952">
        <v>0</v>
      </c>
      <c r="M1952">
        <v>100.02</v>
      </c>
      <c r="N1952">
        <v>0</v>
      </c>
      <c r="O1952">
        <v>100.02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20000000</v>
      </c>
      <c r="AB1952">
        <v>0</v>
      </c>
      <c r="AC1952">
        <v>0</v>
      </c>
      <c r="AD1952" t="s">
        <v>94</v>
      </c>
      <c r="AE1952" t="s">
        <v>94</v>
      </c>
      <c r="AF1952" t="s">
        <v>226</v>
      </c>
      <c r="AG1952" t="s">
        <v>226</v>
      </c>
      <c r="AH1952">
        <v>800</v>
      </c>
      <c r="AI1952" t="s">
        <v>3537</v>
      </c>
      <c r="AJ1952" t="s">
        <v>1976</v>
      </c>
      <c r="AK1952" t="s">
        <v>2416</v>
      </c>
      <c r="AL1952" t="s">
        <v>272</v>
      </c>
    </row>
    <row r="1953" spans="1:38">
      <c r="A1953" t="s">
        <v>8451</v>
      </c>
      <c r="B1953" t="s">
        <v>8452</v>
      </c>
      <c r="C1953" t="s">
        <v>8453</v>
      </c>
      <c r="D1953" t="s">
        <v>8453</v>
      </c>
      <c r="E1953" t="s">
        <v>8454</v>
      </c>
      <c r="F1953" t="s">
        <v>2413</v>
      </c>
      <c r="G1953">
        <v>3</v>
      </c>
      <c r="H1953">
        <v>1</v>
      </c>
      <c r="I1953">
        <v>0.01</v>
      </c>
      <c r="J1953">
        <v>1000</v>
      </c>
      <c r="K1953">
        <v>0</v>
      </c>
      <c r="L1953">
        <v>0</v>
      </c>
      <c r="M1953">
        <v>100.02</v>
      </c>
      <c r="N1953">
        <v>0</v>
      </c>
      <c r="O1953">
        <v>100.02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20000000</v>
      </c>
      <c r="AB1953">
        <v>0</v>
      </c>
      <c r="AC1953">
        <v>0</v>
      </c>
      <c r="AD1953" t="s">
        <v>94</v>
      </c>
      <c r="AE1953" t="s">
        <v>94</v>
      </c>
      <c r="AF1953" t="s">
        <v>226</v>
      </c>
      <c r="AG1953" t="s">
        <v>226</v>
      </c>
      <c r="AH1953">
        <v>800</v>
      </c>
      <c r="AI1953" t="s">
        <v>3537</v>
      </c>
      <c r="AJ1953" t="s">
        <v>1976</v>
      </c>
      <c r="AK1953" t="s">
        <v>2416</v>
      </c>
      <c r="AL1953" t="s">
        <v>272</v>
      </c>
    </row>
    <row r="1954" spans="1:38">
      <c r="A1954" t="s">
        <v>8455</v>
      </c>
      <c r="B1954" t="s">
        <v>8456</v>
      </c>
      <c r="C1954" t="s">
        <v>8457</v>
      </c>
      <c r="D1954" t="s">
        <v>8457</v>
      </c>
      <c r="E1954" t="s">
        <v>8458</v>
      </c>
      <c r="F1954" t="s">
        <v>2413</v>
      </c>
      <c r="G1954">
        <v>3</v>
      </c>
      <c r="H1954">
        <v>1</v>
      </c>
      <c r="I1954">
        <v>0.01</v>
      </c>
      <c r="J1954">
        <v>1000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10000000</v>
      </c>
      <c r="AB1954">
        <v>0</v>
      </c>
      <c r="AC1954">
        <v>0</v>
      </c>
      <c r="AD1954" t="s">
        <v>94</v>
      </c>
      <c r="AE1954" t="s">
        <v>94</v>
      </c>
      <c r="AF1954" t="s">
        <v>226</v>
      </c>
      <c r="AG1954" t="s">
        <v>226</v>
      </c>
      <c r="AH1954">
        <v>800</v>
      </c>
      <c r="AI1954" t="s">
        <v>3537</v>
      </c>
      <c r="AJ1954" t="s">
        <v>1976</v>
      </c>
      <c r="AK1954" t="s">
        <v>2416</v>
      </c>
      <c r="AL1954" t="s">
        <v>272</v>
      </c>
    </row>
    <row r="1955" spans="1:38">
      <c r="A1955" t="s">
        <v>8459</v>
      </c>
      <c r="B1955" t="s">
        <v>8460</v>
      </c>
      <c r="C1955" t="s">
        <v>8461</v>
      </c>
      <c r="D1955" t="s">
        <v>8461</v>
      </c>
      <c r="E1955" t="s">
        <v>8462</v>
      </c>
      <c r="F1955" t="s">
        <v>2413</v>
      </c>
      <c r="G1955">
        <v>3</v>
      </c>
      <c r="H1955">
        <v>1</v>
      </c>
      <c r="I1955">
        <v>0.01</v>
      </c>
      <c r="J1955">
        <v>1000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20000000</v>
      </c>
      <c r="AB1955">
        <v>0</v>
      </c>
      <c r="AC1955">
        <v>0</v>
      </c>
      <c r="AD1955" t="s">
        <v>94</v>
      </c>
      <c r="AE1955" t="s">
        <v>94</v>
      </c>
      <c r="AF1955" t="s">
        <v>304</v>
      </c>
      <c r="AG1955" t="s">
        <v>226</v>
      </c>
      <c r="AH1955">
        <v>800</v>
      </c>
      <c r="AI1955" t="s">
        <v>3537</v>
      </c>
      <c r="AJ1955" t="s">
        <v>1976</v>
      </c>
      <c r="AK1955" t="s">
        <v>2416</v>
      </c>
      <c r="AL1955" t="s">
        <v>272</v>
      </c>
    </row>
    <row r="1956" spans="1:38">
      <c r="A1956" t="s">
        <v>8463</v>
      </c>
      <c r="B1956" t="s">
        <v>8464</v>
      </c>
      <c r="C1956" t="s">
        <v>8465</v>
      </c>
      <c r="D1956" t="s">
        <v>8465</v>
      </c>
      <c r="E1956" t="s">
        <v>8466</v>
      </c>
      <c r="F1956" t="s">
        <v>2413</v>
      </c>
      <c r="G1956">
        <v>3</v>
      </c>
      <c r="H1956">
        <v>1</v>
      </c>
      <c r="I1956">
        <v>0.01</v>
      </c>
      <c r="J1956">
        <v>1000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50000000</v>
      </c>
      <c r="AB1956">
        <v>0</v>
      </c>
      <c r="AC1956">
        <v>0</v>
      </c>
      <c r="AD1956" t="s">
        <v>94</v>
      </c>
      <c r="AE1956" t="s">
        <v>94</v>
      </c>
      <c r="AF1956" t="s">
        <v>226</v>
      </c>
      <c r="AG1956" t="s">
        <v>226</v>
      </c>
      <c r="AH1956">
        <v>800</v>
      </c>
      <c r="AI1956" t="s">
        <v>3537</v>
      </c>
      <c r="AJ1956" t="s">
        <v>1976</v>
      </c>
      <c r="AK1956" t="s">
        <v>2416</v>
      </c>
      <c r="AL1956" t="s">
        <v>272</v>
      </c>
    </row>
    <row r="1957" spans="1:38">
      <c r="A1957" t="s">
        <v>8467</v>
      </c>
      <c r="B1957" t="s">
        <v>8468</v>
      </c>
      <c r="C1957" t="s">
        <v>8469</v>
      </c>
      <c r="D1957" t="s">
        <v>8469</v>
      </c>
      <c r="E1957" t="s">
        <v>8470</v>
      </c>
      <c r="F1957" t="s">
        <v>2413</v>
      </c>
      <c r="G1957">
        <v>3</v>
      </c>
      <c r="H1957">
        <v>1</v>
      </c>
      <c r="I1957">
        <v>0.01</v>
      </c>
      <c r="J1957">
        <v>1000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30000000</v>
      </c>
      <c r="AB1957">
        <v>0</v>
      </c>
      <c r="AC1957">
        <v>0</v>
      </c>
      <c r="AD1957" t="s">
        <v>94</v>
      </c>
      <c r="AE1957" t="s">
        <v>94</v>
      </c>
      <c r="AF1957" t="s">
        <v>226</v>
      </c>
      <c r="AG1957" t="s">
        <v>226</v>
      </c>
      <c r="AH1957">
        <v>800</v>
      </c>
      <c r="AI1957" t="s">
        <v>3537</v>
      </c>
      <c r="AJ1957" t="s">
        <v>1976</v>
      </c>
      <c r="AK1957" t="s">
        <v>2416</v>
      </c>
      <c r="AL1957" t="s">
        <v>272</v>
      </c>
    </row>
    <row r="1958" spans="1:38">
      <c r="A1958" t="s">
        <v>8471</v>
      </c>
      <c r="B1958" t="s">
        <v>8472</v>
      </c>
      <c r="C1958" t="s">
        <v>8473</v>
      </c>
      <c r="D1958" t="s">
        <v>8473</v>
      </c>
      <c r="E1958" t="s">
        <v>8474</v>
      </c>
      <c r="F1958" t="s">
        <v>2413</v>
      </c>
      <c r="G1958">
        <v>3</v>
      </c>
      <c r="H1958">
        <v>1</v>
      </c>
      <c r="I1958">
        <v>0.01</v>
      </c>
      <c r="J1958">
        <v>1000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60000000</v>
      </c>
      <c r="AB1958">
        <v>0</v>
      </c>
      <c r="AC1958">
        <v>0</v>
      </c>
      <c r="AD1958" t="s">
        <v>94</v>
      </c>
      <c r="AE1958" t="s">
        <v>94</v>
      </c>
      <c r="AF1958" t="s">
        <v>226</v>
      </c>
      <c r="AG1958" t="s">
        <v>226</v>
      </c>
      <c r="AH1958">
        <v>800</v>
      </c>
      <c r="AI1958" t="s">
        <v>3537</v>
      </c>
      <c r="AJ1958" t="s">
        <v>1976</v>
      </c>
      <c r="AK1958" t="s">
        <v>2416</v>
      </c>
      <c r="AL1958" t="s">
        <v>272</v>
      </c>
    </row>
    <row r="1959" spans="1:38">
      <c r="A1959" t="s">
        <v>8475</v>
      </c>
      <c r="B1959" t="s">
        <v>8476</v>
      </c>
      <c r="C1959" t="s">
        <v>8477</v>
      </c>
      <c r="D1959" t="s">
        <v>8477</v>
      </c>
      <c r="E1959" t="s">
        <v>8478</v>
      </c>
      <c r="F1959" t="s">
        <v>2425</v>
      </c>
      <c r="G1959">
        <v>2</v>
      </c>
      <c r="H1959">
        <v>1</v>
      </c>
      <c r="I1959">
        <v>0.01</v>
      </c>
      <c r="J1959">
        <v>1000</v>
      </c>
      <c r="K1959">
        <v>0</v>
      </c>
      <c r="L1959">
        <v>0</v>
      </c>
      <c r="M1959">
        <v>95.49</v>
      </c>
      <c r="N1959">
        <v>97.27</v>
      </c>
      <c r="O1959">
        <v>95.49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94.03</v>
      </c>
      <c r="Y1959">
        <v>95.72</v>
      </c>
      <c r="Z1959">
        <v>0</v>
      </c>
      <c r="AA1959">
        <v>5000000</v>
      </c>
      <c r="AB1959">
        <v>0</v>
      </c>
      <c r="AC1959">
        <v>0</v>
      </c>
      <c r="AD1959" t="s">
        <v>94</v>
      </c>
      <c r="AE1959" t="s">
        <v>94</v>
      </c>
      <c r="AF1959" t="s">
        <v>226</v>
      </c>
      <c r="AG1959" t="s">
        <v>226</v>
      </c>
      <c r="AH1959">
        <v>6</v>
      </c>
      <c r="AI1959" t="s">
        <v>3537</v>
      </c>
      <c r="AJ1959" t="s">
        <v>1976</v>
      </c>
      <c r="AK1959" t="s">
        <v>2426</v>
      </c>
      <c r="AL1959" t="s">
        <v>272</v>
      </c>
    </row>
    <row r="1960" spans="1:38">
      <c r="A1960" t="s">
        <v>8479</v>
      </c>
      <c r="B1960" t="s">
        <v>8480</v>
      </c>
      <c r="C1960" t="s">
        <v>8481</v>
      </c>
      <c r="D1960" t="s">
        <v>8481</v>
      </c>
      <c r="E1960" t="s">
        <v>8482</v>
      </c>
      <c r="F1960" t="s">
        <v>2413</v>
      </c>
      <c r="G1960">
        <v>3</v>
      </c>
      <c r="H1960">
        <v>1</v>
      </c>
      <c r="I1960">
        <v>0.01</v>
      </c>
      <c r="J1960">
        <v>1000</v>
      </c>
      <c r="K1960">
        <v>-0.75</v>
      </c>
      <c r="L1960">
        <v>93.16</v>
      </c>
      <c r="M1960">
        <v>93.71</v>
      </c>
      <c r="N1960">
        <v>92.05</v>
      </c>
      <c r="O1960">
        <v>93.1</v>
      </c>
      <c r="P1960">
        <v>0</v>
      </c>
      <c r="Q1960">
        <v>0</v>
      </c>
      <c r="R1960">
        <v>0</v>
      </c>
      <c r="S1960">
        <v>93.04</v>
      </c>
      <c r="T1960">
        <v>93.85</v>
      </c>
      <c r="U1960">
        <v>92.45</v>
      </c>
      <c r="V1960">
        <v>93.86</v>
      </c>
      <c r="W1960">
        <v>312621</v>
      </c>
      <c r="X1960">
        <v>93.02</v>
      </c>
      <c r="Y1960">
        <v>93.1</v>
      </c>
      <c r="Z1960">
        <v>97</v>
      </c>
      <c r="AA1960">
        <v>500000</v>
      </c>
      <c r="AB1960">
        <v>3726.4</v>
      </c>
      <c r="AC1960">
        <v>0</v>
      </c>
      <c r="AD1960" t="s">
        <v>94</v>
      </c>
      <c r="AE1960" t="s">
        <v>94</v>
      </c>
      <c r="AF1960" t="s">
        <v>226</v>
      </c>
      <c r="AG1960" t="s">
        <v>226</v>
      </c>
      <c r="AH1960">
        <v>6</v>
      </c>
      <c r="AI1960" t="s">
        <v>3537</v>
      </c>
      <c r="AJ1960" t="s">
        <v>1976</v>
      </c>
      <c r="AK1960" t="s">
        <v>2416</v>
      </c>
      <c r="AL1960" t="s">
        <v>272</v>
      </c>
    </row>
    <row r="1961" spans="1:38">
      <c r="A1961" t="s">
        <v>8483</v>
      </c>
      <c r="B1961" t="s">
        <v>8484</v>
      </c>
      <c r="C1961" t="s">
        <v>8485</v>
      </c>
      <c r="D1961" t="s">
        <v>8485</v>
      </c>
      <c r="E1961" t="s">
        <v>8486</v>
      </c>
      <c r="F1961" t="s">
        <v>2425</v>
      </c>
      <c r="G1961">
        <v>3</v>
      </c>
      <c r="H1961">
        <v>1</v>
      </c>
      <c r="I1961">
        <v>0.01</v>
      </c>
      <c r="J1961">
        <v>1000</v>
      </c>
      <c r="K1961">
        <v>1.29</v>
      </c>
      <c r="L1961">
        <v>51.95</v>
      </c>
      <c r="M1961">
        <v>51.26</v>
      </c>
      <c r="N1961">
        <v>51.19</v>
      </c>
      <c r="O1961">
        <v>51.52</v>
      </c>
      <c r="P1961">
        <v>0</v>
      </c>
      <c r="Q1961">
        <v>0</v>
      </c>
      <c r="R1961">
        <v>0</v>
      </c>
      <c r="S1961">
        <v>50.81</v>
      </c>
      <c r="T1961">
        <v>51.4</v>
      </c>
      <c r="U1961">
        <v>50.55</v>
      </c>
      <c r="V1961">
        <v>51.95</v>
      </c>
      <c r="W1961">
        <v>1775216</v>
      </c>
      <c r="X1961">
        <v>51.53</v>
      </c>
      <c r="Y1961">
        <v>51.84</v>
      </c>
      <c r="Z1961">
        <v>136</v>
      </c>
      <c r="AA1961">
        <v>10000000</v>
      </c>
      <c r="AB1961">
        <v>519.5</v>
      </c>
      <c r="AC1961">
        <v>0</v>
      </c>
      <c r="AD1961" t="s">
        <v>94</v>
      </c>
      <c r="AE1961" t="s">
        <v>94</v>
      </c>
      <c r="AF1961" t="s">
        <v>226</v>
      </c>
      <c r="AG1961" t="s">
        <v>226</v>
      </c>
      <c r="AH1961">
        <v>800</v>
      </c>
      <c r="AI1961" t="s">
        <v>3537</v>
      </c>
      <c r="AJ1961" t="s">
        <v>1976</v>
      </c>
      <c r="AK1961" t="s">
        <v>2426</v>
      </c>
      <c r="AL1961" t="s">
        <v>272</v>
      </c>
    </row>
    <row r="1962" spans="1:38">
      <c r="A1962" t="s">
        <v>8487</v>
      </c>
      <c r="B1962" t="s">
        <v>8488</v>
      </c>
      <c r="C1962" t="s">
        <v>8489</v>
      </c>
      <c r="D1962" t="s">
        <v>8489</v>
      </c>
      <c r="E1962" t="s">
        <v>8490</v>
      </c>
      <c r="F1962" t="s">
        <v>2425</v>
      </c>
      <c r="G1962">
        <v>3</v>
      </c>
      <c r="H1962">
        <v>1</v>
      </c>
      <c r="I1962">
        <v>0.01</v>
      </c>
      <c r="J1962">
        <v>1000</v>
      </c>
      <c r="K1962">
        <v>0</v>
      </c>
      <c r="L1962">
        <v>0</v>
      </c>
      <c r="M1962">
        <v>129.9</v>
      </c>
      <c r="N1962">
        <v>0</v>
      </c>
      <c r="O1962">
        <v>129.9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5000000</v>
      </c>
      <c r="AB1962">
        <v>0</v>
      </c>
      <c r="AC1962">
        <v>0</v>
      </c>
      <c r="AD1962" t="s">
        <v>94</v>
      </c>
      <c r="AE1962" t="s">
        <v>94</v>
      </c>
      <c r="AF1962" t="s">
        <v>226</v>
      </c>
      <c r="AG1962" t="s">
        <v>226</v>
      </c>
      <c r="AH1962">
        <v>8</v>
      </c>
      <c r="AI1962" t="s">
        <v>3537</v>
      </c>
      <c r="AJ1962" t="s">
        <v>1976</v>
      </c>
      <c r="AK1962" t="s">
        <v>2426</v>
      </c>
      <c r="AL1962" t="s">
        <v>272</v>
      </c>
    </row>
    <row r="1963" spans="1:38">
      <c r="A1963" t="s">
        <v>8491</v>
      </c>
      <c r="B1963" t="s">
        <v>8492</v>
      </c>
      <c r="C1963" t="s">
        <v>8493</v>
      </c>
      <c r="D1963" t="s">
        <v>8493</v>
      </c>
      <c r="E1963" t="s">
        <v>8494</v>
      </c>
      <c r="F1963" t="s">
        <v>2425</v>
      </c>
      <c r="G1963">
        <v>3</v>
      </c>
      <c r="H1963">
        <v>1</v>
      </c>
      <c r="I1963">
        <v>0.01</v>
      </c>
      <c r="J1963">
        <v>1000</v>
      </c>
      <c r="K1963">
        <v>0</v>
      </c>
      <c r="L1963">
        <v>0</v>
      </c>
      <c r="M1963">
        <v>129.9</v>
      </c>
      <c r="N1963">
        <v>0</v>
      </c>
      <c r="O1963">
        <v>129.9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5000000</v>
      </c>
      <c r="AB1963">
        <v>0</v>
      </c>
      <c r="AC1963">
        <v>0</v>
      </c>
      <c r="AD1963" t="s">
        <v>94</v>
      </c>
      <c r="AE1963" t="s">
        <v>94</v>
      </c>
      <c r="AF1963" t="s">
        <v>226</v>
      </c>
      <c r="AG1963" t="s">
        <v>226</v>
      </c>
      <c r="AH1963">
        <v>8</v>
      </c>
      <c r="AI1963" t="s">
        <v>3537</v>
      </c>
      <c r="AJ1963" t="s">
        <v>1976</v>
      </c>
      <c r="AK1963" t="s">
        <v>2426</v>
      </c>
      <c r="AL1963" t="s">
        <v>272</v>
      </c>
    </row>
    <row r="1964" spans="1:38">
      <c r="A1964" t="s">
        <v>8495</v>
      </c>
      <c r="B1964" t="s">
        <v>8496</v>
      </c>
      <c r="C1964" t="s">
        <v>8497</v>
      </c>
      <c r="D1964" t="s">
        <v>8497</v>
      </c>
      <c r="E1964" t="s">
        <v>8498</v>
      </c>
      <c r="F1964" t="s">
        <v>2425</v>
      </c>
      <c r="G1964">
        <v>3</v>
      </c>
      <c r="H1964">
        <v>1</v>
      </c>
      <c r="I1964">
        <v>0.01</v>
      </c>
      <c r="J1964">
        <v>1000</v>
      </c>
      <c r="K1964">
        <v>-0.89</v>
      </c>
      <c r="L1964">
        <v>78.33</v>
      </c>
      <c r="M1964">
        <v>79.03</v>
      </c>
      <c r="N1964">
        <v>78.349999999999994</v>
      </c>
      <c r="O1964">
        <v>78.33</v>
      </c>
      <c r="P1964">
        <v>0</v>
      </c>
      <c r="Q1964">
        <v>0</v>
      </c>
      <c r="R1964">
        <v>0</v>
      </c>
      <c r="S1964">
        <v>79.08</v>
      </c>
      <c r="T1964">
        <v>79.48</v>
      </c>
      <c r="U1964">
        <v>78</v>
      </c>
      <c r="V1964">
        <v>79.88</v>
      </c>
      <c r="W1964">
        <v>1081850</v>
      </c>
      <c r="X1964">
        <v>78.16</v>
      </c>
      <c r="Y1964">
        <v>78.2</v>
      </c>
      <c r="Z1964">
        <v>108</v>
      </c>
      <c r="AA1964">
        <v>5000000</v>
      </c>
      <c r="AB1964">
        <v>783.3</v>
      </c>
      <c r="AC1964">
        <v>0</v>
      </c>
      <c r="AD1964" t="s">
        <v>94</v>
      </c>
      <c r="AE1964" t="s">
        <v>94</v>
      </c>
      <c r="AF1964" t="s">
        <v>226</v>
      </c>
      <c r="AG1964" t="s">
        <v>226</v>
      </c>
      <c r="AH1964">
        <v>8</v>
      </c>
      <c r="AI1964" t="s">
        <v>3537</v>
      </c>
      <c r="AJ1964" t="s">
        <v>1976</v>
      </c>
      <c r="AK1964" t="s">
        <v>2426</v>
      </c>
      <c r="AL1964" t="s">
        <v>272</v>
      </c>
    </row>
    <row r="1965" spans="1:38">
      <c r="A1965" t="s">
        <v>8499</v>
      </c>
      <c r="B1965" t="s">
        <v>8500</v>
      </c>
      <c r="C1965" t="s">
        <v>8501</v>
      </c>
      <c r="D1965" t="s">
        <v>8501</v>
      </c>
      <c r="E1965" t="s">
        <v>8502</v>
      </c>
      <c r="F1965" t="s">
        <v>2425</v>
      </c>
      <c r="G1965">
        <v>3</v>
      </c>
      <c r="H1965">
        <v>1</v>
      </c>
      <c r="I1965">
        <v>0.01</v>
      </c>
      <c r="J1965">
        <v>1000</v>
      </c>
      <c r="K1965">
        <v>0.94</v>
      </c>
      <c r="L1965">
        <v>51.5</v>
      </c>
      <c r="M1965">
        <v>51.02</v>
      </c>
      <c r="N1965">
        <v>51.02</v>
      </c>
      <c r="O1965">
        <v>51.28</v>
      </c>
      <c r="P1965">
        <v>0</v>
      </c>
      <c r="Q1965">
        <v>0</v>
      </c>
      <c r="R1965">
        <v>0</v>
      </c>
      <c r="S1965">
        <v>50.89</v>
      </c>
      <c r="T1965">
        <v>51.25</v>
      </c>
      <c r="U1965">
        <v>50.55</v>
      </c>
      <c r="V1965">
        <v>51.5</v>
      </c>
      <c r="W1965">
        <v>1566520</v>
      </c>
      <c r="X1965">
        <v>51.58</v>
      </c>
      <c r="Y1965">
        <v>51.93</v>
      </c>
      <c r="Z1965">
        <v>123</v>
      </c>
      <c r="AA1965">
        <v>5000000</v>
      </c>
      <c r="AB1965">
        <v>10815</v>
      </c>
      <c r="AC1965">
        <v>0</v>
      </c>
      <c r="AD1965" t="s">
        <v>94</v>
      </c>
      <c r="AE1965" t="s">
        <v>94</v>
      </c>
      <c r="AF1965" t="s">
        <v>226</v>
      </c>
      <c r="AG1965" t="s">
        <v>226</v>
      </c>
      <c r="AH1965">
        <v>800</v>
      </c>
      <c r="AI1965" t="s">
        <v>3537</v>
      </c>
      <c r="AJ1965" t="s">
        <v>1976</v>
      </c>
      <c r="AK1965" t="s">
        <v>2426</v>
      </c>
      <c r="AL1965" t="s">
        <v>272</v>
      </c>
    </row>
    <row r="1966" spans="1:38">
      <c r="A1966" t="s">
        <v>8503</v>
      </c>
      <c r="B1966" t="s">
        <v>2684</v>
      </c>
      <c r="C1966" t="s">
        <v>2685</v>
      </c>
      <c r="D1966" t="s">
        <v>2685</v>
      </c>
      <c r="E1966" t="s">
        <v>2686</v>
      </c>
      <c r="F1966" t="s">
        <v>2425</v>
      </c>
      <c r="G1966">
        <v>3</v>
      </c>
      <c r="H1966">
        <v>1</v>
      </c>
      <c r="I1966">
        <v>1E-4</v>
      </c>
      <c r="J1966">
        <v>1000</v>
      </c>
      <c r="K1966">
        <v>0</v>
      </c>
      <c r="L1966">
        <v>0</v>
      </c>
      <c r="M1966">
        <v>79.001999999999995</v>
      </c>
      <c r="N1966">
        <v>79.969399999999993</v>
      </c>
      <c r="O1966">
        <v>79.001999999999995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79.099999999999994</v>
      </c>
      <c r="Y1966">
        <v>79.900000000000006</v>
      </c>
      <c r="Z1966">
        <v>0</v>
      </c>
      <c r="AA1966">
        <v>50000</v>
      </c>
      <c r="AB1966">
        <v>0</v>
      </c>
      <c r="AC1966">
        <v>0</v>
      </c>
      <c r="AD1966" t="s">
        <v>2</v>
      </c>
      <c r="AE1966" t="s">
        <v>94</v>
      </c>
      <c r="AF1966" t="s">
        <v>304</v>
      </c>
      <c r="AG1966" t="s">
        <v>226</v>
      </c>
      <c r="AH1966">
        <v>0</v>
      </c>
      <c r="AI1966" t="s">
        <v>3537</v>
      </c>
      <c r="AJ1966" t="s">
        <v>1976</v>
      </c>
      <c r="AK1966" t="s">
        <v>2426</v>
      </c>
      <c r="AL1966" t="s">
        <v>272</v>
      </c>
    </row>
    <row r="1967" spans="1:38">
      <c r="A1967" t="s">
        <v>8504</v>
      </c>
      <c r="B1967" t="s">
        <v>8505</v>
      </c>
      <c r="C1967" t="s">
        <v>8506</v>
      </c>
      <c r="D1967" t="s">
        <v>8506</v>
      </c>
      <c r="E1967" t="s">
        <v>8507</v>
      </c>
      <c r="F1967" t="s">
        <v>2413</v>
      </c>
      <c r="G1967">
        <v>3</v>
      </c>
      <c r="H1967">
        <v>1</v>
      </c>
      <c r="I1967">
        <v>0.01</v>
      </c>
      <c r="J1967">
        <v>1000</v>
      </c>
      <c r="K1967">
        <v>-0.55000000000000004</v>
      </c>
      <c r="L1967">
        <v>97.4</v>
      </c>
      <c r="M1967">
        <v>97.94</v>
      </c>
      <c r="N1967">
        <v>97.52</v>
      </c>
      <c r="O1967">
        <v>97</v>
      </c>
      <c r="P1967">
        <v>0</v>
      </c>
      <c r="Q1967">
        <v>0</v>
      </c>
      <c r="R1967">
        <v>0</v>
      </c>
      <c r="S1967">
        <v>97.08</v>
      </c>
      <c r="T1967">
        <v>98.05</v>
      </c>
      <c r="U1967">
        <v>97</v>
      </c>
      <c r="V1967">
        <v>98.05</v>
      </c>
      <c r="W1967">
        <v>32042281</v>
      </c>
      <c r="X1967">
        <v>97.21</v>
      </c>
      <c r="Y1967">
        <v>97.73</v>
      </c>
      <c r="Z1967">
        <v>71</v>
      </c>
      <c r="AA1967">
        <v>15000000</v>
      </c>
      <c r="AB1967">
        <v>48700</v>
      </c>
      <c r="AC1967">
        <v>0</v>
      </c>
      <c r="AD1967" t="s">
        <v>94</v>
      </c>
      <c r="AE1967" t="s">
        <v>94</v>
      </c>
      <c r="AF1967" t="s">
        <v>226</v>
      </c>
      <c r="AG1967" t="s">
        <v>226</v>
      </c>
      <c r="AH1967">
        <v>6</v>
      </c>
      <c r="AI1967" t="s">
        <v>3537</v>
      </c>
      <c r="AJ1967" t="s">
        <v>1976</v>
      </c>
      <c r="AK1967" t="s">
        <v>2416</v>
      </c>
      <c r="AL1967" t="s">
        <v>272</v>
      </c>
    </row>
    <row r="1968" spans="1:38">
      <c r="A1968" t="s">
        <v>8508</v>
      </c>
      <c r="B1968" t="s">
        <v>8509</v>
      </c>
      <c r="C1968" t="s">
        <v>8510</v>
      </c>
      <c r="D1968" t="s">
        <v>8510</v>
      </c>
      <c r="E1968" t="s">
        <v>8511</v>
      </c>
      <c r="F1968" t="s">
        <v>2425</v>
      </c>
      <c r="G1968">
        <v>3</v>
      </c>
      <c r="H1968">
        <v>1</v>
      </c>
      <c r="I1968">
        <v>0.01</v>
      </c>
      <c r="J1968">
        <v>1000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5000000</v>
      </c>
      <c r="AB1968">
        <v>0</v>
      </c>
      <c r="AC1968">
        <v>0</v>
      </c>
      <c r="AD1968" t="s">
        <v>94</v>
      </c>
      <c r="AE1968" t="s">
        <v>94</v>
      </c>
      <c r="AF1968" t="s">
        <v>304</v>
      </c>
      <c r="AG1968" t="s">
        <v>226</v>
      </c>
      <c r="AH1968">
        <v>0</v>
      </c>
      <c r="AI1968" t="s">
        <v>3537</v>
      </c>
      <c r="AJ1968" t="s">
        <v>1976</v>
      </c>
      <c r="AK1968" t="s">
        <v>2426</v>
      </c>
      <c r="AL1968" t="s">
        <v>272</v>
      </c>
    </row>
    <row r="1969" spans="1:38">
      <c r="A1969" t="s">
        <v>8512</v>
      </c>
      <c r="B1969" t="s">
        <v>8513</v>
      </c>
      <c r="C1969" t="s">
        <v>8514</v>
      </c>
      <c r="D1969" t="s">
        <v>8514</v>
      </c>
      <c r="E1969" t="s">
        <v>8515</v>
      </c>
      <c r="F1969" t="s">
        <v>2413</v>
      </c>
      <c r="G1969">
        <v>3</v>
      </c>
      <c r="H1969">
        <v>1</v>
      </c>
      <c r="I1969">
        <v>0.01</v>
      </c>
      <c r="J1969">
        <v>1000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19900000</v>
      </c>
      <c r="AB1969">
        <v>0</v>
      </c>
      <c r="AC1969">
        <v>0</v>
      </c>
      <c r="AD1969" t="s">
        <v>94</v>
      </c>
      <c r="AE1969" t="s">
        <v>94</v>
      </c>
      <c r="AF1969" t="s">
        <v>226</v>
      </c>
      <c r="AG1969" t="s">
        <v>226</v>
      </c>
      <c r="AH1969">
        <v>6</v>
      </c>
      <c r="AI1969" t="s">
        <v>3537</v>
      </c>
      <c r="AJ1969" t="s">
        <v>1976</v>
      </c>
      <c r="AK1969" t="s">
        <v>2416</v>
      </c>
      <c r="AL1969" t="s">
        <v>272</v>
      </c>
    </row>
    <row r="1970" spans="1:38">
      <c r="A1970" t="s">
        <v>8516</v>
      </c>
      <c r="B1970" t="s">
        <v>8517</v>
      </c>
      <c r="C1970" t="s">
        <v>8518</v>
      </c>
      <c r="D1970" t="s">
        <v>8518</v>
      </c>
      <c r="E1970" t="s">
        <v>8519</v>
      </c>
      <c r="F1970" t="s">
        <v>2413</v>
      </c>
      <c r="G1970">
        <v>2</v>
      </c>
      <c r="H1970">
        <v>1</v>
      </c>
      <c r="I1970">
        <v>0.01</v>
      </c>
      <c r="J1970">
        <v>1000</v>
      </c>
      <c r="K1970">
        <v>0</v>
      </c>
      <c r="L1970">
        <v>0</v>
      </c>
      <c r="M1970">
        <v>102.4</v>
      </c>
      <c r="N1970">
        <v>101.86</v>
      </c>
      <c r="O1970">
        <v>102.4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100.1</v>
      </c>
      <c r="Y1970">
        <v>103</v>
      </c>
      <c r="Z1970">
        <v>0</v>
      </c>
      <c r="AA1970">
        <v>5000000</v>
      </c>
      <c r="AB1970">
        <v>0</v>
      </c>
      <c r="AC1970">
        <v>0</v>
      </c>
      <c r="AD1970" t="s">
        <v>94</v>
      </c>
      <c r="AE1970" t="s">
        <v>94</v>
      </c>
      <c r="AF1970" t="s">
        <v>226</v>
      </c>
      <c r="AG1970" t="s">
        <v>226</v>
      </c>
      <c r="AH1970">
        <v>6</v>
      </c>
      <c r="AI1970" t="s">
        <v>3537</v>
      </c>
      <c r="AJ1970" t="s">
        <v>1976</v>
      </c>
      <c r="AK1970" t="s">
        <v>2416</v>
      </c>
      <c r="AL1970" t="s">
        <v>272</v>
      </c>
    </row>
    <row r="1971" spans="1:38">
      <c r="A1971" t="s">
        <v>8520</v>
      </c>
      <c r="B1971" t="s">
        <v>8521</v>
      </c>
      <c r="C1971" t="s">
        <v>8522</v>
      </c>
      <c r="D1971" t="s">
        <v>8522</v>
      </c>
      <c r="E1971" t="s">
        <v>8523</v>
      </c>
      <c r="F1971" t="s">
        <v>2413</v>
      </c>
      <c r="G1971">
        <v>2</v>
      </c>
      <c r="H1971">
        <v>1</v>
      </c>
      <c r="I1971">
        <v>0.01</v>
      </c>
      <c r="J1971">
        <v>1000</v>
      </c>
      <c r="K1971">
        <v>0</v>
      </c>
      <c r="L1971">
        <v>0</v>
      </c>
      <c r="M1971">
        <v>99.42</v>
      </c>
      <c r="N1971">
        <v>0</v>
      </c>
      <c r="O1971">
        <v>99.42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99.42</v>
      </c>
      <c r="Y1971">
        <v>0</v>
      </c>
      <c r="Z1971">
        <v>0</v>
      </c>
      <c r="AA1971">
        <v>5000000</v>
      </c>
      <c r="AB1971">
        <v>0</v>
      </c>
      <c r="AC1971">
        <v>0</v>
      </c>
      <c r="AD1971" t="s">
        <v>94</v>
      </c>
      <c r="AE1971" t="s">
        <v>94</v>
      </c>
      <c r="AF1971" t="s">
        <v>226</v>
      </c>
      <c r="AG1971" t="s">
        <v>226</v>
      </c>
      <c r="AH1971">
        <v>6</v>
      </c>
      <c r="AI1971" t="s">
        <v>3537</v>
      </c>
      <c r="AJ1971" t="s">
        <v>1976</v>
      </c>
      <c r="AK1971" t="s">
        <v>2416</v>
      </c>
      <c r="AL1971" t="s">
        <v>272</v>
      </c>
    </row>
    <row r="1972" spans="1:38">
      <c r="A1972" t="s">
        <v>8524</v>
      </c>
      <c r="B1972" t="s">
        <v>8525</v>
      </c>
      <c r="C1972" t="s">
        <v>8526</v>
      </c>
      <c r="D1972" t="s">
        <v>8526</v>
      </c>
      <c r="E1972" t="s">
        <v>8527</v>
      </c>
      <c r="F1972" t="s">
        <v>2413</v>
      </c>
      <c r="G1972">
        <v>2</v>
      </c>
      <c r="H1972">
        <v>1</v>
      </c>
      <c r="I1972">
        <v>0.01</v>
      </c>
      <c r="J1972">
        <v>1000</v>
      </c>
      <c r="K1972">
        <v>-0.01</v>
      </c>
      <c r="L1972">
        <v>99.39</v>
      </c>
      <c r="M1972">
        <v>99.4</v>
      </c>
      <c r="N1972">
        <v>99.44</v>
      </c>
      <c r="O1972">
        <v>99.39</v>
      </c>
      <c r="P1972">
        <v>0</v>
      </c>
      <c r="Q1972">
        <v>0</v>
      </c>
      <c r="R1972">
        <v>0</v>
      </c>
      <c r="S1972">
        <v>99.5</v>
      </c>
      <c r="T1972">
        <v>100.09</v>
      </c>
      <c r="U1972">
        <v>99.39</v>
      </c>
      <c r="V1972">
        <v>100.89</v>
      </c>
      <c r="W1972">
        <v>19900</v>
      </c>
      <c r="X1972">
        <v>99.5</v>
      </c>
      <c r="Y1972">
        <v>99.8</v>
      </c>
      <c r="Z1972">
        <v>5</v>
      </c>
      <c r="AA1972">
        <v>10000000</v>
      </c>
      <c r="AB1972">
        <v>4969.5</v>
      </c>
      <c r="AC1972">
        <v>0</v>
      </c>
      <c r="AD1972" t="s">
        <v>94</v>
      </c>
      <c r="AE1972" t="s">
        <v>94</v>
      </c>
      <c r="AF1972" t="s">
        <v>226</v>
      </c>
      <c r="AG1972" t="s">
        <v>226</v>
      </c>
      <c r="AH1972">
        <v>6</v>
      </c>
      <c r="AI1972" t="s">
        <v>3537</v>
      </c>
      <c r="AJ1972" t="s">
        <v>1976</v>
      </c>
      <c r="AK1972" t="s">
        <v>2416</v>
      </c>
      <c r="AL1972" t="s">
        <v>272</v>
      </c>
    </row>
    <row r="1973" spans="1:38">
      <c r="A1973" t="s">
        <v>8528</v>
      </c>
      <c r="B1973" t="s">
        <v>8529</v>
      </c>
      <c r="C1973" t="s">
        <v>8530</v>
      </c>
      <c r="D1973" t="s">
        <v>8530</v>
      </c>
      <c r="E1973" t="s">
        <v>8531</v>
      </c>
      <c r="F1973" t="s">
        <v>2413</v>
      </c>
      <c r="G1973">
        <v>2</v>
      </c>
      <c r="H1973">
        <v>1</v>
      </c>
      <c r="I1973">
        <v>0.01</v>
      </c>
      <c r="J1973">
        <v>1000</v>
      </c>
      <c r="K1973">
        <v>-0.02</v>
      </c>
      <c r="L1973">
        <v>100.02</v>
      </c>
      <c r="M1973">
        <v>100.04</v>
      </c>
      <c r="N1973">
        <v>100.42</v>
      </c>
      <c r="O1973">
        <v>100.11</v>
      </c>
      <c r="P1973">
        <v>0</v>
      </c>
      <c r="Q1973">
        <v>0</v>
      </c>
      <c r="R1973">
        <v>0</v>
      </c>
      <c r="S1973">
        <v>100.32</v>
      </c>
      <c r="T1973">
        <v>100.98</v>
      </c>
      <c r="U1973">
        <v>100.02</v>
      </c>
      <c r="V1973">
        <v>100.98</v>
      </c>
      <c r="W1973">
        <v>27087</v>
      </c>
      <c r="X1973">
        <v>100.03</v>
      </c>
      <c r="Y1973">
        <v>100.74</v>
      </c>
      <c r="Z1973">
        <v>9</v>
      </c>
      <c r="AA1973">
        <v>10000000</v>
      </c>
      <c r="AB1973">
        <v>11002.2</v>
      </c>
      <c r="AC1973">
        <v>0</v>
      </c>
      <c r="AD1973" t="s">
        <v>94</v>
      </c>
      <c r="AE1973" t="s">
        <v>94</v>
      </c>
      <c r="AF1973" t="s">
        <v>226</v>
      </c>
      <c r="AG1973" t="s">
        <v>226</v>
      </c>
      <c r="AH1973">
        <v>6</v>
      </c>
      <c r="AI1973" t="s">
        <v>3537</v>
      </c>
      <c r="AJ1973" t="s">
        <v>1976</v>
      </c>
      <c r="AK1973" t="s">
        <v>2416</v>
      </c>
      <c r="AL1973" t="s">
        <v>272</v>
      </c>
    </row>
    <row r="1974" spans="1:38">
      <c r="A1974" t="s">
        <v>8532</v>
      </c>
      <c r="B1974" t="s">
        <v>2577</v>
      </c>
      <c r="C1974" t="s">
        <v>2578</v>
      </c>
      <c r="D1974" t="s">
        <v>2578</v>
      </c>
      <c r="E1974" t="s">
        <v>2579</v>
      </c>
      <c r="F1974" t="s">
        <v>2425</v>
      </c>
      <c r="G1974">
        <v>3</v>
      </c>
      <c r="H1974">
        <v>1</v>
      </c>
      <c r="I1974">
        <v>0.01</v>
      </c>
      <c r="J1974">
        <v>150000</v>
      </c>
      <c r="K1974">
        <v>0</v>
      </c>
      <c r="L1974">
        <v>0</v>
      </c>
      <c r="M1974">
        <v>64</v>
      </c>
      <c r="N1974">
        <v>0</v>
      </c>
      <c r="O1974">
        <v>64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38.36</v>
      </c>
      <c r="Y1974">
        <v>89.48</v>
      </c>
      <c r="Z1974">
        <v>0</v>
      </c>
      <c r="AA1974">
        <v>1000</v>
      </c>
      <c r="AB1974">
        <v>0</v>
      </c>
      <c r="AC1974">
        <v>0</v>
      </c>
      <c r="AD1974" t="s">
        <v>4</v>
      </c>
      <c r="AE1974" t="s">
        <v>94</v>
      </c>
      <c r="AF1974" t="s">
        <v>304</v>
      </c>
      <c r="AG1974" t="s">
        <v>226</v>
      </c>
      <c r="AH1974">
        <v>0</v>
      </c>
      <c r="AI1974" t="s">
        <v>3537</v>
      </c>
      <c r="AJ1974" t="s">
        <v>1976</v>
      </c>
      <c r="AK1974" t="s">
        <v>2426</v>
      </c>
      <c r="AL1974" t="s">
        <v>272</v>
      </c>
    </row>
    <row r="1975" spans="1:38">
      <c r="A1975" t="s">
        <v>8533</v>
      </c>
      <c r="B1975" t="s">
        <v>8534</v>
      </c>
      <c r="C1975" t="s">
        <v>8535</v>
      </c>
      <c r="D1975" t="s">
        <v>8535</v>
      </c>
      <c r="E1975" t="s">
        <v>8536</v>
      </c>
      <c r="F1975" t="s">
        <v>2413</v>
      </c>
      <c r="G1975">
        <v>3</v>
      </c>
      <c r="H1975">
        <v>1</v>
      </c>
      <c r="I1975">
        <v>0.01</v>
      </c>
      <c r="J1975">
        <v>1000</v>
      </c>
      <c r="K1975">
        <v>0</v>
      </c>
      <c r="L1975">
        <v>0</v>
      </c>
      <c r="M1975">
        <v>95</v>
      </c>
      <c r="N1975">
        <v>0</v>
      </c>
      <c r="O1975">
        <v>95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82.01</v>
      </c>
      <c r="Y1975">
        <v>0</v>
      </c>
      <c r="Z1975">
        <v>0</v>
      </c>
      <c r="AA1975">
        <v>85694</v>
      </c>
      <c r="AB1975">
        <v>0</v>
      </c>
      <c r="AC1975">
        <v>0</v>
      </c>
      <c r="AD1975" t="s">
        <v>94</v>
      </c>
      <c r="AE1975" t="s">
        <v>94</v>
      </c>
      <c r="AF1975" t="s">
        <v>226</v>
      </c>
      <c r="AG1975" t="s">
        <v>226</v>
      </c>
      <c r="AH1975">
        <v>8</v>
      </c>
      <c r="AI1975" t="s">
        <v>3537</v>
      </c>
      <c r="AJ1975" t="s">
        <v>1976</v>
      </c>
      <c r="AK1975" t="s">
        <v>2416</v>
      </c>
      <c r="AL1975" t="s">
        <v>272</v>
      </c>
    </row>
    <row r="1976" spans="1:38">
      <c r="A1976" t="s">
        <v>8537</v>
      </c>
      <c r="B1976" t="s">
        <v>8538</v>
      </c>
      <c r="C1976" t="s">
        <v>8539</v>
      </c>
      <c r="D1976" t="s">
        <v>8539</v>
      </c>
      <c r="E1976" t="s">
        <v>8540</v>
      </c>
      <c r="F1976" t="s">
        <v>2413</v>
      </c>
      <c r="G1976">
        <v>3</v>
      </c>
      <c r="H1976">
        <v>1</v>
      </c>
      <c r="I1976">
        <v>0.01</v>
      </c>
      <c r="J1976">
        <v>1000</v>
      </c>
      <c r="K1976">
        <v>-0.33</v>
      </c>
      <c r="L1976">
        <v>90.6</v>
      </c>
      <c r="M1976">
        <v>90.9</v>
      </c>
      <c r="N1976">
        <v>89.69</v>
      </c>
      <c r="O1976">
        <v>90.6</v>
      </c>
      <c r="P1976">
        <v>0</v>
      </c>
      <c r="Q1976">
        <v>0</v>
      </c>
      <c r="R1976">
        <v>0</v>
      </c>
      <c r="S1976">
        <v>90.76</v>
      </c>
      <c r="T1976">
        <v>90.88</v>
      </c>
      <c r="U1976">
        <v>90.16</v>
      </c>
      <c r="V1976">
        <v>90.95</v>
      </c>
      <c r="W1976">
        <v>114354</v>
      </c>
      <c r="X1976">
        <v>90.6</v>
      </c>
      <c r="Y1976">
        <v>90.99</v>
      </c>
      <c r="Z1976">
        <v>26</v>
      </c>
      <c r="AA1976">
        <v>2738389</v>
      </c>
      <c r="AB1976">
        <v>4530</v>
      </c>
      <c r="AC1976">
        <v>0</v>
      </c>
      <c r="AD1976" t="s">
        <v>94</v>
      </c>
      <c r="AE1976" t="s">
        <v>94</v>
      </c>
      <c r="AF1976" t="s">
        <v>226</v>
      </c>
      <c r="AG1976" t="s">
        <v>226</v>
      </c>
      <c r="AH1976">
        <v>6</v>
      </c>
      <c r="AI1976" t="s">
        <v>3537</v>
      </c>
      <c r="AJ1976" t="s">
        <v>1976</v>
      </c>
      <c r="AK1976" t="s">
        <v>2416</v>
      </c>
      <c r="AL1976" t="s">
        <v>272</v>
      </c>
    </row>
    <row r="1977" spans="1:38">
      <c r="A1977" t="s">
        <v>8541</v>
      </c>
      <c r="B1977" t="s">
        <v>8542</v>
      </c>
      <c r="C1977" t="s">
        <v>8543</v>
      </c>
      <c r="D1977" t="s">
        <v>8543</v>
      </c>
      <c r="E1977" t="s">
        <v>8544</v>
      </c>
      <c r="F1977" t="s">
        <v>2413</v>
      </c>
      <c r="G1977">
        <v>3</v>
      </c>
      <c r="H1977">
        <v>1</v>
      </c>
      <c r="I1977">
        <v>0.01</v>
      </c>
      <c r="J1977">
        <v>1000</v>
      </c>
      <c r="K1977">
        <v>0.03</v>
      </c>
      <c r="L1977">
        <v>100.23</v>
      </c>
      <c r="M1977">
        <v>100.2</v>
      </c>
      <c r="N1977">
        <v>100.28</v>
      </c>
      <c r="O1977">
        <v>100.23</v>
      </c>
      <c r="P1977">
        <v>0</v>
      </c>
      <c r="Q1977">
        <v>0</v>
      </c>
      <c r="R1977">
        <v>0</v>
      </c>
      <c r="S1977">
        <v>100.24</v>
      </c>
      <c r="T1977">
        <v>100.2</v>
      </c>
      <c r="U1977">
        <v>100.2</v>
      </c>
      <c r="V1977">
        <v>100.55</v>
      </c>
      <c r="W1977">
        <v>323774</v>
      </c>
      <c r="X1977">
        <v>100.23</v>
      </c>
      <c r="Y1977">
        <v>100.5</v>
      </c>
      <c r="Z1977">
        <v>24</v>
      </c>
      <c r="AA1977">
        <v>10000000</v>
      </c>
      <c r="AB1977">
        <v>1002.3</v>
      </c>
      <c r="AC1977">
        <v>0</v>
      </c>
      <c r="AD1977" t="s">
        <v>94</v>
      </c>
      <c r="AE1977" t="s">
        <v>94</v>
      </c>
      <c r="AF1977" t="s">
        <v>226</v>
      </c>
      <c r="AG1977" t="s">
        <v>226</v>
      </c>
      <c r="AH1977">
        <v>6</v>
      </c>
      <c r="AI1977" t="s">
        <v>3537</v>
      </c>
      <c r="AJ1977" t="s">
        <v>1976</v>
      </c>
      <c r="AK1977" t="s">
        <v>2416</v>
      </c>
      <c r="AL1977" t="s">
        <v>272</v>
      </c>
    </row>
    <row r="1978" spans="1:38">
      <c r="A1978" t="s">
        <v>8545</v>
      </c>
      <c r="B1978" t="s">
        <v>8546</v>
      </c>
      <c r="C1978" t="s">
        <v>8547</v>
      </c>
      <c r="D1978" t="s">
        <v>8547</v>
      </c>
      <c r="E1978" t="s">
        <v>8548</v>
      </c>
      <c r="F1978" t="s">
        <v>2413</v>
      </c>
      <c r="G1978">
        <v>3</v>
      </c>
      <c r="H1978">
        <v>1</v>
      </c>
      <c r="I1978">
        <v>0.01</v>
      </c>
      <c r="J1978">
        <v>1000</v>
      </c>
      <c r="K1978">
        <v>-0.33</v>
      </c>
      <c r="L1978">
        <v>84.22</v>
      </c>
      <c r="M1978">
        <v>84.5</v>
      </c>
      <c r="N1978">
        <v>84.26</v>
      </c>
      <c r="O1978">
        <v>84.22</v>
      </c>
      <c r="P1978">
        <v>0</v>
      </c>
      <c r="Q1978">
        <v>0</v>
      </c>
      <c r="R1978">
        <v>0</v>
      </c>
      <c r="S1978">
        <v>84.2</v>
      </c>
      <c r="T1978">
        <v>84.75</v>
      </c>
      <c r="U1978">
        <v>83.3</v>
      </c>
      <c r="V1978">
        <v>84.87</v>
      </c>
      <c r="W1978">
        <v>636551</v>
      </c>
      <c r="X1978">
        <v>84.1</v>
      </c>
      <c r="Y1978">
        <v>84.27</v>
      </c>
      <c r="Z1978">
        <v>68</v>
      </c>
      <c r="AA1978">
        <v>15000000</v>
      </c>
      <c r="AB1978">
        <v>842.2</v>
      </c>
      <c r="AC1978">
        <v>0</v>
      </c>
      <c r="AD1978" t="s">
        <v>94</v>
      </c>
      <c r="AE1978" t="s">
        <v>94</v>
      </c>
      <c r="AF1978" t="s">
        <v>226</v>
      </c>
      <c r="AG1978" t="s">
        <v>226</v>
      </c>
      <c r="AH1978">
        <v>6</v>
      </c>
      <c r="AI1978" t="s">
        <v>3537</v>
      </c>
      <c r="AJ1978" t="s">
        <v>1976</v>
      </c>
      <c r="AK1978" t="s">
        <v>2416</v>
      </c>
      <c r="AL1978" t="s">
        <v>272</v>
      </c>
    </row>
    <row r="1979" spans="1:38">
      <c r="A1979" t="s">
        <v>8549</v>
      </c>
      <c r="B1979" t="s">
        <v>8550</v>
      </c>
      <c r="C1979" t="s">
        <v>8551</v>
      </c>
      <c r="D1979" t="s">
        <v>8551</v>
      </c>
      <c r="E1979" t="s">
        <v>8552</v>
      </c>
      <c r="F1979" t="s">
        <v>2413</v>
      </c>
      <c r="G1979">
        <v>3</v>
      </c>
      <c r="H1979">
        <v>1</v>
      </c>
      <c r="I1979">
        <v>0.01</v>
      </c>
      <c r="J1979">
        <v>1000</v>
      </c>
      <c r="K1979">
        <v>1</v>
      </c>
      <c r="L1979">
        <v>83.07</v>
      </c>
      <c r="M1979">
        <v>82.25</v>
      </c>
      <c r="N1979">
        <v>81.95</v>
      </c>
      <c r="O1979">
        <v>83.07</v>
      </c>
      <c r="P1979">
        <v>0</v>
      </c>
      <c r="Q1979">
        <v>0</v>
      </c>
      <c r="R1979">
        <v>0</v>
      </c>
      <c r="S1979">
        <v>82.32</v>
      </c>
      <c r="T1979">
        <v>82.26</v>
      </c>
      <c r="U1979">
        <v>82.05</v>
      </c>
      <c r="V1979">
        <v>83.12</v>
      </c>
      <c r="W1979">
        <v>660192</v>
      </c>
      <c r="X1979">
        <v>82.53</v>
      </c>
      <c r="Y1979">
        <v>82.97</v>
      </c>
      <c r="Z1979">
        <v>41</v>
      </c>
      <c r="AA1979">
        <v>1225827</v>
      </c>
      <c r="AB1979">
        <v>6645.6</v>
      </c>
      <c r="AC1979">
        <v>0</v>
      </c>
      <c r="AD1979" t="s">
        <v>94</v>
      </c>
      <c r="AE1979" t="s">
        <v>94</v>
      </c>
      <c r="AF1979" t="s">
        <v>226</v>
      </c>
      <c r="AG1979" t="s">
        <v>226</v>
      </c>
      <c r="AH1979">
        <v>6</v>
      </c>
      <c r="AI1979" t="s">
        <v>3537</v>
      </c>
      <c r="AJ1979" t="s">
        <v>1976</v>
      </c>
      <c r="AK1979" t="s">
        <v>2416</v>
      </c>
      <c r="AL1979" t="s">
        <v>272</v>
      </c>
    </row>
    <row r="1980" spans="1:38">
      <c r="A1980" t="s">
        <v>8553</v>
      </c>
      <c r="B1980" t="s">
        <v>8554</v>
      </c>
      <c r="C1980" t="s">
        <v>8555</v>
      </c>
      <c r="D1980" t="s">
        <v>8555</v>
      </c>
      <c r="E1980" t="s">
        <v>8556</v>
      </c>
      <c r="F1980" t="s">
        <v>2413</v>
      </c>
      <c r="G1980">
        <v>3</v>
      </c>
      <c r="H1980">
        <v>1</v>
      </c>
      <c r="I1980">
        <v>0.01</v>
      </c>
      <c r="J1980">
        <v>1000</v>
      </c>
      <c r="K1980">
        <v>0.1</v>
      </c>
      <c r="L1980">
        <v>97.79</v>
      </c>
      <c r="M1980">
        <v>97.69</v>
      </c>
      <c r="N1980">
        <v>97.69</v>
      </c>
      <c r="O1980">
        <v>97.79</v>
      </c>
      <c r="P1980">
        <v>0</v>
      </c>
      <c r="Q1980">
        <v>0</v>
      </c>
      <c r="R1980">
        <v>0</v>
      </c>
      <c r="S1980">
        <v>97.8</v>
      </c>
      <c r="T1980">
        <v>97.7</v>
      </c>
      <c r="U1980">
        <v>97.7</v>
      </c>
      <c r="V1980">
        <v>98.6</v>
      </c>
      <c r="W1980">
        <v>19535769</v>
      </c>
      <c r="X1980">
        <v>97.78</v>
      </c>
      <c r="Y1980">
        <v>97.79</v>
      </c>
      <c r="Z1980">
        <v>193</v>
      </c>
      <c r="AA1980">
        <v>12000000</v>
      </c>
      <c r="AB1980">
        <v>1955.8</v>
      </c>
      <c r="AC1980">
        <v>0</v>
      </c>
      <c r="AD1980" t="s">
        <v>94</v>
      </c>
      <c r="AE1980" t="s">
        <v>94</v>
      </c>
      <c r="AF1980" t="s">
        <v>226</v>
      </c>
      <c r="AG1980" t="s">
        <v>226</v>
      </c>
      <c r="AH1980">
        <v>6</v>
      </c>
      <c r="AI1980" t="s">
        <v>3537</v>
      </c>
      <c r="AJ1980" t="s">
        <v>1976</v>
      </c>
      <c r="AK1980" t="s">
        <v>2416</v>
      </c>
      <c r="AL1980" t="s">
        <v>272</v>
      </c>
    </row>
    <row r="1981" spans="1:38">
      <c r="A1981" t="s">
        <v>8557</v>
      </c>
      <c r="B1981" t="s">
        <v>8558</v>
      </c>
      <c r="C1981" t="s">
        <v>8559</v>
      </c>
      <c r="D1981" t="s">
        <v>8559</v>
      </c>
      <c r="E1981" t="s">
        <v>8560</v>
      </c>
      <c r="F1981" t="s">
        <v>2413</v>
      </c>
      <c r="G1981">
        <v>3</v>
      </c>
      <c r="H1981">
        <v>1</v>
      </c>
      <c r="I1981">
        <v>0.01</v>
      </c>
      <c r="J1981">
        <v>1000</v>
      </c>
      <c r="K1981">
        <v>0.19</v>
      </c>
      <c r="L1981">
        <v>98.49</v>
      </c>
      <c r="M1981">
        <v>98.3</v>
      </c>
      <c r="N1981">
        <v>98.43</v>
      </c>
      <c r="O1981">
        <v>98.49</v>
      </c>
      <c r="P1981">
        <v>0</v>
      </c>
      <c r="Q1981">
        <v>0</v>
      </c>
      <c r="R1981">
        <v>0</v>
      </c>
      <c r="S1981">
        <v>99.95</v>
      </c>
      <c r="T1981">
        <v>98.45</v>
      </c>
      <c r="U1981">
        <v>98.31</v>
      </c>
      <c r="V1981">
        <v>100</v>
      </c>
      <c r="W1981">
        <v>15279063</v>
      </c>
      <c r="X1981">
        <v>98.48</v>
      </c>
      <c r="Y1981">
        <v>98.49</v>
      </c>
      <c r="Z1981">
        <v>388</v>
      </c>
      <c r="AA1981">
        <v>25000000</v>
      </c>
      <c r="AB1981">
        <v>48260.1</v>
      </c>
      <c r="AC1981">
        <v>0</v>
      </c>
      <c r="AD1981" t="s">
        <v>94</v>
      </c>
      <c r="AE1981" t="s">
        <v>94</v>
      </c>
      <c r="AF1981" t="s">
        <v>226</v>
      </c>
      <c r="AG1981" t="s">
        <v>226</v>
      </c>
      <c r="AH1981">
        <v>8</v>
      </c>
      <c r="AI1981" t="s">
        <v>3537</v>
      </c>
      <c r="AJ1981" t="s">
        <v>1976</v>
      </c>
      <c r="AK1981" t="s">
        <v>2416</v>
      </c>
      <c r="AL1981" t="s">
        <v>272</v>
      </c>
    </row>
    <row r="1982" spans="1:38">
      <c r="A1982" t="s">
        <v>8561</v>
      </c>
      <c r="B1982" t="s">
        <v>8562</v>
      </c>
      <c r="C1982" t="s">
        <v>8563</v>
      </c>
      <c r="D1982" t="s">
        <v>8563</v>
      </c>
      <c r="E1982" t="s">
        <v>8564</v>
      </c>
      <c r="F1982" t="s">
        <v>2413</v>
      </c>
      <c r="G1982">
        <v>3</v>
      </c>
      <c r="H1982">
        <v>1</v>
      </c>
      <c r="I1982">
        <v>0.01</v>
      </c>
      <c r="J1982">
        <v>1000</v>
      </c>
      <c r="K1982">
        <v>-0.52</v>
      </c>
      <c r="L1982">
        <v>100.18</v>
      </c>
      <c r="M1982">
        <v>100.67</v>
      </c>
      <c r="N1982">
        <v>100.04</v>
      </c>
      <c r="O1982">
        <v>100.18</v>
      </c>
      <c r="P1982">
        <v>0</v>
      </c>
      <c r="Q1982">
        <v>0</v>
      </c>
      <c r="R1982">
        <v>0</v>
      </c>
      <c r="S1982">
        <v>100.57</v>
      </c>
      <c r="T1982">
        <v>100.68</v>
      </c>
      <c r="U1982">
        <v>100.18</v>
      </c>
      <c r="V1982">
        <v>100.68</v>
      </c>
      <c r="W1982">
        <v>18102</v>
      </c>
      <c r="X1982">
        <v>100.01</v>
      </c>
      <c r="Y1982">
        <v>100.59</v>
      </c>
      <c r="Z1982">
        <v>7</v>
      </c>
      <c r="AA1982">
        <v>1908087</v>
      </c>
      <c r="AB1982">
        <v>1001.8</v>
      </c>
      <c r="AC1982">
        <v>0</v>
      </c>
      <c r="AD1982" t="s">
        <v>94</v>
      </c>
      <c r="AE1982" t="s">
        <v>94</v>
      </c>
      <c r="AF1982" t="s">
        <v>226</v>
      </c>
      <c r="AG1982" t="s">
        <v>226</v>
      </c>
      <c r="AH1982">
        <v>6</v>
      </c>
      <c r="AI1982" t="s">
        <v>3537</v>
      </c>
      <c r="AJ1982" t="s">
        <v>1976</v>
      </c>
      <c r="AK1982" t="s">
        <v>2416</v>
      </c>
      <c r="AL1982" t="s">
        <v>272</v>
      </c>
    </row>
    <row r="1983" spans="1:38">
      <c r="A1983" t="s">
        <v>8565</v>
      </c>
      <c r="B1983" t="s">
        <v>8566</v>
      </c>
      <c r="C1983" t="s">
        <v>8567</v>
      </c>
      <c r="D1983" t="s">
        <v>8567</v>
      </c>
      <c r="E1983" t="s">
        <v>8568</v>
      </c>
      <c r="F1983" t="s">
        <v>2413</v>
      </c>
      <c r="G1983">
        <v>3</v>
      </c>
      <c r="H1983">
        <v>1</v>
      </c>
      <c r="I1983">
        <v>0.01</v>
      </c>
      <c r="J1983">
        <v>1000</v>
      </c>
      <c r="K1983">
        <v>0</v>
      </c>
      <c r="L1983">
        <v>100.5</v>
      </c>
      <c r="M1983">
        <v>100.5</v>
      </c>
      <c r="N1983">
        <v>0</v>
      </c>
      <c r="O1983">
        <v>100.5</v>
      </c>
      <c r="P1983">
        <v>0</v>
      </c>
      <c r="Q1983">
        <v>0</v>
      </c>
      <c r="R1983">
        <v>0</v>
      </c>
      <c r="S1983">
        <v>100.51</v>
      </c>
      <c r="T1983">
        <v>100.5</v>
      </c>
      <c r="U1983">
        <v>100.5</v>
      </c>
      <c r="V1983">
        <v>100.51</v>
      </c>
      <c r="W1983">
        <v>170860</v>
      </c>
      <c r="X1983">
        <v>100.5</v>
      </c>
      <c r="Y1983">
        <v>0</v>
      </c>
      <c r="Z1983">
        <v>5</v>
      </c>
      <c r="AA1983">
        <v>7000000</v>
      </c>
      <c r="AB1983">
        <v>5025</v>
      </c>
      <c r="AC1983">
        <v>0</v>
      </c>
      <c r="AD1983" t="s">
        <v>94</v>
      </c>
      <c r="AE1983" t="s">
        <v>94</v>
      </c>
      <c r="AF1983" t="s">
        <v>226</v>
      </c>
      <c r="AG1983" t="s">
        <v>226</v>
      </c>
      <c r="AH1983">
        <v>6</v>
      </c>
      <c r="AI1983" t="s">
        <v>3537</v>
      </c>
      <c r="AJ1983" t="s">
        <v>1976</v>
      </c>
      <c r="AK1983" t="s">
        <v>2416</v>
      </c>
      <c r="AL1983" t="s">
        <v>272</v>
      </c>
    </row>
    <row r="1984" spans="1:38">
      <c r="A1984" t="s">
        <v>8569</v>
      </c>
      <c r="B1984" t="s">
        <v>8570</v>
      </c>
      <c r="C1984" t="s">
        <v>8571</v>
      </c>
      <c r="D1984" t="s">
        <v>8571</v>
      </c>
      <c r="E1984" t="s">
        <v>8572</v>
      </c>
      <c r="F1984" t="s">
        <v>2413</v>
      </c>
      <c r="G1984">
        <v>3</v>
      </c>
      <c r="H1984">
        <v>1</v>
      </c>
      <c r="I1984">
        <v>0.01</v>
      </c>
      <c r="J1984">
        <v>1000</v>
      </c>
      <c r="K1984">
        <v>-0.75</v>
      </c>
      <c r="L1984">
        <v>95.84</v>
      </c>
      <c r="M1984">
        <v>96.56</v>
      </c>
      <c r="N1984">
        <v>95.4</v>
      </c>
      <c r="O1984">
        <v>95.84</v>
      </c>
      <c r="P1984">
        <v>0</v>
      </c>
      <c r="Q1984">
        <v>0</v>
      </c>
      <c r="R1984">
        <v>0</v>
      </c>
      <c r="S1984">
        <v>95.83</v>
      </c>
      <c r="T1984">
        <v>95.83</v>
      </c>
      <c r="U1984">
        <v>95.83</v>
      </c>
      <c r="V1984">
        <v>95.84</v>
      </c>
      <c r="W1984">
        <v>5750</v>
      </c>
      <c r="X1984">
        <v>95.85</v>
      </c>
      <c r="Y1984">
        <v>96.54</v>
      </c>
      <c r="Z1984">
        <v>3</v>
      </c>
      <c r="AA1984">
        <v>1388198</v>
      </c>
      <c r="AB1984">
        <v>958.4</v>
      </c>
      <c r="AC1984">
        <v>0</v>
      </c>
      <c r="AD1984" t="s">
        <v>94</v>
      </c>
      <c r="AE1984" t="s">
        <v>94</v>
      </c>
      <c r="AF1984" t="s">
        <v>226</v>
      </c>
      <c r="AG1984" t="s">
        <v>226</v>
      </c>
      <c r="AH1984">
        <v>8</v>
      </c>
      <c r="AI1984" t="s">
        <v>3537</v>
      </c>
      <c r="AJ1984" t="s">
        <v>1976</v>
      </c>
      <c r="AK1984" t="s">
        <v>2416</v>
      </c>
      <c r="AL1984" t="s">
        <v>272</v>
      </c>
    </row>
    <row r="1985" spans="1:38">
      <c r="A1985" t="s">
        <v>8573</v>
      </c>
      <c r="B1985" t="s">
        <v>8574</v>
      </c>
      <c r="C1985" t="s">
        <v>8575</v>
      </c>
      <c r="D1985" t="s">
        <v>8575</v>
      </c>
      <c r="E1985" t="s">
        <v>8576</v>
      </c>
      <c r="F1985" t="s">
        <v>2413</v>
      </c>
      <c r="G1985">
        <v>3</v>
      </c>
      <c r="H1985">
        <v>1</v>
      </c>
      <c r="I1985">
        <v>0.01</v>
      </c>
      <c r="J1985">
        <v>1000</v>
      </c>
      <c r="K1985">
        <v>0.08</v>
      </c>
      <c r="L1985">
        <v>98.48</v>
      </c>
      <c r="M1985">
        <v>98.4</v>
      </c>
      <c r="N1985">
        <v>98.43</v>
      </c>
      <c r="O1985">
        <v>98.48</v>
      </c>
      <c r="P1985">
        <v>0</v>
      </c>
      <c r="Q1985">
        <v>0</v>
      </c>
      <c r="R1985">
        <v>0</v>
      </c>
      <c r="S1985">
        <v>99.95</v>
      </c>
      <c r="T1985">
        <v>98.86</v>
      </c>
      <c r="U1985">
        <v>97.3</v>
      </c>
      <c r="V1985">
        <v>100</v>
      </c>
      <c r="W1985">
        <v>3457690</v>
      </c>
      <c r="X1985">
        <v>98.41</v>
      </c>
      <c r="Y1985">
        <v>98.48</v>
      </c>
      <c r="Z1985">
        <v>187</v>
      </c>
      <c r="AA1985">
        <v>42000000</v>
      </c>
      <c r="AB1985">
        <v>4924</v>
      </c>
      <c r="AC1985">
        <v>0</v>
      </c>
      <c r="AD1985" t="s">
        <v>94</v>
      </c>
      <c r="AE1985" t="s">
        <v>94</v>
      </c>
      <c r="AF1985" t="s">
        <v>226</v>
      </c>
      <c r="AG1985" t="s">
        <v>226</v>
      </c>
      <c r="AH1985">
        <v>8</v>
      </c>
      <c r="AI1985" t="s">
        <v>3537</v>
      </c>
      <c r="AJ1985" t="s">
        <v>1976</v>
      </c>
      <c r="AK1985" t="s">
        <v>2416</v>
      </c>
      <c r="AL1985" t="s">
        <v>272</v>
      </c>
    </row>
    <row r="1986" spans="1:38">
      <c r="A1986" t="s">
        <v>8577</v>
      </c>
      <c r="B1986" t="s">
        <v>8578</v>
      </c>
      <c r="C1986" t="s">
        <v>8579</v>
      </c>
      <c r="D1986" t="s">
        <v>8579</v>
      </c>
      <c r="E1986" t="s">
        <v>8580</v>
      </c>
      <c r="F1986" t="s">
        <v>2413</v>
      </c>
      <c r="G1986">
        <v>3</v>
      </c>
      <c r="H1986">
        <v>1</v>
      </c>
      <c r="I1986">
        <v>0.01</v>
      </c>
      <c r="J1986">
        <v>1000</v>
      </c>
      <c r="K1986">
        <v>0.16</v>
      </c>
      <c r="L1986">
        <v>95.8</v>
      </c>
      <c r="M1986">
        <v>95.65</v>
      </c>
      <c r="N1986">
        <v>95.65</v>
      </c>
      <c r="O1986">
        <v>95.74</v>
      </c>
      <c r="P1986">
        <v>0</v>
      </c>
      <c r="Q1986">
        <v>0</v>
      </c>
      <c r="R1986">
        <v>0</v>
      </c>
      <c r="S1986">
        <v>95.06</v>
      </c>
      <c r="T1986">
        <v>95.67</v>
      </c>
      <c r="U1986">
        <v>94.01</v>
      </c>
      <c r="V1986">
        <v>95.9</v>
      </c>
      <c r="W1986">
        <v>1545756</v>
      </c>
      <c r="X1986">
        <v>95.41</v>
      </c>
      <c r="Y1986">
        <v>95.77</v>
      </c>
      <c r="Z1986">
        <v>133</v>
      </c>
      <c r="AA1986">
        <v>1464418</v>
      </c>
      <c r="AB1986">
        <v>40236</v>
      </c>
      <c r="AC1986">
        <v>0</v>
      </c>
      <c r="AD1986" t="s">
        <v>94</v>
      </c>
      <c r="AE1986" t="s">
        <v>94</v>
      </c>
      <c r="AF1986" t="s">
        <v>226</v>
      </c>
      <c r="AG1986" t="s">
        <v>226</v>
      </c>
      <c r="AH1986">
        <v>6</v>
      </c>
      <c r="AI1986" t="s">
        <v>3537</v>
      </c>
      <c r="AJ1986" t="s">
        <v>1976</v>
      </c>
      <c r="AK1986" t="s">
        <v>2416</v>
      </c>
      <c r="AL1986" t="s">
        <v>272</v>
      </c>
    </row>
    <row r="1987" spans="1:38">
      <c r="A1987" t="s">
        <v>8581</v>
      </c>
      <c r="B1987" t="s">
        <v>2688</v>
      </c>
      <c r="C1987" t="s">
        <v>2689</v>
      </c>
      <c r="D1987" t="s">
        <v>2689</v>
      </c>
      <c r="E1987" t="s">
        <v>2690</v>
      </c>
      <c r="F1987" t="s">
        <v>2413</v>
      </c>
      <c r="G1987">
        <v>3</v>
      </c>
      <c r="H1987">
        <v>1</v>
      </c>
      <c r="I1987">
        <v>1E-4</v>
      </c>
      <c r="J1987">
        <v>1000</v>
      </c>
      <c r="K1987">
        <v>0</v>
      </c>
      <c r="L1987">
        <v>0</v>
      </c>
      <c r="M1987">
        <v>97</v>
      </c>
      <c r="N1987">
        <v>97.612300000000005</v>
      </c>
      <c r="O1987">
        <v>97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96</v>
      </c>
      <c r="Y1987">
        <v>99</v>
      </c>
      <c r="Z1987">
        <v>0</v>
      </c>
      <c r="AA1987">
        <v>150000</v>
      </c>
      <c r="AB1987">
        <v>0</v>
      </c>
      <c r="AC1987">
        <v>0</v>
      </c>
      <c r="AD1987" t="s">
        <v>2</v>
      </c>
      <c r="AE1987" t="s">
        <v>94</v>
      </c>
      <c r="AF1987" t="s">
        <v>226</v>
      </c>
      <c r="AG1987" t="s">
        <v>226</v>
      </c>
      <c r="AH1987">
        <v>6</v>
      </c>
      <c r="AI1987" t="s">
        <v>3537</v>
      </c>
      <c r="AJ1987" t="s">
        <v>1976</v>
      </c>
      <c r="AK1987" t="s">
        <v>2416</v>
      </c>
      <c r="AL1987" t="s">
        <v>272</v>
      </c>
    </row>
    <row r="1988" spans="1:38">
      <c r="A1988" t="s">
        <v>8582</v>
      </c>
      <c r="B1988" t="s">
        <v>8583</v>
      </c>
      <c r="C1988" t="s">
        <v>8584</v>
      </c>
      <c r="D1988" t="s">
        <v>8584</v>
      </c>
      <c r="E1988" t="s">
        <v>8585</v>
      </c>
      <c r="F1988" t="s">
        <v>2413</v>
      </c>
      <c r="G1988">
        <v>2</v>
      </c>
      <c r="H1988">
        <v>1</v>
      </c>
      <c r="I1988">
        <v>0.01</v>
      </c>
      <c r="J1988">
        <v>1000</v>
      </c>
      <c r="K1988">
        <v>0</v>
      </c>
      <c r="L1988">
        <v>0</v>
      </c>
      <c r="M1988">
        <v>92.23</v>
      </c>
      <c r="N1988">
        <v>0</v>
      </c>
      <c r="O1988">
        <v>92.23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86</v>
      </c>
      <c r="Y1988">
        <v>0</v>
      </c>
      <c r="Z1988">
        <v>0</v>
      </c>
      <c r="AA1988">
        <v>10000000</v>
      </c>
      <c r="AB1988">
        <v>0</v>
      </c>
      <c r="AC1988">
        <v>0</v>
      </c>
      <c r="AD1988" t="s">
        <v>94</v>
      </c>
      <c r="AE1988" t="s">
        <v>94</v>
      </c>
      <c r="AF1988" t="s">
        <v>226</v>
      </c>
      <c r="AG1988" t="s">
        <v>226</v>
      </c>
      <c r="AH1988">
        <v>6</v>
      </c>
      <c r="AI1988" t="s">
        <v>3537</v>
      </c>
      <c r="AJ1988" t="s">
        <v>1976</v>
      </c>
      <c r="AK1988" t="s">
        <v>2416</v>
      </c>
      <c r="AL1988" t="s">
        <v>272</v>
      </c>
    </row>
    <row r="1989" spans="1:38">
      <c r="A1989" t="s">
        <v>8586</v>
      </c>
      <c r="B1989" t="s">
        <v>8587</v>
      </c>
      <c r="C1989" t="s">
        <v>8588</v>
      </c>
      <c r="D1989" t="s">
        <v>8588</v>
      </c>
      <c r="E1989" t="s">
        <v>8589</v>
      </c>
      <c r="F1989" t="s">
        <v>2413</v>
      </c>
      <c r="G1989">
        <v>2</v>
      </c>
      <c r="H1989">
        <v>1</v>
      </c>
      <c r="I1989">
        <v>0.01</v>
      </c>
      <c r="J1989">
        <v>1000</v>
      </c>
      <c r="K1989">
        <v>0.43</v>
      </c>
      <c r="L1989">
        <v>92.47</v>
      </c>
      <c r="M1989">
        <v>92.07</v>
      </c>
      <c r="N1989">
        <v>91.41</v>
      </c>
      <c r="O1989">
        <v>92.47</v>
      </c>
      <c r="P1989">
        <v>0</v>
      </c>
      <c r="Q1989">
        <v>0</v>
      </c>
      <c r="R1989">
        <v>0</v>
      </c>
      <c r="S1989">
        <v>92.47</v>
      </c>
      <c r="T1989">
        <v>92.47</v>
      </c>
      <c r="U1989">
        <v>92.47</v>
      </c>
      <c r="V1989">
        <v>92.47</v>
      </c>
      <c r="W1989">
        <v>48084</v>
      </c>
      <c r="X1989">
        <v>91.32</v>
      </c>
      <c r="Y1989">
        <v>92.47</v>
      </c>
      <c r="Z1989">
        <v>3</v>
      </c>
      <c r="AA1989">
        <v>10000000</v>
      </c>
      <c r="AB1989">
        <v>924.7</v>
      </c>
      <c r="AC1989">
        <v>0</v>
      </c>
      <c r="AD1989" t="s">
        <v>94</v>
      </c>
      <c r="AE1989" t="s">
        <v>94</v>
      </c>
      <c r="AF1989" t="s">
        <v>226</v>
      </c>
      <c r="AG1989" t="s">
        <v>226</v>
      </c>
      <c r="AH1989">
        <v>6</v>
      </c>
      <c r="AI1989" t="s">
        <v>3537</v>
      </c>
      <c r="AJ1989" t="s">
        <v>1976</v>
      </c>
      <c r="AK1989" t="s">
        <v>2416</v>
      </c>
      <c r="AL1989" t="s">
        <v>272</v>
      </c>
    </row>
    <row r="1990" spans="1:38">
      <c r="A1990" t="s">
        <v>8590</v>
      </c>
      <c r="B1990" t="s">
        <v>8591</v>
      </c>
      <c r="C1990" t="s">
        <v>8592</v>
      </c>
      <c r="D1990" t="s">
        <v>8592</v>
      </c>
      <c r="E1990" t="s">
        <v>8593</v>
      </c>
      <c r="F1990" t="s">
        <v>2413</v>
      </c>
      <c r="G1990">
        <v>2</v>
      </c>
      <c r="H1990">
        <v>1</v>
      </c>
      <c r="I1990">
        <v>0.01</v>
      </c>
      <c r="J1990">
        <v>1000</v>
      </c>
      <c r="K1990">
        <v>0</v>
      </c>
      <c r="L1990">
        <v>0</v>
      </c>
      <c r="M1990">
        <v>63.8</v>
      </c>
      <c r="N1990">
        <v>0</v>
      </c>
      <c r="O1990">
        <v>63.8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63.41</v>
      </c>
      <c r="Y1990">
        <v>73.77</v>
      </c>
      <c r="Z1990">
        <v>0</v>
      </c>
      <c r="AA1990">
        <v>7000000</v>
      </c>
      <c r="AB1990">
        <v>0</v>
      </c>
      <c r="AC1990">
        <v>0</v>
      </c>
      <c r="AD1990" t="s">
        <v>94</v>
      </c>
      <c r="AE1990" t="s">
        <v>94</v>
      </c>
      <c r="AF1990" t="s">
        <v>226</v>
      </c>
      <c r="AG1990" t="s">
        <v>226</v>
      </c>
      <c r="AH1990">
        <v>6</v>
      </c>
      <c r="AI1990" t="s">
        <v>3537</v>
      </c>
      <c r="AJ1990" t="s">
        <v>1976</v>
      </c>
      <c r="AK1990" t="s">
        <v>2416</v>
      </c>
      <c r="AL1990" t="s">
        <v>272</v>
      </c>
    </row>
    <row r="1991" spans="1:38">
      <c r="A1991" t="s">
        <v>8594</v>
      </c>
      <c r="B1991" t="s">
        <v>8595</v>
      </c>
      <c r="C1991" t="s">
        <v>8596</v>
      </c>
      <c r="D1991" t="s">
        <v>8596</v>
      </c>
      <c r="E1991" t="s">
        <v>8597</v>
      </c>
      <c r="F1991" t="s">
        <v>2413</v>
      </c>
      <c r="G1991">
        <v>3</v>
      </c>
      <c r="H1991">
        <v>1</v>
      </c>
      <c r="I1991">
        <v>0.01</v>
      </c>
      <c r="J1991">
        <v>1000</v>
      </c>
      <c r="K1991">
        <v>1.1000000000000001</v>
      </c>
      <c r="L1991">
        <v>95.42</v>
      </c>
      <c r="M1991">
        <v>94.38</v>
      </c>
      <c r="N1991">
        <v>94.24</v>
      </c>
      <c r="O1991">
        <v>95.34</v>
      </c>
      <c r="P1991">
        <v>0</v>
      </c>
      <c r="Q1991">
        <v>0</v>
      </c>
      <c r="R1991">
        <v>0</v>
      </c>
      <c r="S1991">
        <v>94.78</v>
      </c>
      <c r="T1991">
        <v>94.38</v>
      </c>
      <c r="U1991">
        <v>93.02</v>
      </c>
      <c r="V1991">
        <v>96.55</v>
      </c>
      <c r="W1991">
        <v>12043203</v>
      </c>
      <c r="X1991">
        <v>95.21</v>
      </c>
      <c r="Y1991">
        <v>95.4</v>
      </c>
      <c r="Z1991">
        <v>468</v>
      </c>
      <c r="AA1991">
        <v>20000000</v>
      </c>
      <c r="AB1991">
        <v>7633.6</v>
      </c>
      <c r="AC1991">
        <v>0</v>
      </c>
      <c r="AD1991" t="s">
        <v>94</v>
      </c>
      <c r="AE1991" t="s">
        <v>94</v>
      </c>
      <c r="AF1991" t="s">
        <v>226</v>
      </c>
      <c r="AG1991" t="s">
        <v>226</v>
      </c>
      <c r="AH1991">
        <v>800</v>
      </c>
      <c r="AI1991" t="s">
        <v>3537</v>
      </c>
      <c r="AJ1991" t="s">
        <v>1976</v>
      </c>
      <c r="AK1991" t="s">
        <v>2416</v>
      </c>
      <c r="AL1991" t="s">
        <v>272</v>
      </c>
    </row>
    <row r="1992" spans="1:38">
      <c r="A1992" t="s">
        <v>8598</v>
      </c>
      <c r="B1992" t="s">
        <v>8599</v>
      </c>
      <c r="C1992" t="s">
        <v>8600</v>
      </c>
      <c r="D1992" t="s">
        <v>8600</v>
      </c>
      <c r="E1992" t="s">
        <v>8601</v>
      </c>
      <c r="F1992" t="s">
        <v>2413</v>
      </c>
      <c r="G1992">
        <v>3</v>
      </c>
      <c r="H1992">
        <v>1</v>
      </c>
      <c r="I1992">
        <v>0.01</v>
      </c>
      <c r="J1992">
        <v>1000</v>
      </c>
      <c r="K1992">
        <v>-0.14000000000000001</v>
      </c>
      <c r="L1992">
        <v>93.88</v>
      </c>
      <c r="M1992">
        <v>94.01</v>
      </c>
      <c r="N1992">
        <v>93.99</v>
      </c>
      <c r="O1992">
        <v>93.88</v>
      </c>
      <c r="P1992">
        <v>0</v>
      </c>
      <c r="Q1992">
        <v>0</v>
      </c>
      <c r="R1992">
        <v>0</v>
      </c>
      <c r="S1992">
        <v>93.5</v>
      </c>
      <c r="T1992">
        <v>93.97</v>
      </c>
      <c r="U1992">
        <v>93</v>
      </c>
      <c r="V1992">
        <v>94.52</v>
      </c>
      <c r="W1992">
        <v>803158</v>
      </c>
      <c r="X1992">
        <v>93.61</v>
      </c>
      <c r="Y1992">
        <v>93.88</v>
      </c>
      <c r="Z1992">
        <v>71</v>
      </c>
      <c r="AA1992">
        <v>15000000</v>
      </c>
      <c r="AB1992">
        <v>938.8</v>
      </c>
      <c r="AC1992">
        <v>0</v>
      </c>
      <c r="AD1992" t="s">
        <v>94</v>
      </c>
      <c r="AE1992" t="s">
        <v>94</v>
      </c>
      <c r="AF1992" t="s">
        <v>226</v>
      </c>
      <c r="AG1992" t="s">
        <v>226</v>
      </c>
      <c r="AH1992">
        <v>8</v>
      </c>
      <c r="AI1992" t="s">
        <v>3537</v>
      </c>
      <c r="AJ1992" t="s">
        <v>1976</v>
      </c>
      <c r="AK1992" t="s">
        <v>2416</v>
      </c>
      <c r="AL1992" t="s">
        <v>272</v>
      </c>
    </row>
    <row r="1993" spans="1:38">
      <c r="A1993" t="s">
        <v>8602</v>
      </c>
      <c r="B1993" t="s">
        <v>8603</v>
      </c>
      <c r="C1993" t="s">
        <v>8604</v>
      </c>
      <c r="D1993" t="s">
        <v>8604</v>
      </c>
      <c r="E1993" t="s">
        <v>8605</v>
      </c>
      <c r="F1993" t="s">
        <v>2413</v>
      </c>
      <c r="G1993">
        <v>2</v>
      </c>
      <c r="H1993">
        <v>1</v>
      </c>
      <c r="I1993">
        <v>0.01</v>
      </c>
      <c r="J1993">
        <v>1000</v>
      </c>
      <c r="K1993">
        <v>0.08</v>
      </c>
      <c r="L1993">
        <v>97.19</v>
      </c>
      <c r="M1993">
        <v>97.11</v>
      </c>
      <c r="N1993">
        <v>96.85</v>
      </c>
      <c r="O1993">
        <v>97.17</v>
      </c>
      <c r="P1993">
        <v>0</v>
      </c>
      <c r="Q1993">
        <v>0</v>
      </c>
      <c r="R1993">
        <v>0</v>
      </c>
      <c r="S1993">
        <v>96.84</v>
      </c>
      <c r="T1993">
        <v>97.5</v>
      </c>
      <c r="U1993">
        <v>96.6</v>
      </c>
      <c r="V1993">
        <v>97.56</v>
      </c>
      <c r="W1993">
        <v>8386434</v>
      </c>
      <c r="X1993">
        <v>97.14</v>
      </c>
      <c r="Y1993">
        <v>97.17</v>
      </c>
      <c r="Z1993">
        <v>227</v>
      </c>
      <c r="AA1993">
        <v>10000000</v>
      </c>
      <c r="AB1993">
        <v>1943.8</v>
      </c>
      <c r="AC1993">
        <v>0</v>
      </c>
      <c r="AD1993" t="s">
        <v>94</v>
      </c>
      <c r="AE1993" t="s">
        <v>94</v>
      </c>
      <c r="AF1993" t="s">
        <v>226</v>
      </c>
      <c r="AG1993" t="s">
        <v>226</v>
      </c>
      <c r="AH1993">
        <v>800</v>
      </c>
      <c r="AI1993" t="s">
        <v>3537</v>
      </c>
      <c r="AJ1993" t="s">
        <v>1976</v>
      </c>
      <c r="AK1993" t="s">
        <v>2416</v>
      </c>
      <c r="AL1993" t="s">
        <v>272</v>
      </c>
    </row>
    <row r="1994" spans="1:38">
      <c r="A1994" t="s">
        <v>8606</v>
      </c>
      <c r="B1994" t="s">
        <v>8607</v>
      </c>
      <c r="C1994" t="s">
        <v>8608</v>
      </c>
      <c r="D1994" t="s">
        <v>8608</v>
      </c>
      <c r="E1994" t="s">
        <v>8609</v>
      </c>
      <c r="F1994" t="s">
        <v>2413</v>
      </c>
      <c r="G1994">
        <v>2</v>
      </c>
      <c r="H1994">
        <v>1</v>
      </c>
      <c r="I1994">
        <v>0.01</v>
      </c>
      <c r="J1994">
        <v>1000</v>
      </c>
      <c r="K1994">
        <v>-0.02</v>
      </c>
      <c r="L1994">
        <v>99.45</v>
      </c>
      <c r="M1994">
        <v>99.47</v>
      </c>
      <c r="N1994">
        <v>99.25</v>
      </c>
      <c r="O1994">
        <v>99.44</v>
      </c>
      <c r="P1994">
        <v>0</v>
      </c>
      <c r="Q1994">
        <v>0</v>
      </c>
      <c r="R1994">
        <v>0</v>
      </c>
      <c r="S1994">
        <v>98.77</v>
      </c>
      <c r="T1994">
        <v>98.71</v>
      </c>
      <c r="U1994">
        <v>98</v>
      </c>
      <c r="V1994">
        <v>99.47</v>
      </c>
      <c r="W1994">
        <v>67162</v>
      </c>
      <c r="X1994">
        <v>99.17</v>
      </c>
      <c r="Y1994">
        <v>99.48</v>
      </c>
      <c r="Z1994">
        <v>14</v>
      </c>
      <c r="AA1994">
        <v>5000000</v>
      </c>
      <c r="AB1994">
        <v>8950.5</v>
      </c>
      <c r="AC1994">
        <v>0</v>
      </c>
      <c r="AD1994" t="s">
        <v>94</v>
      </c>
      <c r="AE1994" t="s">
        <v>94</v>
      </c>
      <c r="AF1994" t="s">
        <v>226</v>
      </c>
      <c r="AG1994" t="s">
        <v>226</v>
      </c>
      <c r="AH1994">
        <v>-100</v>
      </c>
      <c r="AI1994" t="s">
        <v>3537</v>
      </c>
      <c r="AJ1994" t="s">
        <v>1976</v>
      </c>
      <c r="AK1994" t="s">
        <v>2416</v>
      </c>
      <c r="AL1994" t="s">
        <v>272</v>
      </c>
    </row>
    <row r="1995" spans="1:38">
      <c r="A1995" t="s">
        <v>8610</v>
      </c>
      <c r="B1995" t="s">
        <v>8611</v>
      </c>
      <c r="C1995" t="s">
        <v>8612</v>
      </c>
      <c r="D1995" t="s">
        <v>8612</v>
      </c>
      <c r="E1995" t="s">
        <v>8613</v>
      </c>
      <c r="F1995" t="s">
        <v>2413</v>
      </c>
      <c r="G1995">
        <v>2</v>
      </c>
      <c r="H1995">
        <v>1</v>
      </c>
      <c r="I1995">
        <v>0.01</v>
      </c>
      <c r="J1995">
        <v>1000</v>
      </c>
      <c r="K1995">
        <v>0</v>
      </c>
      <c r="L1995">
        <v>99.98</v>
      </c>
      <c r="M1995">
        <v>99.98</v>
      </c>
      <c r="N1995">
        <v>99.22</v>
      </c>
      <c r="O1995">
        <v>99.98</v>
      </c>
      <c r="P1995">
        <v>0</v>
      </c>
      <c r="Q1995">
        <v>0</v>
      </c>
      <c r="R1995">
        <v>0</v>
      </c>
      <c r="S1995">
        <v>99.33</v>
      </c>
      <c r="T1995">
        <v>98.11</v>
      </c>
      <c r="U1995">
        <v>98.11</v>
      </c>
      <c r="V1995">
        <v>99.98</v>
      </c>
      <c r="W1995">
        <v>7946</v>
      </c>
      <c r="X1995">
        <v>98.52</v>
      </c>
      <c r="Y1995">
        <v>99.98</v>
      </c>
      <c r="Z1995">
        <v>4</v>
      </c>
      <c r="AA1995">
        <v>5000000</v>
      </c>
      <c r="AB1995">
        <v>3999.2</v>
      </c>
      <c r="AC1995">
        <v>0</v>
      </c>
      <c r="AD1995" t="s">
        <v>94</v>
      </c>
      <c r="AE1995" t="s">
        <v>94</v>
      </c>
      <c r="AF1995" t="s">
        <v>226</v>
      </c>
      <c r="AG1995" t="s">
        <v>226</v>
      </c>
      <c r="AH1995">
        <v>-100</v>
      </c>
      <c r="AI1995" t="s">
        <v>3537</v>
      </c>
      <c r="AJ1995" t="s">
        <v>1976</v>
      </c>
      <c r="AK1995" t="s">
        <v>2416</v>
      </c>
      <c r="AL1995" t="s">
        <v>272</v>
      </c>
    </row>
    <row r="1996" spans="1:38">
      <c r="A1996" t="s">
        <v>8614</v>
      </c>
      <c r="B1996" t="s">
        <v>8615</v>
      </c>
      <c r="C1996" t="s">
        <v>8616</v>
      </c>
      <c r="D1996" t="s">
        <v>8616</v>
      </c>
      <c r="E1996" t="s">
        <v>8617</v>
      </c>
      <c r="F1996" t="s">
        <v>2413</v>
      </c>
      <c r="G1996">
        <v>3</v>
      </c>
      <c r="H1996">
        <v>1</v>
      </c>
      <c r="I1996">
        <v>0.01</v>
      </c>
      <c r="J1996">
        <v>1000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2400000</v>
      </c>
      <c r="AB1996">
        <v>0</v>
      </c>
      <c r="AC1996">
        <v>0</v>
      </c>
      <c r="AD1996" t="s">
        <v>94</v>
      </c>
      <c r="AE1996" t="s">
        <v>94</v>
      </c>
      <c r="AF1996" t="s">
        <v>226</v>
      </c>
      <c r="AG1996" t="s">
        <v>226</v>
      </c>
      <c r="AH1996">
        <v>-100</v>
      </c>
      <c r="AI1996" t="s">
        <v>3537</v>
      </c>
      <c r="AJ1996" t="s">
        <v>1976</v>
      </c>
      <c r="AK1996" t="s">
        <v>2416</v>
      </c>
      <c r="AL1996" t="s">
        <v>272</v>
      </c>
    </row>
    <row r="1997" spans="1:38">
      <c r="A1997" t="s">
        <v>8618</v>
      </c>
      <c r="B1997" t="s">
        <v>8619</v>
      </c>
      <c r="C1997" t="s">
        <v>8620</v>
      </c>
      <c r="D1997" t="s">
        <v>8620</v>
      </c>
      <c r="E1997" t="s">
        <v>8621</v>
      </c>
      <c r="F1997" t="s">
        <v>2413</v>
      </c>
      <c r="G1997">
        <v>2</v>
      </c>
      <c r="H1997">
        <v>1</v>
      </c>
      <c r="I1997">
        <v>0.01</v>
      </c>
      <c r="J1997">
        <v>1000</v>
      </c>
      <c r="K1997">
        <v>0</v>
      </c>
      <c r="L1997">
        <v>0</v>
      </c>
      <c r="M1997">
        <v>98.9</v>
      </c>
      <c r="N1997">
        <v>97.81</v>
      </c>
      <c r="O1997">
        <v>98.9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99.08</v>
      </c>
      <c r="Y1997">
        <v>99.71</v>
      </c>
      <c r="Z1997">
        <v>0</v>
      </c>
      <c r="AA1997">
        <v>10000000</v>
      </c>
      <c r="AB1997">
        <v>0</v>
      </c>
      <c r="AC1997">
        <v>0</v>
      </c>
      <c r="AD1997" t="s">
        <v>94</v>
      </c>
      <c r="AE1997" t="s">
        <v>94</v>
      </c>
      <c r="AF1997" t="s">
        <v>226</v>
      </c>
      <c r="AG1997" t="s">
        <v>226</v>
      </c>
      <c r="AH1997">
        <v>-100</v>
      </c>
      <c r="AI1997" t="s">
        <v>3537</v>
      </c>
      <c r="AJ1997" t="s">
        <v>1976</v>
      </c>
      <c r="AK1997" t="s">
        <v>2416</v>
      </c>
      <c r="AL1997" t="s">
        <v>272</v>
      </c>
    </row>
    <row r="1998" spans="1:38">
      <c r="A1998" t="s">
        <v>8622</v>
      </c>
      <c r="B1998" t="s">
        <v>8623</v>
      </c>
      <c r="C1998" t="s">
        <v>8624</v>
      </c>
      <c r="D1998" t="s">
        <v>8624</v>
      </c>
      <c r="E1998" t="s">
        <v>8625</v>
      </c>
      <c r="F1998" t="s">
        <v>2413</v>
      </c>
      <c r="G1998">
        <v>2</v>
      </c>
      <c r="H1998">
        <v>1</v>
      </c>
      <c r="I1998">
        <v>0.01</v>
      </c>
      <c r="J1998">
        <v>1000</v>
      </c>
      <c r="K1998">
        <v>0.87</v>
      </c>
      <c r="L1998">
        <v>98.25</v>
      </c>
      <c r="M1998">
        <v>97.42</v>
      </c>
      <c r="N1998">
        <v>98.24</v>
      </c>
      <c r="O1998">
        <v>98.25</v>
      </c>
      <c r="P1998">
        <v>0</v>
      </c>
      <c r="Q1998">
        <v>0</v>
      </c>
      <c r="R1998">
        <v>0</v>
      </c>
      <c r="S1998">
        <v>99.25</v>
      </c>
      <c r="T1998">
        <v>97.5</v>
      </c>
      <c r="U1998">
        <v>97.5</v>
      </c>
      <c r="V1998">
        <v>100</v>
      </c>
      <c r="W1998">
        <v>1212802</v>
      </c>
      <c r="X1998">
        <v>98.24</v>
      </c>
      <c r="Y1998">
        <v>98.25</v>
      </c>
      <c r="Z1998">
        <v>59</v>
      </c>
      <c r="AA1998">
        <v>20000000</v>
      </c>
      <c r="AB1998">
        <v>982.5</v>
      </c>
      <c r="AC1998">
        <v>0</v>
      </c>
      <c r="AD1998" t="s">
        <v>94</v>
      </c>
      <c r="AE1998" t="s">
        <v>94</v>
      </c>
      <c r="AF1998" t="s">
        <v>226</v>
      </c>
      <c r="AG1998" t="s">
        <v>226</v>
      </c>
      <c r="AH1998">
        <v>800</v>
      </c>
      <c r="AI1998" t="s">
        <v>3537</v>
      </c>
      <c r="AJ1998" t="s">
        <v>1976</v>
      </c>
      <c r="AK1998" t="s">
        <v>2416</v>
      </c>
      <c r="AL1998" t="s">
        <v>272</v>
      </c>
    </row>
    <row r="1999" spans="1:38">
      <c r="A1999" t="s">
        <v>8626</v>
      </c>
      <c r="B1999" t="s">
        <v>8627</v>
      </c>
      <c r="C1999" t="s">
        <v>8628</v>
      </c>
      <c r="D1999" t="s">
        <v>8628</v>
      </c>
      <c r="E1999" t="s">
        <v>8629</v>
      </c>
      <c r="F1999" t="s">
        <v>2413</v>
      </c>
      <c r="G1999">
        <v>2</v>
      </c>
      <c r="H1999">
        <v>1</v>
      </c>
      <c r="I1999">
        <v>0.01</v>
      </c>
      <c r="J1999">
        <v>1000</v>
      </c>
      <c r="K1999">
        <v>-0.4</v>
      </c>
      <c r="L1999">
        <v>100.1</v>
      </c>
      <c r="M1999">
        <v>100.5</v>
      </c>
      <c r="N1999">
        <v>100.58</v>
      </c>
      <c r="O1999">
        <v>100.1</v>
      </c>
      <c r="P1999">
        <v>0</v>
      </c>
      <c r="Q1999">
        <v>0</v>
      </c>
      <c r="R1999">
        <v>0</v>
      </c>
      <c r="S1999">
        <v>101.87</v>
      </c>
      <c r="T1999">
        <v>103.59</v>
      </c>
      <c r="U1999">
        <v>100.1</v>
      </c>
      <c r="V1999">
        <v>103.6</v>
      </c>
      <c r="W1999">
        <v>243459</v>
      </c>
      <c r="X1999">
        <v>100.1</v>
      </c>
      <c r="Y1999">
        <v>100.47</v>
      </c>
      <c r="Z1999">
        <v>20</v>
      </c>
      <c r="AA1999">
        <v>5000000</v>
      </c>
      <c r="AB1999">
        <v>2002</v>
      </c>
      <c r="AC1999">
        <v>0</v>
      </c>
      <c r="AD1999" t="s">
        <v>94</v>
      </c>
      <c r="AE1999" t="s">
        <v>94</v>
      </c>
      <c r="AF1999" t="s">
        <v>226</v>
      </c>
      <c r="AG1999" t="s">
        <v>226</v>
      </c>
      <c r="AH1999">
        <v>8</v>
      </c>
      <c r="AI1999" t="s">
        <v>3537</v>
      </c>
      <c r="AJ1999" t="s">
        <v>1976</v>
      </c>
      <c r="AK1999" t="s">
        <v>2416</v>
      </c>
      <c r="AL1999" t="s">
        <v>272</v>
      </c>
    </row>
    <row r="2000" spans="1:38">
      <c r="A2000" t="s">
        <v>8630</v>
      </c>
      <c r="B2000" t="s">
        <v>8631</v>
      </c>
      <c r="C2000" t="s">
        <v>8632</v>
      </c>
      <c r="D2000" t="s">
        <v>8632</v>
      </c>
      <c r="E2000" t="s">
        <v>8633</v>
      </c>
      <c r="F2000" t="s">
        <v>2413</v>
      </c>
      <c r="G2000">
        <v>2</v>
      </c>
      <c r="H2000">
        <v>1</v>
      </c>
      <c r="I2000">
        <v>0.01</v>
      </c>
      <c r="J2000">
        <v>1000</v>
      </c>
      <c r="K2000">
        <v>1</v>
      </c>
      <c r="L2000">
        <v>99.4</v>
      </c>
      <c r="M2000">
        <v>98.53</v>
      </c>
      <c r="N2000">
        <v>98.94</v>
      </c>
      <c r="O2000">
        <v>99.37</v>
      </c>
      <c r="P2000">
        <v>0</v>
      </c>
      <c r="Q2000">
        <v>0</v>
      </c>
      <c r="R2000">
        <v>0</v>
      </c>
      <c r="S2000">
        <v>99.59</v>
      </c>
      <c r="T2000">
        <v>99.12</v>
      </c>
      <c r="U2000">
        <v>98.81</v>
      </c>
      <c r="V2000">
        <v>100</v>
      </c>
      <c r="W2000">
        <v>2349235</v>
      </c>
      <c r="X2000">
        <v>99.36</v>
      </c>
      <c r="Y2000">
        <v>99.4</v>
      </c>
      <c r="Z2000">
        <v>66</v>
      </c>
      <c r="AA2000">
        <v>8000000</v>
      </c>
      <c r="AB2000">
        <v>201782</v>
      </c>
      <c r="AC2000">
        <v>0</v>
      </c>
      <c r="AD2000" t="s">
        <v>94</v>
      </c>
      <c r="AE2000" t="s">
        <v>94</v>
      </c>
      <c r="AF2000" t="s">
        <v>226</v>
      </c>
      <c r="AG2000" t="s">
        <v>226</v>
      </c>
      <c r="AH2000">
        <v>800</v>
      </c>
      <c r="AI2000" t="s">
        <v>3537</v>
      </c>
      <c r="AJ2000" t="s">
        <v>1976</v>
      </c>
      <c r="AK2000" t="s">
        <v>2416</v>
      </c>
      <c r="AL2000" t="s">
        <v>272</v>
      </c>
    </row>
    <row r="2001" spans="1:38">
      <c r="A2001" t="s">
        <v>8634</v>
      </c>
      <c r="B2001" t="s">
        <v>2479</v>
      </c>
      <c r="C2001" t="s">
        <v>2480</v>
      </c>
      <c r="D2001" t="s">
        <v>2480</v>
      </c>
      <c r="E2001" t="s">
        <v>2481</v>
      </c>
      <c r="F2001" t="s">
        <v>2413</v>
      </c>
      <c r="G2001">
        <v>3</v>
      </c>
      <c r="H2001">
        <v>1</v>
      </c>
      <c r="I2001">
        <v>1E-4</v>
      </c>
      <c r="J2001">
        <v>1000</v>
      </c>
      <c r="K2001">
        <v>0</v>
      </c>
      <c r="L2001">
        <v>94</v>
      </c>
      <c r="M2001">
        <v>94.841200000000001</v>
      </c>
      <c r="N2001">
        <v>95.160399999999996</v>
      </c>
      <c r="O2001">
        <v>94.839799999999997</v>
      </c>
      <c r="P2001">
        <v>0</v>
      </c>
      <c r="Q2001">
        <v>0</v>
      </c>
      <c r="R2001">
        <v>0</v>
      </c>
      <c r="S2001">
        <v>94.474500000000006</v>
      </c>
      <c r="T2001">
        <v>95.682299999999998</v>
      </c>
      <c r="U2001">
        <v>92.649799999999999</v>
      </c>
      <c r="V2001">
        <v>95.682400000000001</v>
      </c>
      <c r="W2001">
        <v>1815429</v>
      </c>
      <c r="X2001">
        <v>93.700100000000006</v>
      </c>
      <c r="Y2001">
        <v>94.665499999999994</v>
      </c>
      <c r="Z2001">
        <v>51</v>
      </c>
      <c r="AA2001">
        <v>6000000</v>
      </c>
      <c r="AB2001">
        <v>13681.23</v>
      </c>
      <c r="AC2001">
        <v>0</v>
      </c>
      <c r="AD2001" t="s">
        <v>1663</v>
      </c>
      <c r="AE2001" t="s">
        <v>94</v>
      </c>
      <c r="AF2001" t="s">
        <v>226</v>
      </c>
      <c r="AG2001" t="s">
        <v>226</v>
      </c>
      <c r="AH2001">
        <v>6</v>
      </c>
      <c r="AI2001" t="s">
        <v>3537</v>
      </c>
      <c r="AJ2001" t="s">
        <v>1976</v>
      </c>
      <c r="AK2001" t="s">
        <v>2416</v>
      </c>
      <c r="AL2001" t="s">
        <v>272</v>
      </c>
    </row>
    <row r="2002" spans="1:38">
      <c r="A2002" t="s">
        <v>8635</v>
      </c>
      <c r="B2002" t="s">
        <v>8636</v>
      </c>
      <c r="C2002" t="s">
        <v>8637</v>
      </c>
      <c r="D2002" t="s">
        <v>8637</v>
      </c>
      <c r="E2002" t="s">
        <v>8638</v>
      </c>
      <c r="F2002" t="s">
        <v>2413</v>
      </c>
      <c r="G2002">
        <v>2</v>
      </c>
      <c r="H2002">
        <v>1</v>
      </c>
      <c r="I2002">
        <v>0.01</v>
      </c>
      <c r="J2002">
        <v>1000</v>
      </c>
      <c r="K2002">
        <v>0.08</v>
      </c>
      <c r="L2002">
        <v>97.96</v>
      </c>
      <c r="M2002">
        <v>97.88</v>
      </c>
      <c r="N2002">
        <v>97.71</v>
      </c>
      <c r="O2002">
        <v>97.96</v>
      </c>
      <c r="P2002">
        <v>0</v>
      </c>
      <c r="Q2002">
        <v>0</v>
      </c>
      <c r="R2002">
        <v>0</v>
      </c>
      <c r="S2002">
        <v>98</v>
      </c>
      <c r="T2002">
        <v>97.84</v>
      </c>
      <c r="U2002">
        <v>97.84</v>
      </c>
      <c r="V2002">
        <v>98</v>
      </c>
      <c r="W2002">
        <v>6251258</v>
      </c>
      <c r="X2002">
        <v>97.9</v>
      </c>
      <c r="Y2002">
        <v>97.96</v>
      </c>
      <c r="Z2002">
        <v>29</v>
      </c>
      <c r="AA2002">
        <v>10000000</v>
      </c>
      <c r="AB2002">
        <v>3918.4</v>
      </c>
      <c r="AC2002">
        <v>0</v>
      </c>
      <c r="AD2002" t="s">
        <v>94</v>
      </c>
      <c r="AE2002" t="s">
        <v>94</v>
      </c>
      <c r="AF2002" t="s">
        <v>226</v>
      </c>
      <c r="AG2002" t="s">
        <v>226</v>
      </c>
      <c r="AH2002">
        <v>800</v>
      </c>
      <c r="AI2002" t="s">
        <v>3537</v>
      </c>
      <c r="AJ2002" t="s">
        <v>1976</v>
      </c>
      <c r="AK2002" t="s">
        <v>2416</v>
      </c>
      <c r="AL2002" t="s">
        <v>272</v>
      </c>
    </row>
    <row r="2003" spans="1:38">
      <c r="A2003" t="s">
        <v>8639</v>
      </c>
      <c r="B2003" t="s">
        <v>8640</v>
      </c>
      <c r="C2003" t="s">
        <v>8641</v>
      </c>
      <c r="D2003" t="s">
        <v>8641</v>
      </c>
      <c r="E2003" t="s">
        <v>8642</v>
      </c>
      <c r="F2003" t="s">
        <v>2413</v>
      </c>
      <c r="G2003">
        <v>2</v>
      </c>
      <c r="H2003">
        <v>1</v>
      </c>
      <c r="I2003">
        <v>0.01</v>
      </c>
      <c r="J2003">
        <v>1000</v>
      </c>
      <c r="K2003">
        <v>-0.24</v>
      </c>
      <c r="L2003">
        <v>96.06</v>
      </c>
      <c r="M2003">
        <v>96.29</v>
      </c>
      <c r="N2003">
        <v>96.1</v>
      </c>
      <c r="O2003">
        <v>96.02</v>
      </c>
      <c r="P2003">
        <v>0</v>
      </c>
      <c r="Q2003">
        <v>0</v>
      </c>
      <c r="R2003">
        <v>0</v>
      </c>
      <c r="S2003">
        <v>96.15</v>
      </c>
      <c r="T2003">
        <v>96.87</v>
      </c>
      <c r="U2003">
        <v>96</v>
      </c>
      <c r="V2003">
        <v>96.87</v>
      </c>
      <c r="W2003">
        <v>4782507</v>
      </c>
      <c r="X2003">
        <v>96.1</v>
      </c>
      <c r="Y2003">
        <v>96.35</v>
      </c>
      <c r="Z2003">
        <v>124</v>
      </c>
      <c r="AA2003">
        <v>10000000</v>
      </c>
      <c r="AB2003">
        <v>960.6</v>
      </c>
      <c r="AC2003">
        <v>0</v>
      </c>
      <c r="AD2003" t="s">
        <v>94</v>
      </c>
      <c r="AE2003" t="s">
        <v>94</v>
      </c>
      <c r="AF2003" t="s">
        <v>226</v>
      </c>
      <c r="AG2003" t="s">
        <v>226</v>
      </c>
      <c r="AH2003">
        <v>800</v>
      </c>
      <c r="AI2003" t="s">
        <v>3537</v>
      </c>
      <c r="AJ2003" t="s">
        <v>1976</v>
      </c>
      <c r="AK2003" t="s">
        <v>2416</v>
      </c>
      <c r="AL2003" t="s">
        <v>272</v>
      </c>
    </row>
    <row r="2004" spans="1:38">
      <c r="A2004" t="s">
        <v>8643</v>
      </c>
      <c r="B2004" t="s">
        <v>2483</v>
      </c>
      <c r="C2004" t="s">
        <v>2484</v>
      </c>
      <c r="D2004" t="s">
        <v>2484</v>
      </c>
      <c r="E2004" t="s">
        <v>2485</v>
      </c>
      <c r="F2004" t="s">
        <v>2413</v>
      </c>
      <c r="G2004">
        <v>3</v>
      </c>
      <c r="H2004">
        <v>1</v>
      </c>
      <c r="I2004">
        <v>1E-4</v>
      </c>
      <c r="J2004">
        <v>1000</v>
      </c>
      <c r="K2004">
        <v>0</v>
      </c>
      <c r="L2004">
        <v>0</v>
      </c>
      <c r="M2004">
        <v>94.492500000000007</v>
      </c>
      <c r="N2004">
        <v>90.253200000000007</v>
      </c>
      <c r="O2004">
        <v>94.121200000000002</v>
      </c>
      <c r="P2004">
        <v>0</v>
      </c>
      <c r="Q2004">
        <v>0</v>
      </c>
      <c r="R2004">
        <v>0</v>
      </c>
      <c r="S2004">
        <v>94.121200000000002</v>
      </c>
      <c r="T2004">
        <v>0</v>
      </c>
      <c r="U2004">
        <v>0</v>
      </c>
      <c r="V2004">
        <v>0</v>
      </c>
      <c r="W2004">
        <v>0</v>
      </c>
      <c r="X2004">
        <v>88.500100000000003</v>
      </c>
      <c r="Y2004">
        <v>92.463700000000003</v>
      </c>
      <c r="Z2004">
        <v>0</v>
      </c>
      <c r="AA2004">
        <v>1000000</v>
      </c>
      <c r="AB2004">
        <v>0</v>
      </c>
      <c r="AC2004">
        <v>0</v>
      </c>
      <c r="AD2004" t="s">
        <v>1663</v>
      </c>
      <c r="AE2004" t="s">
        <v>94</v>
      </c>
      <c r="AF2004" t="s">
        <v>226</v>
      </c>
      <c r="AG2004" t="s">
        <v>226</v>
      </c>
      <c r="AH2004">
        <v>6</v>
      </c>
      <c r="AI2004" t="s">
        <v>3537</v>
      </c>
      <c r="AJ2004" t="s">
        <v>1976</v>
      </c>
      <c r="AK2004" t="s">
        <v>2416</v>
      </c>
      <c r="AL2004" t="s">
        <v>272</v>
      </c>
    </row>
    <row r="2005" spans="1:38">
      <c r="A2005" t="s">
        <v>8644</v>
      </c>
      <c r="B2005" t="s">
        <v>2487</v>
      </c>
      <c r="C2005" t="s">
        <v>2488</v>
      </c>
      <c r="D2005" t="s">
        <v>2488</v>
      </c>
      <c r="E2005" t="s">
        <v>2489</v>
      </c>
      <c r="F2005" t="s">
        <v>2413</v>
      </c>
      <c r="G2005">
        <v>3</v>
      </c>
      <c r="H2005">
        <v>1</v>
      </c>
      <c r="I2005">
        <v>1E-4</v>
      </c>
      <c r="J2005">
        <v>1000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70</v>
      </c>
      <c r="Y2005">
        <v>0</v>
      </c>
      <c r="Z2005">
        <v>0</v>
      </c>
      <c r="AA2005">
        <v>3000000</v>
      </c>
      <c r="AB2005">
        <v>0</v>
      </c>
      <c r="AC2005">
        <v>0</v>
      </c>
      <c r="AD2005" t="s">
        <v>1663</v>
      </c>
      <c r="AE2005" t="s">
        <v>94</v>
      </c>
      <c r="AF2005" t="s">
        <v>304</v>
      </c>
      <c r="AG2005" t="s">
        <v>226</v>
      </c>
      <c r="AH2005">
        <v>800</v>
      </c>
      <c r="AI2005" t="s">
        <v>3537</v>
      </c>
      <c r="AJ2005" t="s">
        <v>1976</v>
      </c>
      <c r="AK2005" t="s">
        <v>2416</v>
      </c>
      <c r="AL2005" t="s">
        <v>272</v>
      </c>
    </row>
    <row r="2006" spans="1:38">
      <c r="A2006" t="s">
        <v>8645</v>
      </c>
      <c r="B2006" t="s">
        <v>8646</v>
      </c>
      <c r="C2006" t="s">
        <v>8647</v>
      </c>
      <c r="D2006" t="s">
        <v>8647</v>
      </c>
      <c r="E2006" t="s">
        <v>8648</v>
      </c>
      <c r="F2006" t="s">
        <v>2413</v>
      </c>
      <c r="G2006">
        <v>2</v>
      </c>
      <c r="H2006">
        <v>1</v>
      </c>
      <c r="I2006">
        <v>1E-4</v>
      </c>
      <c r="J2006">
        <v>1000</v>
      </c>
      <c r="K2006">
        <v>6.98</v>
      </c>
      <c r="L2006">
        <v>92</v>
      </c>
      <c r="M2006">
        <v>86.000500000000002</v>
      </c>
      <c r="N2006">
        <v>82.336399999999998</v>
      </c>
      <c r="O2006">
        <v>92</v>
      </c>
      <c r="P2006">
        <v>0</v>
      </c>
      <c r="Q2006">
        <v>0</v>
      </c>
      <c r="R2006">
        <v>0</v>
      </c>
      <c r="S2006">
        <v>92</v>
      </c>
      <c r="T2006">
        <v>92</v>
      </c>
      <c r="U2006">
        <v>92</v>
      </c>
      <c r="V2006">
        <v>92</v>
      </c>
      <c r="W2006">
        <v>53202</v>
      </c>
      <c r="X2006">
        <v>88.000100000000003</v>
      </c>
      <c r="Y2006">
        <v>98.743700000000004</v>
      </c>
      <c r="Z2006">
        <v>1</v>
      </c>
      <c r="AA2006">
        <v>370000</v>
      </c>
      <c r="AB2006">
        <v>53202.31</v>
      </c>
      <c r="AC2006">
        <v>0</v>
      </c>
      <c r="AD2006" t="s">
        <v>8649</v>
      </c>
      <c r="AE2006" t="s">
        <v>94</v>
      </c>
      <c r="AF2006" t="s">
        <v>226</v>
      </c>
      <c r="AG2006" t="s">
        <v>226</v>
      </c>
      <c r="AH2006">
        <v>6</v>
      </c>
      <c r="AI2006" t="s">
        <v>3537</v>
      </c>
      <c r="AJ2006" t="s">
        <v>1976</v>
      </c>
      <c r="AK2006" t="s">
        <v>2416</v>
      </c>
      <c r="AL2006" t="s">
        <v>272</v>
      </c>
    </row>
    <row r="2007" spans="1:38">
      <c r="A2007" t="s">
        <v>8650</v>
      </c>
      <c r="B2007" t="s">
        <v>2495</v>
      </c>
      <c r="C2007" t="s">
        <v>2496</v>
      </c>
      <c r="D2007" t="s">
        <v>2496</v>
      </c>
      <c r="E2007" t="s">
        <v>2497</v>
      </c>
      <c r="F2007" t="s">
        <v>2413</v>
      </c>
      <c r="G2007">
        <v>2</v>
      </c>
      <c r="H2007">
        <v>1</v>
      </c>
      <c r="I2007">
        <v>1E-4</v>
      </c>
      <c r="J2007">
        <v>1000</v>
      </c>
      <c r="K2007">
        <v>-0.45</v>
      </c>
      <c r="L2007">
        <v>85.65</v>
      </c>
      <c r="M2007">
        <v>87.899699999999996</v>
      </c>
      <c r="N2007">
        <v>87.159499999999994</v>
      </c>
      <c r="O2007">
        <v>86.729900000000001</v>
      </c>
      <c r="P2007">
        <v>0</v>
      </c>
      <c r="Q2007">
        <v>0</v>
      </c>
      <c r="R2007">
        <v>0</v>
      </c>
      <c r="S2007">
        <v>86.186800000000005</v>
      </c>
      <c r="T2007">
        <v>85.603399999999993</v>
      </c>
      <c r="U2007">
        <v>85.603399999999993</v>
      </c>
      <c r="V2007">
        <v>86.551599999999993</v>
      </c>
      <c r="W2007">
        <v>599686</v>
      </c>
      <c r="X2007">
        <v>85.6</v>
      </c>
      <c r="Y2007">
        <v>86</v>
      </c>
      <c r="Z2007">
        <v>25</v>
      </c>
      <c r="AA2007">
        <v>1000000</v>
      </c>
      <c r="AB2007">
        <v>12465.93</v>
      </c>
      <c r="AC2007">
        <v>0</v>
      </c>
      <c r="AD2007" t="s">
        <v>1663</v>
      </c>
      <c r="AE2007" t="s">
        <v>94</v>
      </c>
      <c r="AF2007" t="s">
        <v>226</v>
      </c>
      <c r="AG2007" t="s">
        <v>226</v>
      </c>
      <c r="AH2007">
        <v>6</v>
      </c>
      <c r="AI2007" t="s">
        <v>3537</v>
      </c>
      <c r="AJ2007" t="s">
        <v>1976</v>
      </c>
      <c r="AK2007" t="s">
        <v>2416</v>
      </c>
      <c r="AL2007" t="s">
        <v>272</v>
      </c>
    </row>
    <row r="2008" spans="1:38">
      <c r="A2008" t="s">
        <v>8651</v>
      </c>
      <c r="B2008" t="s">
        <v>2499</v>
      </c>
      <c r="C2008" t="s">
        <v>2500</v>
      </c>
      <c r="D2008" t="s">
        <v>2500</v>
      </c>
      <c r="E2008" t="s">
        <v>2501</v>
      </c>
      <c r="F2008" t="s">
        <v>2413</v>
      </c>
      <c r="G2008">
        <v>2</v>
      </c>
      <c r="H2008">
        <v>1</v>
      </c>
      <c r="I2008">
        <v>1E-4</v>
      </c>
      <c r="J2008">
        <v>1000</v>
      </c>
      <c r="K2008">
        <v>0.65</v>
      </c>
      <c r="L2008">
        <v>87.263199999999998</v>
      </c>
      <c r="M2008">
        <v>88.5</v>
      </c>
      <c r="N2008">
        <v>88.221500000000006</v>
      </c>
      <c r="O2008">
        <v>88.499899999999997</v>
      </c>
      <c r="P2008">
        <v>0</v>
      </c>
      <c r="Q2008">
        <v>0</v>
      </c>
      <c r="R2008">
        <v>0</v>
      </c>
      <c r="S2008">
        <v>88.479600000000005</v>
      </c>
      <c r="T2008">
        <v>87.590400000000002</v>
      </c>
      <c r="U2008">
        <v>86.100300000000004</v>
      </c>
      <c r="V2008">
        <v>87.590400000000002</v>
      </c>
      <c r="W2008">
        <v>377909</v>
      </c>
      <c r="X2008">
        <v>86.300700000000006</v>
      </c>
      <c r="Y2008">
        <v>87.085899999999995</v>
      </c>
      <c r="Z2008">
        <v>13</v>
      </c>
      <c r="AA2008">
        <v>900000</v>
      </c>
      <c r="AB2008">
        <v>12700.72</v>
      </c>
      <c r="AC2008">
        <v>0</v>
      </c>
      <c r="AD2008" t="s">
        <v>1663</v>
      </c>
      <c r="AE2008" t="s">
        <v>94</v>
      </c>
      <c r="AF2008" t="s">
        <v>226</v>
      </c>
      <c r="AG2008" t="s">
        <v>226</v>
      </c>
      <c r="AH2008">
        <v>6</v>
      </c>
      <c r="AI2008" t="s">
        <v>3537</v>
      </c>
      <c r="AJ2008" t="s">
        <v>1976</v>
      </c>
      <c r="AK2008" t="s">
        <v>2416</v>
      </c>
      <c r="AL2008" t="s">
        <v>272</v>
      </c>
    </row>
    <row r="2009" spans="1:38">
      <c r="A2009" t="s">
        <v>8652</v>
      </c>
      <c r="B2009" t="s">
        <v>8653</v>
      </c>
      <c r="C2009" t="s">
        <v>8654</v>
      </c>
      <c r="D2009" t="s">
        <v>8654</v>
      </c>
      <c r="E2009" t="s">
        <v>8655</v>
      </c>
      <c r="F2009" t="s">
        <v>2413</v>
      </c>
      <c r="G2009">
        <v>2</v>
      </c>
      <c r="H2009">
        <v>1</v>
      </c>
      <c r="I2009">
        <v>1E-4</v>
      </c>
      <c r="J2009">
        <v>100</v>
      </c>
      <c r="K2009">
        <v>-1.1100000000000001</v>
      </c>
      <c r="L2009">
        <v>95.5</v>
      </c>
      <c r="M2009">
        <v>97.033500000000004</v>
      </c>
      <c r="N2009">
        <v>97.114800000000002</v>
      </c>
      <c r="O2009">
        <v>95.509500000000003</v>
      </c>
      <c r="P2009">
        <v>0</v>
      </c>
      <c r="Q2009">
        <v>0</v>
      </c>
      <c r="R2009">
        <v>0</v>
      </c>
      <c r="S2009">
        <v>95.582400000000007</v>
      </c>
      <c r="T2009">
        <v>96.5702</v>
      </c>
      <c r="U2009">
        <v>95.02</v>
      </c>
      <c r="V2009">
        <v>96.5702</v>
      </c>
      <c r="W2009">
        <v>436436</v>
      </c>
      <c r="X2009">
        <v>95.5</v>
      </c>
      <c r="Y2009">
        <v>95.547600000000003</v>
      </c>
      <c r="Z2009">
        <v>28</v>
      </c>
      <c r="AA2009">
        <v>850000</v>
      </c>
      <c r="AB2009">
        <v>10140.93</v>
      </c>
      <c r="AC2009">
        <v>0</v>
      </c>
      <c r="AD2009" t="s">
        <v>2</v>
      </c>
      <c r="AE2009" t="s">
        <v>94</v>
      </c>
      <c r="AF2009" t="s">
        <v>226</v>
      </c>
      <c r="AG2009" t="s">
        <v>226</v>
      </c>
      <c r="AH2009">
        <v>6</v>
      </c>
      <c r="AI2009" t="s">
        <v>3537</v>
      </c>
      <c r="AJ2009" t="s">
        <v>1976</v>
      </c>
      <c r="AK2009" t="s">
        <v>2416</v>
      </c>
      <c r="AL2009" t="s">
        <v>272</v>
      </c>
    </row>
    <row r="2010" spans="1:38">
      <c r="A2010" t="s">
        <v>8656</v>
      </c>
      <c r="B2010" t="s">
        <v>8657</v>
      </c>
      <c r="C2010" t="s">
        <v>8658</v>
      </c>
      <c r="D2010" t="s">
        <v>8658</v>
      </c>
      <c r="E2010" t="s">
        <v>8659</v>
      </c>
      <c r="F2010" t="s">
        <v>2413</v>
      </c>
      <c r="G2010">
        <v>2</v>
      </c>
      <c r="H2010">
        <v>1</v>
      </c>
      <c r="I2010">
        <v>0.01</v>
      </c>
      <c r="J2010">
        <v>1000</v>
      </c>
      <c r="K2010">
        <v>-0.41</v>
      </c>
      <c r="L2010">
        <v>96.8</v>
      </c>
      <c r="M2010">
        <v>97.19</v>
      </c>
      <c r="N2010">
        <v>97.01</v>
      </c>
      <c r="O2010">
        <v>96.8</v>
      </c>
      <c r="P2010">
        <v>0</v>
      </c>
      <c r="Q2010">
        <v>0</v>
      </c>
      <c r="R2010">
        <v>0</v>
      </c>
      <c r="S2010">
        <v>96.86</v>
      </c>
      <c r="T2010">
        <v>97.2</v>
      </c>
      <c r="U2010">
        <v>96.55</v>
      </c>
      <c r="V2010">
        <v>97.39</v>
      </c>
      <c r="W2010">
        <v>4061477</v>
      </c>
      <c r="X2010">
        <v>96.8</v>
      </c>
      <c r="Y2010">
        <v>96.81</v>
      </c>
      <c r="Z2010">
        <v>148</v>
      </c>
      <c r="AA2010">
        <v>30000000</v>
      </c>
      <c r="AB2010">
        <v>3872</v>
      </c>
      <c r="AC2010">
        <v>0</v>
      </c>
      <c r="AD2010" t="s">
        <v>94</v>
      </c>
      <c r="AE2010" t="s">
        <v>94</v>
      </c>
      <c r="AF2010" t="s">
        <v>226</v>
      </c>
      <c r="AG2010" t="s">
        <v>226</v>
      </c>
      <c r="AH2010">
        <v>800</v>
      </c>
      <c r="AI2010" t="s">
        <v>3537</v>
      </c>
      <c r="AJ2010" t="s">
        <v>1976</v>
      </c>
      <c r="AK2010" t="s">
        <v>2416</v>
      </c>
      <c r="AL2010" t="s">
        <v>272</v>
      </c>
    </row>
    <row r="2011" spans="1:38">
      <c r="A2011" t="s">
        <v>8660</v>
      </c>
      <c r="B2011" t="s">
        <v>2503</v>
      </c>
      <c r="C2011" t="s">
        <v>2504</v>
      </c>
      <c r="D2011" t="s">
        <v>2504</v>
      </c>
      <c r="E2011" t="s">
        <v>2505</v>
      </c>
      <c r="F2011" t="s">
        <v>2413</v>
      </c>
      <c r="G2011">
        <v>3</v>
      </c>
      <c r="H2011">
        <v>1</v>
      </c>
      <c r="I2011">
        <v>1E-4</v>
      </c>
      <c r="J2011">
        <v>1000</v>
      </c>
      <c r="K2011">
        <v>-1.38</v>
      </c>
      <c r="L2011">
        <v>92.700199999999995</v>
      </c>
      <c r="M2011">
        <v>94.423900000000003</v>
      </c>
      <c r="N2011">
        <v>95.134500000000003</v>
      </c>
      <c r="O2011">
        <v>93.997200000000007</v>
      </c>
      <c r="P2011">
        <v>0</v>
      </c>
      <c r="Q2011">
        <v>0</v>
      </c>
      <c r="R2011">
        <v>0</v>
      </c>
      <c r="S2011">
        <v>94.304400000000001</v>
      </c>
      <c r="T2011">
        <v>93.5</v>
      </c>
      <c r="U2011">
        <v>92.7</v>
      </c>
      <c r="V2011">
        <v>93.5</v>
      </c>
      <c r="W2011">
        <v>189165</v>
      </c>
      <c r="X2011">
        <v>92.71</v>
      </c>
      <c r="Y2011">
        <v>93.099900000000005</v>
      </c>
      <c r="Z2011">
        <v>13</v>
      </c>
      <c r="AA2011">
        <v>2000000</v>
      </c>
      <c r="AB2011">
        <v>13492.05</v>
      </c>
      <c r="AC2011">
        <v>0</v>
      </c>
      <c r="AD2011" t="s">
        <v>1663</v>
      </c>
      <c r="AE2011" t="s">
        <v>94</v>
      </c>
      <c r="AF2011" t="s">
        <v>226</v>
      </c>
      <c r="AG2011" t="s">
        <v>226</v>
      </c>
      <c r="AH2011">
        <v>6</v>
      </c>
      <c r="AI2011" t="s">
        <v>3537</v>
      </c>
      <c r="AJ2011" t="s">
        <v>1976</v>
      </c>
      <c r="AK2011" t="s">
        <v>2416</v>
      </c>
      <c r="AL2011" t="s">
        <v>272</v>
      </c>
    </row>
    <row r="2012" spans="1:38">
      <c r="A2012" t="s">
        <v>8661</v>
      </c>
      <c r="B2012" t="s">
        <v>2507</v>
      </c>
      <c r="C2012" t="s">
        <v>2508</v>
      </c>
      <c r="D2012" t="s">
        <v>2508</v>
      </c>
      <c r="E2012" t="s">
        <v>2509</v>
      </c>
      <c r="F2012" t="s">
        <v>2413</v>
      </c>
      <c r="G2012">
        <v>3</v>
      </c>
      <c r="H2012">
        <v>1</v>
      </c>
      <c r="I2012">
        <v>1E-4</v>
      </c>
      <c r="J2012">
        <v>1000</v>
      </c>
      <c r="K2012">
        <v>-3.33</v>
      </c>
      <c r="L2012">
        <v>92.099000000000004</v>
      </c>
      <c r="M2012">
        <v>94.489900000000006</v>
      </c>
      <c r="N2012">
        <v>94.510599999999997</v>
      </c>
      <c r="O2012">
        <v>94.999899999999997</v>
      </c>
      <c r="P2012">
        <v>0</v>
      </c>
      <c r="Q2012">
        <v>0</v>
      </c>
      <c r="R2012">
        <v>0</v>
      </c>
      <c r="S2012">
        <v>94.286500000000004</v>
      </c>
      <c r="T2012">
        <v>93.438699999999997</v>
      </c>
      <c r="U2012">
        <v>92.099000000000004</v>
      </c>
      <c r="V2012">
        <v>93.438699999999997</v>
      </c>
      <c r="W2012">
        <v>672006</v>
      </c>
      <c r="X2012">
        <v>92.099000000000004</v>
      </c>
      <c r="Y2012">
        <v>93.419200000000004</v>
      </c>
      <c r="Z2012">
        <v>50</v>
      </c>
      <c r="AA2012">
        <v>2000000</v>
      </c>
      <c r="AB2012">
        <v>13404.55</v>
      </c>
      <c r="AC2012">
        <v>0</v>
      </c>
      <c r="AD2012" t="s">
        <v>1663</v>
      </c>
      <c r="AE2012" t="s">
        <v>94</v>
      </c>
      <c r="AF2012" t="s">
        <v>226</v>
      </c>
      <c r="AG2012" t="s">
        <v>226</v>
      </c>
      <c r="AH2012">
        <v>6</v>
      </c>
      <c r="AI2012" t="s">
        <v>3537</v>
      </c>
      <c r="AJ2012" t="s">
        <v>1976</v>
      </c>
      <c r="AK2012" t="s">
        <v>2416</v>
      </c>
      <c r="AL2012" t="s">
        <v>272</v>
      </c>
    </row>
    <row r="2013" spans="1:38">
      <c r="A2013" t="s">
        <v>8662</v>
      </c>
      <c r="B2013" t="s">
        <v>8663</v>
      </c>
      <c r="C2013" t="s">
        <v>8664</v>
      </c>
      <c r="D2013" t="s">
        <v>8664</v>
      </c>
      <c r="E2013" t="s">
        <v>8665</v>
      </c>
      <c r="F2013" t="s">
        <v>2413</v>
      </c>
      <c r="G2013">
        <v>3</v>
      </c>
      <c r="H2013">
        <v>1</v>
      </c>
      <c r="I2013">
        <v>0.01</v>
      </c>
      <c r="J2013">
        <v>1000</v>
      </c>
      <c r="K2013">
        <v>-0.09</v>
      </c>
      <c r="L2013">
        <v>73.959999999999994</v>
      </c>
      <c r="M2013">
        <v>74.03</v>
      </c>
      <c r="N2013">
        <v>75.47</v>
      </c>
      <c r="O2013">
        <v>73.83</v>
      </c>
      <c r="P2013">
        <v>0</v>
      </c>
      <c r="Q2013">
        <v>0</v>
      </c>
      <c r="R2013">
        <v>0</v>
      </c>
      <c r="S2013">
        <v>73.83</v>
      </c>
      <c r="T2013">
        <v>73.72</v>
      </c>
      <c r="U2013">
        <v>73.72</v>
      </c>
      <c r="V2013">
        <v>73.959999999999994</v>
      </c>
      <c r="W2013">
        <v>2953</v>
      </c>
      <c r="X2013">
        <v>74.03</v>
      </c>
      <c r="Y2013">
        <v>74.069999999999993</v>
      </c>
      <c r="Z2013">
        <v>4</v>
      </c>
      <c r="AA2013">
        <v>10000000</v>
      </c>
      <c r="AB2013">
        <v>739.6</v>
      </c>
      <c r="AC2013">
        <v>0</v>
      </c>
      <c r="AD2013" t="s">
        <v>94</v>
      </c>
      <c r="AE2013" t="s">
        <v>94</v>
      </c>
      <c r="AF2013" t="s">
        <v>226</v>
      </c>
      <c r="AG2013" t="s">
        <v>226</v>
      </c>
      <c r="AH2013">
        <v>6</v>
      </c>
      <c r="AI2013" t="s">
        <v>3537</v>
      </c>
      <c r="AJ2013" t="s">
        <v>1976</v>
      </c>
      <c r="AK2013" t="s">
        <v>2416</v>
      </c>
      <c r="AL2013" t="s">
        <v>272</v>
      </c>
    </row>
    <row r="2014" spans="1:38">
      <c r="A2014" t="s">
        <v>8666</v>
      </c>
      <c r="B2014" t="s">
        <v>8667</v>
      </c>
      <c r="C2014" t="s">
        <v>8668</v>
      </c>
      <c r="D2014" t="s">
        <v>8668</v>
      </c>
      <c r="E2014" t="s">
        <v>8669</v>
      </c>
      <c r="F2014" t="s">
        <v>2425</v>
      </c>
      <c r="G2014">
        <v>2</v>
      </c>
      <c r="H2014">
        <v>1</v>
      </c>
      <c r="I2014">
        <v>0.01</v>
      </c>
      <c r="J2014">
        <v>1000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1591075</v>
      </c>
      <c r="AB2014">
        <v>0</v>
      </c>
      <c r="AC2014">
        <v>0</v>
      </c>
      <c r="AD2014" t="s">
        <v>94</v>
      </c>
      <c r="AE2014" t="s">
        <v>94</v>
      </c>
      <c r="AF2014" t="s">
        <v>304</v>
      </c>
      <c r="AG2014" t="s">
        <v>226</v>
      </c>
      <c r="AH2014">
        <v>800</v>
      </c>
      <c r="AI2014" t="s">
        <v>3537</v>
      </c>
      <c r="AJ2014" t="s">
        <v>1976</v>
      </c>
      <c r="AK2014" t="s">
        <v>2426</v>
      </c>
      <c r="AL2014" t="s">
        <v>272</v>
      </c>
    </row>
    <row r="2015" spans="1:38">
      <c r="A2015" t="s">
        <v>8670</v>
      </c>
      <c r="B2015" t="s">
        <v>8671</v>
      </c>
      <c r="C2015" t="s">
        <v>8672</v>
      </c>
      <c r="D2015" t="s">
        <v>8672</v>
      </c>
      <c r="E2015" t="s">
        <v>8673</v>
      </c>
      <c r="F2015" t="s">
        <v>2425</v>
      </c>
      <c r="G2015">
        <v>2</v>
      </c>
      <c r="H2015">
        <v>1</v>
      </c>
      <c r="I2015">
        <v>0.01</v>
      </c>
      <c r="J2015">
        <v>1000</v>
      </c>
      <c r="K2015">
        <v>7.0000000000000007E-2</v>
      </c>
      <c r="L2015">
        <v>98.47</v>
      </c>
      <c r="M2015">
        <v>98.4</v>
      </c>
      <c r="N2015">
        <v>97.95</v>
      </c>
      <c r="O2015">
        <v>98.47</v>
      </c>
      <c r="P2015">
        <v>0</v>
      </c>
      <c r="Q2015">
        <v>0</v>
      </c>
      <c r="R2015">
        <v>0</v>
      </c>
      <c r="S2015">
        <v>98.47</v>
      </c>
      <c r="T2015">
        <v>98.47</v>
      </c>
      <c r="U2015">
        <v>98.47</v>
      </c>
      <c r="V2015">
        <v>98.47</v>
      </c>
      <c r="W2015">
        <v>15755</v>
      </c>
      <c r="X2015">
        <v>97.08</v>
      </c>
      <c r="Y2015">
        <v>98.4</v>
      </c>
      <c r="Z2015">
        <v>2</v>
      </c>
      <c r="AA2015">
        <v>2978106</v>
      </c>
      <c r="AB2015">
        <v>984.7</v>
      </c>
      <c r="AC2015">
        <v>0</v>
      </c>
      <c r="AD2015" t="s">
        <v>94</v>
      </c>
      <c r="AE2015" t="s">
        <v>94</v>
      </c>
      <c r="AF2015" t="s">
        <v>304</v>
      </c>
      <c r="AG2015" t="s">
        <v>226</v>
      </c>
      <c r="AH2015">
        <v>800</v>
      </c>
      <c r="AI2015" t="s">
        <v>3537</v>
      </c>
      <c r="AJ2015" t="s">
        <v>1976</v>
      </c>
      <c r="AK2015" t="s">
        <v>2426</v>
      </c>
      <c r="AL2015" t="s">
        <v>272</v>
      </c>
    </row>
    <row r="2016" spans="1:38">
      <c r="A2016" t="s">
        <v>8674</v>
      </c>
      <c r="B2016" t="s">
        <v>8675</v>
      </c>
      <c r="C2016" t="s">
        <v>8676</v>
      </c>
      <c r="D2016" t="s">
        <v>8676</v>
      </c>
      <c r="E2016" t="s">
        <v>8677</v>
      </c>
      <c r="F2016" t="s">
        <v>2413</v>
      </c>
      <c r="G2016">
        <v>3</v>
      </c>
      <c r="H2016">
        <v>1</v>
      </c>
      <c r="I2016">
        <v>0.01</v>
      </c>
      <c r="J2016">
        <v>875</v>
      </c>
      <c r="K2016">
        <v>0.59</v>
      </c>
      <c r="L2016">
        <v>79.650000000000006</v>
      </c>
      <c r="M2016">
        <v>79.180000000000007</v>
      </c>
      <c r="N2016">
        <v>80.540000000000006</v>
      </c>
      <c r="O2016">
        <v>79.650000000000006</v>
      </c>
      <c r="P2016">
        <v>0</v>
      </c>
      <c r="Q2016">
        <v>0</v>
      </c>
      <c r="R2016">
        <v>0</v>
      </c>
      <c r="S2016">
        <v>78.83</v>
      </c>
      <c r="T2016">
        <v>78.62</v>
      </c>
      <c r="U2016">
        <v>78.62</v>
      </c>
      <c r="V2016">
        <v>79.650000000000006</v>
      </c>
      <c r="W2016">
        <v>8967</v>
      </c>
      <c r="X2016">
        <v>79.16</v>
      </c>
      <c r="Y2016">
        <v>79.680000000000007</v>
      </c>
      <c r="Z2016">
        <v>4</v>
      </c>
      <c r="AA2016">
        <v>60000</v>
      </c>
      <c r="AB2016">
        <v>696.94</v>
      </c>
      <c r="AC2016">
        <v>0</v>
      </c>
      <c r="AD2016" t="s">
        <v>94</v>
      </c>
      <c r="AE2016" t="s">
        <v>94</v>
      </c>
      <c r="AF2016" t="s">
        <v>226</v>
      </c>
      <c r="AG2016" t="s">
        <v>226</v>
      </c>
      <c r="AH2016">
        <v>6</v>
      </c>
      <c r="AI2016" t="s">
        <v>3537</v>
      </c>
      <c r="AJ2016" t="s">
        <v>1976</v>
      </c>
      <c r="AK2016" t="s">
        <v>2416</v>
      </c>
      <c r="AL2016" t="s">
        <v>272</v>
      </c>
    </row>
    <row r="2017" spans="1:38">
      <c r="A2017" t="s">
        <v>8678</v>
      </c>
      <c r="B2017" t="s">
        <v>8679</v>
      </c>
      <c r="C2017" t="s">
        <v>8680</v>
      </c>
      <c r="D2017" t="s">
        <v>8680</v>
      </c>
      <c r="E2017" t="s">
        <v>8681</v>
      </c>
      <c r="F2017" t="s">
        <v>2413</v>
      </c>
      <c r="G2017">
        <v>3</v>
      </c>
      <c r="H2017">
        <v>1</v>
      </c>
      <c r="I2017">
        <v>0.01</v>
      </c>
      <c r="J2017">
        <v>1000</v>
      </c>
      <c r="K2017">
        <v>0.84</v>
      </c>
      <c r="L2017">
        <v>85.45</v>
      </c>
      <c r="M2017">
        <v>84.87</v>
      </c>
      <c r="N2017">
        <v>87.41</v>
      </c>
      <c r="O2017">
        <v>85.45</v>
      </c>
      <c r="P2017">
        <v>0</v>
      </c>
      <c r="Q2017">
        <v>0</v>
      </c>
      <c r="R2017">
        <v>0</v>
      </c>
      <c r="S2017">
        <v>85.61</v>
      </c>
      <c r="T2017">
        <v>84.72</v>
      </c>
      <c r="U2017">
        <v>84</v>
      </c>
      <c r="V2017">
        <v>87.37</v>
      </c>
      <c r="W2017">
        <v>626646</v>
      </c>
      <c r="X2017">
        <v>85.01</v>
      </c>
      <c r="Y2017">
        <v>85.5</v>
      </c>
      <c r="Z2017">
        <v>118</v>
      </c>
      <c r="AA2017">
        <v>100000</v>
      </c>
      <c r="AB2017">
        <v>854.5</v>
      </c>
      <c r="AC2017">
        <v>0</v>
      </c>
      <c r="AD2017" t="s">
        <v>94</v>
      </c>
      <c r="AE2017" t="s">
        <v>94</v>
      </c>
      <c r="AF2017" t="s">
        <v>226</v>
      </c>
      <c r="AG2017" t="s">
        <v>226</v>
      </c>
      <c r="AH2017">
        <v>6</v>
      </c>
      <c r="AI2017" t="s">
        <v>3537</v>
      </c>
      <c r="AJ2017" t="s">
        <v>1976</v>
      </c>
      <c r="AK2017" t="s">
        <v>2416</v>
      </c>
      <c r="AL2017" t="s">
        <v>272</v>
      </c>
    </row>
    <row r="2018" spans="1:38">
      <c r="A2018" t="s">
        <v>8682</v>
      </c>
      <c r="B2018" t="s">
        <v>8683</v>
      </c>
      <c r="C2018" t="s">
        <v>8684</v>
      </c>
      <c r="D2018" t="s">
        <v>8684</v>
      </c>
      <c r="E2018" t="s">
        <v>8685</v>
      </c>
      <c r="F2018" t="s">
        <v>2413</v>
      </c>
      <c r="G2018">
        <v>3</v>
      </c>
      <c r="H2018">
        <v>1</v>
      </c>
      <c r="I2018">
        <v>0.01</v>
      </c>
      <c r="J2018">
        <v>1000</v>
      </c>
      <c r="K2018">
        <v>0</v>
      </c>
      <c r="L2018">
        <v>0</v>
      </c>
      <c r="M2018">
        <v>100.1</v>
      </c>
      <c r="N2018">
        <v>100.07</v>
      </c>
      <c r="O2018">
        <v>100.1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100000</v>
      </c>
      <c r="AB2018">
        <v>0</v>
      </c>
      <c r="AC2018">
        <v>0</v>
      </c>
      <c r="AD2018" t="s">
        <v>94</v>
      </c>
      <c r="AE2018" t="s">
        <v>94</v>
      </c>
      <c r="AF2018" t="s">
        <v>226</v>
      </c>
      <c r="AG2018" t="s">
        <v>226</v>
      </c>
      <c r="AH2018">
        <v>6</v>
      </c>
      <c r="AI2018" t="s">
        <v>3537</v>
      </c>
      <c r="AJ2018" t="s">
        <v>1976</v>
      </c>
      <c r="AK2018" t="s">
        <v>2416</v>
      </c>
      <c r="AL2018" t="s">
        <v>1020</v>
      </c>
    </row>
    <row r="2019" spans="1:38">
      <c r="A2019" t="s">
        <v>8686</v>
      </c>
      <c r="B2019" t="s">
        <v>8687</v>
      </c>
      <c r="C2019" t="s">
        <v>8688</v>
      </c>
      <c r="D2019" t="s">
        <v>8688</v>
      </c>
      <c r="E2019" t="s">
        <v>8689</v>
      </c>
      <c r="F2019" t="s">
        <v>2413</v>
      </c>
      <c r="G2019">
        <v>3</v>
      </c>
      <c r="H2019">
        <v>1</v>
      </c>
      <c r="I2019">
        <v>0.01</v>
      </c>
      <c r="J2019">
        <v>1000</v>
      </c>
      <c r="K2019">
        <v>-0.53</v>
      </c>
      <c r="L2019">
        <v>86.46</v>
      </c>
      <c r="M2019">
        <v>87.04</v>
      </c>
      <c r="N2019">
        <v>87.76</v>
      </c>
      <c r="O2019">
        <v>86.51</v>
      </c>
      <c r="P2019">
        <v>0</v>
      </c>
      <c r="Q2019">
        <v>0</v>
      </c>
      <c r="R2019">
        <v>0</v>
      </c>
      <c r="S2019">
        <v>86.95</v>
      </c>
      <c r="T2019">
        <v>86.17</v>
      </c>
      <c r="U2019">
        <v>86.17</v>
      </c>
      <c r="V2019">
        <v>87.51</v>
      </c>
      <c r="W2019">
        <v>113038</v>
      </c>
      <c r="X2019">
        <v>86.46</v>
      </c>
      <c r="Y2019">
        <v>86.76</v>
      </c>
      <c r="Z2019">
        <v>22</v>
      </c>
      <c r="AA2019">
        <v>150000</v>
      </c>
      <c r="AB2019">
        <v>4323</v>
      </c>
      <c r="AC2019">
        <v>0</v>
      </c>
      <c r="AD2019" t="s">
        <v>94</v>
      </c>
      <c r="AE2019" t="s">
        <v>94</v>
      </c>
      <c r="AF2019" t="s">
        <v>226</v>
      </c>
      <c r="AG2019" t="s">
        <v>226</v>
      </c>
      <c r="AH2019">
        <v>6</v>
      </c>
      <c r="AI2019" t="s">
        <v>3537</v>
      </c>
      <c r="AJ2019" t="s">
        <v>1976</v>
      </c>
      <c r="AK2019" t="s">
        <v>2416</v>
      </c>
      <c r="AL2019" t="s">
        <v>272</v>
      </c>
    </row>
    <row r="2020" spans="1:38">
      <c r="A2020" t="s">
        <v>8690</v>
      </c>
      <c r="B2020" t="s">
        <v>8691</v>
      </c>
      <c r="C2020" t="s">
        <v>8692</v>
      </c>
      <c r="D2020" t="s">
        <v>8692</v>
      </c>
      <c r="E2020" t="s">
        <v>8693</v>
      </c>
      <c r="F2020" t="s">
        <v>2413</v>
      </c>
      <c r="G2020">
        <v>3</v>
      </c>
      <c r="H2020">
        <v>1</v>
      </c>
      <c r="I2020">
        <v>0.01</v>
      </c>
      <c r="J2020">
        <v>1000</v>
      </c>
      <c r="K2020">
        <v>-0.48</v>
      </c>
      <c r="L2020">
        <v>97.53</v>
      </c>
      <c r="M2020">
        <v>98</v>
      </c>
      <c r="N2020">
        <v>97.95</v>
      </c>
      <c r="O2020">
        <v>97.53</v>
      </c>
      <c r="P2020">
        <v>0</v>
      </c>
      <c r="Q2020">
        <v>0</v>
      </c>
      <c r="R2020">
        <v>0</v>
      </c>
      <c r="S2020">
        <v>97.52</v>
      </c>
      <c r="T2020">
        <v>98</v>
      </c>
      <c r="U2020">
        <v>97</v>
      </c>
      <c r="V2020">
        <v>98.1</v>
      </c>
      <c r="W2020">
        <v>585140</v>
      </c>
      <c r="X2020">
        <v>97.54</v>
      </c>
      <c r="Y2020">
        <v>97.97</v>
      </c>
      <c r="Z2020">
        <v>71</v>
      </c>
      <c r="AA2020">
        <v>100000</v>
      </c>
      <c r="AB2020">
        <v>40962.6</v>
      </c>
      <c r="AC2020">
        <v>0</v>
      </c>
      <c r="AD2020" t="s">
        <v>94</v>
      </c>
      <c r="AE2020" t="s">
        <v>94</v>
      </c>
      <c r="AF2020" t="s">
        <v>226</v>
      </c>
      <c r="AG2020" t="s">
        <v>226</v>
      </c>
      <c r="AH2020">
        <v>6</v>
      </c>
      <c r="AI2020" t="s">
        <v>3537</v>
      </c>
      <c r="AJ2020" t="s">
        <v>1976</v>
      </c>
      <c r="AK2020" t="s">
        <v>2416</v>
      </c>
      <c r="AL2020" t="s">
        <v>272</v>
      </c>
    </row>
    <row r="2021" spans="1:38">
      <c r="A2021" t="s">
        <v>8694</v>
      </c>
      <c r="B2021" t="s">
        <v>8695</v>
      </c>
      <c r="C2021" t="s">
        <v>8696</v>
      </c>
      <c r="D2021" t="s">
        <v>8696</v>
      </c>
      <c r="E2021" t="s">
        <v>8697</v>
      </c>
      <c r="F2021" t="s">
        <v>2413</v>
      </c>
      <c r="G2021">
        <v>3</v>
      </c>
      <c r="H2021">
        <v>1</v>
      </c>
      <c r="I2021">
        <v>0.01</v>
      </c>
      <c r="J2021">
        <v>1000</v>
      </c>
      <c r="K2021">
        <v>-10.050000000000001</v>
      </c>
      <c r="L2021">
        <v>90.16</v>
      </c>
      <c r="M2021">
        <v>99.89</v>
      </c>
      <c r="N2021">
        <v>93.37</v>
      </c>
      <c r="O2021">
        <v>90.16</v>
      </c>
      <c r="P2021">
        <v>0</v>
      </c>
      <c r="Q2021">
        <v>0</v>
      </c>
      <c r="R2021">
        <v>0</v>
      </c>
      <c r="S2021">
        <v>90.92</v>
      </c>
      <c r="T2021">
        <v>99.96</v>
      </c>
      <c r="U2021">
        <v>89.95</v>
      </c>
      <c r="V2021">
        <v>99.96</v>
      </c>
      <c r="W2021">
        <v>192748</v>
      </c>
      <c r="X2021">
        <v>90.16</v>
      </c>
      <c r="Y2021">
        <v>90.51</v>
      </c>
      <c r="Z2021">
        <v>40</v>
      </c>
      <c r="AA2021">
        <v>100000</v>
      </c>
      <c r="AB2021">
        <v>15327.2</v>
      </c>
      <c r="AC2021">
        <v>0</v>
      </c>
      <c r="AD2021" t="s">
        <v>94</v>
      </c>
      <c r="AE2021" t="s">
        <v>94</v>
      </c>
      <c r="AF2021" t="s">
        <v>226</v>
      </c>
      <c r="AG2021" t="s">
        <v>226</v>
      </c>
      <c r="AH2021">
        <v>6</v>
      </c>
      <c r="AI2021" t="s">
        <v>3537</v>
      </c>
      <c r="AJ2021" t="s">
        <v>1976</v>
      </c>
      <c r="AK2021" t="s">
        <v>2416</v>
      </c>
      <c r="AL2021" t="s">
        <v>272</v>
      </c>
    </row>
    <row r="2022" spans="1:38">
      <c r="A2022" t="s">
        <v>8698</v>
      </c>
      <c r="B2022" t="s">
        <v>8699</v>
      </c>
      <c r="C2022" t="s">
        <v>8700</v>
      </c>
      <c r="D2022" t="s">
        <v>8700</v>
      </c>
      <c r="E2022" t="s">
        <v>8701</v>
      </c>
      <c r="F2022" t="s">
        <v>2413</v>
      </c>
      <c r="G2022">
        <v>3</v>
      </c>
      <c r="H2022">
        <v>1</v>
      </c>
      <c r="I2022">
        <v>0.01</v>
      </c>
      <c r="J2022">
        <v>1000</v>
      </c>
      <c r="K2022">
        <v>0.24</v>
      </c>
      <c r="L2022">
        <v>87.24</v>
      </c>
      <c r="M2022">
        <v>87.05</v>
      </c>
      <c r="N2022">
        <v>85.7</v>
      </c>
      <c r="O2022">
        <v>87.23</v>
      </c>
      <c r="P2022">
        <v>0</v>
      </c>
      <c r="Q2022">
        <v>0</v>
      </c>
      <c r="R2022">
        <v>0</v>
      </c>
      <c r="S2022">
        <v>87.24</v>
      </c>
      <c r="T2022">
        <v>87.93</v>
      </c>
      <c r="U2022">
        <v>86.68</v>
      </c>
      <c r="V2022">
        <v>87.93</v>
      </c>
      <c r="W2022">
        <v>492028</v>
      </c>
      <c r="X2022">
        <v>86.85</v>
      </c>
      <c r="Y2022">
        <v>87.23</v>
      </c>
      <c r="Z2022">
        <v>23</v>
      </c>
      <c r="AA2022">
        <v>2000000</v>
      </c>
      <c r="AB2022">
        <v>304467.59999999998</v>
      </c>
      <c r="AC2022">
        <v>0</v>
      </c>
      <c r="AD2022" t="s">
        <v>94</v>
      </c>
      <c r="AE2022" t="s">
        <v>94</v>
      </c>
      <c r="AF2022" t="s">
        <v>226</v>
      </c>
      <c r="AG2022" t="s">
        <v>226</v>
      </c>
      <c r="AH2022">
        <v>6</v>
      </c>
      <c r="AI2022" t="s">
        <v>3537</v>
      </c>
      <c r="AJ2022" t="s">
        <v>1976</v>
      </c>
      <c r="AK2022" t="s">
        <v>2416</v>
      </c>
      <c r="AL2022" t="s">
        <v>272</v>
      </c>
    </row>
    <row r="2023" spans="1:38">
      <c r="A2023" t="s">
        <v>8702</v>
      </c>
      <c r="B2023" t="s">
        <v>8703</v>
      </c>
      <c r="C2023" t="s">
        <v>8704</v>
      </c>
      <c r="D2023" t="s">
        <v>8704</v>
      </c>
      <c r="E2023" t="s">
        <v>8705</v>
      </c>
      <c r="F2023" t="s">
        <v>2413</v>
      </c>
      <c r="G2023">
        <v>3</v>
      </c>
      <c r="H2023">
        <v>1</v>
      </c>
      <c r="I2023">
        <v>0.01</v>
      </c>
      <c r="J2023">
        <v>1000</v>
      </c>
      <c r="K2023">
        <v>0.79</v>
      </c>
      <c r="L2023">
        <v>80.31</v>
      </c>
      <c r="M2023">
        <v>79.680000000000007</v>
      </c>
      <c r="N2023">
        <v>79.77</v>
      </c>
      <c r="O2023">
        <v>80.290000000000006</v>
      </c>
      <c r="P2023">
        <v>0</v>
      </c>
      <c r="Q2023">
        <v>0</v>
      </c>
      <c r="R2023">
        <v>0</v>
      </c>
      <c r="S2023">
        <v>79.94</v>
      </c>
      <c r="T2023">
        <v>79.680000000000007</v>
      </c>
      <c r="U2023">
        <v>79.680000000000007</v>
      </c>
      <c r="V2023">
        <v>80.31</v>
      </c>
      <c r="W2023">
        <v>95933</v>
      </c>
      <c r="X2023">
        <v>80.22</v>
      </c>
      <c r="Y2023">
        <v>80.53</v>
      </c>
      <c r="Z2023">
        <v>14</v>
      </c>
      <c r="AA2023">
        <v>4000000</v>
      </c>
      <c r="AB2023">
        <v>31320.9</v>
      </c>
      <c r="AC2023">
        <v>0</v>
      </c>
      <c r="AD2023" t="s">
        <v>94</v>
      </c>
      <c r="AE2023" t="s">
        <v>94</v>
      </c>
      <c r="AF2023" t="s">
        <v>226</v>
      </c>
      <c r="AG2023" t="s">
        <v>226</v>
      </c>
      <c r="AH2023">
        <v>6</v>
      </c>
      <c r="AI2023" t="s">
        <v>3537</v>
      </c>
      <c r="AJ2023" t="s">
        <v>1976</v>
      </c>
      <c r="AK2023" t="s">
        <v>2416</v>
      </c>
      <c r="AL2023" t="s">
        <v>272</v>
      </c>
    </row>
    <row r="2024" spans="1:38">
      <c r="A2024" t="s">
        <v>8706</v>
      </c>
      <c r="B2024" t="s">
        <v>8707</v>
      </c>
      <c r="C2024" t="s">
        <v>8708</v>
      </c>
      <c r="D2024" t="s">
        <v>8708</v>
      </c>
      <c r="E2024" t="s">
        <v>8709</v>
      </c>
      <c r="F2024" t="s">
        <v>2413</v>
      </c>
      <c r="G2024">
        <v>3</v>
      </c>
      <c r="H2024">
        <v>1</v>
      </c>
      <c r="I2024">
        <v>0.01</v>
      </c>
      <c r="J2024">
        <v>250</v>
      </c>
      <c r="K2024">
        <v>0.04</v>
      </c>
      <c r="L2024">
        <v>94.09</v>
      </c>
      <c r="M2024">
        <v>94.04</v>
      </c>
      <c r="N2024">
        <v>94.06</v>
      </c>
      <c r="O2024">
        <v>94.09</v>
      </c>
      <c r="P2024">
        <v>0</v>
      </c>
      <c r="Q2024">
        <v>0</v>
      </c>
      <c r="R2024">
        <v>0</v>
      </c>
      <c r="S2024">
        <v>93.97</v>
      </c>
      <c r="T2024">
        <v>94.21</v>
      </c>
      <c r="U2024">
        <v>93.82</v>
      </c>
      <c r="V2024">
        <v>94.21</v>
      </c>
      <c r="W2024">
        <v>904263</v>
      </c>
      <c r="X2024">
        <v>94.08</v>
      </c>
      <c r="Y2024">
        <v>94.09</v>
      </c>
      <c r="Z2024">
        <v>108</v>
      </c>
      <c r="AA2024">
        <v>5000000</v>
      </c>
      <c r="AB2024">
        <v>470.45</v>
      </c>
      <c r="AC2024">
        <v>0</v>
      </c>
      <c r="AD2024" t="s">
        <v>94</v>
      </c>
      <c r="AE2024" t="s">
        <v>94</v>
      </c>
      <c r="AF2024" t="s">
        <v>226</v>
      </c>
      <c r="AG2024" t="s">
        <v>226</v>
      </c>
      <c r="AH2024">
        <v>6</v>
      </c>
      <c r="AI2024" t="s">
        <v>3537</v>
      </c>
      <c r="AJ2024" t="s">
        <v>1976</v>
      </c>
      <c r="AK2024" t="s">
        <v>2416</v>
      </c>
      <c r="AL2024" t="s">
        <v>272</v>
      </c>
    </row>
    <row r="2025" spans="1:38">
      <c r="A2025" t="s">
        <v>8710</v>
      </c>
      <c r="B2025" t="s">
        <v>8711</v>
      </c>
      <c r="C2025" t="s">
        <v>8712</v>
      </c>
      <c r="D2025" t="s">
        <v>8712</v>
      </c>
      <c r="E2025" t="s">
        <v>8713</v>
      </c>
      <c r="F2025" t="s">
        <v>2413</v>
      </c>
      <c r="G2025">
        <v>3</v>
      </c>
      <c r="H2025">
        <v>1</v>
      </c>
      <c r="I2025">
        <v>0.01</v>
      </c>
      <c r="J2025">
        <v>1000</v>
      </c>
      <c r="K2025">
        <v>0</v>
      </c>
      <c r="L2025">
        <v>83.58</v>
      </c>
      <c r="M2025">
        <v>83.58</v>
      </c>
      <c r="N2025">
        <v>83.73</v>
      </c>
      <c r="O2025">
        <v>83.58</v>
      </c>
      <c r="P2025">
        <v>0</v>
      </c>
      <c r="Q2025">
        <v>0</v>
      </c>
      <c r="R2025">
        <v>0</v>
      </c>
      <c r="S2025">
        <v>83.73</v>
      </c>
      <c r="T2025">
        <v>84.66</v>
      </c>
      <c r="U2025">
        <v>83.5</v>
      </c>
      <c r="V2025">
        <v>84.66</v>
      </c>
      <c r="W2025">
        <v>1111956</v>
      </c>
      <c r="X2025">
        <v>83.52</v>
      </c>
      <c r="Y2025">
        <v>83.58</v>
      </c>
      <c r="Z2025">
        <v>153</v>
      </c>
      <c r="AA2025">
        <v>3500000</v>
      </c>
      <c r="AB2025">
        <v>10029.6</v>
      </c>
      <c r="AC2025">
        <v>0</v>
      </c>
      <c r="AD2025" t="s">
        <v>94</v>
      </c>
      <c r="AE2025" t="s">
        <v>94</v>
      </c>
      <c r="AF2025" t="s">
        <v>226</v>
      </c>
      <c r="AG2025" t="s">
        <v>226</v>
      </c>
      <c r="AH2025">
        <v>6</v>
      </c>
      <c r="AI2025" t="s">
        <v>3537</v>
      </c>
      <c r="AJ2025" t="s">
        <v>1976</v>
      </c>
      <c r="AK2025" t="s">
        <v>2416</v>
      </c>
      <c r="AL2025" t="s">
        <v>272</v>
      </c>
    </row>
    <row r="2026" spans="1:38">
      <c r="A2026" t="s">
        <v>8714</v>
      </c>
      <c r="B2026" t="s">
        <v>8715</v>
      </c>
      <c r="C2026" t="s">
        <v>8716</v>
      </c>
      <c r="D2026" t="s">
        <v>8716</v>
      </c>
      <c r="E2026" t="s">
        <v>8717</v>
      </c>
      <c r="F2026" t="s">
        <v>2413</v>
      </c>
      <c r="G2026">
        <v>3</v>
      </c>
      <c r="H2026">
        <v>1</v>
      </c>
      <c r="I2026">
        <v>0.01</v>
      </c>
      <c r="J2026">
        <v>1000</v>
      </c>
      <c r="K2026">
        <v>-0.34</v>
      </c>
      <c r="L2026">
        <v>99.05</v>
      </c>
      <c r="M2026">
        <v>99.39</v>
      </c>
      <c r="N2026">
        <v>99.25</v>
      </c>
      <c r="O2026">
        <v>99.05</v>
      </c>
      <c r="P2026">
        <v>0</v>
      </c>
      <c r="Q2026">
        <v>0</v>
      </c>
      <c r="R2026">
        <v>0</v>
      </c>
      <c r="S2026">
        <v>99.28</v>
      </c>
      <c r="T2026">
        <v>99.4</v>
      </c>
      <c r="U2026">
        <v>97.8</v>
      </c>
      <c r="V2026">
        <v>99.7</v>
      </c>
      <c r="W2026">
        <v>1304479</v>
      </c>
      <c r="X2026">
        <v>99.02</v>
      </c>
      <c r="Y2026">
        <v>99.3</v>
      </c>
      <c r="Z2026">
        <v>191</v>
      </c>
      <c r="AA2026">
        <v>250000</v>
      </c>
      <c r="AB2026">
        <v>990.5</v>
      </c>
      <c r="AC2026">
        <v>0</v>
      </c>
      <c r="AD2026" t="s">
        <v>94</v>
      </c>
      <c r="AE2026" t="s">
        <v>94</v>
      </c>
      <c r="AF2026" t="s">
        <v>226</v>
      </c>
      <c r="AG2026" t="s">
        <v>226</v>
      </c>
      <c r="AH2026">
        <v>6</v>
      </c>
      <c r="AI2026" t="s">
        <v>3537</v>
      </c>
      <c r="AJ2026" t="s">
        <v>1976</v>
      </c>
      <c r="AK2026" t="s">
        <v>2416</v>
      </c>
      <c r="AL2026" t="s">
        <v>272</v>
      </c>
    </row>
    <row r="2027" spans="1:38">
      <c r="A2027" t="s">
        <v>8718</v>
      </c>
      <c r="B2027" t="s">
        <v>8719</v>
      </c>
      <c r="C2027" t="s">
        <v>8720</v>
      </c>
      <c r="D2027" t="s">
        <v>8720</v>
      </c>
      <c r="E2027" t="s">
        <v>8721</v>
      </c>
      <c r="F2027" t="s">
        <v>2413</v>
      </c>
      <c r="G2027">
        <v>3</v>
      </c>
      <c r="H2027">
        <v>1</v>
      </c>
      <c r="I2027">
        <v>0.01</v>
      </c>
      <c r="J2027">
        <v>1000</v>
      </c>
      <c r="K2027">
        <v>0.34</v>
      </c>
      <c r="L2027">
        <v>88.5</v>
      </c>
      <c r="M2027">
        <v>88.2</v>
      </c>
      <c r="N2027">
        <v>88.28</v>
      </c>
      <c r="O2027">
        <v>88.5</v>
      </c>
      <c r="P2027">
        <v>0</v>
      </c>
      <c r="Q2027">
        <v>0</v>
      </c>
      <c r="R2027">
        <v>0</v>
      </c>
      <c r="S2027">
        <v>88.8</v>
      </c>
      <c r="T2027">
        <v>88.19</v>
      </c>
      <c r="U2027">
        <v>87.5</v>
      </c>
      <c r="V2027">
        <v>90.4</v>
      </c>
      <c r="W2027">
        <v>693514</v>
      </c>
      <c r="X2027">
        <v>88.5</v>
      </c>
      <c r="Y2027">
        <v>88.59</v>
      </c>
      <c r="Z2027">
        <v>75</v>
      </c>
      <c r="AA2027">
        <v>250000</v>
      </c>
      <c r="AB2027">
        <v>6195</v>
      </c>
      <c r="AC2027">
        <v>0</v>
      </c>
      <c r="AD2027" t="s">
        <v>94</v>
      </c>
      <c r="AE2027" t="s">
        <v>94</v>
      </c>
      <c r="AF2027" t="s">
        <v>226</v>
      </c>
      <c r="AG2027" t="s">
        <v>226</v>
      </c>
      <c r="AH2027">
        <v>6</v>
      </c>
      <c r="AI2027" t="s">
        <v>3537</v>
      </c>
      <c r="AJ2027" t="s">
        <v>1976</v>
      </c>
      <c r="AK2027" t="s">
        <v>2416</v>
      </c>
      <c r="AL2027" t="s">
        <v>272</v>
      </c>
    </row>
    <row r="2028" spans="1:38">
      <c r="A2028" t="s">
        <v>8722</v>
      </c>
      <c r="B2028" t="s">
        <v>8723</v>
      </c>
      <c r="C2028" t="s">
        <v>8724</v>
      </c>
      <c r="D2028" t="s">
        <v>8724</v>
      </c>
      <c r="E2028" t="s">
        <v>8725</v>
      </c>
      <c r="F2028" t="s">
        <v>2413</v>
      </c>
      <c r="G2028">
        <v>3</v>
      </c>
      <c r="H2028">
        <v>1</v>
      </c>
      <c r="I2028">
        <v>0.01</v>
      </c>
      <c r="J2028">
        <v>1000</v>
      </c>
      <c r="K2028">
        <v>-7.0000000000000007E-2</v>
      </c>
      <c r="L2028">
        <v>82</v>
      </c>
      <c r="M2028">
        <v>82.12</v>
      </c>
      <c r="N2028">
        <v>82.07</v>
      </c>
      <c r="O2028">
        <v>82.21</v>
      </c>
      <c r="P2028">
        <v>0</v>
      </c>
      <c r="Q2028">
        <v>0</v>
      </c>
      <c r="R2028">
        <v>0</v>
      </c>
      <c r="S2028">
        <v>82.39</v>
      </c>
      <c r="T2028">
        <v>82.63</v>
      </c>
      <c r="U2028">
        <v>82</v>
      </c>
      <c r="V2028">
        <v>82.69</v>
      </c>
      <c r="W2028">
        <v>734130</v>
      </c>
      <c r="X2028">
        <v>82.03</v>
      </c>
      <c r="Y2028">
        <v>82.48</v>
      </c>
      <c r="Z2028">
        <v>123</v>
      </c>
      <c r="AA2028">
        <v>750000</v>
      </c>
      <c r="AB2028">
        <v>3280</v>
      </c>
      <c r="AC2028">
        <v>0</v>
      </c>
      <c r="AD2028" t="s">
        <v>94</v>
      </c>
      <c r="AE2028" t="s">
        <v>94</v>
      </c>
      <c r="AF2028" t="s">
        <v>226</v>
      </c>
      <c r="AG2028" t="s">
        <v>226</v>
      </c>
      <c r="AH2028">
        <v>6</v>
      </c>
      <c r="AI2028" t="s">
        <v>3537</v>
      </c>
      <c r="AJ2028" t="s">
        <v>1976</v>
      </c>
      <c r="AK2028" t="s">
        <v>2416</v>
      </c>
      <c r="AL2028" t="s">
        <v>272</v>
      </c>
    </row>
    <row r="2029" spans="1:38">
      <c r="A2029" t="s">
        <v>8726</v>
      </c>
      <c r="B2029" t="s">
        <v>8727</v>
      </c>
      <c r="C2029" t="s">
        <v>8728</v>
      </c>
      <c r="D2029" t="s">
        <v>8728</v>
      </c>
      <c r="E2029" t="s">
        <v>8729</v>
      </c>
      <c r="F2029" t="s">
        <v>2413</v>
      </c>
      <c r="G2029">
        <v>3</v>
      </c>
      <c r="H2029">
        <v>1</v>
      </c>
      <c r="I2029">
        <v>0.01</v>
      </c>
      <c r="J2029">
        <v>1000</v>
      </c>
      <c r="K2029">
        <v>-0.75</v>
      </c>
      <c r="L2029">
        <v>72.41</v>
      </c>
      <c r="M2029">
        <v>72.95</v>
      </c>
      <c r="N2029">
        <v>71.48</v>
      </c>
      <c r="O2029">
        <v>72.19</v>
      </c>
      <c r="P2029">
        <v>0</v>
      </c>
      <c r="Q2029">
        <v>0</v>
      </c>
      <c r="R2029">
        <v>0</v>
      </c>
      <c r="S2029">
        <v>72.510000000000005</v>
      </c>
      <c r="T2029">
        <v>73.88</v>
      </c>
      <c r="U2029">
        <v>71.77</v>
      </c>
      <c r="V2029">
        <v>73.88</v>
      </c>
      <c r="W2029">
        <v>2356479</v>
      </c>
      <c r="X2029">
        <v>72.42</v>
      </c>
      <c r="Y2029">
        <v>72.5</v>
      </c>
      <c r="Z2029">
        <v>162</v>
      </c>
      <c r="AA2029">
        <v>1000000</v>
      </c>
      <c r="AB2029">
        <v>724.1</v>
      </c>
      <c r="AC2029">
        <v>0</v>
      </c>
      <c r="AD2029" t="s">
        <v>94</v>
      </c>
      <c r="AE2029" t="s">
        <v>94</v>
      </c>
      <c r="AF2029" t="s">
        <v>226</v>
      </c>
      <c r="AG2029" t="s">
        <v>226</v>
      </c>
      <c r="AH2029">
        <v>6</v>
      </c>
      <c r="AI2029" t="s">
        <v>3537</v>
      </c>
      <c r="AJ2029" t="s">
        <v>1976</v>
      </c>
      <c r="AK2029" t="s">
        <v>2416</v>
      </c>
      <c r="AL2029" t="s">
        <v>272</v>
      </c>
    </row>
    <row r="2030" spans="1:38">
      <c r="A2030" t="s">
        <v>8730</v>
      </c>
      <c r="B2030" t="s">
        <v>8731</v>
      </c>
      <c r="C2030" t="s">
        <v>8732</v>
      </c>
      <c r="D2030" t="s">
        <v>8732</v>
      </c>
      <c r="E2030" t="s">
        <v>8733</v>
      </c>
      <c r="F2030" t="s">
        <v>2413</v>
      </c>
      <c r="G2030">
        <v>2</v>
      </c>
      <c r="H2030">
        <v>1</v>
      </c>
      <c r="I2030">
        <v>0.01</v>
      </c>
      <c r="J2030">
        <v>1000</v>
      </c>
      <c r="K2030">
        <v>0</v>
      </c>
      <c r="L2030">
        <v>0</v>
      </c>
      <c r="M2030">
        <v>90.48</v>
      </c>
      <c r="N2030">
        <v>0</v>
      </c>
      <c r="O2030">
        <v>90.48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88.2</v>
      </c>
      <c r="Y2030">
        <v>90.28</v>
      </c>
      <c r="Z2030">
        <v>0</v>
      </c>
      <c r="AA2030">
        <v>3000000</v>
      </c>
      <c r="AB2030">
        <v>0</v>
      </c>
      <c r="AC2030">
        <v>0</v>
      </c>
      <c r="AD2030" t="s">
        <v>94</v>
      </c>
      <c r="AE2030" t="s">
        <v>94</v>
      </c>
      <c r="AF2030" t="s">
        <v>226</v>
      </c>
      <c r="AG2030" t="s">
        <v>226</v>
      </c>
      <c r="AH2030">
        <v>6</v>
      </c>
      <c r="AI2030" t="s">
        <v>3537</v>
      </c>
      <c r="AJ2030" t="s">
        <v>1976</v>
      </c>
      <c r="AK2030" t="s">
        <v>2416</v>
      </c>
      <c r="AL2030" t="s">
        <v>272</v>
      </c>
    </row>
    <row r="2031" spans="1:38">
      <c r="A2031" t="s">
        <v>8734</v>
      </c>
      <c r="B2031" t="s">
        <v>8735</v>
      </c>
      <c r="C2031" t="s">
        <v>8736</v>
      </c>
      <c r="D2031" t="s">
        <v>8736</v>
      </c>
      <c r="E2031" t="s">
        <v>8737</v>
      </c>
      <c r="F2031" t="s">
        <v>2413</v>
      </c>
      <c r="G2031">
        <v>2</v>
      </c>
      <c r="H2031">
        <v>1</v>
      </c>
      <c r="I2031">
        <v>0.01</v>
      </c>
      <c r="J2031">
        <v>1000</v>
      </c>
      <c r="K2031">
        <v>0</v>
      </c>
      <c r="L2031">
        <v>0</v>
      </c>
      <c r="M2031">
        <v>87.5</v>
      </c>
      <c r="N2031">
        <v>88.32</v>
      </c>
      <c r="O2031">
        <v>87.5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87.02</v>
      </c>
      <c r="Y2031">
        <v>91.62</v>
      </c>
      <c r="Z2031">
        <v>0</v>
      </c>
      <c r="AA2031">
        <v>4000000</v>
      </c>
      <c r="AB2031">
        <v>0</v>
      </c>
      <c r="AC2031">
        <v>0</v>
      </c>
      <c r="AD2031" t="s">
        <v>94</v>
      </c>
      <c r="AE2031" t="s">
        <v>94</v>
      </c>
      <c r="AF2031" t="s">
        <v>226</v>
      </c>
      <c r="AG2031" t="s">
        <v>226</v>
      </c>
      <c r="AH2031">
        <v>6</v>
      </c>
      <c r="AI2031" t="s">
        <v>3537</v>
      </c>
      <c r="AJ2031" t="s">
        <v>1976</v>
      </c>
      <c r="AK2031" t="s">
        <v>2416</v>
      </c>
      <c r="AL2031" t="s">
        <v>272</v>
      </c>
    </row>
    <row r="2032" spans="1:38">
      <c r="A2032" t="s">
        <v>8738</v>
      </c>
      <c r="B2032" t="s">
        <v>8739</v>
      </c>
      <c r="C2032" t="s">
        <v>8740</v>
      </c>
      <c r="D2032" t="s">
        <v>8740</v>
      </c>
      <c r="E2032" t="s">
        <v>8741</v>
      </c>
      <c r="F2032" t="s">
        <v>2425</v>
      </c>
      <c r="G2032">
        <v>3</v>
      </c>
      <c r="H2032">
        <v>1</v>
      </c>
      <c r="I2032">
        <v>0.01</v>
      </c>
      <c r="J2032">
        <v>1000</v>
      </c>
      <c r="K2032">
        <v>0</v>
      </c>
      <c r="L2032">
        <v>0</v>
      </c>
      <c r="M2032">
        <v>105</v>
      </c>
      <c r="N2032">
        <v>0</v>
      </c>
      <c r="O2032">
        <v>105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99.41</v>
      </c>
      <c r="Y2032">
        <v>110</v>
      </c>
      <c r="Z2032">
        <v>0</v>
      </c>
      <c r="AA2032">
        <v>300000</v>
      </c>
      <c r="AB2032">
        <v>0</v>
      </c>
      <c r="AC2032">
        <v>0</v>
      </c>
      <c r="AD2032" t="s">
        <v>94</v>
      </c>
      <c r="AE2032" t="s">
        <v>94</v>
      </c>
      <c r="AF2032" t="s">
        <v>304</v>
      </c>
      <c r="AG2032" t="s">
        <v>226</v>
      </c>
      <c r="AH2032">
        <v>0</v>
      </c>
      <c r="AI2032" t="s">
        <v>3537</v>
      </c>
      <c r="AJ2032" t="s">
        <v>1976</v>
      </c>
      <c r="AK2032" t="s">
        <v>2426</v>
      </c>
      <c r="AL2032" t="s">
        <v>272</v>
      </c>
    </row>
    <row r="2033" spans="1:38">
      <c r="A2033" t="s">
        <v>8742</v>
      </c>
      <c r="B2033" t="s">
        <v>8743</v>
      </c>
      <c r="C2033" t="s">
        <v>8744</v>
      </c>
      <c r="D2033" t="s">
        <v>8744</v>
      </c>
      <c r="E2033" t="s">
        <v>8745</v>
      </c>
      <c r="F2033" t="s">
        <v>2425</v>
      </c>
      <c r="G2033">
        <v>3</v>
      </c>
      <c r="H2033">
        <v>1</v>
      </c>
      <c r="I2033">
        <v>0.01</v>
      </c>
      <c r="J2033">
        <v>1000</v>
      </c>
      <c r="K2033">
        <v>0</v>
      </c>
      <c r="L2033">
        <v>93</v>
      </c>
      <c r="M2033">
        <v>92.07</v>
      </c>
      <c r="N2033">
        <v>93.34</v>
      </c>
      <c r="O2033">
        <v>93</v>
      </c>
      <c r="P2033">
        <v>0</v>
      </c>
      <c r="Q2033">
        <v>0</v>
      </c>
      <c r="R2033">
        <v>0</v>
      </c>
      <c r="S2033">
        <v>93.11</v>
      </c>
      <c r="T2033">
        <v>93.39</v>
      </c>
      <c r="U2033">
        <v>92.99</v>
      </c>
      <c r="V2033">
        <v>93.4</v>
      </c>
      <c r="W2033">
        <v>86595</v>
      </c>
      <c r="X2033">
        <v>92.37</v>
      </c>
      <c r="Y2033">
        <v>93</v>
      </c>
      <c r="Z2033">
        <v>8</v>
      </c>
      <c r="AA2033">
        <v>8000000</v>
      </c>
      <c r="AB2033">
        <v>52080</v>
      </c>
      <c r="AC2033">
        <v>0</v>
      </c>
      <c r="AD2033" t="s">
        <v>94</v>
      </c>
      <c r="AE2033" t="s">
        <v>94</v>
      </c>
      <c r="AF2033" t="s">
        <v>304</v>
      </c>
      <c r="AG2033" t="s">
        <v>226</v>
      </c>
      <c r="AH2033">
        <v>0</v>
      </c>
      <c r="AI2033" t="s">
        <v>3537</v>
      </c>
      <c r="AJ2033" t="s">
        <v>1976</v>
      </c>
      <c r="AK2033" t="s">
        <v>2426</v>
      </c>
      <c r="AL2033" t="s">
        <v>272</v>
      </c>
    </row>
    <row r="2034" spans="1:38">
      <c r="A2034" t="s">
        <v>8746</v>
      </c>
      <c r="B2034" t="s">
        <v>8747</v>
      </c>
      <c r="C2034" t="s">
        <v>8748</v>
      </c>
      <c r="D2034" t="s">
        <v>8748</v>
      </c>
      <c r="E2034" t="s">
        <v>8749</v>
      </c>
      <c r="F2034" t="s">
        <v>2425</v>
      </c>
      <c r="G2034">
        <v>3</v>
      </c>
      <c r="H2034">
        <v>1</v>
      </c>
      <c r="I2034">
        <v>0.01</v>
      </c>
      <c r="J2034">
        <v>1000</v>
      </c>
      <c r="K2034">
        <v>0.04</v>
      </c>
      <c r="L2034">
        <v>83.98</v>
      </c>
      <c r="M2034">
        <v>83.95</v>
      </c>
      <c r="N2034">
        <v>84.39</v>
      </c>
      <c r="O2034">
        <v>83.98</v>
      </c>
      <c r="P2034">
        <v>0</v>
      </c>
      <c r="Q2034">
        <v>0</v>
      </c>
      <c r="R2034">
        <v>0</v>
      </c>
      <c r="S2034">
        <v>83.98</v>
      </c>
      <c r="T2034">
        <v>83.97</v>
      </c>
      <c r="U2034">
        <v>83.97</v>
      </c>
      <c r="V2034">
        <v>83.98</v>
      </c>
      <c r="W2034">
        <v>2519</v>
      </c>
      <c r="X2034">
        <v>83.99</v>
      </c>
      <c r="Y2034">
        <v>84.44</v>
      </c>
      <c r="Z2034">
        <v>2</v>
      </c>
      <c r="AA2034">
        <v>7000000</v>
      </c>
      <c r="AB2034">
        <v>1679.6</v>
      </c>
      <c r="AC2034">
        <v>0</v>
      </c>
      <c r="AD2034" t="s">
        <v>94</v>
      </c>
      <c r="AE2034" t="s">
        <v>94</v>
      </c>
      <c r="AF2034" t="s">
        <v>304</v>
      </c>
      <c r="AG2034" t="s">
        <v>226</v>
      </c>
      <c r="AH2034">
        <v>0</v>
      </c>
      <c r="AI2034" t="s">
        <v>3537</v>
      </c>
      <c r="AJ2034" t="s">
        <v>1976</v>
      </c>
      <c r="AK2034" t="s">
        <v>2426</v>
      </c>
      <c r="AL2034" t="s">
        <v>272</v>
      </c>
    </row>
    <row r="2035" spans="1:38">
      <c r="A2035" t="s">
        <v>8750</v>
      </c>
      <c r="B2035" t="s">
        <v>8751</v>
      </c>
      <c r="C2035" t="s">
        <v>8752</v>
      </c>
      <c r="D2035" t="s">
        <v>8752</v>
      </c>
      <c r="E2035" t="s">
        <v>8753</v>
      </c>
      <c r="F2035" t="s">
        <v>2425</v>
      </c>
      <c r="G2035">
        <v>3</v>
      </c>
      <c r="H2035">
        <v>1</v>
      </c>
      <c r="I2035">
        <v>0.01</v>
      </c>
      <c r="J2035">
        <v>1000</v>
      </c>
      <c r="K2035">
        <v>-3.07</v>
      </c>
      <c r="L2035">
        <v>77.540000000000006</v>
      </c>
      <c r="M2035">
        <v>80</v>
      </c>
      <c r="N2035">
        <v>81.98</v>
      </c>
      <c r="O2035">
        <v>77.540000000000006</v>
      </c>
      <c r="P2035">
        <v>0</v>
      </c>
      <c r="Q2035">
        <v>0</v>
      </c>
      <c r="R2035">
        <v>0</v>
      </c>
      <c r="S2035">
        <v>77.540000000000006</v>
      </c>
      <c r="T2035">
        <v>77.55</v>
      </c>
      <c r="U2035">
        <v>77.52</v>
      </c>
      <c r="V2035">
        <v>77.55</v>
      </c>
      <c r="W2035">
        <v>8530</v>
      </c>
      <c r="X2035">
        <v>77.62</v>
      </c>
      <c r="Y2035">
        <v>79</v>
      </c>
      <c r="Z2035">
        <v>5</v>
      </c>
      <c r="AA2035">
        <v>9000000</v>
      </c>
      <c r="AB2035">
        <v>775.4</v>
      </c>
      <c r="AC2035">
        <v>0</v>
      </c>
      <c r="AD2035" t="s">
        <v>94</v>
      </c>
      <c r="AE2035" t="s">
        <v>94</v>
      </c>
      <c r="AF2035" t="s">
        <v>304</v>
      </c>
      <c r="AG2035" t="s">
        <v>226</v>
      </c>
      <c r="AH2035">
        <v>0</v>
      </c>
      <c r="AI2035" t="s">
        <v>3537</v>
      </c>
      <c r="AJ2035" t="s">
        <v>1976</v>
      </c>
      <c r="AK2035" t="s">
        <v>2426</v>
      </c>
      <c r="AL2035" t="s">
        <v>272</v>
      </c>
    </row>
    <row r="2036" spans="1:38">
      <c r="A2036" t="s">
        <v>8754</v>
      </c>
      <c r="B2036" t="s">
        <v>8755</v>
      </c>
      <c r="C2036" t="s">
        <v>8756</v>
      </c>
      <c r="D2036" t="s">
        <v>8756</v>
      </c>
      <c r="E2036" t="s">
        <v>8757</v>
      </c>
      <c r="F2036" t="s">
        <v>2425</v>
      </c>
      <c r="G2036">
        <v>3</v>
      </c>
      <c r="H2036">
        <v>1</v>
      </c>
      <c r="I2036">
        <v>0.01</v>
      </c>
      <c r="J2036">
        <v>1000</v>
      </c>
      <c r="K2036">
        <v>-2.34</v>
      </c>
      <c r="L2036">
        <v>89.35</v>
      </c>
      <c r="M2036">
        <v>91.49</v>
      </c>
      <c r="N2036">
        <v>89.33</v>
      </c>
      <c r="O2036">
        <v>89.35</v>
      </c>
      <c r="P2036">
        <v>0</v>
      </c>
      <c r="Q2036">
        <v>0</v>
      </c>
      <c r="R2036">
        <v>0</v>
      </c>
      <c r="S2036">
        <v>89.35</v>
      </c>
      <c r="T2036">
        <v>89.35</v>
      </c>
      <c r="U2036">
        <v>89.34</v>
      </c>
      <c r="V2036">
        <v>89.35</v>
      </c>
      <c r="W2036">
        <v>4236082</v>
      </c>
      <c r="X2036">
        <v>89.22</v>
      </c>
      <c r="Y2036">
        <v>89.35</v>
      </c>
      <c r="Z2036">
        <v>7</v>
      </c>
      <c r="AA2036">
        <v>5000000</v>
      </c>
      <c r="AB2036">
        <v>893500</v>
      </c>
      <c r="AC2036">
        <v>0</v>
      </c>
      <c r="AD2036" t="s">
        <v>94</v>
      </c>
      <c r="AE2036" t="s">
        <v>94</v>
      </c>
      <c r="AF2036" t="s">
        <v>304</v>
      </c>
      <c r="AG2036" t="s">
        <v>226</v>
      </c>
      <c r="AH2036">
        <v>0</v>
      </c>
      <c r="AI2036" t="s">
        <v>3537</v>
      </c>
      <c r="AJ2036" t="s">
        <v>1976</v>
      </c>
      <c r="AK2036" t="s">
        <v>2426</v>
      </c>
      <c r="AL2036" t="s">
        <v>272</v>
      </c>
    </row>
    <row r="2037" spans="1:38">
      <c r="A2037" t="s">
        <v>8758</v>
      </c>
      <c r="B2037" t="s">
        <v>8759</v>
      </c>
      <c r="C2037" t="s">
        <v>8760</v>
      </c>
      <c r="D2037" t="s">
        <v>8760</v>
      </c>
      <c r="E2037" t="s">
        <v>8761</v>
      </c>
      <c r="F2037" t="s">
        <v>2425</v>
      </c>
      <c r="G2037">
        <v>3</v>
      </c>
      <c r="H2037">
        <v>1</v>
      </c>
      <c r="I2037">
        <v>0.01</v>
      </c>
      <c r="J2037">
        <v>1000</v>
      </c>
      <c r="K2037">
        <v>-0.84</v>
      </c>
      <c r="L2037">
        <v>94.01</v>
      </c>
      <c r="M2037">
        <v>94.81</v>
      </c>
      <c r="N2037">
        <v>94.48</v>
      </c>
      <c r="O2037">
        <v>94.03</v>
      </c>
      <c r="P2037">
        <v>0</v>
      </c>
      <c r="Q2037">
        <v>0</v>
      </c>
      <c r="R2037">
        <v>0</v>
      </c>
      <c r="S2037">
        <v>94.58</v>
      </c>
      <c r="T2037">
        <v>94.81</v>
      </c>
      <c r="U2037">
        <v>94.01</v>
      </c>
      <c r="V2037">
        <v>94.85</v>
      </c>
      <c r="W2037">
        <v>451159</v>
      </c>
      <c r="X2037">
        <v>94.02</v>
      </c>
      <c r="Y2037">
        <v>94.4</v>
      </c>
      <c r="Z2037">
        <v>55</v>
      </c>
      <c r="AA2037">
        <v>7000000</v>
      </c>
      <c r="AB2037">
        <v>7520.8</v>
      </c>
      <c r="AC2037">
        <v>0</v>
      </c>
      <c r="AD2037" t="s">
        <v>94</v>
      </c>
      <c r="AE2037" t="s">
        <v>94</v>
      </c>
      <c r="AF2037" t="s">
        <v>304</v>
      </c>
      <c r="AG2037" t="s">
        <v>226</v>
      </c>
      <c r="AH2037">
        <v>0</v>
      </c>
      <c r="AI2037" t="s">
        <v>3537</v>
      </c>
      <c r="AJ2037" t="s">
        <v>1976</v>
      </c>
      <c r="AK2037" t="s">
        <v>2426</v>
      </c>
      <c r="AL2037" t="s">
        <v>272</v>
      </c>
    </row>
    <row r="2038" spans="1:38">
      <c r="A2038" t="s">
        <v>8762</v>
      </c>
      <c r="B2038" t="s">
        <v>8763</v>
      </c>
      <c r="C2038" t="s">
        <v>8764</v>
      </c>
      <c r="D2038" t="s">
        <v>8764</v>
      </c>
      <c r="E2038" t="s">
        <v>8765</v>
      </c>
      <c r="F2038" t="s">
        <v>2413</v>
      </c>
      <c r="G2038">
        <v>3</v>
      </c>
      <c r="H2038">
        <v>1</v>
      </c>
      <c r="I2038">
        <v>0.01</v>
      </c>
      <c r="J2038">
        <v>1000</v>
      </c>
      <c r="K2038">
        <v>0.21</v>
      </c>
      <c r="L2038">
        <v>94.2</v>
      </c>
      <c r="M2038">
        <v>94</v>
      </c>
      <c r="N2038">
        <v>93.99</v>
      </c>
      <c r="O2038">
        <v>94.2</v>
      </c>
      <c r="P2038">
        <v>0</v>
      </c>
      <c r="Q2038">
        <v>0</v>
      </c>
      <c r="R2038">
        <v>0</v>
      </c>
      <c r="S2038">
        <v>94.52</v>
      </c>
      <c r="T2038">
        <v>94.66</v>
      </c>
      <c r="U2038">
        <v>92.98</v>
      </c>
      <c r="V2038">
        <v>94.66</v>
      </c>
      <c r="W2038">
        <v>241021</v>
      </c>
      <c r="X2038">
        <v>94.2</v>
      </c>
      <c r="Y2038">
        <v>94.55</v>
      </c>
      <c r="Z2038">
        <v>34</v>
      </c>
      <c r="AA2038">
        <v>7000000</v>
      </c>
      <c r="AB2038">
        <v>942</v>
      </c>
      <c r="AC2038">
        <v>0</v>
      </c>
      <c r="AD2038" t="s">
        <v>94</v>
      </c>
      <c r="AE2038" t="s">
        <v>94</v>
      </c>
      <c r="AF2038" t="s">
        <v>304</v>
      </c>
      <c r="AG2038" t="s">
        <v>226</v>
      </c>
      <c r="AH2038">
        <v>0</v>
      </c>
      <c r="AI2038" t="s">
        <v>3537</v>
      </c>
      <c r="AJ2038" t="s">
        <v>1976</v>
      </c>
      <c r="AK2038" t="s">
        <v>2416</v>
      </c>
      <c r="AL2038" t="s">
        <v>272</v>
      </c>
    </row>
    <row r="2039" spans="1:38">
      <c r="A2039" t="s">
        <v>8766</v>
      </c>
      <c r="B2039" t="s">
        <v>8767</v>
      </c>
      <c r="C2039" t="s">
        <v>8768</v>
      </c>
      <c r="D2039" t="s">
        <v>8768</v>
      </c>
      <c r="E2039" t="s">
        <v>8769</v>
      </c>
      <c r="F2039" t="s">
        <v>2413</v>
      </c>
      <c r="G2039">
        <v>3</v>
      </c>
      <c r="H2039">
        <v>1</v>
      </c>
      <c r="I2039">
        <v>0.01</v>
      </c>
      <c r="J2039">
        <v>1000</v>
      </c>
      <c r="K2039">
        <v>-0.05</v>
      </c>
      <c r="L2039">
        <v>95.85</v>
      </c>
      <c r="M2039">
        <v>95.91</v>
      </c>
      <c r="N2039">
        <v>95.57</v>
      </c>
      <c r="O2039">
        <v>95.85</v>
      </c>
      <c r="P2039">
        <v>0</v>
      </c>
      <c r="Q2039">
        <v>0</v>
      </c>
      <c r="R2039">
        <v>0</v>
      </c>
      <c r="S2039">
        <v>95.73</v>
      </c>
      <c r="T2039">
        <v>95.91</v>
      </c>
      <c r="U2039">
        <v>95.01</v>
      </c>
      <c r="V2039">
        <v>95.91</v>
      </c>
      <c r="W2039">
        <v>668174</v>
      </c>
      <c r="X2039">
        <v>95.43</v>
      </c>
      <c r="Y2039">
        <v>95.75</v>
      </c>
      <c r="Z2039">
        <v>61</v>
      </c>
      <c r="AA2039">
        <v>5000000</v>
      </c>
      <c r="AB2039">
        <v>257836.5</v>
      </c>
      <c r="AC2039">
        <v>0</v>
      </c>
      <c r="AD2039" t="s">
        <v>94</v>
      </c>
      <c r="AE2039" t="s">
        <v>94</v>
      </c>
      <c r="AF2039" t="s">
        <v>304</v>
      </c>
      <c r="AG2039" t="s">
        <v>226</v>
      </c>
      <c r="AH2039">
        <v>0</v>
      </c>
      <c r="AI2039" t="s">
        <v>3537</v>
      </c>
      <c r="AJ2039" t="s">
        <v>1976</v>
      </c>
      <c r="AK2039" t="s">
        <v>2416</v>
      </c>
      <c r="AL2039" t="s">
        <v>272</v>
      </c>
    </row>
    <row r="2040" spans="1:38">
      <c r="A2040" t="s">
        <v>8770</v>
      </c>
      <c r="B2040" t="s">
        <v>8771</v>
      </c>
      <c r="C2040" t="s">
        <v>8772</v>
      </c>
      <c r="D2040" t="s">
        <v>8772</v>
      </c>
      <c r="E2040" t="s">
        <v>8773</v>
      </c>
      <c r="F2040" t="s">
        <v>2413</v>
      </c>
      <c r="G2040">
        <v>2</v>
      </c>
      <c r="H2040">
        <v>1</v>
      </c>
      <c r="I2040">
        <v>0.01</v>
      </c>
      <c r="J2040">
        <v>1000</v>
      </c>
      <c r="K2040">
        <v>0</v>
      </c>
      <c r="L2040">
        <v>0</v>
      </c>
      <c r="M2040">
        <v>98.41</v>
      </c>
      <c r="N2040">
        <v>0</v>
      </c>
      <c r="O2040">
        <v>98.41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98.42</v>
      </c>
      <c r="Y2040">
        <v>0</v>
      </c>
      <c r="Z2040">
        <v>0</v>
      </c>
      <c r="AA2040">
        <v>5000000</v>
      </c>
      <c r="AB2040">
        <v>0</v>
      </c>
      <c r="AC2040">
        <v>0</v>
      </c>
      <c r="AD2040" t="s">
        <v>94</v>
      </c>
      <c r="AE2040" t="s">
        <v>94</v>
      </c>
      <c r="AF2040" t="s">
        <v>226</v>
      </c>
      <c r="AG2040" t="s">
        <v>226</v>
      </c>
      <c r="AH2040">
        <v>-100</v>
      </c>
      <c r="AI2040" t="s">
        <v>3537</v>
      </c>
      <c r="AJ2040" t="s">
        <v>1976</v>
      </c>
      <c r="AK2040" t="s">
        <v>2416</v>
      </c>
      <c r="AL2040" t="s">
        <v>272</v>
      </c>
    </row>
    <row r="2041" spans="1:38">
      <c r="A2041" t="s">
        <v>8774</v>
      </c>
      <c r="B2041" t="s">
        <v>8775</v>
      </c>
      <c r="C2041" t="s">
        <v>8776</v>
      </c>
      <c r="D2041" t="s">
        <v>8776</v>
      </c>
      <c r="E2041" t="s">
        <v>8777</v>
      </c>
      <c r="F2041" t="s">
        <v>2413</v>
      </c>
      <c r="G2041">
        <v>2</v>
      </c>
      <c r="H2041">
        <v>1</v>
      </c>
      <c r="I2041">
        <v>0.01</v>
      </c>
      <c r="J2041">
        <v>1000</v>
      </c>
      <c r="K2041">
        <v>0</v>
      </c>
      <c r="L2041">
        <v>0</v>
      </c>
      <c r="M2041">
        <v>100.54</v>
      </c>
      <c r="N2041">
        <v>0</v>
      </c>
      <c r="O2041">
        <v>100.54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100.54</v>
      </c>
      <c r="Y2041">
        <v>0</v>
      </c>
      <c r="Z2041">
        <v>0</v>
      </c>
      <c r="AA2041">
        <v>5000000</v>
      </c>
      <c r="AB2041">
        <v>0</v>
      </c>
      <c r="AC2041">
        <v>0</v>
      </c>
      <c r="AD2041" t="s">
        <v>94</v>
      </c>
      <c r="AE2041" t="s">
        <v>94</v>
      </c>
      <c r="AF2041" t="s">
        <v>226</v>
      </c>
      <c r="AG2041" t="s">
        <v>226</v>
      </c>
      <c r="AH2041">
        <v>-100</v>
      </c>
      <c r="AI2041" t="s">
        <v>3537</v>
      </c>
      <c r="AJ2041" t="s">
        <v>1976</v>
      </c>
      <c r="AK2041" t="s">
        <v>2416</v>
      </c>
      <c r="AL2041" t="s">
        <v>272</v>
      </c>
    </row>
    <row r="2042" spans="1:38">
      <c r="A2042" t="s">
        <v>8778</v>
      </c>
      <c r="B2042" t="s">
        <v>8779</v>
      </c>
      <c r="C2042" t="s">
        <v>8780</v>
      </c>
      <c r="D2042" t="s">
        <v>8780</v>
      </c>
      <c r="E2042" t="s">
        <v>8781</v>
      </c>
      <c r="F2042" t="s">
        <v>2413</v>
      </c>
      <c r="G2042">
        <v>3</v>
      </c>
      <c r="H2042">
        <v>1</v>
      </c>
      <c r="I2042">
        <v>0.01</v>
      </c>
      <c r="J2042">
        <v>1000</v>
      </c>
      <c r="K2042">
        <v>0</v>
      </c>
      <c r="L2042">
        <v>0</v>
      </c>
      <c r="M2042">
        <v>95</v>
      </c>
      <c r="N2042">
        <v>0</v>
      </c>
      <c r="O2042">
        <v>95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5000000</v>
      </c>
      <c r="AB2042">
        <v>0</v>
      </c>
      <c r="AC2042">
        <v>0</v>
      </c>
      <c r="AD2042" t="s">
        <v>94</v>
      </c>
      <c r="AE2042" t="s">
        <v>94</v>
      </c>
      <c r="AF2042" t="s">
        <v>226</v>
      </c>
      <c r="AG2042" t="s">
        <v>226</v>
      </c>
      <c r="AH2042">
        <v>-100</v>
      </c>
      <c r="AI2042" t="s">
        <v>3537</v>
      </c>
      <c r="AJ2042" t="s">
        <v>1976</v>
      </c>
      <c r="AK2042" t="s">
        <v>2416</v>
      </c>
      <c r="AL2042" t="s">
        <v>272</v>
      </c>
    </row>
    <row r="2043" spans="1:38">
      <c r="A2043" t="s">
        <v>8782</v>
      </c>
      <c r="B2043" t="s">
        <v>8783</v>
      </c>
      <c r="C2043" t="s">
        <v>8784</v>
      </c>
      <c r="D2043" t="s">
        <v>8784</v>
      </c>
      <c r="E2043" t="s">
        <v>8785</v>
      </c>
      <c r="F2043" t="s">
        <v>2413</v>
      </c>
      <c r="G2043">
        <v>2</v>
      </c>
      <c r="H2043">
        <v>1</v>
      </c>
      <c r="I2043">
        <v>0.01</v>
      </c>
      <c r="J2043">
        <v>1000</v>
      </c>
      <c r="K2043">
        <v>6.35</v>
      </c>
      <c r="L2043">
        <v>89.5</v>
      </c>
      <c r="M2043">
        <v>84.16</v>
      </c>
      <c r="N2043">
        <v>0</v>
      </c>
      <c r="O2043">
        <v>89.5</v>
      </c>
      <c r="P2043">
        <v>0</v>
      </c>
      <c r="Q2043">
        <v>0</v>
      </c>
      <c r="R2043">
        <v>0</v>
      </c>
      <c r="S2043">
        <v>89.5</v>
      </c>
      <c r="T2043">
        <v>89.5</v>
      </c>
      <c r="U2043">
        <v>89.5</v>
      </c>
      <c r="V2043">
        <v>89.5</v>
      </c>
      <c r="W2043">
        <v>895</v>
      </c>
      <c r="X2043">
        <v>78.78</v>
      </c>
      <c r="Y2043">
        <v>0</v>
      </c>
      <c r="Z2043">
        <v>1</v>
      </c>
      <c r="AA2043">
        <v>5000000</v>
      </c>
      <c r="AB2043">
        <v>895</v>
      </c>
      <c r="AC2043">
        <v>0</v>
      </c>
      <c r="AD2043" t="s">
        <v>94</v>
      </c>
      <c r="AE2043" t="s">
        <v>94</v>
      </c>
      <c r="AF2043" t="s">
        <v>226</v>
      </c>
      <c r="AG2043" t="s">
        <v>226</v>
      </c>
      <c r="AH2043">
        <v>-100</v>
      </c>
      <c r="AI2043" t="s">
        <v>3537</v>
      </c>
      <c r="AJ2043" t="s">
        <v>1976</v>
      </c>
      <c r="AK2043" t="s">
        <v>2416</v>
      </c>
      <c r="AL2043" t="s">
        <v>272</v>
      </c>
    </row>
    <row r="2044" spans="1:38">
      <c r="A2044" t="s">
        <v>8786</v>
      </c>
      <c r="B2044" t="s">
        <v>8787</v>
      </c>
      <c r="C2044" t="s">
        <v>8788</v>
      </c>
      <c r="D2044" t="s">
        <v>8788</v>
      </c>
      <c r="E2044" t="s">
        <v>8789</v>
      </c>
      <c r="F2044" t="s">
        <v>2413</v>
      </c>
      <c r="G2044">
        <v>2</v>
      </c>
      <c r="H2044">
        <v>1</v>
      </c>
      <c r="I2044">
        <v>0.01</v>
      </c>
      <c r="J2044">
        <v>1000</v>
      </c>
      <c r="K2044">
        <v>0</v>
      </c>
      <c r="L2044">
        <v>0</v>
      </c>
      <c r="M2044">
        <v>105</v>
      </c>
      <c r="N2044">
        <v>0</v>
      </c>
      <c r="O2044">
        <v>105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86.51</v>
      </c>
      <c r="Y2044">
        <v>0</v>
      </c>
      <c r="Z2044">
        <v>0</v>
      </c>
      <c r="AA2044">
        <v>6000000</v>
      </c>
      <c r="AB2044">
        <v>0</v>
      </c>
      <c r="AC2044">
        <v>0</v>
      </c>
      <c r="AD2044" t="s">
        <v>94</v>
      </c>
      <c r="AE2044" t="s">
        <v>94</v>
      </c>
      <c r="AF2044" t="s">
        <v>226</v>
      </c>
      <c r="AG2044" t="s">
        <v>226</v>
      </c>
      <c r="AH2044">
        <v>-100</v>
      </c>
      <c r="AI2044" t="s">
        <v>3537</v>
      </c>
      <c r="AJ2044" t="s">
        <v>1976</v>
      </c>
      <c r="AK2044" t="s">
        <v>2416</v>
      </c>
      <c r="AL2044" t="s">
        <v>272</v>
      </c>
    </row>
    <row r="2045" spans="1:38">
      <c r="A2045" t="s">
        <v>8790</v>
      </c>
      <c r="B2045" t="s">
        <v>8791</v>
      </c>
      <c r="C2045" t="s">
        <v>8792</v>
      </c>
      <c r="D2045" t="s">
        <v>8792</v>
      </c>
      <c r="E2045" t="s">
        <v>8793</v>
      </c>
      <c r="F2045" t="s">
        <v>2413</v>
      </c>
      <c r="G2045">
        <v>2</v>
      </c>
      <c r="H2045">
        <v>1</v>
      </c>
      <c r="I2045">
        <v>0.01</v>
      </c>
      <c r="J2045">
        <v>1000</v>
      </c>
      <c r="K2045">
        <v>0</v>
      </c>
      <c r="L2045">
        <v>0</v>
      </c>
      <c r="M2045">
        <v>97.78</v>
      </c>
      <c r="N2045">
        <v>0</v>
      </c>
      <c r="O2045">
        <v>97.78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88.4</v>
      </c>
      <c r="Y2045">
        <v>0</v>
      </c>
      <c r="Z2045">
        <v>0</v>
      </c>
      <c r="AA2045">
        <v>7000000</v>
      </c>
      <c r="AB2045">
        <v>0</v>
      </c>
      <c r="AC2045">
        <v>0</v>
      </c>
      <c r="AD2045" t="s">
        <v>94</v>
      </c>
      <c r="AE2045" t="s">
        <v>94</v>
      </c>
      <c r="AF2045" t="s">
        <v>226</v>
      </c>
      <c r="AG2045" t="s">
        <v>226</v>
      </c>
      <c r="AH2045">
        <v>-100</v>
      </c>
      <c r="AI2045" t="s">
        <v>3537</v>
      </c>
      <c r="AJ2045" t="s">
        <v>1976</v>
      </c>
      <c r="AK2045" t="s">
        <v>2416</v>
      </c>
      <c r="AL2045" t="s">
        <v>272</v>
      </c>
    </row>
    <row r="2046" spans="1:38">
      <c r="A2046" t="s">
        <v>8794</v>
      </c>
      <c r="B2046" t="s">
        <v>8795</v>
      </c>
      <c r="C2046" t="s">
        <v>8796</v>
      </c>
      <c r="D2046" t="s">
        <v>8796</v>
      </c>
      <c r="E2046" t="s">
        <v>8797</v>
      </c>
      <c r="F2046" t="s">
        <v>2413</v>
      </c>
      <c r="G2046">
        <v>2</v>
      </c>
      <c r="H2046">
        <v>1</v>
      </c>
      <c r="I2046">
        <v>0.01</v>
      </c>
      <c r="J2046">
        <v>1000</v>
      </c>
      <c r="K2046">
        <v>0</v>
      </c>
      <c r="L2046">
        <v>0</v>
      </c>
      <c r="M2046">
        <v>86</v>
      </c>
      <c r="N2046">
        <v>0</v>
      </c>
      <c r="O2046">
        <v>86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5000000</v>
      </c>
      <c r="AB2046">
        <v>0</v>
      </c>
      <c r="AC2046">
        <v>0</v>
      </c>
      <c r="AD2046" t="s">
        <v>94</v>
      </c>
      <c r="AE2046" t="s">
        <v>94</v>
      </c>
      <c r="AF2046" t="s">
        <v>226</v>
      </c>
      <c r="AG2046" t="s">
        <v>226</v>
      </c>
      <c r="AH2046">
        <v>-100</v>
      </c>
      <c r="AI2046" t="s">
        <v>3537</v>
      </c>
      <c r="AJ2046" t="s">
        <v>1976</v>
      </c>
      <c r="AK2046" t="s">
        <v>2416</v>
      </c>
      <c r="AL2046" t="s">
        <v>272</v>
      </c>
    </row>
    <row r="2047" spans="1:38">
      <c r="A2047" t="s">
        <v>8798</v>
      </c>
      <c r="B2047" t="s">
        <v>8799</v>
      </c>
      <c r="C2047" t="s">
        <v>8800</v>
      </c>
      <c r="D2047" t="s">
        <v>8800</v>
      </c>
      <c r="E2047" t="s">
        <v>8801</v>
      </c>
      <c r="F2047" t="s">
        <v>2413</v>
      </c>
      <c r="G2047">
        <v>2</v>
      </c>
      <c r="H2047">
        <v>1</v>
      </c>
      <c r="I2047">
        <v>0.01</v>
      </c>
      <c r="J2047">
        <v>1000</v>
      </c>
      <c r="K2047">
        <v>0</v>
      </c>
      <c r="L2047">
        <v>0</v>
      </c>
      <c r="M2047">
        <v>82.71</v>
      </c>
      <c r="N2047">
        <v>0</v>
      </c>
      <c r="O2047">
        <v>82.71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76.45</v>
      </c>
      <c r="Y2047">
        <v>0</v>
      </c>
      <c r="Z2047">
        <v>0</v>
      </c>
      <c r="AA2047">
        <v>7000000</v>
      </c>
      <c r="AB2047">
        <v>0</v>
      </c>
      <c r="AC2047">
        <v>0</v>
      </c>
      <c r="AD2047" t="s">
        <v>94</v>
      </c>
      <c r="AE2047" t="s">
        <v>94</v>
      </c>
      <c r="AF2047" t="s">
        <v>226</v>
      </c>
      <c r="AG2047" t="s">
        <v>226</v>
      </c>
      <c r="AH2047">
        <v>-100</v>
      </c>
      <c r="AI2047" t="s">
        <v>3537</v>
      </c>
      <c r="AJ2047" t="s">
        <v>1976</v>
      </c>
      <c r="AK2047" t="s">
        <v>2416</v>
      </c>
      <c r="AL2047" t="s">
        <v>272</v>
      </c>
    </row>
    <row r="2048" spans="1:38">
      <c r="A2048" t="s">
        <v>8802</v>
      </c>
      <c r="B2048" t="s">
        <v>8803</v>
      </c>
      <c r="C2048" t="s">
        <v>8804</v>
      </c>
      <c r="D2048" t="s">
        <v>8804</v>
      </c>
      <c r="E2048" t="s">
        <v>8805</v>
      </c>
      <c r="F2048" t="s">
        <v>2413</v>
      </c>
      <c r="G2048">
        <v>3</v>
      </c>
      <c r="H2048">
        <v>1</v>
      </c>
      <c r="I2048">
        <v>0.01</v>
      </c>
      <c r="J2048">
        <v>250</v>
      </c>
      <c r="K2048">
        <v>0.16</v>
      </c>
      <c r="L2048">
        <v>88.66</v>
      </c>
      <c r="M2048">
        <v>88.52</v>
      </c>
      <c r="N2048">
        <v>89.75</v>
      </c>
      <c r="O2048">
        <v>88.66</v>
      </c>
      <c r="P2048">
        <v>0</v>
      </c>
      <c r="Q2048">
        <v>0</v>
      </c>
      <c r="R2048">
        <v>0</v>
      </c>
      <c r="S2048">
        <v>88.44</v>
      </c>
      <c r="T2048">
        <v>88.52</v>
      </c>
      <c r="U2048">
        <v>87.44</v>
      </c>
      <c r="V2048">
        <v>88.66</v>
      </c>
      <c r="W2048">
        <v>2874</v>
      </c>
      <c r="X2048">
        <v>87.44</v>
      </c>
      <c r="Y2048">
        <v>88.67</v>
      </c>
      <c r="Z2048">
        <v>9</v>
      </c>
      <c r="AA2048">
        <v>4000000</v>
      </c>
      <c r="AB2048">
        <v>221.65</v>
      </c>
      <c r="AC2048">
        <v>0</v>
      </c>
      <c r="AD2048" t="s">
        <v>94</v>
      </c>
      <c r="AE2048" t="s">
        <v>94</v>
      </c>
      <c r="AF2048" t="s">
        <v>226</v>
      </c>
      <c r="AG2048" t="s">
        <v>226</v>
      </c>
      <c r="AH2048">
        <v>-100</v>
      </c>
      <c r="AI2048" t="s">
        <v>3537</v>
      </c>
      <c r="AJ2048" t="s">
        <v>1976</v>
      </c>
      <c r="AK2048" t="s">
        <v>2416</v>
      </c>
      <c r="AL2048" t="s">
        <v>272</v>
      </c>
    </row>
    <row r="2049" spans="1:38">
      <c r="A2049" t="s">
        <v>8806</v>
      </c>
      <c r="B2049" t="s">
        <v>8807</v>
      </c>
      <c r="C2049" t="s">
        <v>8808</v>
      </c>
      <c r="D2049" t="s">
        <v>8808</v>
      </c>
      <c r="E2049" t="s">
        <v>8809</v>
      </c>
      <c r="F2049" t="s">
        <v>2413</v>
      </c>
      <c r="G2049">
        <v>1</v>
      </c>
      <c r="H2049">
        <v>1</v>
      </c>
      <c r="I2049">
        <v>0.01</v>
      </c>
      <c r="J2049">
        <v>1000</v>
      </c>
      <c r="K2049">
        <v>0</v>
      </c>
      <c r="L2049">
        <v>0</v>
      </c>
      <c r="M2049">
        <v>109.51</v>
      </c>
      <c r="N2049">
        <v>109.51</v>
      </c>
      <c r="O2049">
        <v>109.51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109.01</v>
      </c>
      <c r="Y2049">
        <v>0</v>
      </c>
      <c r="Z2049">
        <v>0</v>
      </c>
      <c r="AA2049">
        <v>600000000</v>
      </c>
      <c r="AB2049">
        <v>0</v>
      </c>
      <c r="AC2049">
        <v>0</v>
      </c>
      <c r="AD2049" t="s">
        <v>94</v>
      </c>
      <c r="AE2049" t="s">
        <v>94</v>
      </c>
      <c r="AF2049" t="s">
        <v>226</v>
      </c>
      <c r="AG2049" t="s">
        <v>226</v>
      </c>
      <c r="AH2049">
        <v>800</v>
      </c>
      <c r="AI2049" t="s">
        <v>3537</v>
      </c>
      <c r="AJ2049" t="s">
        <v>1976</v>
      </c>
      <c r="AK2049" t="s">
        <v>2416</v>
      </c>
      <c r="AL2049" t="s">
        <v>272</v>
      </c>
    </row>
    <row r="2050" spans="1:38">
      <c r="A2050" t="s">
        <v>8810</v>
      </c>
      <c r="B2050" t="s">
        <v>8811</v>
      </c>
      <c r="C2050" t="s">
        <v>8812</v>
      </c>
      <c r="D2050" t="s">
        <v>8812</v>
      </c>
      <c r="E2050" t="s">
        <v>8813</v>
      </c>
      <c r="F2050" t="s">
        <v>2413</v>
      </c>
      <c r="G2050">
        <v>2</v>
      </c>
      <c r="H2050">
        <v>1</v>
      </c>
      <c r="I2050">
        <v>0.01</v>
      </c>
      <c r="J2050">
        <v>1000</v>
      </c>
      <c r="K2050">
        <v>0.08</v>
      </c>
      <c r="L2050">
        <v>99.64</v>
      </c>
      <c r="M2050">
        <v>99.56</v>
      </c>
      <c r="N2050">
        <v>99.01</v>
      </c>
      <c r="O2050">
        <v>99.64</v>
      </c>
      <c r="P2050">
        <v>0</v>
      </c>
      <c r="Q2050">
        <v>0</v>
      </c>
      <c r="R2050">
        <v>0</v>
      </c>
      <c r="S2050">
        <v>99.64</v>
      </c>
      <c r="T2050">
        <v>99.64</v>
      </c>
      <c r="U2050">
        <v>99.64</v>
      </c>
      <c r="V2050">
        <v>99.64</v>
      </c>
      <c r="W2050">
        <v>4982</v>
      </c>
      <c r="X2050">
        <v>99.64</v>
      </c>
      <c r="Y2050">
        <v>100.04</v>
      </c>
      <c r="Z2050">
        <v>1</v>
      </c>
      <c r="AA2050">
        <v>30000000</v>
      </c>
      <c r="AB2050">
        <v>4982</v>
      </c>
      <c r="AC2050">
        <v>0</v>
      </c>
      <c r="AD2050" t="s">
        <v>94</v>
      </c>
      <c r="AE2050" t="s">
        <v>94</v>
      </c>
      <c r="AF2050" t="s">
        <v>226</v>
      </c>
      <c r="AG2050" t="s">
        <v>226</v>
      </c>
      <c r="AH2050">
        <v>800</v>
      </c>
      <c r="AI2050" t="s">
        <v>3537</v>
      </c>
      <c r="AJ2050" t="s">
        <v>1976</v>
      </c>
      <c r="AK2050" t="s">
        <v>2416</v>
      </c>
      <c r="AL2050" t="s">
        <v>272</v>
      </c>
    </row>
    <row r="2051" spans="1:38">
      <c r="A2051" t="s">
        <v>8814</v>
      </c>
      <c r="B2051" t="s">
        <v>8815</v>
      </c>
      <c r="C2051" t="s">
        <v>8816</v>
      </c>
      <c r="D2051" t="s">
        <v>8816</v>
      </c>
      <c r="E2051" t="s">
        <v>8817</v>
      </c>
      <c r="F2051" t="s">
        <v>2413</v>
      </c>
      <c r="G2051">
        <v>2</v>
      </c>
      <c r="H2051">
        <v>1</v>
      </c>
      <c r="I2051">
        <v>0.01</v>
      </c>
      <c r="J2051">
        <v>1000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20000000</v>
      </c>
      <c r="AB2051">
        <v>0</v>
      </c>
      <c r="AC2051">
        <v>0</v>
      </c>
      <c r="AD2051" t="s">
        <v>94</v>
      </c>
      <c r="AE2051" t="s">
        <v>94</v>
      </c>
      <c r="AF2051" t="s">
        <v>226</v>
      </c>
      <c r="AG2051" t="s">
        <v>226</v>
      </c>
      <c r="AH2051">
        <v>-100</v>
      </c>
      <c r="AI2051" t="s">
        <v>3537</v>
      </c>
      <c r="AJ2051" t="s">
        <v>1976</v>
      </c>
      <c r="AK2051" t="s">
        <v>2416</v>
      </c>
      <c r="AL2051" t="s">
        <v>272</v>
      </c>
    </row>
    <row r="2052" spans="1:38">
      <c r="A2052" t="s">
        <v>8818</v>
      </c>
      <c r="B2052" t="s">
        <v>8819</v>
      </c>
      <c r="C2052" t="s">
        <v>8820</v>
      </c>
      <c r="D2052" t="s">
        <v>8820</v>
      </c>
      <c r="E2052" t="s">
        <v>8821</v>
      </c>
      <c r="F2052" t="s">
        <v>2413</v>
      </c>
      <c r="G2052">
        <v>1</v>
      </c>
      <c r="H2052">
        <v>1</v>
      </c>
      <c r="I2052">
        <v>0.01</v>
      </c>
      <c r="J2052">
        <v>1000</v>
      </c>
      <c r="K2052">
        <v>-0.6</v>
      </c>
      <c r="L2052">
        <v>79.55</v>
      </c>
      <c r="M2052">
        <v>80.03</v>
      </c>
      <c r="N2052">
        <v>79.73</v>
      </c>
      <c r="O2052">
        <v>79.63</v>
      </c>
      <c r="P2052">
        <v>0</v>
      </c>
      <c r="Q2052">
        <v>0</v>
      </c>
      <c r="R2052">
        <v>0</v>
      </c>
      <c r="S2052">
        <v>79.64</v>
      </c>
      <c r="T2052">
        <v>78.64</v>
      </c>
      <c r="U2052">
        <v>78.64</v>
      </c>
      <c r="V2052">
        <v>80.430000000000007</v>
      </c>
      <c r="W2052">
        <v>186350</v>
      </c>
      <c r="X2052">
        <v>79.5</v>
      </c>
      <c r="Y2052">
        <v>79.7</v>
      </c>
      <c r="Z2052">
        <v>53</v>
      </c>
      <c r="AA2052">
        <v>40000000</v>
      </c>
      <c r="AB2052">
        <v>795.5</v>
      </c>
      <c r="AC2052">
        <v>0</v>
      </c>
      <c r="AD2052" t="s">
        <v>94</v>
      </c>
      <c r="AE2052" t="s">
        <v>94</v>
      </c>
      <c r="AF2052" t="s">
        <v>226</v>
      </c>
      <c r="AG2052" t="s">
        <v>226</v>
      </c>
      <c r="AH2052">
        <v>-100</v>
      </c>
      <c r="AI2052" t="s">
        <v>3537</v>
      </c>
      <c r="AJ2052" t="s">
        <v>1976</v>
      </c>
      <c r="AK2052" t="s">
        <v>2416</v>
      </c>
      <c r="AL2052" t="s">
        <v>272</v>
      </c>
    </row>
    <row r="2053" spans="1:38">
      <c r="A2053" t="s">
        <v>8822</v>
      </c>
      <c r="B2053" t="s">
        <v>8823</v>
      </c>
      <c r="C2053" t="s">
        <v>8824</v>
      </c>
      <c r="D2053" t="s">
        <v>8824</v>
      </c>
      <c r="E2053" t="s">
        <v>8825</v>
      </c>
      <c r="F2053" t="s">
        <v>2413</v>
      </c>
      <c r="G2053">
        <v>1</v>
      </c>
      <c r="H2053">
        <v>1</v>
      </c>
      <c r="I2053">
        <v>0.01</v>
      </c>
      <c r="J2053">
        <v>1000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15000000</v>
      </c>
      <c r="AB2053">
        <v>0</v>
      </c>
      <c r="AC2053">
        <v>0</v>
      </c>
      <c r="AD2053" t="s">
        <v>94</v>
      </c>
      <c r="AE2053" t="s">
        <v>94</v>
      </c>
      <c r="AF2053" t="s">
        <v>226</v>
      </c>
      <c r="AG2053" t="s">
        <v>226</v>
      </c>
      <c r="AH2053">
        <v>-100</v>
      </c>
      <c r="AI2053" t="s">
        <v>3537</v>
      </c>
      <c r="AJ2053" t="s">
        <v>1976</v>
      </c>
      <c r="AK2053" t="s">
        <v>2416</v>
      </c>
      <c r="AL2053" t="s">
        <v>272</v>
      </c>
    </row>
    <row r="2054" spans="1:38">
      <c r="A2054" t="s">
        <v>8826</v>
      </c>
      <c r="B2054" t="s">
        <v>8827</v>
      </c>
      <c r="C2054" t="s">
        <v>8828</v>
      </c>
      <c r="D2054" t="s">
        <v>8828</v>
      </c>
      <c r="E2054" t="s">
        <v>8829</v>
      </c>
      <c r="F2054" t="s">
        <v>2413</v>
      </c>
      <c r="G2054">
        <v>1</v>
      </c>
      <c r="H2054">
        <v>1</v>
      </c>
      <c r="I2054">
        <v>0.01</v>
      </c>
      <c r="J2054">
        <v>1000</v>
      </c>
      <c r="K2054">
        <v>0</v>
      </c>
      <c r="L2054">
        <v>0</v>
      </c>
      <c r="M2054">
        <v>104.72</v>
      </c>
      <c r="N2054">
        <v>104.72</v>
      </c>
      <c r="O2054">
        <v>104.72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100.2</v>
      </c>
      <c r="Y2054">
        <v>0</v>
      </c>
      <c r="Z2054">
        <v>0</v>
      </c>
      <c r="AA2054">
        <v>90000000</v>
      </c>
      <c r="AB2054">
        <v>0</v>
      </c>
      <c r="AC2054">
        <v>0</v>
      </c>
      <c r="AD2054" t="s">
        <v>94</v>
      </c>
      <c r="AE2054" t="s">
        <v>94</v>
      </c>
      <c r="AF2054" t="s">
        <v>226</v>
      </c>
      <c r="AG2054" t="s">
        <v>226</v>
      </c>
      <c r="AH2054">
        <v>800</v>
      </c>
      <c r="AI2054" t="s">
        <v>3537</v>
      </c>
      <c r="AJ2054" t="s">
        <v>1976</v>
      </c>
      <c r="AK2054" t="s">
        <v>2416</v>
      </c>
      <c r="AL2054" t="s">
        <v>272</v>
      </c>
    </row>
    <row r="2055" spans="1:38">
      <c r="A2055" t="s">
        <v>8830</v>
      </c>
      <c r="B2055" t="s">
        <v>8831</v>
      </c>
      <c r="C2055" t="s">
        <v>8832</v>
      </c>
      <c r="D2055" t="s">
        <v>8832</v>
      </c>
      <c r="E2055" t="s">
        <v>8833</v>
      </c>
      <c r="F2055" t="s">
        <v>2413</v>
      </c>
      <c r="G2055">
        <v>1</v>
      </c>
      <c r="H2055">
        <v>1</v>
      </c>
      <c r="I2055">
        <v>0.01</v>
      </c>
      <c r="J2055">
        <v>1000</v>
      </c>
      <c r="K2055">
        <v>0</v>
      </c>
      <c r="L2055">
        <v>0</v>
      </c>
      <c r="M2055">
        <v>104.36</v>
      </c>
      <c r="N2055">
        <v>104.36</v>
      </c>
      <c r="O2055">
        <v>104.36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100.2</v>
      </c>
      <c r="Y2055">
        <v>0</v>
      </c>
      <c r="Z2055">
        <v>0</v>
      </c>
      <c r="AA2055">
        <v>176000000</v>
      </c>
      <c r="AB2055">
        <v>0</v>
      </c>
      <c r="AC2055">
        <v>0</v>
      </c>
      <c r="AD2055" t="s">
        <v>94</v>
      </c>
      <c r="AE2055" t="s">
        <v>94</v>
      </c>
      <c r="AF2055" t="s">
        <v>226</v>
      </c>
      <c r="AG2055" t="s">
        <v>226</v>
      </c>
      <c r="AH2055">
        <v>800</v>
      </c>
      <c r="AI2055" t="s">
        <v>3537</v>
      </c>
      <c r="AJ2055" t="s">
        <v>1976</v>
      </c>
      <c r="AK2055" t="s">
        <v>2416</v>
      </c>
      <c r="AL2055" t="s">
        <v>272</v>
      </c>
    </row>
    <row r="2056" spans="1:38">
      <c r="A2056" t="s">
        <v>8834</v>
      </c>
      <c r="B2056" t="s">
        <v>8835</v>
      </c>
      <c r="C2056" t="s">
        <v>8836</v>
      </c>
      <c r="D2056" t="s">
        <v>8836</v>
      </c>
      <c r="E2056" t="s">
        <v>8837</v>
      </c>
      <c r="F2056" t="s">
        <v>2413</v>
      </c>
      <c r="G2056">
        <v>1</v>
      </c>
      <c r="H2056">
        <v>1</v>
      </c>
      <c r="I2056">
        <v>0.01</v>
      </c>
      <c r="J2056">
        <v>1000</v>
      </c>
      <c r="K2056">
        <v>0</v>
      </c>
      <c r="L2056">
        <v>0</v>
      </c>
      <c r="M2056">
        <v>100.03</v>
      </c>
      <c r="N2056">
        <v>100.03</v>
      </c>
      <c r="O2056">
        <v>100.03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100000000</v>
      </c>
      <c r="AB2056">
        <v>0</v>
      </c>
      <c r="AC2056">
        <v>0</v>
      </c>
      <c r="AD2056" t="s">
        <v>94</v>
      </c>
      <c r="AE2056" t="s">
        <v>94</v>
      </c>
      <c r="AF2056" t="s">
        <v>226</v>
      </c>
      <c r="AG2056" t="s">
        <v>226</v>
      </c>
      <c r="AH2056">
        <v>800</v>
      </c>
      <c r="AI2056" t="s">
        <v>3537</v>
      </c>
      <c r="AJ2056" t="s">
        <v>1976</v>
      </c>
      <c r="AK2056" t="s">
        <v>2416</v>
      </c>
      <c r="AL2056" t="s">
        <v>272</v>
      </c>
    </row>
    <row r="2057" spans="1:38">
      <c r="A2057" t="s">
        <v>8838</v>
      </c>
      <c r="B2057" t="s">
        <v>8839</v>
      </c>
      <c r="C2057" t="s">
        <v>8840</v>
      </c>
      <c r="D2057" t="s">
        <v>8840</v>
      </c>
      <c r="E2057" t="s">
        <v>8841</v>
      </c>
      <c r="F2057" t="s">
        <v>2413</v>
      </c>
      <c r="G2057">
        <v>1</v>
      </c>
      <c r="H2057">
        <v>1</v>
      </c>
      <c r="I2057">
        <v>0.01</v>
      </c>
      <c r="J2057">
        <v>1000</v>
      </c>
      <c r="K2057">
        <v>0</v>
      </c>
      <c r="L2057">
        <v>0</v>
      </c>
      <c r="M2057">
        <v>106</v>
      </c>
      <c r="N2057">
        <v>101.26</v>
      </c>
      <c r="O2057">
        <v>106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105.5</v>
      </c>
      <c r="Y2057">
        <v>106.69</v>
      </c>
      <c r="Z2057">
        <v>0</v>
      </c>
      <c r="AA2057">
        <v>300000000</v>
      </c>
      <c r="AB2057">
        <v>0</v>
      </c>
      <c r="AC2057">
        <v>0</v>
      </c>
      <c r="AD2057" t="s">
        <v>94</v>
      </c>
      <c r="AE2057" t="s">
        <v>94</v>
      </c>
      <c r="AF2057" t="s">
        <v>226</v>
      </c>
      <c r="AG2057" t="s">
        <v>226</v>
      </c>
      <c r="AH2057">
        <v>800</v>
      </c>
      <c r="AI2057" t="s">
        <v>3537</v>
      </c>
      <c r="AJ2057" t="s">
        <v>1976</v>
      </c>
      <c r="AK2057" t="s">
        <v>2416</v>
      </c>
      <c r="AL2057" t="s">
        <v>272</v>
      </c>
    </row>
    <row r="2058" spans="1:38">
      <c r="A2058" t="s">
        <v>8842</v>
      </c>
      <c r="B2058" t="s">
        <v>8843</v>
      </c>
      <c r="C2058" t="s">
        <v>8844</v>
      </c>
      <c r="D2058" t="s">
        <v>8844</v>
      </c>
      <c r="E2058" t="s">
        <v>8845</v>
      </c>
      <c r="F2058" t="s">
        <v>2413</v>
      </c>
      <c r="G2058">
        <v>1</v>
      </c>
      <c r="H2058">
        <v>1</v>
      </c>
      <c r="I2058">
        <v>0.01</v>
      </c>
      <c r="J2058">
        <v>1000</v>
      </c>
      <c r="K2058">
        <v>-0.4</v>
      </c>
      <c r="L2058">
        <v>91.55</v>
      </c>
      <c r="M2058">
        <v>91.92</v>
      </c>
      <c r="N2058">
        <v>92</v>
      </c>
      <c r="O2058">
        <v>91.63</v>
      </c>
      <c r="P2058">
        <v>0</v>
      </c>
      <c r="Q2058">
        <v>0</v>
      </c>
      <c r="R2058">
        <v>0</v>
      </c>
      <c r="S2058">
        <v>91.86</v>
      </c>
      <c r="T2058">
        <v>92.2</v>
      </c>
      <c r="U2058">
        <v>91.1</v>
      </c>
      <c r="V2058">
        <v>92.27</v>
      </c>
      <c r="W2058">
        <v>1784851</v>
      </c>
      <c r="X2058">
        <v>91.77</v>
      </c>
      <c r="Y2058">
        <v>92.15</v>
      </c>
      <c r="Z2058">
        <v>58</v>
      </c>
      <c r="AA2058">
        <v>15000000</v>
      </c>
      <c r="AB2058">
        <v>10070.5</v>
      </c>
      <c r="AC2058">
        <v>0</v>
      </c>
      <c r="AD2058" t="s">
        <v>94</v>
      </c>
      <c r="AE2058" t="s">
        <v>94</v>
      </c>
      <c r="AF2058" t="s">
        <v>226</v>
      </c>
      <c r="AG2058" t="s">
        <v>226</v>
      </c>
      <c r="AH2058">
        <v>-100</v>
      </c>
      <c r="AI2058" t="s">
        <v>3537</v>
      </c>
      <c r="AJ2058" t="s">
        <v>1976</v>
      </c>
      <c r="AK2058" t="s">
        <v>2416</v>
      </c>
      <c r="AL2058" t="s">
        <v>272</v>
      </c>
    </row>
    <row r="2059" spans="1:38">
      <c r="A2059" t="s">
        <v>8846</v>
      </c>
      <c r="B2059" t="s">
        <v>8847</v>
      </c>
      <c r="C2059" t="s">
        <v>8848</v>
      </c>
      <c r="D2059" t="s">
        <v>8848</v>
      </c>
      <c r="E2059" t="s">
        <v>8849</v>
      </c>
      <c r="F2059" t="s">
        <v>2413</v>
      </c>
      <c r="G2059">
        <v>2</v>
      </c>
      <c r="H2059">
        <v>1</v>
      </c>
      <c r="I2059">
        <v>1E-4</v>
      </c>
      <c r="J2059">
        <v>1000</v>
      </c>
      <c r="K2059">
        <v>0</v>
      </c>
      <c r="L2059">
        <v>0</v>
      </c>
      <c r="M2059">
        <v>100.04</v>
      </c>
      <c r="N2059">
        <v>0</v>
      </c>
      <c r="O2059">
        <v>100.04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2500000</v>
      </c>
      <c r="AB2059">
        <v>0</v>
      </c>
      <c r="AC2059">
        <v>0</v>
      </c>
      <c r="AD2059" t="s">
        <v>2</v>
      </c>
      <c r="AE2059" t="s">
        <v>94</v>
      </c>
      <c r="AF2059" t="s">
        <v>226</v>
      </c>
      <c r="AG2059" t="s">
        <v>226</v>
      </c>
      <c r="AH2059">
        <v>-100</v>
      </c>
      <c r="AI2059" t="s">
        <v>3537</v>
      </c>
      <c r="AJ2059" t="s">
        <v>1976</v>
      </c>
      <c r="AK2059" t="s">
        <v>2416</v>
      </c>
      <c r="AL2059" t="s">
        <v>272</v>
      </c>
    </row>
    <row r="2060" spans="1:38">
      <c r="A2060" t="s">
        <v>8850</v>
      </c>
      <c r="B2060" t="s">
        <v>2511</v>
      </c>
      <c r="C2060" t="s">
        <v>2512</v>
      </c>
      <c r="D2060" t="s">
        <v>2512</v>
      </c>
      <c r="E2060" t="s">
        <v>2513</v>
      </c>
      <c r="F2060" t="s">
        <v>2413</v>
      </c>
      <c r="G2060">
        <v>3</v>
      </c>
      <c r="H2060">
        <v>1</v>
      </c>
      <c r="I2060">
        <v>1E-4</v>
      </c>
      <c r="J2060">
        <v>1000</v>
      </c>
      <c r="K2060">
        <v>-1.55</v>
      </c>
      <c r="L2060">
        <v>95.5</v>
      </c>
      <c r="M2060">
        <v>97.387600000000006</v>
      </c>
      <c r="N2060">
        <v>97.992999999999995</v>
      </c>
      <c r="O2060">
        <v>97.963999999999999</v>
      </c>
      <c r="P2060">
        <v>0</v>
      </c>
      <c r="Q2060">
        <v>0</v>
      </c>
      <c r="R2060">
        <v>0</v>
      </c>
      <c r="S2060">
        <v>97.289100000000005</v>
      </c>
      <c r="T2060">
        <v>96.5</v>
      </c>
      <c r="U2060">
        <v>95.5</v>
      </c>
      <c r="V2060">
        <v>96.5</v>
      </c>
      <c r="W2060">
        <v>153768</v>
      </c>
      <c r="X2060">
        <v>95.5</v>
      </c>
      <c r="Y2060">
        <v>96.363</v>
      </c>
      <c r="Z2060">
        <v>6</v>
      </c>
      <c r="AA2060">
        <v>15000000</v>
      </c>
      <c r="AB2060">
        <v>13899.55</v>
      </c>
      <c r="AC2060">
        <v>0</v>
      </c>
      <c r="AD2060" t="s">
        <v>1663</v>
      </c>
      <c r="AE2060" t="s">
        <v>94</v>
      </c>
      <c r="AF2060" t="s">
        <v>226</v>
      </c>
      <c r="AG2060" t="s">
        <v>226</v>
      </c>
      <c r="AH2060">
        <v>-100</v>
      </c>
      <c r="AI2060" t="s">
        <v>3537</v>
      </c>
      <c r="AJ2060" t="s">
        <v>1976</v>
      </c>
      <c r="AK2060" t="s">
        <v>2416</v>
      </c>
      <c r="AL2060" t="s">
        <v>272</v>
      </c>
    </row>
    <row r="2061" spans="1:38">
      <c r="A2061" t="s">
        <v>8851</v>
      </c>
      <c r="B2061" t="s">
        <v>2515</v>
      </c>
      <c r="C2061" t="s">
        <v>2516</v>
      </c>
      <c r="D2061" t="s">
        <v>2516</v>
      </c>
      <c r="E2061" t="s">
        <v>2517</v>
      </c>
      <c r="F2061" t="s">
        <v>2413</v>
      </c>
      <c r="G2061">
        <v>3</v>
      </c>
      <c r="H2061">
        <v>1</v>
      </c>
      <c r="I2061">
        <v>1E-4</v>
      </c>
      <c r="J2061">
        <v>1000</v>
      </c>
      <c r="K2061">
        <v>0</v>
      </c>
      <c r="L2061">
        <v>0</v>
      </c>
      <c r="M2061">
        <v>98.5</v>
      </c>
      <c r="N2061">
        <v>99.862099999999998</v>
      </c>
      <c r="O2061">
        <v>98.5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95.236000000000004</v>
      </c>
      <c r="Y2061">
        <v>98.256900000000002</v>
      </c>
      <c r="Z2061">
        <v>0</v>
      </c>
      <c r="AA2061">
        <v>15000000</v>
      </c>
      <c r="AB2061">
        <v>0</v>
      </c>
      <c r="AC2061">
        <v>0</v>
      </c>
      <c r="AD2061" t="s">
        <v>1663</v>
      </c>
      <c r="AE2061" t="s">
        <v>94</v>
      </c>
      <c r="AF2061" t="s">
        <v>226</v>
      </c>
      <c r="AG2061" t="s">
        <v>226</v>
      </c>
      <c r="AH2061">
        <v>-100</v>
      </c>
      <c r="AI2061" t="s">
        <v>3537</v>
      </c>
      <c r="AJ2061" t="s">
        <v>1976</v>
      </c>
      <c r="AK2061" t="s">
        <v>2416</v>
      </c>
      <c r="AL2061" t="s">
        <v>272</v>
      </c>
    </row>
    <row r="2062" spans="1:38">
      <c r="A2062" t="s">
        <v>8852</v>
      </c>
      <c r="B2062" t="s">
        <v>8853</v>
      </c>
      <c r="C2062" t="s">
        <v>8854</v>
      </c>
      <c r="D2062" t="s">
        <v>8854</v>
      </c>
      <c r="E2062" t="s">
        <v>8855</v>
      </c>
      <c r="F2062" t="s">
        <v>2413</v>
      </c>
      <c r="G2062">
        <v>1</v>
      </c>
      <c r="H2062">
        <v>1</v>
      </c>
      <c r="I2062">
        <v>0.01</v>
      </c>
      <c r="J2062">
        <v>1000</v>
      </c>
      <c r="K2062">
        <v>0</v>
      </c>
      <c r="L2062">
        <v>0</v>
      </c>
      <c r="M2062">
        <v>101.31</v>
      </c>
      <c r="N2062">
        <v>101.31</v>
      </c>
      <c r="O2062">
        <v>101.31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105.5</v>
      </c>
      <c r="Y2062">
        <v>0</v>
      </c>
      <c r="Z2062">
        <v>0</v>
      </c>
      <c r="AA2062">
        <v>300000000</v>
      </c>
      <c r="AB2062">
        <v>0</v>
      </c>
      <c r="AC2062">
        <v>0</v>
      </c>
      <c r="AD2062" t="s">
        <v>94</v>
      </c>
      <c r="AE2062" t="s">
        <v>94</v>
      </c>
      <c r="AF2062" t="s">
        <v>226</v>
      </c>
      <c r="AG2062" t="s">
        <v>226</v>
      </c>
      <c r="AH2062">
        <v>800</v>
      </c>
      <c r="AI2062" t="s">
        <v>3537</v>
      </c>
      <c r="AJ2062" t="s">
        <v>1976</v>
      </c>
      <c r="AK2062" t="s">
        <v>2416</v>
      </c>
      <c r="AL2062" t="s">
        <v>272</v>
      </c>
    </row>
    <row r="2063" spans="1:38">
      <c r="A2063" t="s">
        <v>8856</v>
      </c>
      <c r="B2063" t="s">
        <v>8857</v>
      </c>
      <c r="C2063" t="s">
        <v>8858</v>
      </c>
      <c r="D2063" t="s">
        <v>8858</v>
      </c>
      <c r="E2063" t="s">
        <v>8859</v>
      </c>
      <c r="F2063" t="s">
        <v>2413</v>
      </c>
      <c r="G2063">
        <v>1</v>
      </c>
      <c r="H2063">
        <v>1</v>
      </c>
      <c r="I2063">
        <v>0.01</v>
      </c>
      <c r="J2063">
        <v>1000</v>
      </c>
      <c r="K2063">
        <v>0.26</v>
      </c>
      <c r="L2063">
        <v>89.92</v>
      </c>
      <c r="M2063">
        <v>89.69</v>
      </c>
      <c r="N2063">
        <v>90.28</v>
      </c>
      <c r="O2063">
        <v>89.92</v>
      </c>
      <c r="P2063">
        <v>0</v>
      </c>
      <c r="Q2063">
        <v>0</v>
      </c>
      <c r="R2063">
        <v>0</v>
      </c>
      <c r="S2063">
        <v>90.01</v>
      </c>
      <c r="T2063">
        <v>91</v>
      </c>
      <c r="U2063">
        <v>89.51</v>
      </c>
      <c r="V2063">
        <v>91</v>
      </c>
      <c r="W2063">
        <v>290730</v>
      </c>
      <c r="X2063">
        <v>89.48</v>
      </c>
      <c r="Y2063">
        <v>89.97</v>
      </c>
      <c r="Z2063">
        <v>30</v>
      </c>
      <c r="AA2063">
        <v>30000000</v>
      </c>
      <c r="AB2063">
        <v>7193.6</v>
      </c>
      <c r="AC2063">
        <v>0</v>
      </c>
      <c r="AD2063" t="s">
        <v>94</v>
      </c>
      <c r="AE2063" t="s">
        <v>94</v>
      </c>
      <c r="AF2063" t="s">
        <v>226</v>
      </c>
      <c r="AG2063" t="s">
        <v>226</v>
      </c>
      <c r="AH2063">
        <v>-100</v>
      </c>
      <c r="AI2063" t="s">
        <v>3537</v>
      </c>
      <c r="AJ2063" t="s">
        <v>1976</v>
      </c>
      <c r="AK2063" t="s">
        <v>2416</v>
      </c>
      <c r="AL2063" t="s">
        <v>272</v>
      </c>
    </row>
    <row r="2064" spans="1:38">
      <c r="A2064" t="s">
        <v>8860</v>
      </c>
      <c r="B2064" t="s">
        <v>8861</v>
      </c>
      <c r="C2064" t="s">
        <v>8862</v>
      </c>
      <c r="D2064" t="s">
        <v>8862</v>
      </c>
      <c r="E2064" t="s">
        <v>8863</v>
      </c>
      <c r="F2064" t="s">
        <v>2413</v>
      </c>
      <c r="G2064">
        <v>1</v>
      </c>
      <c r="H2064">
        <v>1</v>
      </c>
      <c r="I2064">
        <v>0.01</v>
      </c>
      <c r="J2064">
        <v>1000</v>
      </c>
      <c r="K2064">
        <v>0.14000000000000001</v>
      </c>
      <c r="L2064">
        <v>97.49</v>
      </c>
      <c r="M2064">
        <v>97.33</v>
      </c>
      <c r="N2064">
        <v>97.44</v>
      </c>
      <c r="O2064">
        <v>97.49</v>
      </c>
      <c r="P2064">
        <v>0</v>
      </c>
      <c r="Q2064">
        <v>0</v>
      </c>
      <c r="R2064">
        <v>0</v>
      </c>
      <c r="S2064">
        <v>97.52</v>
      </c>
      <c r="T2064">
        <v>97.32</v>
      </c>
      <c r="U2064">
        <v>97.32</v>
      </c>
      <c r="V2064">
        <v>97.65</v>
      </c>
      <c r="W2064">
        <v>898142</v>
      </c>
      <c r="X2064">
        <v>97.45</v>
      </c>
      <c r="Y2064">
        <v>97.49</v>
      </c>
      <c r="Z2064">
        <v>48</v>
      </c>
      <c r="AA2064">
        <v>50000000</v>
      </c>
      <c r="AB2064">
        <v>11698.8</v>
      </c>
      <c r="AC2064">
        <v>0</v>
      </c>
      <c r="AD2064" t="s">
        <v>94</v>
      </c>
      <c r="AE2064" t="s">
        <v>94</v>
      </c>
      <c r="AF2064" t="s">
        <v>226</v>
      </c>
      <c r="AG2064" t="s">
        <v>226</v>
      </c>
      <c r="AH2064">
        <v>-100</v>
      </c>
      <c r="AI2064" t="s">
        <v>3537</v>
      </c>
      <c r="AJ2064" t="s">
        <v>1976</v>
      </c>
      <c r="AK2064" t="s">
        <v>2416</v>
      </c>
      <c r="AL2064" t="s">
        <v>272</v>
      </c>
    </row>
    <row r="2065" spans="1:38">
      <c r="A2065" t="s">
        <v>8864</v>
      </c>
      <c r="B2065" t="s">
        <v>8865</v>
      </c>
      <c r="C2065" t="s">
        <v>8866</v>
      </c>
      <c r="D2065" t="s">
        <v>8866</v>
      </c>
      <c r="E2065" t="s">
        <v>8867</v>
      </c>
      <c r="F2065" t="s">
        <v>2413</v>
      </c>
      <c r="G2065">
        <v>1</v>
      </c>
      <c r="H2065">
        <v>1</v>
      </c>
      <c r="I2065">
        <v>0.01</v>
      </c>
      <c r="J2065">
        <v>1000</v>
      </c>
      <c r="K2065">
        <v>-1.26</v>
      </c>
      <c r="L2065">
        <v>80.12</v>
      </c>
      <c r="M2065">
        <v>81.14</v>
      </c>
      <c r="N2065">
        <v>80.28</v>
      </c>
      <c r="O2065">
        <v>80.260000000000005</v>
      </c>
      <c r="P2065">
        <v>0</v>
      </c>
      <c r="Q2065">
        <v>0</v>
      </c>
      <c r="R2065">
        <v>0</v>
      </c>
      <c r="S2065">
        <v>80.73</v>
      </c>
      <c r="T2065">
        <v>79.59</v>
      </c>
      <c r="U2065">
        <v>79.59</v>
      </c>
      <c r="V2065">
        <v>81.89</v>
      </c>
      <c r="W2065">
        <v>145314</v>
      </c>
      <c r="X2065">
        <v>80.06</v>
      </c>
      <c r="Y2065">
        <v>80.42</v>
      </c>
      <c r="Z2065">
        <v>47</v>
      </c>
      <c r="AA2065">
        <v>20000000</v>
      </c>
      <c r="AB2065">
        <v>2403.6</v>
      </c>
      <c r="AC2065">
        <v>0</v>
      </c>
      <c r="AD2065" t="s">
        <v>94</v>
      </c>
      <c r="AE2065" t="s">
        <v>94</v>
      </c>
      <c r="AF2065" t="s">
        <v>226</v>
      </c>
      <c r="AG2065" t="s">
        <v>226</v>
      </c>
      <c r="AH2065">
        <v>-100</v>
      </c>
      <c r="AI2065" t="s">
        <v>3537</v>
      </c>
      <c r="AJ2065" t="s">
        <v>1976</v>
      </c>
      <c r="AK2065" t="s">
        <v>2416</v>
      </c>
      <c r="AL2065" t="s">
        <v>272</v>
      </c>
    </row>
    <row r="2066" spans="1:38">
      <c r="A2066" t="s">
        <v>8868</v>
      </c>
      <c r="B2066" t="s">
        <v>8869</v>
      </c>
      <c r="C2066" t="s">
        <v>8870</v>
      </c>
      <c r="D2066" t="s">
        <v>8870</v>
      </c>
      <c r="E2066" t="s">
        <v>8871</v>
      </c>
      <c r="F2066" t="s">
        <v>2413</v>
      </c>
      <c r="G2066">
        <v>1</v>
      </c>
      <c r="H2066">
        <v>1</v>
      </c>
      <c r="I2066">
        <v>0.01</v>
      </c>
      <c r="J2066">
        <v>1000</v>
      </c>
      <c r="K2066">
        <v>0.87</v>
      </c>
      <c r="L2066">
        <v>81.260000000000005</v>
      </c>
      <c r="M2066">
        <v>80.56</v>
      </c>
      <c r="N2066">
        <v>79.73</v>
      </c>
      <c r="O2066">
        <v>81.260000000000005</v>
      </c>
      <c r="P2066">
        <v>0</v>
      </c>
      <c r="Q2066">
        <v>0</v>
      </c>
      <c r="R2066">
        <v>0</v>
      </c>
      <c r="S2066">
        <v>74.260000000000005</v>
      </c>
      <c r="T2066">
        <v>80.56</v>
      </c>
      <c r="U2066">
        <v>73.69</v>
      </c>
      <c r="V2066">
        <v>81.260000000000005</v>
      </c>
      <c r="W2066">
        <v>68317</v>
      </c>
      <c r="X2066">
        <v>73.72</v>
      </c>
      <c r="Y2066">
        <v>81.260000000000005</v>
      </c>
      <c r="Z2066">
        <v>8</v>
      </c>
      <c r="AA2066">
        <v>10000000</v>
      </c>
      <c r="AB2066">
        <v>812.6</v>
      </c>
      <c r="AC2066">
        <v>0</v>
      </c>
      <c r="AD2066" t="s">
        <v>94</v>
      </c>
      <c r="AE2066" t="s">
        <v>94</v>
      </c>
      <c r="AF2066" t="s">
        <v>226</v>
      </c>
      <c r="AG2066" t="s">
        <v>226</v>
      </c>
      <c r="AH2066">
        <v>-100</v>
      </c>
      <c r="AI2066" t="s">
        <v>3537</v>
      </c>
      <c r="AJ2066" t="s">
        <v>1976</v>
      </c>
      <c r="AK2066" t="s">
        <v>2416</v>
      </c>
      <c r="AL2066" t="s">
        <v>272</v>
      </c>
    </row>
    <row r="2067" spans="1:38">
      <c r="A2067" t="s">
        <v>8872</v>
      </c>
      <c r="B2067" t="s">
        <v>8873</v>
      </c>
      <c r="C2067" t="s">
        <v>8874</v>
      </c>
      <c r="D2067" t="s">
        <v>8874</v>
      </c>
      <c r="E2067" t="s">
        <v>8875</v>
      </c>
      <c r="F2067" t="s">
        <v>2413</v>
      </c>
      <c r="G2067">
        <v>1</v>
      </c>
      <c r="H2067">
        <v>1</v>
      </c>
      <c r="I2067">
        <v>0.01</v>
      </c>
      <c r="J2067">
        <v>1000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20000000</v>
      </c>
      <c r="AB2067">
        <v>0</v>
      </c>
      <c r="AC2067">
        <v>0</v>
      </c>
      <c r="AD2067" t="s">
        <v>94</v>
      </c>
      <c r="AE2067" t="s">
        <v>94</v>
      </c>
      <c r="AF2067" t="s">
        <v>226</v>
      </c>
      <c r="AG2067" t="s">
        <v>226</v>
      </c>
      <c r="AH2067">
        <v>-100</v>
      </c>
      <c r="AI2067" t="s">
        <v>3537</v>
      </c>
      <c r="AJ2067" t="s">
        <v>1976</v>
      </c>
      <c r="AK2067" t="s">
        <v>2416</v>
      </c>
      <c r="AL2067" t="s">
        <v>272</v>
      </c>
    </row>
    <row r="2068" spans="1:38">
      <c r="A2068" t="s">
        <v>8876</v>
      </c>
      <c r="B2068" t="s">
        <v>8877</v>
      </c>
      <c r="C2068" t="s">
        <v>8878</v>
      </c>
      <c r="D2068" t="s">
        <v>8878</v>
      </c>
      <c r="E2068" t="s">
        <v>8879</v>
      </c>
      <c r="F2068" t="s">
        <v>2413</v>
      </c>
      <c r="G2068">
        <v>1</v>
      </c>
      <c r="H2068">
        <v>1</v>
      </c>
      <c r="I2068">
        <v>0.01</v>
      </c>
      <c r="J2068">
        <v>1000</v>
      </c>
      <c r="K2068">
        <v>1.03</v>
      </c>
      <c r="L2068">
        <v>88.13</v>
      </c>
      <c r="M2068">
        <v>87.22</v>
      </c>
      <c r="N2068">
        <v>84.22</v>
      </c>
      <c r="O2068">
        <v>88.13</v>
      </c>
      <c r="P2068">
        <v>0</v>
      </c>
      <c r="Q2068">
        <v>0</v>
      </c>
      <c r="R2068">
        <v>0</v>
      </c>
      <c r="S2068">
        <v>87.74</v>
      </c>
      <c r="T2068">
        <v>85.57</v>
      </c>
      <c r="U2068">
        <v>85.57</v>
      </c>
      <c r="V2068">
        <v>88.13</v>
      </c>
      <c r="W2068">
        <v>7019</v>
      </c>
      <c r="X2068">
        <v>88.12</v>
      </c>
      <c r="Y2068">
        <v>88.61</v>
      </c>
      <c r="Z2068">
        <v>6</v>
      </c>
      <c r="AA2068">
        <v>25000000</v>
      </c>
      <c r="AB2068">
        <v>881.3</v>
      </c>
      <c r="AC2068">
        <v>0</v>
      </c>
      <c r="AD2068" t="s">
        <v>94</v>
      </c>
      <c r="AE2068" t="s">
        <v>94</v>
      </c>
      <c r="AF2068" t="s">
        <v>226</v>
      </c>
      <c r="AG2068" t="s">
        <v>226</v>
      </c>
      <c r="AH2068">
        <v>-100</v>
      </c>
      <c r="AI2068" t="s">
        <v>3537</v>
      </c>
      <c r="AJ2068" t="s">
        <v>1976</v>
      </c>
      <c r="AK2068" t="s">
        <v>2416</v>
      </c>
      <c r="AL2068" t="s">
        <v>272</v>
      </c>
    </row>
    <row r="2069" spans="1:38">
      <c r="A2069" t="s">
        <v>8880</v>
      </c>
      <c r="B2069" t="s">
        <v>8881</v>
      </c>
      <c r="C2069" t="s">
        <v>8882</v>
      </c>
      <c r="D2069" t="s">
        <v>8882</v>
      </c>
      <c r="E2069" t="s">
        <v>8883</v>
      </c>
      <c r="F2069" t="s">
        <v>2413</v>
      </c>
      <c r="G2069">
        <v>1</v>
      </c>
      <c r="H2069">
        <v>1</v>
      </c>
      <c r="I2069">
        <v>0.01</v>
      </c>
      <c r="J2069">
        <v>1000</v>
      </c>
      <c r="K2069">
        <v>-0.65</v>
      </c>
      <c r="L2069">
        <v>83.09</v>
      </c>
      <c r="M2069">
        <v>83.63</v>
      </c>
      <c r="N2069">
        <v>81.78</v>
      </c>
      <c r="O2069">
        <v>83.09</v>
      </c>
      <c r="P2069">
        <v>0</v>
      </c>
      <c r="Q2069">
        <v>0</v>
      </c>
      <c r="R2069">
        <v>0</v>
      </c>
      <c r="S2069">
        <v>80.52</v>
      </c>
      <c r="T2069">
        <v>83.55</v>
      </c>
      <c r="U2069">
        <v>79.77</v>
      </c>
      <c r="V2069">
        <v>83.55</v>
      </c>
      <c r="W2069">
        <v>33015</v>
      </c>
      <c r="X2069">
        <v>81.760000000000005</v>
      </c>
      <c r="Y2069">
        <v>83.06</v>
      </c>
      <c r="Z2069">
        <v>9</v>
      </c>
      <c r="AA2069">
        <v>25000000</v>
      </c>
      <c r="AB2069">
        <v>1661.8</v>
      </c>
      <c r="AC2069">
        <v>0</v>
      </c>
      <c r="AD2069" t="s">
        <v>94</v>
      </c>
      <c r="AE2069" t="s">
        <v>94</v>
      </c>
      <c r="AF2069" t="s">
        <v>226</v>
      </c>
      <c r="AG2069" t="s">
        <v>226</v>
      </c>
      <c r="AH2069">
        <v>-100</v>
      </c>
      <c r="AI2069" t="s">
        <v>3537</v>
      </c>
      <c r="AJ2069" t="s">
        <v>1976</v>
      </c>
      <c r="AK2069" t="s">
        <v>2416</v>
      </c>
      <c r="AL2069" t="s">
        <v>272</v>
      </c>
    </row>
    <row r="2070" spans="1:38">
      <c r="A2070" t="s">
        <v>8884</v>
      </c>
      <c r="B2070" t="s">
        <v>8885</v>
      </c>
      <c r="C2070" t="s">
        <v>8886</v>
      </c>
      <c r="D2070" t="s">
        <v>8886</v>
      </c>
      <c r="E2070" t="s">
        <v>8887</v>
      </c>
      <c r="F2070" t="s">
        <v>2413</v>
      </c>
      <c r="G2070">
        <v>3</v>
      </c>
      <c r="H2070">
        <v>1</v>
      </c>
      <c r="I2070">
        <v>0.01</v>
      </c>
      <c r="J2070">
        <v>1000</v>
      </c>
      <c r="K2070">
        <v>0</v>
      </c>
      <c r="L2070">
        <v>0</v>
      </c>
      <c r="M2070">
        <v>102.03</v>
      </c>
      <c r="N2070">
        <v>102.03</v>
      </c>
      <c r="O2070">
        <v>102.03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105.5</v>
      </c>
      <c r="Y2070">
        <v>0</v>
      </c>
      <c r="Z2070">
        <v>0</v>
      </c>
      <c r="AA2070">
        <v>400000000</v>
      </c>
      <c r="AB2070">
        <v>0</v>
      </c>
      <c r="AC2070">
        <v>0</v>
      </c>
      <c r="AD2070" t="s">
        <v>94</v>
      </c>
      <c r="AE2070" t="s">
        <v>94</v>
      </c>
      <c r="AF2070" t="s">
        <v>226</v>
      </c>
      <c r="AG2070" t="s">
        <v>226</v>
      </c>
      <c r="AH2070">
        <v>800</v>
      </c>
      <c r="AI2070" t="s">
        <v>3537</v>
      </c>
      <c r="AJ2070" t="s">
        <v>1976</v>
      </c>
      <c r="AK2070" t="s">
        <v>2416</v>
      </c>
      <c r="AL2070" t="s">
        <v>272</v>
      </c>
    </row>
    <row r="2071" spans="1:38">
      <c r="A2071" t="s">
        <v>8888</v>
      </c>
      <c r="B2071" t="s">
        <v>8889</v>
      </c>
      <c r="C2071" t="s">
        <v>8890</v>
      </c>
      <c r="D2071" t="s">
        <v>8890</v>
      </c>
      <c r="E2071" t="s">
        <v>8891</v>
      </c>
      <c r="F2071" t="s">
        <v>2413</v>
      </c>
      <c r="G2071">
        <v>3</v>
      </c>
      <c r="H2071">
        <v>1</v>
      </c>
      <c r="I2071">
        <v>0.01</v>
      </c>
      <c r="J2071">
        <v>1000</v>
      </c>
      <c r="K2071">
        <v>0</v>
      </c>
      <c r="L2071">
        <v>0</v>
      </c>
      <c r="M2071">
        <v>102.03</v>
      </c>
      <c r="N2071">
        <v>102.03</v>
      </c>
      <c r="O2071">
        <v>102.03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105.5</v>
      </c>
      <c r="Y2071">
        <v>0</v>
      </c>
      <c r="Z2071">
        <v>0</v>
      </c>
      <c r="AA2071">
        <v>400000000</v>
      </c>
      <c r="AB2071">
        <v>0</v>
      </c>
      <c r="AC2071">
        <v>0</v>
      </c>
      <c r="AD2071" t="s">
        <v>94</v>
      </c>
      <c r="AE2071" t="s">
        <v>94</v>
      </c>
      <c r="AF2071" t="s">
        <v>226</v>
      </c>
      <c r="AG2071" t="s">
        <v>226</v>
      </c>
      <c r="AH2071">
        <v>800</v>
      </c>
      <c r="AI2071" t="s">
        <v>3537</v>
      </c>
      <c r="AJ2071" t="s">
        <v>1976</v>
      </c>
      <c r="AK2071" t="s">
        <v>2416</v>
      </c>
      <c r="AL2071" t="s">
        <v>272</v>
      </c>
    </row>
    <row r="2072" spans="1:38">
      <c r="A2072" t="s">
        <v>8892</v>
      </c>
      <c r="B2072" t="s">
        <v>2519</v>
      </c>
      <c r="C2072" t="s">
        <v>2520</v>
      </c>
      <c r="D2072" t="s">
        <v>2520</v>
      </c>
      <c r="E2072" t="s">
        <v>2521</v>
      </c>
      <c r="F2072" t="s">
        <v>2413</v>
      </c>
      <c r="G2072">
        <v>3</v>
      </c>
      <c r="H2072">
        <v>1</v>
      </c>
      <c r="I2072">
        <v>1E-4</v>
      </c>
      <c r="J2072">
        <v>1000</v>
      </c>
      <c r="K2072">
        <v>0</v>
      </c>
      <c r="L2072">
        <v>0</v>
      </c>
      <c r="M2072">
        <v>100.01</v>
      </c>
      <c r="N2072">
        <v>0</v>
      </c>
      <c r="O2072">
        <v>100.01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20000000</v>
      </c>
      <c r="AB2072">
        <v>0</v>
      </c>
      <c r="AC2072">
        <v>0</v>
      </c>
      <c r="AD2072" t="s">
        <v>1663</v>
      </c>
      <c r="AE2072" t="s">
        <v>94</v>
      </c>
      <c r="AF2072" t="s">
        <v>226</v>
      </c>
      <c r="AG2072" t="s">
        <v>226</v>
      </c>
      <c r="AH2072">
        <v>-100</v>
      </c>
      <c r="AI2072" t="s">
        <v>3537</v>
      </c>
      <c r="AJ2072" t="s">
        <v>1976</v>
      </c>
      <c r="AK2072" t="s">
        <v>2416</v>
      </c>
      <c r="AL2072" t="s">
        <v>272</v>
      </c>
    </row>
    <row r="2073" spans="1:38">
      <c r="A2073" t="s">
        <v>8893</v>
      </c>
      <c r="B2073" t="s">
        <v>2523</v>
      </c>
      <c r="C2073" t="s">
        <v>2524</v>
      </c>
      <c r="D2073" t="s">
        <v>2524</v>
      </c>
      <c r="E2073" t="s">
        <v>2525</v>
      </c>
      <c r="F2073" t="s">
        <v>2413</v>
      </c>
      <c r="G2073">
        <v>3</v>
      </c>
      <c r="H2073">
        <v>1</v>
      </c>
      <c r="I2073">
        <v>1E-4</v>
      </c>
      <c r="J2073">
        <v>1000</v>
      </c>
      <c r="K2073">
        <v>0</v>
      </c>
      <c r="L2073">
        <v>0</v>
      </c>
      <c r="M2073">
        <v>100</v>
      </c>
      <c r="N2073">
        <v>100</v>
      </c>
      <c r="O2073">
        <v>100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93.167500000000004</v>
      </c>
      <c r="Y2073">
        <v>0</v>
      </c>
      <c r="Z2073">
        <v>0</v>
      </c>
      <c r="AA2073">
        <v>15000000</v>
      </c>
      <c r="AB2073">
        <v>0</v>
      </c>
      <c r="AC2073">
        <v>0</v>
      </c>
      <c r="AD2073" t="s">
        <v>1663</v>
      </c>
      <c r="AE2073" t="s">
        <v>94</v>
      </c>
      <c r="AF2073" t="s">
        <v>226</v>
      </c>
      <c r="AG2073" t="s">
        <v>226</v>
      </c>
      <c r="AH2073">
        <v>-100</v>
      </c>
      <c r="AI2073" t="s">
        <v>3537</v>
      </c>
      <c r="AJ2073" t="s">
        <v>1976</v>
      </c>
      <c r="AK2073" t="s">
        <v>2416</v>
      </c>
      <c r="AL2073" t="s">
        <v>272</v>
      </c>
    </row>
    <row r="2074" spans="1:38">
      <c r="A2074" t="s">
        <v>8894</v>
      </c>
      <c r="B2074" t="s">
        <v>8895</v>
      </c>
      <c r="C2074" t="s">
        <v>8896</v>
      </c>
      <c r="D2074" t="s">
        <v>8896</v>
      </c>
      <c r="E2074" t="s">
        <v>8897</v>
      </c>
      <c r="F2074" t="s">
        <v>2413</v>
      </c>
      <c r="G2074">
        <v>3</v>
      </c>
      <c r="H2074">
        <v>1</v>
      </c>
      <c r="I2074">
        <v>0.01</v>
      </c>
      <c r="J2074">
        <v>1000</v>
      </c>
      <c r="K2074">
        <v>0</v>
      </c>
      <c r="L2074">
        <v>0</v>
      </c>
      <c r="M2074">
        <v>92.55</v>
      </c>
      <c r="N2074">
        <v>92.55</v>
      </c>
      <c r="O2074">
        <v>92.55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96.5</v>
      </c>
      <c r="Y2074">
        <v>0</v>
      </c>
      <c r="Z2074">
        <v>0</v>
      </c>
      <c r="AA2074">
        <v>684000000</v>
      </c>
      <c r="AB2074">
        <v>0</v>
      </c>
      <c r="AC2074">
        <v>0</v>
      </c>
      <c r="AD2074" t="s">
        <v>94</v>
      </c>
      <c r="AE2074" t="s">
        <v>94</v>
      </c>
      <c r="AF2074" t="s">
        <v>226</v>
      </c>
      <c r="AG2074" t="s">
        <v>226</v>
      </c>
      <c r="AH2074">
        <v>-100</v>
      </c>
      <c r="AI2074" t="s">
        <v>3537</v>
      </c>
      <c r="AJ2074" t="s">
        <v>1976</v>
      </c>
      <c r="AK2074" t="s">
        <v>2416</v>
      </c>
      <c r="AL2074" t="s">
        <v>272</v>
      </c>
    </row>
    <row r="2075" spans="1:38">
      <c r="A2075" t="s">
        <v>8898</v>
      </c>
      <c r="B2075" t="s">
        <v>8899</v>
      </c>
      <c r="C2075" t="s">
        <v>8900</v>
      </c>
      <c r="D2075" t="s">
        <v>8900</v>
      </c>
      <c r="E2075" t="s">
        <v>8901</v>
      </c>
      <c r="F2075" t="s">
        <v>2413</v>
      </c>
      <c r="G2075">
        <v>2</v>
      </c>
      <c r="H2075">
        <v>1</v>
      </c>
      <c r="I2075">
        <v>0.01</v>
      </c>
      <c r="J2075">
        <v>1000</v>
      </c>
      <c r="K2075">
        <v>-0.06</v>
      </c>
      <c r="L2075">
        <v>94.66</v>
      </c>
      <c r="M2075">
        <v>94.72</v>
      </c>
      <c r="N2075">
        <v>94.38</v>
      </c>
      <c r="O2075">
        <v>94.66</v>
      </c>
      <c r="P2075">
        <v>0</v>
      </c>
      <c r="Q2075">
        <v>0</v>
      </c>
      <c r="R2075">
        <v>0</v>
      </c>
      <c r="S2075">
        <v>94.31</v>
      </c>
      <c r="T2075">
        <v>94.72</v>
      </c>
      <c r="U2075">
        <v>93.8</v>
      </c>
      <c r="V2075">
        <v>94.98</v>
      </c>
      <c r="W2075">
        <v>6484624</v>
      </c>
      <c r="X2075">
        <v>94.62</v>
      </c>
      <c r="Y2075">
        <v>94.66</v>
      </c>
      <c r="Z2075">
        <v>224</v>
      </c>
      <c r="AA2075">
        <v>5000000</v>
      </c>
      <c r="AB2075">
        <v>946.6</v>
      </c>
      <c r="AC2075">
        <v>0</v>
      </c>
      <c r="AD2075" t="s">
        <v>94</v>
      </c>
      <c r="AE2075" t="s">
        <v>94</v>
      </c>
      <c r="AF2075" t="s">
        <v>226</v>
      </c>
      <c r="AG2075" t="s">
        <v>226</v>
      </c>
      <c r="AH2075">
        <v>800</v>
      </c>
      <c r="AI2075" t="s">
        <v>3537</v>
      </c>
      <c r="AJ2075" t="s">
        <v>1976</v>
      </c>
      <c r="AK2075" t="s">
        <v>2416</v>
      </c>
      <c r="AL2075" t="s">
        <v>272</v>
      </c>
    </row>
    <row r="2076" spans="1:38">
      <c r="A2076" t="s">
        <v>8902</v>
      </c>
      <c r="B2076" t="s">
        <v>8903</v>
      </c>
      <c r="C2076" t="s">
        <v>8904</v>
      </c>
      <c r="D2076" t="s">
        <v>8904</v>
      </c>
      <c r="E2076" t="s">
        <v>8905</v>
      </c>
      <c r="F2076" t="s">
        <v>2413</v>
      </c>
      <c r="G2076">
        <v>3</v>
      </c>
      <c r="H2076">
        <v>1</v>
      </c>
      <c r="I2076">
        <v>0.01</v>
      </c>
      <c r="J2076">
        <v>1000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10000000</v>
      </c>
      <c r="AB2076">
        <v>0</v>
      </c>
      <c r="AC2076">
        <v>0</v>
      </c>
      <c r="AD2076" t="s">
        <v>94</v>
      </c>
      <c r="AE2076" t="s">
        <v>94</v>
      </c>
      <c r="AF2076" t="s">
        <v>226</v>
      </c>
      <c r="AG2076" t="s">
        <v>226</v>
      </c>
      <c r="AH2076">
        <v>-100</v>
      </c>
      <c r="AI2076" t="s">
        <v>3537</v>
      </c>
      <c r="AJ2076" t="s">
        <v>1976</v>
      </c>
      <c r="AK2076" t="s">
        <v>2416</v>
      </c>
      <c r="AL2076" t="s">
        <v>272</v>
      </c>
    </row>
    <row r="2077" spans="1:38">
      <c r="A2077" t="s">
        <v>8906</v>
      </c>
      <c r="B2077" t="s">
        <v>8907</v>
      </c>
      <c r="C2077" t="s">
        <v>8908</v>
      </c>
      <c r="D2077" t="s">
        <v>8908</v>
      </c>
      <c r="E2077" t="s">
        <v>8909</v>
      </c>
      <c r="F2077" t="s">
        <v>2413</v>
      </c>
      <c r="G2077">
        <v>3</v>
      </c>
      <c r="H2077">
        <v>1</v>
      </c>
      <c r="I2077">
        <v>0.01</v>
      </c>
      <c r="J2077">
        <v>1000</v>
      </c>
      <c r="K2077">
        <v>0.03</v>
      </c>
      <c r="L2077">
        <v>95.31</v>
      </c>
      <c r="M2077">
        <v>95.28</v>
      </c>
      <c r="N2077">
        <v>95.3</v>
      </c>
      <c r="O2077">
        <v>95.34</v>
      </c>
      <c r="P2077">
        <v>0</v>
      </c>
      <c r="Q2077">
        <v>0</v>
      </c>
      <c r="R2077">
        <v>0</v>
      </c>
      <c r="S2077">
        <v>95.36</v>
      </c>
      <c r="T2077">
        <v>95.21</v>
      </c>
      <c r="U2077">
        <v>95.21</v>
      </c>
      <c r="V2077">
        <v>95.43</v>
      </c>
      <c r="W2077">
        <v>4173116</v>
      </c>
      <c r="X2077">
        <v>95.3</v>
      </c>
      <c r="Y2077">
        <v>95.31</v>
      </c>
      <c r="Z2077">
        <v>149</v>
      </c>
      <c r="AA2077">
        <v>10000000</v>
      </c>
      <c r="AB2077">
        <v>3812.4</v>
      </c>
      <c r="AC2077">
        <v>0</v>
      </c>
      <c r="AD2077" t="s">
        <v>94</v>
      </c>
      <c r="AE2077" t="s">
        <v>94</v>
      </c>
      <c r="AF2077" t="s">
        <v>226</v>
      </c>
      <c r="AG2077" t="s">
        <v>226</v>
      </c>
      <c r="AH2077">
        <v>8</v>
      </c>
      <c r="AI2077" t="s">
        <v>3537</v>
      </c>
      <c r="AJ2077" t="s">
        <v>1976</v>
      </c>
      <c r="AK2077" t="s">
        <v>2416</v>
      </c>
      <c r="AL2077" t="s">
        <v>272</v>
      </c>
    </row>
    <row r="2078" spans="1:38">
      <c r="A2078" t="s">
        <v>8910</v>
      </c>
      <c r="B2078" t="s">
        <v>8911</v>
      </c>
      <c r="C2078" t="s">
        <v>8912</v>
      </c>
      <c r="D2078" t="s">
        <v>8912</v>
      </c>
      <c r="E2078" t="s">
        <v>8913</v>
      </c>
      <c r="F2078" t="s">
        <v>2413</v>
      </c>
      <c r="G2078">
        <v>3</v>
      </c>
      <c r="H2078">
        <v>1</v>
      </c>
      <c r="I2078">
        <v>0.01</v>
      </c>
      <c r="J2078">
        <v>1000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87</v>
      </c>
      <c r="Y2078">
        <v>0</v>
      </c>
      <c r="Z2078">
        <v>0</v>
      </c>
      <c r="AA2078">
        <v>5000000</v>
      </c>
      <c r="AB2078">
        <v>0</v>
      </c>
      <c r="AC2078">
        <v>0</v>
      </c>
      <c r="AD2078" t="s">
        <v>94</v>
      </c>
      <c r="AE2078" t="s">
        <v>94</v>
      </c>
      <c r="AF2078" t="s">
        <v>226</v>
      </c>
      <c r="AG2078" t="s">
        <v>226</v>
      </c>
      <c r="AH2078">
        <v>-100</v>
      </c>
      <c r="AI2078" t="s">
        <v>3537</v>
      </c>
      <c r="AJ2078" t="s">
        <v>1976</v>
      </c>
      <c r="AK2078" t="s">
        <v>2416</v>
      </c>
      <c r="AL2078" t="s">
        <v>272</v>
      </c>
    </row>
    <row r="2079" spans="1:38">
      <c r="A2079" t="s">
        <v>8914</v>
      </c>
      <c r="B2079" t="s">
        <v>8915</v>
      </c>
      <c r="C2079" t="s">
        <v>8916</v>
      </c>
      <c r="D2079" t="s">
        <v>8916</v>
      </c>
      <c r="E2079" t="s">
        <v>8917</v>
      </c>
      <c r="F2079" t="s">
        <v>2413</v>
      </c>
      <c r="G2079">
        <v>2</v>
      </c>
      <c r="H2079">
        <v>1</v>
      </c>
      <c r="I2079">
        <v>0.01</v>
      </c>
      <c r="J2079">
        <v>1000</v>
      </c>
      <c r="K2079">
        <v>0.1</v>
      </c>
      <c r="L2079">
        <v>98.09</v>
      </c>
      <c r="M2079">
        <v>97.99</v>
      </c>
      <c r="N2079">
        <v>97.72</v>
      </c>
      <c r="O2079">
        <v>98.12</v>
      </c>
      <c r="P2079">
        <v>0</v>
      </c>
      <c r="Q2079">
        <v>0</v>
      </c>
      <c r="R2079">
        <v>0</v>
      </c>
      <c r="S2079">
        <v>98.12</v>
      </c>
      <c r="T2079">
        <v>98.27</v>
      </c>
      <c r="U2079">
        <v>97.2</v>
      </c>
      <c r="V2079">
        <v>98.27</v>
      </c>
      <c r="W2079">
        <v>4275294</v>
      </c>
      <c r="X2079">
        <v>98.09</v>
      </c>
      <c r="Y2079">
        <v>98.11</v>
      </c>
      <c r="Z2079">
        <v>176</v>
      </c>
      <c r="AA2079">
        <v>65000000</v>
      </c>
      <c r="AB2079">
        <v>980.9</v>
      </c>
      <c r="AC2079">
        <v>0</v>
      </c>
      <c r="AD2079" t="s">
        <v>94</v>
      </c>
      <c r="AE2079" t="s">
        <v>94</v>
      </c>
      <c r="AF2079" t="s">
        <v>226</v>
      </c>
      <c r="AG2079" t="s">
        <v>226</v>
      </c>
      <c r="AH2079">
        <v>8</v>
      </c>
      <c r="AI2079" t="s">
        <v>3537</v>
      </c>
      <c r="AJ2079" t="s">
        <v>1976</v>
      </c>
      <c r="AK2079" t="s">
        <v>2416</v>
      </c>
      <c r="AL2079" t="s">
        <v>272</v>
      </c>
    </row>
    <row r="2080" spans="1:38">
      <c r="A2080" t="s">
        <v>8918</v>
      </c>
      <c r="B2080" t="s">
        <v>8919</v>
      </c>
      <c r="C2080" t="s">
        <v>8920</v>
      </c>
      <c r="D2080" t="s">
        <v>8920</v>
      </c>
      <c r="E2080" t="s">
        <v>8921</v>
      </c>
      <c r="F2080" t="s">
        <v>2413</v>
      </c>
      <c r="G2080">
        <v>2</v>
      </c>
      <c r="H2080">
        <v>1</v>
      </c>
      <c r="I2080">
        <v>0.01</v>
      </c>
      <c r="J2080">
        <v>1000</v>
      </c>
      <c r="K2080">
        <v>0.01</v>
      </c>
      <c r="L2080">
        <v>99.46</v>
      </c>
      <c r="M2080">
        <v>99.45</v>
      </c>
      <c r="N2080">
        <v>99.45</v>
      </c>
      <c r="O2080">
        <v>99.47</v>
      </c>
      <c r="P2080">
        <v>0</v>
      </c>
      <c r="Q2080">
        <v>0</v>
      </c>
      <c r="R2080">
        <v>0</v>
      </c>
      <c r="S2080">
        <v>99.44</v>
      </c>
      <c r="T2080">
        <v>99.89</v>
      </c>
      <c r="U2080">
        <v>98.83</v>
      </c>
      <c r="V2080">
        <v>99.9</v>
      </c>
      <c r="W2080">
        <v>1699379</v>
      </c>
      <c r="X2080">
        <v>99.16</v>
      </c>
      <c r="Y2080">
        <v>99.47</v>
      </c>
      <c r="Z2080">
        <v>116</v>
      </c>
      <c r="AA2080">
        <v>23000000</v>
      </c>
      <c r="AB2080">
        <v>994.6</v>
      </c>
      <c r="AC2080">
        <v>0</v>
      </c>
      <c r="AD2080" t="s">
        <v>94</v>
      </c>
      <c r="AE2080" t="s">
        <v>94</v>
      </c>
      <c r="AF2080" t="s">
        <v>226</v>
      </c>
      <c r="AG2080" t="s">
        <v>226</v>
      </c>
      <c r="AH2080">
        <v>8</v>
      </c>
      <c r="AI2080" t="s">
        <v>3537</v>
      </c>
      <c r="AJ2080" t="s">
        <v>1976</v>
      </c>
      <c r="AK2080" t="s">
        <v>2416</v>
      </c>
      <c r="AL2080" t="s">
        <v>272</v>
      </c>
    </row>
    <row r="2081" spans="1:38">
      <c r="A2081" t="s">
        <v>8922</v>
      </c>
      <c r="B2081" t="s">
        <v>8923</v>
      </c>
      <c r="C2081" t="s">
        <v>8924</v>
      </c>
      <c r="D2081" t="s">
        <v>8924</v>
      </c>
      <c r="E2081" t="s">
        <v>8925</v>
      </c>
      <c r="F2081" t="s">
        <v>2413</v>
      </c>
      <c r="G2081">
        <v>2</v>
      </c>
      <c r="H2081">
        <v>1</v>
      </c>
      <c r="I2081">
        <v>0.01</v>
      </c>
      <c r="J2081">
        <v>1000</v>
      </c>
      <c r="K2081">
        <v>-3.71</v>
      </c>
      <c r="L2081">
        <v>96</v>
      </c>
      <c r="M2081">
        <v>99.7</v>
      </c>
      <c r="N2081">
        <v>95.44</v>
      </c>
      <c r="O2081">
        <v>96.15</v>
      </c>
      <c r="P2081">
        <v>0</v>
      </c>
      <c r="Q2081">
        <v>0</v>
      </c>
      <c r="R2081">
        <v>0</v>
      </c>
      <c r="S2081">
        <v>96.47</v>
      </c>
      <c r="T2081">
        <v>97</v>
      </c>
      <c r="U2081">
        <v>96</v>
      </c>
      <c r="V2081">
        <v>97</v>
      </c>
      <c r="W2081">
        <v>23153</v>
      </c>
      <c r="X2081">
        <v>95.91</v>
      </c>
      <c r="Y2081">
        <v>96.4</v>
      </c>
      <c r="Z2081">
        <v>15</v>
      </c>
      <c r="AA2081">
        <v>10000000</v>
      </c>
      <c r="AB2081">
        <v>960</v>
      </c>
      <c r="AC2081">
        <v>0</v>
      </c>
      <c r="AD2081" t="s">
        <v>94</v>
      </c>
      <c r="AE2081" t="s">
        <v>94</v>
      </c>
      <c r="AF2081" t="s">
        <v>226</v>
      </c>
      <c r="AG2081" t="s">
        <v>226</v>
      </c>
      <c r="AH2081">
        <v>-100</v>
      </c>
      <c r="AI2081" t="s">
        <v>3537</v>
      </c>
      <c r="AJ2081" t="s">
        <v>1976</v>
      </c>
      <c r="AK2081" t="s">
        <v>2416</v>
      </c>
      <c r="AL2081" t="s">
        <v>272</v>
      </c>
    </row>
    <row r="2082" spans="1:38">
      <c r="A2082" t="s">
        <v>8926</v>
      </c>
      <c r="B2082" t="s">
        <v>8927</v>
      </c>
      <c r="C2082" t="s">
        <v>8928</v>
      </c>
      <c r="D2082" t="s">
        <v>8928</v>
      </c>
      <c r="E2082" t="s">
        <v>8929</v>
      </c>
      <c r="F2082" t="s">
        <v>2413</v>
      </c>
      <c r="G2082">
        <v>3</v>
      </c>
      <c r="H2082">
        <v>1</v>
      </c>
      <c r="I2082">
        <v>0.01</v>
      </c>
      <c r="J2082">
        <v>1000</v>
      </c>
      <c r="K2082">
        <v>0.66</v>
      </c>
      <c r="L2082">
        <v>92.92</v>
      </c>
      <c r="M2082">
        <v>92.31</v>
      </c>
      <c r="N2082">
        <v>92.3</v>
      </c>
      <c r="O2082">
        <v>92.92</v>
      </c>
      <c r="P2082">
        <v>0</v>
      </c>
      <c r="Q2082">
        <v>0</v>
      </c>
      <c r="R2082">
        <v>0</v>
      </c>
      <c r="S2082">
        <v>92.29</v>
      </c>
      <c r="T2082">
        <v>92.2</v>
      </c>
      <c r="U2082">
        <v>92.16</v>
      </c>
      <c r="V2082">
        <v>93.28</v>
      </c>
      <c r="W2082">
        <v>255638</v>
      </c>
      <c r="X2082">
        <v>92.64</v>
      </c>
      <c r="Y2082">
        <v>92.92</v>
      </c>
      <c r="Z2082">
        <v>44</v>
      </c>
      <c r="AA2082">
        <v>30000000</v>
      </c>
      <c r="AB2082">
        <v>929.2</v>
      </c>
      <c r="AC2082">
        <v>0</v>
      </c>
      <c r="AD2082" t="s">
        <v>94</v>
      </c>
      <c r="AE2082" t="s">
        <v>94</v>
      </c>
      <c r="AF2082" t="s">
        <v>226</v>
      </c>
      <c r="AG2082" t="s">
        <v>226</v>
      </c>
      <c r="AH2082">
        <v>-100</v>
      </c>
      <c r="AI2082" t="s">
        <v>3537</v>
      </c>
      <c r="AJ2082" t="s">
        <v>1976</v>
      </c>
      <c r="AK2082" t="s">
        <v>2416</v>
      </c>
      <c r="AL2082" t="s">
        <v>272</v>
      </c>
    </row>
    <row r="2083" spans="1:38">
      <c r="A2083" t="s">
        <v>8930</v>
      </c>
      <c r="B2083" t="s">
        <v>8931</v>
      </c>
      <c r="C2083" t="s">
        <v>8932</v>
      </c>
      <c r="D2083" t="s">
        <v>8932</v>
      </c>
      <c r="E2083" t="s">
        <v>8933</v>
      </c>
      <c r="F2083" t="s">
        <v>2413</v>
      </c>
      <c r="G2083">
        <v>3</v>
      </c>
      <c r="H2083">
        <v>1</v>
      </c>
      <c r="I2083">
        <v>0.01</v>
      </c>
      <c r="J2083">
        <v>1000</v>
      </c>
      <c r="K2083">
        <v>0.19</v>
      </c>
      <c r="L2083">
        <v>100.65</v>
      </c>
      <c r="M2083">
        <v>100.46</v>
      </c>
      <c r="N2083">
        <v>99.81</v>
      </c>
      <c r="O2083">
        <v>100.65</v>
      </c>
      <c r="P2083">
        <v>0</v>
      </c>
      <c r="Q2083">
        <v>0</v>
      </c>
      <c r="R2083">
        <v>0</v>
      </c>
      <c r="S2083">
        <v>100.65</v>
      </c>
      <c r="T2083">
        <v>100.65</v>
      </c>
      <c r="U2083">
        <v>100.65</v>
      </c>
      <c r="V2083">
        <v>100.65</v>
      </c>
      <c r="W2083">
        <v>4026</v>
      </c>
      <c r="X2083">
        <v>96.78</v>
      </c>
      <c r="Y2083">
        <v>100.65</v>
      </c>
      <c r="Z2083">
        <v>1</v>
      </c>
      <c r="AA2083">
        <v>12000000</v>
      </c>
      <c r="AB2083">
        <v>4026</v>
      </c>
      <c r="AC2083">
        <v>0</v>
      </c>
      <c r="AD2083" t="s">
        <v>94</v>
      </c>
      <c r="AE2083" t="s">
        <v>94</v>
      </c>
      <c r="AF2083" t="s">
        <v>304</v>
      </c>
      <c r="AG2083" t="s">
        <v>226</v>
      </c>
      <c r="AH2083">
        <v>800</v>
      </c>
      <c r="AI2083" t="s">
        <v>3537</v>
      </c>
      <c r="AJ2083" t="s">
        <v>1976</v>
      </c>
      <c r="AK2083" t="s">
        <v>2416</v>
      </c>
      <c r="AL2083" t="s">
        <v>272</v>
      </c>
    </row>
    <row r="2084" spans="1:38">
      <c r="A2084" t="s">
        <v>8934</v>
      </c>
      <c r="B2084" t="s">
        <v>8935</v>
      </c>
      <c r="C2084" t="s">
        <v>8936</v>
      </c>
      <c r="D2084" t="s">
        <v>8936</v>
      </c>
      <c r="E2084" t="s">
        <v>8937</v>
      </c>
      <c r="F2084" t="s">
        <v>2413</v>
      </c>
      <c r="G2084">
        <v>3</v>
      </c>
      <c r="H2084">
        <v>1</v>
      </c>
      <c r="I2084">
        <v>0.01</v>
      </c>
      <c r="J2084">
        <v>1000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5000000</v>
      </c>
      <c r="AB2084">
        <v>0</v>
      </c>
      <c r="AC2084">
        <v>0</v>
      </c>
      <c r="AD2084" t="s">
        <v>94</v>
      </c>
      <c r="AE2084" t="s">
        <v>94</v>
      </c>
      <c r="AF2084" t="s">
        <v>226</v>
      </c>
      <c r="AG2084" t="s">
        <v>226</v>
      </c>
      <c r="AH2084">
        <v>-100</v>
      </c>
      <c r="AI2084" t="s">
        <v>3537</v>
      </c>
      <c r="AJ2084" t="s">
        <v>1976</v>
      </c>
      <c r="AK2084" t="s">
        <v>2416</v>
      </c>
      <c r="AL2084" t="s">
        <v>272</v>
      </c>
    </row>
    <row r="2085" spans="1:38">
      <c r="A2085" t="s">
        <v>8938</v>
      </c>
      <c r="B2085" t="s">
        <v>8939</v>
      </c>
      <c r="C2085" t="s">
        <v>8940</v>
      </c>
      <c r="D2085" t="s">
        <v>8940</v>
      </c>
      <c r="E2085" t="s">
        <v>8941</v>
      </c>
      <c r="F2085" t="s">
        <v>2413</v>
      </c>
      <c r="G2085">
        <v>1</v>
      </c>
      <c r="H2085">
        <v>1</v>
      </c>
      <c r="I2085">
        <v>0.01</v>
      </c>
      <c r="J2085">
        <v>1000</v>
      </c>
      <c r="K2085">
        <v>-0.41</v>
      </c>
      <c r="L2085">
        <v>100.8</v>
      </c>
      <c r="M2085">
        <v>101.2</v>
      </c>
      <c r="N2085">
        <v>101.72</v>
      </c>
      <c r="O2085">
        <v>100.8</v>
      </c>
      <c r="P2085">
        <v>0</v>
      </c>
      <c r="Q2085">
        <v>0</v>
      </c>
      <c r="R2085">
        <v>0</v>
      </c>
      <c r="S2085">
        <v>100.9</v>
      </c>
      <c r="T2085">
        <v>101.59</v>
      </c>
      <c r="U2085">
        <v>100.8</v>
      </c>
      <c r="V2085">
        <v>101.59</v>
      </c>
      <c r="W2085">
        <v>104933</v>
      </c>
      <c r="X2085">
        <v>100.2</v>
      </c>
      <c r="Y2085">
        <v>100.79</v>
      </c>
      <c r="Z2085">
        <v>15</v>
      </c>
      <c r="AA2085">
        <v>15000000</v>
      </c>
      <c r="AB2085">
        <v>4032</v>
      </c>
      <c r="AC2085">
        <v>0</v>
      </c>
      <c r="AD2085" t="s">
        <v>94</v>
      </c>
      <c r="AE2085" t="s">
        <v>94</v>
      </c>
      <c r="AF2085" t="s">
        <v>226</v>
      </c>
      <c r="AG2085" t="s">
        <v>226</v>
      </c>
      <c r="AH2085">
        <v>6</v>
      </c>
      <c r="AI2085" t="s">
        <v>3537</v>
      </c>
      <c r="AJ2085" t="s">
        <v>1976</v>
      </c>
      <c r="AK2085" t="s">
        <v>2416</v>
      </c>
      <c r="AL2085" t="s">
        <v>272</v>
      </c>
    </row>
    <row r="2086" spans="1:38">
      <c r="A2086" t="s">
        <v>8942</v>
      </c>
      <c r="B2086" t="s">
        <v>8943</v>
      </c>
      <c r="C2086" t="s">
        <v>8944</v>
      </c>
      <c r="D2086" t="s">
        <v>8944</v>
      </c>
      <c r="E2086" t="s">
        <v>8945</v>
      </c>
      <c r="F2086" t="s">
        <v>2413</v>
      </c>
      <c r="G2086">
        <v>1</v>
      </c>
      <c r="H2086">
        <v>1</v>
      </c>
      <c r="I2086">
        <v>0.01</v>
      </c>
      <c r="J2086">
        <v>1000</v>
      </c>
      <c r="K2086">
        <v>-0.12</v>
      </c>
      <c r="L2086">
        <v>101.4</v>
      </c>
      <c r="M2086">
        <v>101.52</v>
      </c>
      <c r="N2086">
        <v>101.46</v>
      </c>
      <c r="O2086">
        <v>101.4</v>
      </c>
      <c r="P2086">
        <v>0</v>
      </c>
      <c r="Q2086">
        <v>0</v>
      </c>
      <c r="R2086">
        <v>0</v>
      </c>
      <c r="S2086">
        <v>101.42</v>
      </c>
      <c r="T2086">
        <v>102.12</v>
      </c>
      <c r="U2086">
        <v>100.75</v>
      </c>
      <c r="V2086">
        <v>102.12</v>
      </c>
      <c r="W2086">
        <v>85196</v>
      </c>
      <c r="X2086">
        <v>101.31</v>
      </c>
      <c r="Y2086">
        <v>101.83</v>
      </c>
      <c r="Z2086">
        <v>30</v>
      </c>
      <c r="AA2086">
        <v>10000000</v>
      </c>
      <c r="AB2086">
        <v>5070</v>
      </c>
      <c r="AC2086">
        <v>0</v>
      </c>
      <c r="AD2086" t="s">
        <v>94</v>
      </c>
      <c r="AE2086" t="s">
        <v>94</v>
      </c>
      <c r="AF2086" t="s">
        <v>226</v>
      </c>
      <c r="AG2086" t="s">
        <v>226</v>
      </c>
      <c r="AH2086">
        <v>6</v>
      </c>
      <c r="AI2086" t="s">
        <v>3537</v>
      </c>
      <c r="AJ2086" t="s">
        <v>1976</v>
      </c>
      <c r="AK2086" t="s">
        <v>2416</v>
      </c>
      <c r="AL2086" t="s">
        <v>272</v>
      </c>
    </row>
    <row r="2087" spans="1:38">
      <c r="A2087" t="s">
        <v>8946</v>
      </c>
      <c r="B2087" t="s">
        <v>8947</v>
      </c>
      <c r="C2087" t="s">
        <v>8948</v>
      </c>
      <c r="D2087" t="s">
        <v>8948</v>
      </c>
      <c r="E2087" t="s">
        <v>8949</v>
      </c>
      <c r="F2087" t="s">
        <v>2413</v>
      </c>
      <c r="G2087">
        <v>1</v>
      </c>
      <c r="H2087">
        <v>1</v>
      </c>
      <c r="I2087">
        <v>0.01</v>
      </c>
      <c r="J2087">
        <v>1000</v>
      </c>
      <c r="K2087">
        <v>-0.74</v>
      </c>
      <c r="L2087">
        <v>87.77</v>
      </c>
      <c r="M2087">
        <v>88.32</v>
      </c>
      <c r="N2087">
        <v>88.2</v>
      </c>
      <c r="O2087">
        <v>87.77</v>
      </c>
      <c r="P2087">
        <v>0</v>
      </c>
      <c r="Q2087">
        <v>0</v>
      </c>
      <c r="R2087">
        <v>0</v>
      </c>
      <c r="S2087">
        <v>87.88</v>
      </c>
      <c r="T2087">
        <v>88.37</v>
      </c>
      <c r="U2087">
        <v>87.64</v>
      </c>
      <c r="V2087">
        <v>88.37</v>
      </c>
      <c r="W2087">
        <v>28121</v>
      </c>
      <c r="X2087">
        <v>87.69</v>
      </c>
      <c r="Y2087">
        <v>88.33</v>
      </c>
      <c r="Z2087">
        <v>6</v>
      </c>
      <c r="AA2087">
        <v>10000000</v>
      </c>
      <c r="AB2087">
        <v>20187.099999999999</v>
      </c>
      <c r="AC2087">
        <v>0</v>
      </c>
      <c r="AD2087" t="s">
        <v>94</v>
      </c>
      <c r="AE2087" t="s">
        <v>94</v>
      </c>
      <c r="AF2087" t="s">
        <v>226</v>
      </c>
      <c r="AG2087" t="s">
        <v>226</v>
      </c>
      <c r="AH2087">
        <v>6</v>
      </c>
      <c r="AI2087" t="s">
        <v>3537</v>
      </c>
      <c r="AJ2087" t="s">
        <v>1976</v>
      </c>
      <c r="AK2087" t="s">
        <v>2416</v>
      </c>
      <c r="AL2087" t="s">
        <v>272</v>
      </c>
    </row>
    <row r="2088" spans="1:38">
      <c r="A2088" t="s">
        <v>8950</v>
      </c>
      <c r="B2088" t="s">
        <v>8951</v>
      </c>
      <c r="C2088" t="s">
        <v>8952</v>
      </c>
      <c r="D2088" t="s">
        <v>8952</v>
      </c>
      <c r="E2088" t="s">
        <v>8953</v>
      </c>
      <c r="F2088" t="s">
        <v>2413</v>
      </c>
      <c r="G2088">
        <v>1</v>
      </c>
      <c r="H2088">
        <v>1</v>
      </c>
      <c r="I2088">
        <v>0.01</v>
      </c>
      <c r="J2088">
        <v>1000</v>
      </c>
      <c r="K2088">
        <v>0.05</v>
      </c>
      <c r="L2088">
        <v>98.44</v>
      </c>
      <c r="M2088">
        <v>98.05</v>
      </c>
      <c r="N2088">
        <v>98.24</v>
      </c>
      <c r="O2088">
        <v>98.44</v>
      </c>
      <c r="P2088">
        <v>0</v>
      </c>
      <c r="Q2088">
        <v>0</v>
      </c>
      <c r="R2088">
        <v>0</v>
      </c>
      <c r="S2088">
        <v>98.47</v>
      </c>
      <c r="T2088">
        <v>98.47</v>
      </c>
      <c r="U2088">
        <v>98.44</v>
      </c>
      <c r="V2088">
        <v>98.47</v>
      </c>
      <c r="W2088">
        <v>38402</v>
      </c>
      <c r="X2088">
        <v>97.83</v>
      </c>
      <c r="Y2088">
        <v>98.44</v>
      </c>
      <c r="Z2088">
        <v>5</v>
      </c>
      <c r="AA2088">
        <v>10000000</v>
      </c>
      <c r="AB2088">
        <v>984.4</v>
      </c>
      <c r="AC2088">
        <v>0</v>
      </c>
      <c r="AD2088" t="s">
        <v>94</v>
      </c>
      <c r="AE2088" t="s">
        <v>94</v>
      </c>
      <c r="AF2088" t="s">
        <v>226</v>
      </c>
      <c r="AG2088" t="s">
        <v>226</v>
      </c>
      <c r="AH2088">
        <v>6</v>
      </c>
      <c r="AI2088" t="s">
        <v>3537</v>
      </c>
      <c r="AJ2088" t="s">
        <v>1976</v>
      </c>
      <c r="AK2088" t="s">
        <v>2416</v>
      </c>
      <c r="AL2088" t="s">
        <v>272</v>
      </c>
    </row>
    <row r="2089" spans="1:38">
      <c r="A2089" t="s">
        <v>8954</v>
      </c>
      <c r="B2089" t="s">
        <v>8955</v>
      </c>
      <c r="C2089" t="s">
        <v>8956</v>
      </c>
      <c r="D2089" t="s">
        <v>8956</v>
      </c>
      <c r="E2089" t="s">
        <v>8957</v>
      </c>
      <c r="F2089" t="s">
        <v>2413</v>
      </c>
      <c r="G2089">
        <v>1</v>
      </c>
      <c r="H2089">
        <v>1</v>
      </c>
      <c r="I2089">
        <v>0.01</v>
      </c>
      <c r="J2089">
        <v>1000</v>
      </c>
      <c r="K2089">
        <v>0.56999999999999995</v>
      </c>
      <c r="L2089">
        <v>91.02</v>
      </c>
      <c r="M2089">
        <v>90.5</v>
      </c>
      <c r="N2089">
        <v>90.52</v>
      </c>
      <c r="O2089">
        <v>91.02</v>
      </c>
      <c r="P2089">
        <v>0</v>
      </c>
      <c r="Q2089">
        <v>0</v>
      </c>
      <c r="R2089">
        <v>0</v>
      </c>
      <c r="S2089">
        <v>90.91</v>
      </c>
      <c r="T2089">
        <v>90.5</v>
      </c>
      <c r="U2089">
        <v>90.5</v>
      </c>
      <c r="V2089">
        <v>91.02</v>
      </c>
      <c r="W2089">
        <v>6363</v>
      </c>
      <c r="X2089">
        <v>90.51</v>
      </c>
      <c r="Y2089">
        <v>91.02</v>
      </c>
      <c r="Z2089">
        <v>6</v>
      </c>
      <c r="AA2089">
        <v>15000000</v>
      </c>
      <c r="AB2089">
        <v>910.2</v>
      </c>
      <c r="AC2089">
        <v>0</v>
      </c>
      <c r="AD2089" t="s">
        <v>94</v>
      </c>
      <c r="AE2089" t="s">
        <v>94</v>
      </c>
      <c r="AF2089" t="s">
        <v>226</v>
      </c>
      <c r="AG2089" t="s">
        <v>226</v>
      </c>
      <c r="AH2089">
        <v>6</v>
      </c>
      <c r="AI2089" t="s">
        <v>3537</v>
      </c>
      <c r="AJ2089" t="s">
        <v>1976</v>
      </c>
      <c r="AK2089" t="s">
        <v>2416</v>
      </c>
      <c r="AL2089" t="s">
        <v>272</v>
      </c>
    </row>
    <row r="2090" spans="1:38">
      <c r="A2090" t="s">
        <v>8958</v>
      </c>
      <c r="B2090" t="s">
        <v>8959</v>
      </c>
      <c r="C2090" t="s">
        <v>8960</v>
      </c>
      <c r="D2090" t="s">
        <v>8960</v>
      </c>
      <c r="E2090" t="s">
        <v>8961</v>
      </c>
      <c r="F2090" t="s">
        <v>2413</v>
      </c>
      <c r="G2090">
        <v>2</v>
      </c>
      <c r="H2090">
        <v>1</v>
      </c>
      <c r="I2090">
        <v>0.01</v>
      </c>
      <c r="J2090">
        <v>1000</v>
      </c>
      <c r="K2090">
        <v>-0.11</v>
      </c>
      <c r="L2090">
        <v>95.89</v>
      </c>
      <c r="M2090">
        <v>96</v>
      </c>
      <c r="N2090">
        <v>96.09</v>
      </c>
      <c r="O2090">
        <v>95.89</v>
      </c>
      <c r="P2090">
        <v>0</v>
      </c>
      <c r="Q2090">
        <v>0</v>
      </c>
      <c r="R2090">
        <v>0</v>
      </c>
      <c r="S2090">
        <v>95.85</v>
      </c>
      <c r="T2090">
        <v>96.11</v>
      </c>
      <c r="U2090">
        <v>95.59</v>
      </c>
      <c r="V2090">
        <v>96.25</v>
      </c>
      <c r="W2090">
        <v>1175147</v>
      </c>
      <c r="X2090">
        <v>95.7</v>
      </c>
      <c r="Y2090">
        <v>95.89</v>
      </c>
      <c r="Z2090">
        <v>93</v>
      </c>
      <c r="AA2090">
        <v>15000000</v>
      </c>
      <c r="AB2090">
        <v>958.9</v>
      </c>
      <c r="AC2090">
        <v>0</v>
      </c>
      <c r="AD2090" t="s">
        <v>94</v>
      </c>
      <c r="AE2090" t="s">
        <v>94</v>
      </c>
      <c r="AF2090" t="s">
        <v>226</v>
      </c>
      <c r="AG2090" t="s">
        <v>226</v>
      </c>
      <c r="AH2090">
        <v>8</v>
      </c>
      <c r="AI2090" t="s">
        <v>3537</v>
      </c>
      <c r="AJ2090" t="s">
        <v>1976</v>
      </c>
      <c r="AK2090" t="s">
        <v>2416</v>
      </c>
      <c r="AL2090" t="s">
        <v>272</v>
      </c>
    </row>
    <row r="2091" spans="1:38">
      <c r="A2091" t="s">
        <v>8962</v>
      </c>
      <c r="B2091" t="s">
        <v>8963</v>
      </c>
      <c r="C2091" t="s">
        <v>8964</v>
      </c>
      <c r="D2091" t="s">
        <v>8964</v>
      </c>
      <c r="E2091" t="s">
        <v>8965</v>
      </c>
      <c r="F2091" t="s">
        <v>2413</v>
      </c>
      <c r="G2091">
        <v>2</v>
      </c>
      <c r="H2091">
        <v>1</v>
      </c>
      <c r="I2091">
        <v>0.01</v>
      </c>
      <c r="J2091">
        <v>1000</v>
      </c>
      <c r="K2091">
        <v>2.52</v>
      </c>
      <c r="L2091">
        <v>104</v>
      </c>
      <c r="M2091">
        <v>101.44</v>
      </c>
      <c r="N2091">
        <v>100.88</v>
      </c>
      <c r="O2091">
        <v>104</v>
      </c>
      <c r="P2091">
        <v>0</v>
      </c>
      <c r="Q2091">
        <v>0</v>
      </c>
      <c r="R2091">
        <v>0</v>
      </c>
      <c r="S2091">
        <v>100.79</v>
      </c>
      <c r="T2091">
        <v>105</v>
      </c>
      <c r="U2091">
        <v>98.18</v>
      </c>
      <c r="V2091">
        <v>105</v>
      </c>
      <c r="W2091">
        <v>96756</v>
      </c>
      <c r="X2091">
        <v>100.5</v>
      </c>
      <c r="Y2091">
        <v>104.4</v>
      </c>
      <c r="Z2091">
        <v>40</v>
      </c>
      <c r="AA2091">
        <v>10000000</v>
      </c>
      <c r="AB2091">
        <v>1040</v>
      </c>
      <c r="AC2091">
        <v>0</v>
      </c>
      <c r="AD2091" t="s">
        <v>94</v>
      </c>
      <c r="AE2091" t="s">
        <v>94</v>
      </c>
      <c r="AF2091" t="s">
        <v>226</v>
      </c>
      <c r="AG2091" t="s">
        <v>226</v>
      </c>
      <c r="AH2091">
        <v>8</v>
      </c>
      <c r="AI2091" t="s">
        <v>3537</v>
      </c>
      <c r="AJ2091" t="s">
        <v>1976</v>
      </c>
      <c r="AK2091" t="s">
        <v>2416</v>
      </c>
      <c r="AL2091" t="s">
        <v>272</v>
      </c>
    </row>
    <row r="2092" spans="1:38">
      <c r="A2092" t="s">
        <v>8966</v>
      </c>
      <c r="B2092" t="s">
        <v>8967</v>
      </c>
      <c r="C2092" t="s">
        <v>8968</v>
      </c>
      <c r="D2092" t="s">
        <v>8968</v>
      </c>
      <c r="E2092" t="s">
        <v>8969</v>
      </c>
      <c r="F2092" t="s">
        <v>2413</v>
      </c>
      <c r="G2092">
        <v>2</v>
      </c>
      <c r="H2092">
        <v>1</v>
      </c>
      <c r="I2092">
        <v>0.01</v>
      </c>
      <c r="J2092">
        <v>1000</v>
      </c>
      <c r="K2092">
        <v>0.13</v>
      </c>
      <c r="L2092">
        <v>96.47</v>
      </c>
      <c r="M2092">
        <v>96.34</v>
      </c>
      <c r="N2092">
        <v>96.34</v>
      </c>
      <c r="O2092">
        <v>96.47</v>
      </c>
      <c r="P2092">
        <v>0</v>
      </c>
      <c r="Q2092">
        <v>0</v>
      </c>
      <c r="R2092">
        <v>0</v>
      </c>
      <c r="S2092">
        <v>96.28</v>
      </c>
      <c r="T2092">
        <v>96.34</v>
      </c>
      <c r="U2092">
        <v>96.01</v>
      </c>
      <c r="V2092">
        <v>96.48</v>
      </c>
      <c r="W2092">
        <v>48138</v>
      </c>
      <c r="X2092">
        <v>96.35</v>
      </c>
      <c r="Y2092">
        <v>96.47</v>
      </c>
      <c r="Z2092">
        <v>27</v>
      </c>
      <c r="AA2092">
        <v>15000000</v>
      </c>
      <c r="AB2092">
        <v>964.7</v>
      </c>
      <c r="AC2092">
        <v>0</v>
      </c>
      <c r="AD2092" t="s">
        <v>94</v>
      </c>
      <c r="AE2092" t="s">
        <v>94</v>
      </c>
      <c r="AF2092" t="s">
        <v>226</v>
      </c>
      <c r="AG2092" t="s">
        <v>226</v>
      </c>
      <c r="AH2092">
        <v>8</v>
      </c>
      <c r="AI2092" t="s">
        <v>3537</v>
      </c>
      <c r="AJ2092" t="s">
        <v>1976</v>
      </c>
      <c r="AK2092" t="s">
        <v>2416</v>
      </c>
      <c r="AL2092" t="s">
        <v>272</v>
      </c>
    </row>
    <row r="2093" spans="1:38">
      <c r="A2093" t="s">
        <v>8970</v>
      </c>
      <c r="B2093" t="s">
        <v>8971</v>
      </c>
      <c r="C2093" t="s">
        <v>8972</v>
      </c>
      <c r="D2093" t="s">
        <v>8972</v>
      </c>
      <c r="E2093" t="s">
        <v>8973</v>
      </c>
      <c r="F2093" t="s">
        <v>2413</v>
      </c>
      <c r="G2093">
        <v>3</v>
      </c>
      <c r="H2093">
        <v>1</v>
      </c>
      <c r="I2093">
        <v>0.01</v>
      </c>
      <c r="J2093">
        <v>1000</v>
      </c>
      <c r="K2093">
        <v>1.44</v>
      </c>
      <c r="L2093">
        <v>87.78</v>
      </c>
      <c r="M2093">
        <v>86.53</v>
      </c>
      <c r="N2093">
        <v>86.75</v>
      </c>
      <c r="O2093">
        <v>87.55</v>
      </c>
      <c r="P2093">
        <v>0</v>
      </c>
      <c r="Q2093">
        <v>0</v>
      </c>
      <c r="R2093">
        <v>0</v>
      </c>
      <c r="S2093">
        <v>86.86</v>
      </c>
      <c r="T2093">
        <v>86.81</v>
      </c>
      <c r="U2093">
        <v>86.01</v>
      </c>
      <c r="V2093">
        <v>87.78</v>
      </c>
      <c r="W2093">
        <v>274491</v>
      </c>
      <c r="X2093">
        <v>87.07</v>
      </c>
      <c r="Y2093">
        <v>87.94</v>
      </c>
      <c r="Z2093">
        <v>70</v>
      </c>
      <c r="AA2093">
        <v>10000000</v>
      </c>
      <c r="AB2093">
        <v>877.8</v>
      </c>
      <c r="AC2093">
        <v>0</v>
      </c>
      <c r="AD2093" t="s">
        <v>94</v>
      </c>
      <c r="AE2093" t="s">
        <v>94</v>
      </c>
      <c r="AF2093" t="s">
        <v>226</v>
      </c>
      <c r="AG2093" t="s">
        <v>226</v>
      </c>
      <c r="AH2093">
        <v>6</v>
      </c>
      <c r="AI2093" t="s">
        <v>3537</v>
      </c>
      <c r="AJ2093" t="s">
        <v>1976</v>
      </c>
      <c r="AK2093" t="s">
        <v>2416</v>
      </c>
      <c r="AL2093" t="s">
        <v>272</v>
      </c>
    </row>
    <row r="2094" spans="1:38">
      <c r="A2094" t="s">
        <v>8974</v>
      </c>
      <c r="B2094" t="s">
        <v>8975</v>
      </c>
      <c r="C2094" t="s">
        <v>8976</v>
      </c>
      <c r="D2094" t="s">
        <v>8976</v>
      </c>
      <c r="E2094" t="s">
        <v>8977</v>
      </c>
      <c r="F2094" t="s">
        <v>2413</v>
      </c>
      <c r="G2094">
        <v>3</v>
      </c>
      <c r="H2094">
        <v>1</v>
      </c>
      <c r="I2094">
        <v>0.01</v>
      </c>
      <c r="J2094">
        <v>1000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10000000</v>
      </c>
      <c r="AB2094">
        <v>0</v>
      </c>
      <c r="AC2094">
        <v>0</v>
      </c>
      <c r="AD2094" t="s">
        <v>94</v>
      </c>
      <c r="AE2094" t="s">
        <v>94</v>
      </c>
      <c r="AF2094" t="s">
        <v>226</v>
      </c>
      <c r="AG2094" t="s">
        <v>226</v>
      </c>
      <c r="AH2094">
        <v>6</v>
      </c>
      <c r="AI2094" t="s">
        <v>3537</v>
      </c>
      <c r="AJ2094" t="s">
        <v>1976</v>
      </c>
      <c r="AK2094" t="s">
        <v>2416</v>
      </c>
      <c r="AL2094" t="s">
        <v>272</v>
      </c>
    </row>
    <row r="2095" spans="1:38">
      <c r="A2095" t="s">
        <v>8978</v>
      </c>
      <c r="B2095" t="s">
        <v>8979</v>
      </c>
      <c r="C2095" t="s">
        <v>8980</v>
      </c>
      <c r="D2095" t="s">
        <v>8980</v>
      </c>
      <c r="E2095" t="s">
        <v>8981</v>
      </c>
      <c r="F2095" t="s">
        <v>2413</v>
      </c>
      <c r="G2095">
        <v>3</v>
      </c>
      <c r="H2095">
        <v>1</v>
      </c>
      <c r="I2095">
        <v>0.01</v>
      </c>
      <c r="J2095">
        <v>1000</v>
      </c>
      <c r="K2095">
        <v>-9.7799999999999994</v>
      </c>
      <c r="L2095">
        <v>97.1</v>
      </c>
      <c r="M2095">
        <v>107.63</v>
      </c>
      <c r="N2095">
        <v>0</v>
      </c>
      <c r="O2095">
        <v>97.1</v>
      </c>
      <c r="P2095">
        <v>0</v>
      </c>
      <c r="Q2095">
        <v>0</v>
      </c>
      <c r="R2095">
        <v>0</v>
      </c>
      <c r="S2095">
        <v>97.1</v>
      </c>
      <c r="T2095">
        <v>97.1</v>
      </c>
      <c r="U2095">
        <v>97.1</v>
      </c>
      <c r="V2095">
        <v>97.1</v>
      </c>
      <c r="W2095">
        <v>4855</v>
      </c>
      <c r="X2095">
        <v>101.99</v>
      </c>
      <c r="Y2095">
        <v>107.5</v>
      </c>
      <c r="Z2095">
        <v>1</v>
      </c>
      <c r="AA2095">
        <v>15000000</v>
      </c>
      <c r="AB2095">
        <v>4855</v>
      </c>
      <c r="AC2095">
        <v>0</v>
      </c>
      <c r="AD2095" t="s">
        <v>94</v>
      </c>
      <c r="AE2095" t="s">
        <v>94</v>
      </c>
      <c r="AF2095" t="s">
        <v>226</v>
      </c>
      <c r="AG2095" t="s">
        <v>226</v>
      </c>
      <c r="AH2095">
        <v>6</v>
      </c>
      <c r="AI2095" t="s">
        <v>3537</v>
      </c>
      <c r="AJ2095" t="s">
        <v>1976</v>
      </c>
      <c r="AK2095" t="s">
        <v>2416</v>
      </c>
      <c r="AL2095" t="s">
        <v>272</v>
      </c>
    </row>
    <row r="2096" spans="1:38">
      <c r="A2096" t="s">
        <v>8982</v>
      </c>
      <c r="B2096" t="s">
        <v>8983</v>
      </c>
      <c r="C2096" t="s">
        <v>8984</v>
      </c>
      <c r="D2096" t="s">
        <v>8984</v>
      </c>
      <c r="E2096" t="s">
        <v>8985</v>
      </c>
      <c r="F2096" t="s">
        <v>2413</v>
      </c>
      <c r="G2096">
        <v>3</v>
      </c>
      <c r="H2096">
        <v>1</v>
      </c>
      <c r="I2096">
        <v>0.01</v>
      </c>
      <c r="J2096">
        <v>1000</v>
      </c>
      <c r="K2096">
        <v>1.75</v>
      </c>
      <c r="L2096">
        <v>91.67</v>
      </c>
      <c r="M2096">
        <v>90.09</v>
      </c>
      <c r="N2096">
        <v>89.32</v>
      </c>
      <c r="O2096">
        <v>91.67</v>
      </c>
      <c r="P2096">
        <v>0</v>
      </c>
      <c r="Q2096">
        <v>0</v>
      </c>
      <c r="R2096">
        <v>0</v>
      </c>
      <c r="S2096">
        <v>90.43</v>
      </c>
      <c r="T2096">
        <v>90.11</v>
      </c>
      <c r="U2096">
        <v>90.09</v>
      </c>
      <c r="V2096">
        <v>91.67</v>
      </c>
      <c r="W2096">
        <v>85906</v>
      </c>
      <c r="X2096">
        <v>91.05</v>
      </c>
      <c r="Y2096">
        <v>91.6</v>
      </c>
      <c r="Z2096">
        <v>36</v>
      </c>
      <c r="AA2096">
        <v>15000000</v>
      </c>
      <c r="AB2096">
        <v>916.7</v>
      </c>
      <c r="AC2096">
        <v>0</v>
      </c>
      <c r="AD2096" t="s">
        <v>94</v>
      </c>
      <c r="AE2096" t="s">
        <v>94</v>
      </c>
      <c r="AF2096" t="s">
        <v>226</v>
      </c>
      <c r="AG2096" t="s">
        <v>226</v>
      </c>
      <c r="AH2096">
        <v>6</v>
      </c>
      <c r="AI2096" t="s">
        <v>3537</v>
      </c>
      <c r="AJ2096" t="s">
        <v>1976</v>
      </c>
      <c r="AK2096" t="s">
        <v>2416</v>
      </c>
      <c r="AL2096" t="s">
        <v>272</v>
      </c>
    </row>
    <row r="2097" spans="1:38">
      <c r="A2097" t="s">
        <v>8986</v>
      </c>
      <c r="B2097" t="s">
        <v>8987</v>
      </c>
      <c r="C2097" t="s">
        <v>8988</v>
      </c>
      <c r="D2097" t="s">
        <v>8988</v>
      </c>
      <c r="E2097" t="s">
        <v>8989</v>
      </c>
      <c r="F2097" t="s">
        <v>2413</v>
      </c>
      <c r="G2097">
        <v>2</v>
      </c>
      <c r="H2097">
        <v>1</v>
      </c>
      <c r="I2097">
        <v>0.01</v>
      </c>
      <c r="J2097">
        <v>1000</v>
      </c>
      <c r="K2097">
        <v>-0.16</v>
      </c>
      <c r="L2097">
        <v>90.99</v>
      </c>
      <c r="M2097">
        <v>91.19</v>
      </c>
      <c r="N2097">
        <v>91.09</v>
      </c>
      <c r="O2097">
        <v>90.97</v>
      </c>
      <c r="P2097">
        <v>0</v>
      </c>
      <c r="Q2097">
        <v>0</v>
      </c>
      <c r="R2097">
        <v>0</v>
      </c>
      <c r="S2097">
        <v>90.98</v>
      </c>
      <c r="T2097">
        <v>91.15</v>
      </c>
      <c r="U2097">
        <v>90.45</v>
      </c>
      <c r="V2097">
        <v>91.15</v>
      </c>
      <c r="W2097">
        <v>1764010</v>
      </c>
      <c r="X2097">
        <v>90.78</v>
      </c>
      <c r="Y2097">
        <v>90.99</v>
      </c>
      <c r="Z2097">
        <v>162</v>
      </c>
      <c r="AA2097">
        <v>10000000</v>
      </c>
      <c r="AB2097">
        <v>2729.7</v>
      </c>
      <c r="AC2097">
        <v>0</v>
      </c>
      <c r="AD2097" t="s">
        <v>94</v>
      </c>
      <c r="AE2097" t="s">
        <v>94</v>
      </c>
      <c r="AF2097" t="s">
        <v>226</v>
      </c>
      <c r="AG2097" t="s">
        <v>226</v>
      </c>
      <c r="AH2097">
        <v>6</v>
      </c>
      <c r="AI2097" t="s">
        <v>3537</v>
      </c>
      <c r="AJ2097" t="s">
        <v>1976</v>
      </c>
      <c r="AK2097" t="s">
        <v>2416</v>
      </c>
      <c r="AL2097" t="s">
        <v>272</v>
      </c>
    </row>
    <row r="2098" spans="1:38">
      <c r="A2098" t="s">
        <v>8990</v>
      </c>
      <c r="B2098" t="s">
        <v>8991</v>
      </c>
      <c r="C2098" t="s">
        <v>8992</v>
      </c>
      <c r="D2098" t="s">
        <v>8992</v>
      </c>
      <c r="E2098" t="s">
        <v>8993</v>
      </c>
      <c r="F2098" t="s">
        <v>2413</v>
      </c>
      <c r="G2098">
        <v>1</v>
      </c>
      <c r="H2098">
        <v>1</v>
      </c>
      <c r="I2098">
        <v>0.01</v>
      </c>
      <c r="J2098">
        <v>1000</v>
      </c>
      <c r="K2098">
        <v>1.25</v>
      </c>
      <c r="L2098">
        <v>88.83</v>
      </c>
      <c r="M2098">
        <v>87.73</v>
      </c>
      <c r="N2098">
        <v>89.23</v>
      </c>
      <c r="O2098">
        <v>88.83</v>
      </c>
      <c r="P2098">
        <v>0</v>
      </c>
      <c r="Q2098">
        <v>0</v>
      </c>
      <c r="R2098">
        <v>0</v>
      </c>
      <c r="S2098">
        <v>88.81</v>
      </c>
      <c r="T2098">
        <v>88.56</v>
      </c>
      <c r="U2098">
        <v>88.56</v>
      </c>
      <c r="V2098">
        <v>88.86</v>
      </c>
      <c r="W2098">
        <v>40852</v>
      </c>
      <c r="X2098">
        <v>88.83</v>
      </c>
      <c r="Y2098">
        <v>88.85</v>
      </c>
      <c r="Z2098">
        <v>10</v>
      </c>
      <c r="AA2098">
        <v>10000000</v>
      </c>
      <c r="AB2098">
        <v>20430.900000000001</v>
      </c>
      <c r="AC2098">
        <v>0</v>
      </c>
      <c r="AD2098" t="s">
        <v>94</v>
      </c>
      <c r="AE2098" t="s">
        <v>94</v>
      </c>
      <c r="AF2098" t="s">
        <v>226</v>
      </c>
      <c r="AG2098" t="s">
        <v>226</v>
      </c>
      <c r="AH2098">
        <v>6</v>
      </c>
      <c r="AI2098" t="s">
        <v>3537</v>
      </c>
      <c r="AJ2098" t="s">
        <v>1976</v>
      </c>
      <c r="AK2098" t="s">
        <v>2416</v>
      </c>
      <c r="AL2098" t="s">
        <v>272</v>
      </c>
    </row>
    <row r="2099" spans="1:38">
      <c r="A2099" t="s">
        <v>8994</v>
      </c>
      <c r="B2099" t="s">
        <v>8995</v>
      </c>
      <c r="C2099" t="s">
        <v>8996</v>
      </c>
      <c r="D2099" t="s">
        <v>8996</v>
      </c>
      <c r="E2099" t="s">
        <v>8997</v>
      </c>
      <c r="F2099" t="s">
        <v>2413</v>
      </c>
      <c r="G2099">
        <v>1</v>
      </c>
      <c r="H2099">
        <v>1</v>
      </c>
      <c r="I2099">
        <v>0.01</v>
      </c>
      <c r="J2099">
        <v>1000</v>
      </c>
      <c r="K2099">
        <v>0.08</v>
      </c>
      <c r="L2099">
        <v>73.39</v>
      </c>
      <c r="M2099">
        <v>73.33</v>
      </c>
      <c r="N2099">
        <v>73.459999999999994</v>
      </c>
      <c r="O2099">
        <v>73.38</v>
      </c>
      <c r="P2099">
        <v>0</v>
      </c>
      <c r="Q2099">
        <v>0</v>
      </c>
      <c r="R2099">
        <v>0</v>
      </c>
      <c r="S2099">
        <v>73.42</v>
      </c>
      <c r="T2099">
        <v>73.599999999999994</v>
      </c>
      <c r="U2099">
        <v>73.34</v>
      </c>
      <c r="V2099">
        <v>73.61</v>
      </c>
      <c r="W2099">
        <v>108658</v>
      </c>
      <c r="X2099">
        <v>73.37</v>
      </c>
      <c r="Y2099">
        <v>73.39</v>
      </c>
      <c r="Z2099">
        <v>35</v>
      </c>
      <c r="AA2099">
        <v>15000000</v>
      </c>
      <c r="AB2099">
        <v>733.9</v>
      </c>
      <c r="AC2099">
        <v>0</v>
      </c>
      <c r="AD2099" t="s">
        <v>94</v>
      </c>
      <c r="AE2099" t="s">
        <v>94</v>
      </c>
      <c r="AF2099" t="s">
        <v>226</v>
      </c>
      <c r="AG2099" t="s">
        <v>226</v>
      </c>
      <c r="AH2099">
        <v>6</v>
      </c>
      <c r="AI2099" t="s">
        <v>3537</v>
      </c>
      <c r="AJ2099" t="s">
        <v>1976</v>
      </c>
      <c r="AK2099" t="s">
        <v>2416</v>
      </c>
      <c r="AL2099" t="s">
        <v>272</v>
      </c>
    </row>
    <row r="2100" spans="1:38">
      <c r="A2100" t="s">
        <v>8998</v>
      </c>
      <c r="B2100" t="s">
        <v>8999</v>
      </c>
      <c r="C2100" t="s">
        <v>9000</v>
      </c>
      <c r="D2100" t="s">
        <v>9000</v>
      </c>
      <c r="E2100" t="s">
        <v>9001</v>
      </c>
      <c r="F2100" t="s">
        <v>2413</v>
      </c>
      <c r="G2100">
        <v>1</v>
      </c>
      <c r="H2100">
        <v>1</v>
      </c>
      <c r="I2100">
        <v>0.01</v>
      </c>
      <c r="J2100">
        <v>1000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10000000</v>
      </c>
      <c r="AB2100">
        <v>0</v>
      </c>
      <c r="AC2100">
        <v>0</v>
      </c>
      <c r="AD2100" t="s">
        <v>94</v>
      </c>
      <c r="AE2100" t="s">
        <v>94</v>
      </c>
      <c r="AF2100" t="s">
        <v>226</v>
      </c>
      <c r="AG2100" t="s">
        <v>226</v>
      </c>
      <c r="AH2100">
        <v>6</v>
      </c>
      <c r="AI2100" t="s">
        <v>3537</v>
      </c>
      <c r="AJ2100" t="s">
        <v>1976</v>
      </c>
      <c r="AK2100" t="s">
        <v>2416</v>
      </c>
      <c r="AL2100" t="s">
        <v>272</v>
      </c>
    </row>
    <row r="2101" spans="1:38">
      <c r="A2101" t="s">
        <v>9002</v>
      </c>
      <c r="B2101" t="s">
        <v>9003</v>
      </c>
      <c r="C2101" t="s">
        <v>9004</v>
      </c>
      <c r="D2101" t="s">
        <v>9004</v>
      </c>
      <c r="E2101" t="s">
        <v>9005</v>
      </c>
      <c r="F2101" t="s">
        <v>2413</v>
      </c>
      <c r="G2101">
        <v>1</v>
      </c>
      <c r="H2101">
        <v>1</v>
      </c>
      <c r="I2101">
        <v>0.01</v>
      </c>
      <c r="J2101">
        <v>1000</v>
      </c>
      <c r="K2101">
        <v>0</v>
      </c>
      <c r="L2101">
        <v>79.75</v>
      </c>
      <c r="M2101">
        <v>79.75</v>
      </c>
      <c r="N2101">
        <v>79.64</v>
      </c>
      <c r="O2101">
        <v>79.75</v>
      </c>
      <c r="P2101">
        <v>0</v>
      </c>
      <c r="Q2101">
        <v>0</v>
      </c>
      <c r="R2101">
        <v>0</v>
      </c>
      <c r="S2101">
        <v>79.75</v>
      </c>
      <c r="T2101">
        <v>79.75</v>
      </c>
      <c r="U2101">
        <v>79.75</v>
      </c>
      <c r="V2101">
        <v>79.75</v>
      </c>
      <c r="W2101">
        <v>344520</v>
      </c>
      <c r="X2101">
        <v>79.739999999999995</v>
      </c>
      <c r="Y2101">
        <v>79.75</v>
      </c>
      <c r="Z2101">
        <v>14</v>
      </c>
      <c r="AA2101">
        <v>15000000</v>
      </c>
      <c r="AB2101">
        <v>797.5</v>
      </c>
      <c r="AC2101">
        <v>0</v>
      </c>
      <c r="AD2101" t="s">
        <v>94</v>
      </c>
      <c r="AE2101" t="s">
        <v>94</v>
      </c>
      <c r="AF2101" t="s">
        <v>226</v>
      </c>
      <c r="AG2101" t="s">
        <v>226</v>
      </c>
      <c r="AH2101">
        <v>6</v>
      </c>
      <c r="AI2101" t="s">
        <v>3537</v>
      </c>
      <c r="AJ2101" t="s">
        <v>1976</v>
      </c>
      <c r="AK2101" t="s">
        <v>2416</v>
      </c>
      <c r="AL2101" t="s">
        <v>272</v>
      </c>
    </row>
    <row r="2102" spans="1:38">
      <c r="A2102" t="s">
        <v>9006</v>
      </c>
      <c r="B2102" t="s">
        <v>9007</v>
      </c>
      <c r="C2102" t="s">
        <v>9008</v>
      </c>
      <c r="D2102" t="s">
        <v>9008</v>
      </c>
      <c r="E2102" t="s">
        <v>9009</v>
      </c>
      <c r="F2102" t="s">
        <v>2413</v>
      </c>
      <c r="G2102">
        <v>3</v>
      </c>
      <c r="H2102">
        <v>1</v>
      </c>
      <c r="I2102">
        <v>0.01</v>
      </c>
      <c r="J2102">
        <v>1000</v>
      </c>
      <c r="K2102">
        <v>3.07</v>
      </c>
      <c r="L2102">
        <v>87.61</v>
      </c>
      <c r="M2102">
        <v>85</v>
      </c>
      <c r="N2102">
        <v>88.06</v>
      </c>
      <c r="O2102">
        <v>87.61</v>
      </c>
      <c r="P2102">
        <v>0</v>
      </c>
      <c r="Q2102">
        <v>0</v>
      </c>
      <c r="R2102">
        <v>0</v>
      </c>
      <c r="S2102">
        <v>86.91</v>
      </c>
      <c r="T2102">
        <v>87.74</v>
      </c>
      <c r="U2102">
        <v>84.95</v>
      </c>
      <c r="V2102">
        <v>87.74</v>
      </c>
      <c r="W2102">
        <v>64315</v>
      </c>
      <c r="X2102">
        <v>87.11</v>
      </c>
      <c r="Y2102">
        <v>87.61</v>
      </c>
      <c r="Z2102">
        <v>21</v>
      </c>
      <c r="AA2102">
        <v>5000000</v>
      </c>
      <c r="AB2102">
        <v>1752.2</v>
      </c>
      <c r="AC2102">
        <v>0</v>
      </c>
      <c r="AD2102" t="s">
        <v>94</v>
      </c>
      <c r="AE2102" t="s">
        <v>94</v>
      </c>
      <c r="AF2102" t="s">
        <v>226</v>
      </c>
      <c r="AG2102" t="s">
        <v>226</v>
      </c>
      <c r="AH2102">
        <v>6</v>
      </c>
      <c r="AI2102" t="s">
        <v>3537</v>
      </c>
      <c r="AJ2102" t="s">
        <v>1976</v>
      </c>
      <c r="AK2102" t="s">
        <v>2416</v>
      </c>
      <c r="AL2102" t="s">
        <v>272</v>
      </c>
    </row>
    <row r="2103" spans="1:38">
      <c r="A2103" t="s">
        <v>9010</v>
      </c>
      <c r="B2103" t="s">
        <v>9011</v>
      </c>
      <c r="C2103" t="s">
        <v>9012</v>
      </c>
      <c r="D2103" t="s">
        <v>9012</v>
      </c>
      <c r="E2103" t="s">
        <v>9013</v>
      </c>
      <c r="F2103" t="s">
        <v>2413</v>
      </c>
      <c r="G2103">
        <v>3</v>
      </c>
      <c r="H2103">
        <v>1</v>
      </c>
      <c r="I2103">
        <v>0.01</v>
      </c>
      <c r="J2103">
        <v>1000</v>
      </c>
      <c r="K2103">
        <v>0.08</v>
      </c>
      <c r="L2103">
        <v>94.97</v>
      </c>
      <c r="M2103">
        <v>94.76</v>
      </c>
      <c r="N2103">
        <v>94.59</v>
      </c>
      <c r="O2103">
        <v>94.96</v>
      </c>
      <c r="P2103">
        <v>0</v>
      </c>
      <c r="Q2103">
        <v>0</v>
      </c>
      <c r="R2103">
        <v>0</v>
      </c>
      <c r="S2103">
        <v>94.82</v>
      </c>
      <c r="T2103">
        <v>94.9</v>
      </c>
      <c r="U2103">
        <v>94.6</v>
      </c>
      <c r="V2103">
        <v>95.03</v>
      </c>
      <c r="W2103">
        <v>306278</v>
      </c>
      <c r="X2103">
        <v>94.76</v>
      </c>
      <c r="Y2103">
        <v>94.93</v>
      </c>
      <c r="Z2103">
        <v>49</v>
      </c>
      <c r="AA2103">
        <v>15000000</v>
      </c>
      <c r="AB2103">
        <v>14245.5</v>
      </c>
      <c r="AC2103">
        <v>0</v>
      </c>
      <c r="AD2103" t="s">
        <v>94</v>
      </c>
      <c r="AE2103" t="s">
        <v>94</v>
      </c>
      <c r="AF2103" t="s">
        <v>226</v>
      </c>
      <c r="AG2103" t="s">
        <v>226</v>
      </c>
      <c r="AH2103">
        <v>6</v>
      </c>
      <c r="AI2103" t="s">
        <v>3537</v>
      </c>
      <c r="AJ2103" t="s">
        <v>1976</v>
      </c>
      <c r="AK2103" t="s">
        <v>2416</v>
      </c>
      <c r="AL2103" t="s">
        <v>272</v>
      </c>
    </row>
    <row r="2104" spans="1:38">
      <c r="A2104" t="s">
        <v>9014</v>
      </c>
      <c r="B2104" t="s">
        <v>9015</v>
      </c>
      <c r="C2104" t="s">
        <v>9016</v>
      </c>
      <c r="D2104" t="s">
        <v>9016</v>
      </c>
      <c r="E2104" t="s">
        <v>9017</v>
      </c>
      <c r="F2104" t="s">
        <v>2413</v>
      </c>
      <c r="G2104">
        <v>3</v>
      </c>
      <c r="H2104">
        <v>1</v>
      </c>
      <c r="I2104">
        <v>0.01</v>
      </c>
      <c r="J2104">
        <v>1000</v>
      </c>
      <c r="K2104">
        <v>0.24</v>
      </c>
      <c r="L2104">
        <v>85.15</v>
      </c>
      <c r="M2104">
        <v>84.95</v>
      </c>
      <c r="N2104">
        <v>84.49</v>
      </c>
      <c r="O2104">
        <v>85.15</v>
      </c>
      <c r="P2104">
        <v>0</v>
      </c>
      <c r="Q2104">
        <v>0</v>
      </c>
      <c r="R2104">
        <v>0</v>
      </c>
      <c r="S2104">
        <v>84.89</v>
      </c>
      <c r="T2104">
        <v>85.29</v>
      </c>
      <c r="U2104">
        <v>84.85</v>
      </c>
      <c r="V2104">
        <v>85.3</v>
      </c>
      <c r="W2104">
        <v>4514459</v>
      </c>
      <c r="X2104">
        <v>84.94</v>
      </c>
      <c r="Y2104">
        <v>85.14</v>
      </c>
      <c r="Z2104">
        <v>51</v>
      </c>
      <c r="AA2104">
        <v>15000000</v>
      </c>
      <c r="AB2104">
        <v>1703</v>
      </c>
      <c r="AC2104">
        <v>0</v>
      </c>
      <c r="AD2104" t="s">
        <v>94</v>
      </c>
      <c r="AE2104" t="s">
        <v>94</v>
      </c>
      <c r="AF2104" t="s">
        <v>226</v>
      </c>
      <c r="AG2104" t="s">
        <v>226</v>
      </c>
      <c r="AH2104">
        <v>6</v>
      </c>
      <c r="AI2104" t="s">
        <v>3537</v>
      </c>
      <c r="AJ2104" t="s">
        <v>1976</v>
      </c>
      <c r="AK2104" t="s">
        <v>2416</v>
      </c>
      <c r="AL2104" t="s">
        <v>272</v>
      </c>
    </row>
    <row r="2105" spans="1:38">
      <c r="A2105" t="s">
        <v>9018</v>
      </c>
      <c r="B2105" t="s">
        <v>9019</v>
      </c>
      <c r="C2105" t="s">
        <v>9020</v>
      </c>
      <c r="D2105" t="s">
        <v>9020</v>
      </c>
      <c r="E2105" t="s">
        <v>9021</v>
      </c>
      <c r="F2105" t="s">
        <v>2413</v>
      </c>
      <c r="G2105">
        <v>2</v>
      </c>
      <c r="H2105">
        <v>1</v>
      </c>
      <c r="I2105">
        <v>0.01</v>
      </c>
      <c r="J2105">
        <v>1000</v>
      </c>
      <c r="K2105">
        <v>0</v>
      </c>
      <c r="L2105">
        <v>0</v>
      </c>
      <c r="M2105">
        <v>104.45</v>
      </c>
      <c r="N2105">
        <v>103.98</v>
      </c>
      <c r="O2105">
        <v>104.45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104</v>
      </c>
      <c r="Y2105">
        <v>0</v>
      </c>
      <c r="Z2105">
        <v>0</v>
      </c>
      <c r="AA2105">
        <v>10000000</v>
      </c>
      <c r="AB2105">
        <v>0</v>
      </c>
      <c r="AC2105">
        <v>0</v>
      </c>
      <c r="AD2105" t="s">
        <v>94</v>
      </c>
      <c r="AE2105" t="s">
        <v>94</v>
      </c>
      <c r="AF2105" t="s">
        <v>226</v>
      </c>
      <c r="AG2105" t="s">
        <v>226</v>
      </c>
      <c r="AH2105">
        <v>6</v>
      </c>
      <c r="AI2105" t="s">
        <v>3537</v>
      </c>
      <c r="AJ2105" t="s">
        <v>1976</v>
      </c>
      <c r="AK2105" t="s">
        <v>2416</v>
      </c>
      <c r="AL2105" t="s">
        <v>272</v>
      </c>
    </row>
    <row r="2106" spans="1:38">
      <c r="A2106" t="s">
        <v>9022</v>
      </c>
      <c r="B2106" t="s">
        <v>9023</v>
      </c>
      <c r="C2106" t="s">
        <v>9024</v>
      </c>
      <c r="D2106" t="s">
        <v>9024</v>
      </c>
      <c r="E2106" t="s">
        <v>9025</v>
      </c>
      <c r="F2106" t="s">
        <v>2413</v>
      </c>
      <c r="G2106">
        <v>2</v>
      </c>
      <c r="H2106">
        <v>1</v>
      </c>
      <c r="I2106">
        <v>0.01</v>
      </c>
      <c r="J2106">
        <v>1000</v>
      </c>
      <c r="K2106">
        <v>0.26</v>
      </c>
      <c r="L2106">
        <v>97.75</v>
      </c>
      <c r="M2106">
        <v>97.5</v>
      </c>
      <c r="N2106">
        <v>97.39</v>
      </c>
      <c r="O2106">
        <v>97.75</v>
      </c>
      <c r="P2106">
        <v>0</v>
      </c>
      <c r="Q2106">
        <v>0</v>
      </c>
      <c r="R2106">
        <v>0</v>
      </c>
      <c r="S2106">
        <v>97.74</v>
      </c>
      <c r="T2106">
        <v>97.59</v>
      </c>
      <c r="U2106">
        <v>97.59</v>
      </c>
      <c r="V2106">
        <v>97.75</v>
      </c>
      <c r="W2106">
        <v>227740</v>
      </c>
      <c r="X2106">
        <v>97.41</v>
      </c>
      <c r="Y2106">
        <v>97.75</v>
      </c>
      <c r="Z2106">
        <v>14</v>
      </c>
      <c r="AA2106">
        <v>15000000</v>
      </c>
      <c r="AB2106">
        <v>977.5</v>
      </c>
      <c r="AC2106">
        <v>0</v>
      </c>
      <c r="AD2106" t="s">
        <v>94</v>
      </c>
      <c r="AE2106" t="s">
        <v>94</v>
      </c>
      <c r="AF2106" t="s">
        <v>226</v>
      </c>
      <c r="AG2106" t="s">
        <v>226</v>
      </c>
      <c r="AH2106">
        <v>8</v>
      </c>
      <c r="AI2106" t="s">
        <v>3537</v>
      </c>
      <c r="AJ2106" t="s">
        <v>1976</v>
      </c>
      <c r="AK2106" t="s">
        <v>2416</v>
      </c>
      <c r="AL2106" t="s">
        <v>272</v>
      </c>
    </row>
    <row r="2107" spans="1:38">
      <c r="A2107" t="s">
        <v>9026</v>
      </c>
      <c r="B2107" t="s">
        <v>9027</v>
      </c>
      <c r="C2107" t="s">
        <v>9028</v>
      </c>
      <c r="D2107" t="s">
        <v>9028</v>
      </c>
      <c r="E2107" t="s">
        <v>9029</v>
      </c>
      <c r="F2107" t="s">
        <v>2413</v>
      </c>
      <c r="G2107">
        <v>2</v>
      </c>
      <c r="H2107">
        <v>1</v>
      </c>
      <c r="I2107">
        <v>0.01</v>
      </c>
      <c r="J2107">
        <v>1000</v>
      </c>
      <c r="K2107">
        <v>0.05</v>
      </c>
      <c r="L2107">
        <v>99.45</v>
      </c>
      <c r="M2107">
        <v>99.4</v>
      </c>
      <c r="N2107">
        <v>99.45</v>
      </c>
      <c r="O2107">
        <v>99.44</v>
      </c>
      <c r="P2107">
        <v>0</v>
      </c>
      <c r="Q2107">
        <v>0</v>
      </c>
      <c r="R2107">
        <v>0</v>
      </c>
      <c r="S2107">
        <v>99.42</v>
      </c>
      <c r="T2107">
        <v>99.37</v>
      </c>
      <c r="U2107">
        <v>99.3</v>
      </c>
      <c r="V2107">
        <v>99.45</v>
      </c>
      <c r="W2107">
        <v>4785960</v>
      </c>
      <c r="X2107">
        <v>99.43</v>
      </c>
      <c r="Y2107">
        <v>99.45</v>
      </c>
      <c r="Z2107">
        <v>77</v>
      </c>
      <c r="AA2107">
        <v>13500000</v>
      </c>
      <c r="AB2107">
        <v>42763.5</v>
      </c>
      <c r="AC2107">
        <v>0</v>
      </c>
      <c r="AD2107" t="s">
        <v>94</v>
      </c>
      <c r="AE2107" t="s">
        <v>94</v>
      </c>
      <c r="AF2107" t="s">
        <v>226</v>
      </c>
      <c r="AG2107" t="s">
        <v>226</v>
      </c>
      <c r="AH2107">
        <v>8</v>
      </c>
      <c r="AI2107" t="s">
        <v>3537</v>
      </c>
      <c r="AJ2107" t="s">
        <v>1976</v>
      </c>
      <c r="AK2107" t="s">
        <v>2416</v>
      </c>
      <c r="AL2107" t="s">
        <v>272</v>
      </c>
    </row>
    <row r="2108" spans="1:38">
      <c r="A2108" t="s">
        <v>9030</v>
      </c>
      <c r="B2108" t="s">
        <v>9031</v>
      </c>
      <c r="C2108" t="s">
        <v>9032</v>
      </c>
      <c r="D2108" t="s">
        <v>9032</v>
      </c>
      <c r="E2108" t="s">
        <v>9033</v>
      </c>
      <c r="F2108" t="s">
        <v>2413</v>
      </c>
      <c r="G2108">
        <v>2</v>
      </c>
      <c r="H2108">
        <v>1</v>
      </c>
      <c r="I2108">
        <v>0.01</v>
      </c>
      <c r="J2108">
        <v>1000</v>
      </c>
      <c r="K2108">
        <v>0.37</v>
      </c>
      <c r="L2108">
        <v>100.67</v>
      </c>
      <c r="M2108">
        <v>100.3</v>
      </c>
      <c r="N2108">
        <v>100.15</v>
      </c>
      <c r="O2108">
        <v>100.67</v>
      </c>
      <c r="P2108">
        <v>0</v>
      </c>
      <c r="Q2108">
        <v>0</v>
      </c>
      <c r="R2108">
        <v>0</v>
      </c>
      <c r="S2108">
        <v>100.65</v>
      </c>
      <c r="T2108">
        <v>100.59</v>
      </c>
      <c r="U2108">
        <v>100.34</v>
      </c>
      <c r="V2108">
        <v>100.98</v>
      </c>
      <c r="W2108">
        <v>12303930</v>
      </c>
      <c r="X2108">
        <v>100.66</v>
      </c>
      <c r="Y2108">
        <v>100.67</v>
      </c>
      <c r="Z2108">
        <v>335</v>
      </c>
      <c r="AA2108">
        <v>20000000</v>
      </c>
      <c r="AB2108">
        <v>4026.8</v>
      </c>
      <c r="AC2108">
        <v>0</v>
      </c>
      <c r="AD2108" t="s">
        <v>94</v>
      </c>
      <c r="AE2108" t="s">
        <v>94</v>
      </c>
      <c r="AF2108" t="s">
        <v>226</v>
      </c>
      <c r="AG2108" t="s">
        <v>226</v>
      </c>
      <c r="AH2108">
        <v>6</v>
      </c>
      <c r="AI2108" t="s">
        <v>3537</v>
      </c>
      <c r="AJ2108" t="s">
        <v>1976</v>
      </c>
      <c r="AK2108" t="s">
        <v>2416</v>
      </c>
      <c r="AL2108" t="s">
        <v>272</v>
      </c>
    </row>
    <row r="2109" spans="1:38">
      <c r="A2109" t="s">
        <v>9034</v>
      </c>
      <c r="B2109" t="s">
        <v>9035</v>
      </c>
      <c r="C2109" t="s">
        <v>9036</v>
      </c>
      <c r="D2109" t="s">
        <v>9036</v>
      </c>
      <c r="E2109" t="s">
        <v>9037</v>
      </c>
      <c r="F2109" t="s">
        <v>2413</v>
      </c>
      <c r="G2109">
        <v>1</v>
      </c>
      <c r="H2109">
        <v>1</v>
      </c>
      <c r="I2109">
        <v>0.01</v>
      </c>
      <c r="J2109">
        <v>1000</v>
      </c>
      <c r="K2109">
        <v>0.52</v>
      </c>
      <c r="L2109">
        <v>97.5</v>
      </c>
      <c r="M2109">
        <v>97</v>
      </c>
      <c r="N2109">
        <v>96.16</v>
      </c>
      <c r="O2109">
        <v>97.5</v>
      </c>
      <c r="P2109">
        <v>0</v>
      </c>
      <c r="Q2109">
        <v>0</v>
      </c>
      <c r="R2109">
        <v>0</v>
      </c>
      <c r="S2109">
        <v>98.67</v>
      </c>
      <c r="T2109">
        <v>98.99</v>
      </c>
      <c r="U2109">
        <v>97.5</v>
      </c>
      <c r="V2109">
        <v>99</v>
      </c>
      <c r="W2109">
        <v>22694</v>
      </c>
      <c r="X2109">
        <v>97.33</v>
      </c>
      <c r="Y2109">
        <v>98.99</v>
      </c>
      <c r="Z2109">
        <v>9</v>
      </c>
      <c r="AA2109">
        <v>5000000</v>
      </c>
      <c r="AB2109">
        <v>3900</v>
      </c>
      <c r="AC2109">
        <v>0</v>
      </c>
      <c r="AD2109" t="s">
        <v>94</v>
      </c>
      <c r="AE2109" t="s">
        <v>94</v>
      </c>
      <c r="AF2109" t="s">
        <v>226</v>
      </c>
      <c r="AG2109" t="s">
        <v>226</v>
      </c>
      <c r="AH2109">
        <v>6</v>
      </c>
      <c r="AI2109" t="s">
        <v>3537</v>
      </c>
      <c r="AJ2109" t="s">
        <v>1976</v>
      </c>
      <c r="AK2109" t="s">
        <v>2416</v>
      </c>
      <c r="AL2109" t="s">
        <v>272</v>
      </c>
    </row>
    <row r="2110" spans="1:38">
      <c r="A2110" t="s">
        <v>9038</v>
      </c>
      <c r="B2110" t="s">
        <v>9039</v>
      </c>
      <c r="C2110" t="s">
        <v>9040</v>
      </c>
      <c r="D2110" t="s">
        <v>9040</v>
      </c>
      <c r="E2110" t="s">
        <v>9041</v>
      </c>
      <c r="F2110" t="s">
        <v>2413</v>
      </c>
      <c r="G2110">
        <v>3</v>
      </c>
      <c r="H2110">
        <v>1</v>
      </c>
      <c r="I2110">
        <v>0.01</v>
      </c>
      <c r="J2110">
        <v>1000</v>
      </c>
      <c r="K2110">
        <v>-1.38</v>
      </c>
      <c r="L2110">
        <v>68.67</v>
      </c>
      <c r="M2110">
        <v>69.63</v>
      </c>
      <c r="N2110">
        <v>68.790000000000006</v>
      </c>
      <c r="O2110">
        <v>68.7</v>
      </c>
      <c r="P2110">
        <v>0</v>
      </c>
      <c r="Q2110">
        <v>0</v>
      </c>
      <c r="R2110">
        <v>0</v>
      </c>
      <c r="S2110">
        <v>68.72</v>
      </c>
      <c r="T2110">
        <v>69.48</v>
      </c>
      <c r="U2110">
        <v>68.02</v>
      </c>
      <c r="V2110">
        <v>69.48</v>
      </c>
      <c r="W2110">
        <v>1157861</v>
      </c>
      <c r="X2110">
        <v>68.67</v>
      </c>
      <c r="Y2110">
        <v>68.989999999999995</v>
      </c>
      <c r="Z2110">
        <v>121</v>
      </c>
      <c r="AA2110">
        <v>500000</v>
      </c>
      <c r="AB2110">
        <v>19227.599999999999</v>
      </c>
      <c r="AC2110">
        <v>0</v>
      </c>
      <c r="AD2110" t="s">
        <v>94</v>
      </c>
      <c r="AE2110" t="s">
        <v>94</v>
      </c>
      <c r="AF2110" t="s">
        <v>226</v>
      </c>
      <c r="AG2110" t="s">
        <v>226</v>
      </c>
      <c r="AH2110">
        <v>6</v>
      </c>
      <c r="AI2110" t="s">
        <v>3537</v>
      </c>
      <c r="AJ2110" t="s">
        <v>1976</v>
      </c>
      <c r="AK2110" t="s">
        <v>2416</v>
      </c>
      <c r="AL2110" t="s">
        <v>272</v>
      </c>
    </row>
    <row r="2111" spans="1:38">
      <c r="A2111" t="s">
        <v>9042</v>
      </c>
      <c r="B2111" t="s">
        <v>9043</v>
      </c>
      <c r="C2111" t="s">
        <v>9044</v>
      </c>
      <c r="D2111" t="s">
        <v>9044</v>
      </c>
      <c r="E2111" t="s">
        <v>9045</v>
      </c>
      <c r="F2111" t="s">
        <v>2425</v>
      </c>
      <c r="G2111">
        <v>3</v>
      </c>
      <c r="H2111">
        <v>1</v>
      </c>
      <c r="I2111">
        <v>0.01</v>
      </c>
      <c r="J2111">
        <v>1000</v>
      </c>
      <c r="K2111">
        <v>0</v>
      </c>
      <c r="L2111">
        <v>0</v>
      </c>
      <c r="M2111">
        <v>23.26</v>
      </c>
      <c r="N2111">
        <v>0</v>
      </c>
      <c r="O2111">
        <v>23.26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21.5</v>
      </c>
      <c r="Z2111">
        <v>0</v>
      </c>
      <c r="AA2111">
        <v>195435</v>
      </c>
      <c r="AB2111">
        <v>0</v>
      </c>
      <c r="AC2111">
        <v>0</v>
      </c>
      <c r="AD2111" t="s">
        <v>94</v>
      </c>
      <c r="AE2111" t="s">
        <v>94</v>
      </c>
      <c r="AF2111" t="s">
        <v>304</v>
      </c>
      <c r="AG2111" t="s">
        <v>226</v>
      </c>
      <c r="AH2111">
        <v>0</v>
      </c>
      <c r="AI2111" t="s">
        <v>3537</v>
      </c>
      <c r="AJ2111" t="s">
        <v>1976</v>
      </c>
      <c r="AK2111" t="s">
        <v>2426</v>
      </c>
      <c r="AL2111" t="s">
        <v>272</v>
      </c>
    </row>
    <row r="2112" spans="1:38">
      <c r="A2112" t="s">
        <v>9046</v>
      </c>
      <c r="B2112" t="s">
        <v>9047</v>
      </c>
      <c r="C2112" t="s">
        <v>9048</v>
      </c>
      <c r="D2112" t="s">
        <v>9048</v>
      </c>
      <c r="E2112" t="s">
        <v>9049</v>
      </c>
      <c r="F2112" t="s">
        <v>2425</v>
      </c>
      <c r="G2112">
        <v>3</v>
      </c>
      <c r="H2112">
        <v>1</v>
      </c>
      <c r="I2112">
        <v>0.01</v>
      </c>
      <c r="J2112">
        <v>1000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113244</v>
      </c>
      <c r="AB2112">
        <v>0</v>
      </c>
      <c r="AC2112">
        <v>0</v>
      </c>
      <c r="AD2112" t="s">
        <v>94</v>
      </c>
      <c r="AE2112" t="s">
        <v>94</v>
      </c>
      <c r="AF2112" t="s">
        <v>304</v>
      </c>
      <c r="AG2112" t="s">
        <v>226</v>
      </c>
      <c r="AH2112">
        <v>0</v>
      </c>
      <c r="AI2112" t="s">
        <v>3537</v>
      </c>
      <c r="AJ2112" t="s">
        <v>1976</v>
      </c>
      <c r="AK2112" t="s">
        <v>2426</v>
      </c>
      <c r="AL2112" t="s">
        <v>272</v>
      </c>
    </row>
    <row r="2113" spans="1:38">
      <c r="A2113" t="s">
        <v>9050</v>
      </c>
      <c r="B2113" t="s">
        <v>9051</v>
      </c>
      <c r="C2113" t="s">
        <v>9052</v>
      </c>
      <c r="D2113" t="s">
        <v>9052</v>
      </c>
      <c r="E2113" t="s">
        <v>9053</v>
      </c>
      <c r="F2113" t="s">
        <v>2425</v>
      </c>
      <c r="G2113">
        <v>3</v>
      </c>
      <c r="H2113">
        <v>1</v>
      </c>
      <c r="I2113">
        <v>0.01</v>
      </c>
      <c r="J2113">
        <v>1000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13926</v>
      </c>
      <c r="AB2113">
        <v>0</v>
      </c>
      <c r="AC2113">
        <v>0</v>
      </c>
      <c r="AD2113" t="s">
        <v>94</v>
      </c>
      <c r="AE2113" t="s">
        <v>94</v>
      </c>
      <c r="AF2113" t="s">
        <v>304</v>
      </c>
      <c r="AG2113" t="s">
        <v>226</v>
      </c>
      <c r="AH2113">
        <v>0</v>
      </c>
      <c r="AI2113" t="s">
        <v>3537</v>
      </c>
      <c r="AJ2113" t="s">
        <v>1976</v>
      </c>
      <c r="AK2113" t="s">
        <v>2426</v>
      </c>
      <c r="AL2113" t="s">
        <v>272</v>
      </c>
    </row>
    <row r="2114" spans="1:38">
      <c r="A2114" t="s">
        <v>9054</v>
      </c>
      <c r="B2114" t="s">
        <v>9055</v>
      </c>
      <c r="C2114" t="s">
        <v>9056</v>
      </c>
      <c r="D2114" t="s">
        <v>9056</v>
      </c>
      <c r="E2114" t="s">
        <v>9057</v>
      </c>
      <c r="F2114" t="s">
        <v>2425</v>
      </c>
      <c r="G2114">
        <v>3</v>
      </c>
      <c r="H2114">
        <v>1</v>
      </c>
      <c r="I2114">
        <v>0.01</v>
      </c>
      <c r="J2114">
        <v>1000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26661</v>
      </c>
      <c r="AB2114">
        <v>0</v>
      </c>
      <c r="AC2114">
        <v>0</v>
      </c>
      <c r="AD2114" t="s">
        <v>94</v>
      </c>
      <c r="AE2114" t="s">
        <v>94</v>
      </c>
      <c r="AF2114" t="s">
        <v>304</v>
      </c>
      <c r="AG2114" t="s">
        <v>226</v>
      </c>
      <c r="AH2114">
        <v>0</v>
      </c>
      <c r="AI2114" t="s">
        <v>3537</v>
      </c>
      <c r="AJ2114" t="s">
        <v>1976</v>
      </c>
      <c r="AK2114" t="s">
        <v>2426</v>
      </c>
      <c r="AL2114" t="s">
        <v>272</v>
      </c>
    </row>
    <row r="2115" spans="1:38">
      <c r="A2115" t="s">
        <v>9058</v>
      </c>
      <c r="B2115" t="s">
        <v>9059</v>
      </c>
      <c r="C2115" t="s">
        <v>9060</v>
      </c>
      <c r="D2115" t="s">
        <v>9060</v>
      </c>
      <c r="E2115" t="s">
        <v>9061</v>
      </c>
      <c r="F2115" t="s">
        <v>2425</v>
      </c>
      <c r="G2115">
        <v>3</v>
      </c>
      <c r="H2115">
        <v>1</v>
      </c>
      <c r="I2115">
        <v>0.01</v>
      </c>
      <c r="J2115">
        <v>1000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208564</v>
      </c>
      <c r="AB2115">
        <v>0</v>
      </c>
      <c r="AC2115">
        <v>0</v>
      </c>
      <c r="AD2115" t="s">
        <v>94</v>
      </c>
      <c r="AE2115" t="s">
        <v>94</v>
      </c>
      <c r="AF2115" t="s">
        <v>304</v>
      </c>
      <c r="AG2115" t="s">
        <v>226</v>
      </c>
      <c r="AH2115">
        <v>0</v>
      </c>
      <c r="AI2115" t="s">
        <v>3537</v>
      </c>
      <c r="AJ2115" t="s">
        <v>1976</v>
      </c>
      <c r="AK2115" t="s">
        <v>2426</v>
      </c>
      <c r="AL2115" t="s">
        <v>272</v>
      </c>
    </row>
    <row r="2116" spans="1:38">
      <c r="A2116" t="s">
        <v>9062</v>
      </c>
      <c r="B2116" t="s">
        <v>9063</v>
      </c>
      <c r="C2116" t="s">
        <v>9064</v>
      </c>
      <c r="D2116" t="s">
        <v>9064</v>
      </c>
      <c r="E2116" t="s">
        <v>9065</v>
      </c>
      <c r="F2116" t="s">
        <v>2425</v>
      </c>
      <c r="G2116">
        <v>3</v>
      </c>
      <c r="H2116">
        <v>1</v>
      </c>
      <c r="I2116">
        <v>0.01</v>
      </c>
      <c r="J2116">
        <v>1000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9.01</v>
      </c>
      <c r="Y2116">
        <v>0</v>
      </c>
      <c r="Z2116">
        <v>0</v>
      </c>
      <c r="AA2116">
        <v>57322</v>
      </c>
      <c r="AB2116">
        <v>0</v>
      </c>
      <c r="AC2116">
        <v>0</v>
      </c>
      <c r="AD2116" t="s">
        <v>94</v>
      </c>
      <c r="AE2116" t="s">
        <v>94</v>
      </c>
      <c r="AF2116" t="s">
        <v>304</v>
      </c>
      <c r="AG2116" t="s">
        <v>226</v>
      </c>
      <c r="AH2116">
        <v>0</v>
      </c>
      <c r="AI2116" t="s">
        <v>3537</v>
      </c>
      <c r="AJ2116" t="s">
        <v>1976</v>
      </c>
      <c r="AK2116" t="s">
        <v>2426</v>
      </c>
      <c r="AL2116" t="s">
        <v>272</v>
      </c>
    </row>
    <row r="2117" spans="1:38">
      <c r="A2117" t="s">
        <v>9066</v>
      </c>
      <c r="B2117" t="s">
        <v>9067</v>
      </c>
      <c r="C2117" t="s">
        <v>9068</v>
      </c>
      <c r="D2117" t="s">
        <v>9068</v>
      </c>
      <c r="E2117" t="s">
        <v>9069</v>
      </c>
      <c r="F2117" t="s">
        <v>2425</v>
      </c>
      <c r="G2117">
        <v>3</v>
      </c>
      <c r="H2117">
        <v>1</v>
      </c>
      <c r="I2117">
        <v>0.01</v>
      </c>
      <c r="J2117">
        <v>1000</v>
      </c>
      <c r="K2117">
        <v>0</v>
      </c>
      <c r="L2117">
        <v>0</v>
      </c>
      <c r="M2117">
        <v>21.71</v>
      </c>
      <c r="N2117">
        <v>0</v>
      </c>
      <c r="O2117">
        <v>21.71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30.39</v>
      </c>
      <c r="Z2117">
        <v>0</v>
      </c>
      <c r="AA2117">
        <v>11666</v>
      </c>
      <c r="AB2117">
        <v>0</v>
      </c>
      <c r="AC2117">
        <v>0</v>
      </c>
      <c r="AD2117" t="s">
        <v>94</v>
      </c>
      <c r="AE2117" t="s">
        <v>94</v>
      </c>
      <c r="AF2117" t="s">
        <v>304</v>
      </c>
      <c r="AG2117" t="s">
        <v>226</v>
      </c>
      <c r="AH2117">
        <v>0</v>
      </c>
      <c r="AI2117" t="s">
        <v>3537</v>
      </c>
      <c r="AJ2117" t="s">
        <v>1976</v>
      </c>
      <c r="AK2117" t="s">
        <v>2426</v>
      </c>
      <c r="AL2117" t="s">
        <v>272</v>
      </c>
    </row>
    <row r="2118" spans="1:38">
      <c r="A2118" t="s">
        <v>9070</v>
      </c>
      <c r="B2118" t="s">
        <v>9071</v>
      </c>
      <c r="C2118" t="s">
        <v>9072</v>
      </c>
      <c r="D2118" t="s">
        <v>9072</v>
      </c>
      <c r="E2118" t="s">
        <v>9073</v>
      </c>
      <c r="F2118" t="s">
        <v>2413</v>
      </c>
      <c r="G2118">
        <v>2</v>
      </c>
      <c r="H2118">
        <v>1</v>
      </c>
      <c r="I2118">
        <v>0.01</v>
      </c>
      <c r="J2118">
        <v>1000</v>
      </c>
      <c r="K2118">
        <v>0.01</v>
      </c>
      <c r="L2118">
        <v>99.99</v>
      </c>
      <c r="M2118">
        <v>99.98</v>
      </c>
      <c r="N2118">
        <v>99.99</v>
      </c>
      <c r="O2118">
        <v>99.99</v>
      </c>
      <c r="P2118">
        <v>0</v>
      </c>
      <c r="Q2118">
        <v>0</v>
      </c>
      <c r="R2118">
        <v>0</v>
      </c>
      <c r="S2118">
        <v>100</v>
      </c>
      <c r="T2118">
        <v>100.05</v>
      </c>
      <c r="U2118">
        <v>99.97</v>
      </c>
      <c r="V2118">
        <v>100.05</v>
      </c>
      <c r="W2118">
        <v>46337502</v>
      </c>
      <c r="X2118">
        <v>99.98</v>
      </c>
      <c r="Y2118">
        <v>99.99</v>
      </c>
      <c r="Z2118">
        <v>529</v>
      </c>
      <c r="AA2118">
        <v>40000000</v>
      </c>
      <c r="AB2118">
        <v>12998.7</v>
      </c>
      <c r="AC2118">
        <v>0</v>
      </c>
      <c r="AD2118" t="s">
        <v>94</v>
      </c>
      <c r="AE2118" t="s">
        <v>94</v>
      </c>
      <c r="AF2118" t="s">
        <v>226</v>
      </c>
      <c r="AG2118" t="s">
        <v>226</v>
      </c>
      <c r="AH2118">
        <v>8</v>
      </c>
      <c r="AI2118" t="s">
        <v>3537</v>
      </c>
      <c r="AJ2118" t="s">
        <v>1976</v>
      </c>
      <c r="AK2118" t="s">
        <v>2416</v>
      </c>
      <c r="AL2118" t="s">
        <v>272</v>
      </c>
    </row>
    <row r="2119" spans="1:38">
      <c r="A2119" t="s">
        <v>9074</v>
      </c>
      <c r="B2119" t="s">
        <v>9075</v>
      </c>
      <c r="C2119" t="s">
        <v>9076</v>
      </c>
      <c r="D2119" t="s">
        <v>9076</v>
      </c>
      <c r="E2119" t="s">
        <v>9077</v>
      </c>
      <c r="F2119" t="s">
        <v>2413</v>
      </c>
      <c r="G2119">
        <v>2</v>
      </c>
      <c r="H2119">
        <v>1</v>
      </c>
      <c r="I2119">
        <v>0.01</v>
      </c>
      <c r="J2119">
        <v>1000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100.08</v>
      </c>
      <c r="Y2119">
        <v>0</v>
      </c>
      <c r="Z2119">
        <v>0</v>
      </c>
      <c r="AA2119">
        <v>20000000</v>
      </c>
      <c r="AB2119">
        <v>0</v>
      </c>
      <c r="AC2119">
        <v>0</v>
      </c>
      <c r="AD2119" t="s">
        <v>94</v>
      </c>
      <c r="AE2119" t="s">
        <v>94</v>
      </c>
      <c r="AF2119" t="s">
        <v>226</v>
      </c>
      <c r="AG2119" t="s">
        <v>226</v>
      </c>
      <c r="AH2119">
        <v>-100</v>
      </c>
      <c r="AI2119" t="s">
        <v>3537</v>
      </c>
      <c r="AJ2119" t="s">
        <v>1976</v>
      </c>
      <c r="AK2119" t="s">
        <v>2416</v>
      </c>
      <c r="AL2119" t="s">
        <v>272</v>
      </c>
    </row>
    <row r="2120" spans="1:38">
      <c r="A2120" t="s">
        <v>9078</v>
      </c>
      <c r="B2120" t="s">
        <v>9079</v>
      </c>
      <c r="C2120" t="s">
        <v>9080</v>
      </c>
      <c r="D2120" t="s">
        <v>9080</v>
      </c>
      <c r="E2120" t="s">
        <v>9081</v>
      </c>
      <c r="F2120" t="s">
        <v>2413</v>
      </c>
      <c r="G2120">
        <v>2</v>
      </c>
      <c r="H2120">
        <v>1</v>
      </c>
      <c r="I2120">
        <v>0.01</v>
      </c>
      <c r="J2120">
        <v>1000</v>
      </c>
      <c r="K2120">
        <v>-7.0000000000000007E-2</v>
      </c>
      <c r="L2120">
        <v>100.63</v>
      </c>
      <c r="M2120">
        <v>100.7</v>
      </c>
      <c r="N2120">
        <v>100.69</v>
      </c>
      <c r="O2120">
        <v>100.63</v>
      </c>
      <c r="P2120">
        <v>0</v>
      </c>
      <c r="Q2120">
        <v>0</v>
      </c>
      <c r="R2120">
        <v>0</v>
      </c>
      <c r="S2120">
        <v>100.76</v>
      </c>
      <c r="T2120">
        <v>104.5</v>
      </c>
      <c r="U2120">
        <v>100.53</v>
      </c>
      <c r="V2120">
        <v>104.5</v>
      </c>
      <c r="W2120">
        <v>6364272</v>
      </c>
      <c r="X2120">
        <v>100.62</v>
      </c>
      <c r="Y2120">
        <v>100.63</v>
      </c>
      <c r="Z2120">
        <v>162</v>
      </c>
      <c r="AA2120">
        <v>5000000</v>
      </c>
      <c r="AB2120">
        <v>1006.3</v>
      </c>
      <c r="AC2120">
        <v>0</v>
      </c>
      <c r="AD2120" t="s">
        <v>94</v>
      </c>
      <c r="AE2120" t="s">
        <v>94</v>
      </c>
      <c r="AF2120" t="s">
        <v>226</v>
      </c>
      <c r="AG2120" t="s">
        <v>226</v>
      </c>
      <c r="AH2120">
        <v>-100</v>
      </c>
      <c r="AI2120" t="s">
        <v>3537</v>
      </c>
      <c r="AJ2120" t="s">
        <v>1976</v>
      </c>
      <c r="AK2120" t="s">
        <v>2416</v>
      </c>
      <c r="AL2120" t="s">
        <v>272</v>
      </c>
    </row>
    <row r="2121" spans="1:38">
      <c r="A2121" t="s">
        <v>9082</v>
      </c>
      <c r="B2121" t="s">
        <v>9083</v>
      </c>
      <c r="C2121" t="s">
        <v>9084</v>
      </c>
      <c r="D2121" t="s">
        <v>9084</v>
      </c>
      <c r="E2121" t="s">
        <v>9085</v>
      </c>
      <c r="F2121" t="s">
        <v>2413</v>
      </c>
      <c r="G2121">
        <v>3</v>
      </c>
      <c r="H2121">
        <v>1</v>
      </c>
      <c r="I2121">
        <v>0.01</v>
      </c>
      <c r="J2121">
        <v>1000</v>
      </c>
      <c r="K2121">
        <v>-0.73</v>
      </c>
      <c r="L2121">
        <v>96.29</v>
      </c>
      <c r="M2121">
        <v>96.85</v>
      </c>
      <c r="N2121">
        <v>96.84</v>
      </c>
      <c r="O2121">
        <v>96.29</v>
      </c>
      <c r="P2121">
        <v>0</v>
      </c>
      <c r="Q2121">
        <v>0</v>
      </c>
      <c r="R2121">
        <v>0</v>
      </c>
      <c r="S2121">
        <v>97.01</v>
      </c>
      <c r="T2121">
        <v>97.46</v>
      </c>
      <c r="U2121">
        <v>96.29</v>
      </c>
      <c r="V2121">
        <v>97.46</v>
      </c>
      <c r="W2121">
        <v>32984</v>
      </c>
      <c r="X2121">
        <v>96.3</v>
      </c>
      <c r="Y2121">
        <v>97.45</v>
      </c>
      <c r="Z2121">
        <v>3</v>
      </c>
      <c r="AA2121">
        <v>10000000</v>
      </c>
      <c r="AB2121">
        <v>12517.7</v>
      </c>
      <c r="AC2121">
        <v>0</v>
      </c>
      <c r="AD2121" t="s">
        <v>94</v>
      </c>
      <c r="AE2121" t="s">
        <v>94</v>
      </c>
      <c r="AF2121" t="s">
        <v>304</v>
      </c>
      <c r="AG2121" t="s">
        <v>226</v>
      </c>
      <c r="AH2121">
        <v>800</v>
      </c>
      <c r="AI2121" t="s">
        <v>3537</v>
      </c>
      <c r="AJ2121" t="s">
        <v>1976</v>
      </c>
      <c r="AK2121" t="s">
        <v>2416</v>
      </c>
      <c r="AL2121" t="s">
        <v>272</v>
      </c>
    </row>
    <row r="2122" spans="1:38">
      <c r="A2122" t="s">
        <v>9086</v>
      </c>
      <c r="B2122" t="s">
        <v>9087</v>
      </c>
      <c r="C2122" t="s">
        <v>9088</v>
      </c>
      <c r="D2122" t="s">
        <v>9088</v>
      </c>
      <c r="E2122" t="s">
        <v>9089</v>
      </c>
      <c r="F2122" t="s">
        <v>2413</v>
      </c>
      <c r="G2122">
        <v>3</v>
      </c>
      <c r="H2122">
        <v>1</v>
      </c>
      <c r="I2122">
        <v>0.01</v>
      </c>
      <c r="J2122">
        <v>1000</v>
      </c>
      <c r="K2122">
        <v>-0.98</v>
      </c>
      <c r="L2122">
        <v>87.31</v>
      </c>
      <c r="M2122">
        <v>88.16</v>
      </c>
      <c r="N2122">
        <v>87.24</v>
      </c>
      <c r="O2122">
        <v>87.31</v>
      </c>
      <c r="P2122">
        <v>0</v>
      </c>
      <c r="Q2122">
        <v>0</v>
      </c>
      <c r="R2122">
        <v>0</v>
      </c>
      <c r="S2122">
        <v>88.19</v>
      </c>
      <c r="T2122">
        <v>88.29</v>
      </c>
      <c r="U2122">
        <v>87.31</v>
      </c>
      <c r="V2122">
        <v>88.3</v>
      </c>
      <c r="W2122">
        <v>112880</v>
      </c>
      <c r="X2122">
        <v>87.31</v>
      </c>
      <c r="Y2122">
        <v>87.69</v>
      </c>
      <c r="Z2122">
        <v>17</v>
      </c>
      <c r="AA2122">
        <v>15000000</v>
      </c>
      <c r="AB2122">
        <v>873.1</v>
      </c>
      <c r="AC2122">
        <v>0</v>
      </c>
      <c r="AD2122" t="s">
        <v>94</v>
      </c>
      <c r="AE2122" t="s">
        <v>94</v>
      </c>
      <c r="AF2122" t="s">
        <v>226</v>
      </c>
      <c r="AG2122" t="s">
        <v>226</v>
      </c>
      <c r="AH2122">
        <v>-100</v>
      </c>
      <c r="AI2122" t="s">
        <v>3537</v>
      </c>
      <c r="AJ2122" t="s">
        <v>1976</v>
      </c>
      <c r="AK2122" t="s">
        <v>2416</v>
      </c>
      <c r="AL2122" t="s">
        <v>272</v>
      </c>
    </row>
    <row r="2123" spans="1:38">
      <c r="A2123" t="s">
        <v>9090</v>
      </c>
      <c r="B2123" t="s">
        <v>9091</v>
      </c>
      <c r="C2123" t="s">
        <v>9092</v>
      </c>
      <c r="D2123" t="s">
        <v>9092</v>
      </c>
      <c r="E2123" t="s">
        <v>9093</v>
      </c>
      <c r="F2123" t="s">
        <v>2413</v>
      </c>
      <c r="G2123">
        <v>3</v>
      </c>
      <c r="H2123">
        <v>1</v>
      </c>
      <c r="I2123">
        <v>0.01</v>
      </c>
      <c r="J2123">
        <v>1000</v>
      </c>
      <c r="K2123">
        <v>-0.11</v>
      </c>
      <c r="L2123">
        <v>94.75</v>
      </c>
      <c r="M2123">
        <v>94.85</v>
      </c>
      <c r="N2123">
        <v>95.23</v>
      </c>
      <c r="O2123">
        <v>94.93</v>
      </c>
      <c r="P2123">
        <v>0</v>
      </c>
      <c r="Q2123">
        <v>0</v>
      </c>
      <c r="R2123">
        <v>0</v>
      </c>
      <c r="S2123">
        <v>95.03</v>
      </c>
      <c r="T2123">
        <v>94.73</v>
      </c>
      <c r="U2123">
        <v>94.65</v>
      </c>
      <c r="V2123">
        <v>95.24</v>
      </c>
      <c r="W2123">
        <v>588228</v>
      </c>
      <c r="X2123">
        <v>94.81</v>
      </c>
      <c r="Y2123">
        <v>95.03</v>
      </c>
      <c r="Z2123">
        <v>54</v>
      </c>
      <c r="AA2123">
        <v>30000000</v>
      </c>
      <c r="AB2123">
        <v>4737.5</v>
      </c>
      <c r="AC2123">
        <v>0</v>
      </c>
      <c r="AD2123" t="s">
        <v>94</v>
      </c>
      <c r="AE2123" t="s">
        <v>94</v>
      </c>
      <c r="AF2123" t="s">
        <v>226</v>
      </c>
      <c r="AG2123" t="s">
        <v>226</v>
      </c>
      <c r="AH2123">
        <v>800</v>
      </c>
      <c r="AI2123" t="s">
        <v>3537</v>
      </c>
      <c r="AJ2123" t="s">
        <v>1976</v>
      </c>
      <c r="AK2123" t="s">
        <v>2416</v>
      </c>
      <c r="AL2123" t="s">
        <v>272</v>
      </c>
    </row>
    <row r="2124" spans="1:38">
      <c r="A2124" t="s">
        <v>9094</v>
      </c>
      <c r="B2124" t="s">
        <v>9095</v>
      </c>
      <c r="C2124" t="s">
        <v>9096</v>
      </c>
      <c r="D2124" t="s">
        <v>9096</v>
      </c>
      <c r="E2124" t="s">
        <v>9097</v>
      </c>
      <c r="F2124" t="s">
        <v>2413</v>
      </c>
      <c r="G2124">
        <v>3</v>
      </c>
      <c r="H2124">
        <v>1</v>
      </c>
      <c r="I2124">
        <v>0.01</v>
      </c>
      <c r="J2124">
        <v>1000</v>
      </c>
      <c r="K2124">
        <v>2.2200000000000002</v>
      </c>
      <c r="L2124">
        <v>81.89</v>
      </c>
      <c r="M2124">
        <v>80.09</v>
      </c>
      <c r="N2124">
        <v>79.92</v>
      </c>
      <c r="O2124">
        <v>81.89</v>
      </c>
      <c r="P2124">
        <v>0</v>
      </c>
      <c r="Q2124">
        <v>0</v>
      </c>
      <c r="R2124">
        <v>0</v>
      </c>
      <c r="S2124">
        <v>81.290000000000006</v>
      </c>
      <c r="T2124">
        <v>80.349999999999994</v>
      </c>
      <c r="U2124">
        <v>80.13</v>
      </c>
      <c r="V2124">
        <v>82.36</v>
      </c>
      <c r="W2124">
        <v>604814</v>
      </c>
      <c r="X2124">
        <v>81.89</v>
      </c>
      <c r="Y2124">
        <v>82.02</v>
      </c>
      <c r="Z2124">
        <v>99</v>
      </c>
      <c r="AA2124">
        <v>20000000</v>
      </c>
      <c r="AB2124">
        <v>818.9</v>
      </c>
      <c r="AC2124">
        <v>0</v>
      </c>
      <c r="AD2124" t="s">
        <v>94</v>
      </c>
      <c r="AE2124" t="s">
        <v>94</v>
      </c>
      <c r="AF2124" t="s">
        <v>226</v>
      </c>
      <c r="AG2124" t="s">
        <v>226</v>
      </c>
      <c r="AH2124">
        <v>-100</v>
      </c>
      <c r="AI2124" t="s">
        <v>3537</v>
      </c>
      <c r="AJ2124" t="s">
        <v>1976</v>
      </c>
      <c r="AK2124" t="s">
        <v>2416</v>
      </c>
      <c r="AL2124" t="s">
        <v>272</v>
      </c>
    </row>
    <row r="2125" spans="1:38">
      <c r="A2125" t="s">
        <v>9098</v>
      </c>
      <c r="B2125" t="s">
        <v>9099</v>
      </c>
      <c r="C2125" t="s">
        <v>9100</v>
      </c>
      <c r="D2125" t="s">
        <v>9100</v>
      </c>
      <c r="E2125" t="s">
        <v>9101</v>
      </c>
      <c r="F2125" t="s">
        <v>2413</v>
      </c>
      <c r="G2125">
        <v>3</v>
      </c>
      <c r="H2125">
        <v>1</v>
      </c>
      <c r="I2125">
        <v>0.01</v>
      </c>
      <c r="J2125">
        <v>1000</v>
      </c>
      <c r="K2125">
        <v>0.86</v>
      </c>
      <c r="L2125">
        <v>88.76</v>
      </c>
      <c r="M2125">
        <v>88</v>
      </c>
      <c r="N2125">
        <v>88.47</v>
      </c>
      <c r="O2125">
        <v>88.73</v>
      </c>
      <c r="P2125">
        <v>0</v>
      </c>
      <c r="Q2125">
        <v>0</v>
      </c>
      <c r="R2125">
        <v>0</v>
      </c>
      <c r="S2125">
        <v>88.17</v>
      </c>
      <c r="T2125">
        <v>88</v>
      </c>
      <c r="U2125">
        <v>87.99</v>
      </c>
      <c r="V2125">
        <v>88.81</v>
      </c>
      <c r="W2125">
        <v>887922</v>
      </c>
      <c r="X2125">
        <v>88.72</v>
      </c>
      <c r="Y2125">
        <v>88.76</v>
      </c>
      <c r="Z2125">
        <v>114</v>
      </c>
      <c r="AA2125">
        <v>20000000</v>
      </c>
      <c r="AB2125">
        <v>1775.2</v>
      </c>
      <c r="AC2125">
        <v>0</v>
      </c>
      <c r="AD2125" t="s">
        <v>94</v>
      </c>
      <c r="AE2125" t="s">
        <v>94</v>
      </c>
      <c r="AF2125" t="s">
        <v>226</v>
      </c>
      <c r="AG2125" t="s">
        <v>226</v>
      </c>
      <c r="AH2125">
        <v>-100</v>
      </c>
      <c r="AI2125" t="s">
        <v>3537</v>
      </c>
      <c r="AJ2125" t="s">
        <v>1976</v>
      </c>
      <c r="AK2125" t="s">
        <v>2416</v>
      </c>
      <c r="AL2125" t="s">
        <v>272</v>
      </c>
    </row>
    <row r="2126" spans="1:38">
      <c r="A2126" t="s">
        <v>9102</v>
      </c>
      <c r="B2126" t="s">
        <v>9103</v>
      </c>
      <c r="C2126" t="s">
        <v>9104</v>
      </c>
      <c r="D2126" t="s">
        <v>9104</v>
      </c>
      <c r="E2126" t="s">
        <v>9105</v>
      </c>
      <c r="F2126" t="s">
        <v>2413</v>
      </c>
      <c r="G2126">
        <v>3</v>
      </c>
      <c r="H2126">
        <v>1</v>
      </c>
      <c r="I2126">
        <v>0.01</v>
      </c>
      <c r="J2126">
        <v>1000</v>
      </c>
      <c r="K2126">
        <v>0</v>
      </c>
      <c r="L2126">
        <v>99.7</v>
      </c>
      <c r="M2126">
        <v>99.7</v>
      </c>
      <c r="N2126">
        <v>99.6</v>
      </c>
      <c r="O2126">
        <v>99.71</v>
      </c>
      <c r="P2126">
        <v>0</v>
      </c>
      <c r="Q2126">
        <v>0</v>
      </c>
      <c r="R2126">
        <v>0</v>
      </c>
      <c r="S2126">
        <v>99.78</v>
      </c>
      <c r="T2126">
        <v>99.79</v>
      </c>
      <c r="U2126">
        <v>99.6</v>
      </c>
      <c r="V2126">
        <v>99.8</v>
      </c>
      <c r="W2126">
        <v>598708</v>
      </c>
      <c r="X2126">
        <v>99.72</v>
      </c>
      <c r="Y2126">
        <v>99.73</v>
      </c>
      <c r="Z2126">
        <v>46</v>
      </c>
      <c r="AA2126">
        <v>15000000</v>
      </c>
      <c r="AB2126">
        <v>1994</v>
      </c>
      <c r="AC2126">
        <v>0</v>
      </c>
      <c r="AD2126" t="s">
        <v>94</v>
      </c>
      <c r="AE2126" t="s">
        <v>94</v>
      </c>
      <c r="AF2126" t="s">
        <v>226</v>
      </c>
      <c r="AG2126" t="s">
        <v>226</v>
      </c>
      <c r="AH2126">
        <v>-100</v>
      </c>
      <c r="AI2126" t="s">
        <v>3537</v>
      </c>
      <c r="AJ2126" t="s">
        <v>1976</v>
      </c>
      <c r="AK2126" t="s">
        <v>2416</v>
      </c>
      <c r="AL2126" t="s">
        <v>272</v>
      </c>
    </row>
    <row r="2127" spans="1:38">
      <c r="A2127" t="s">
        <v>9106</v>
      </c>
      <c r="B2127" t="s">
        <v>9107</v>
      </c>
      <c r="C2127" t="s">
        <v>9108</v>
      </c>
      <c r="D2127" t="s">
        <v>9108</v>
      </c>
      <c r="E2127" t="s">
        <v>9109</v>
      </c>
      <c r="F2127" t="s">
        <v>2413</v>
      </c>
      <c r="G2127">
        <v>3</v>
      </c>
      <c r="H2127">
        <v>1</v>
      </c>
      <c r="I2127">
        <v>0.01</v>
      </c>
      <c r="J2127">
        <v>1000</v>
      </c>
      <c r="K2127">
        <v>0.77</v>
      </c>
      <c r="L2127">
        <v>87.22</v>
      </c>
      <c r="M2127">
        <v>86.18</v>
      </c>
      <c r="N2127">
        <v>86.07</v>
      </c>
      <c r="O2127">
        <v>87.3</v>
      </c>
      <c r="P2127">
        <v>0</v>
      </c>
      <c r="Q2127">
        <v>0</v>
      </c>
      <c r="R2127">
        <v>0</v>
      </c>
      <c r="S2127">
        <v>87.12</v>
      </c>
      <c r="T2127">
        <v>86.58</v>
      </c>
      <c r="U2127">
        <v>86.57</v>
      </c>
      <c r="V2127">
        <v>87.89</v>
      </c>
      <c r="W2127">
        <v>421691</v>
      </c>
      <c r="X2127">
        <v>87.36</v>
      </c>
      <c r="Y2127">
        <v>87.65</v>
      </c>
      <c r="Z2127">
        <v>65</v>
      </c>
      <c r="AA2127">
        <v>35000000</v>
      </c>
      <c r="AB2127">
        <v>872.2</v>
      </c>
      <c r="AC2127">
        <v>0</v>
      </c>
      <c r="AD2127" t="s">
        <v>94</v>
      </c>
      <c r="AE2127" t="s">
        <v>94</v>
      </c>
      <c r="AF2127" t="s">
        <v>226</v>
      </c>
      <c r="AG2127" t="s">
        <v>226</v>
      </c>
      <c r="AH2127">
        <v>-100</v>
      </c>
      <c r="AI2127" t="s">
        <v>3537</v>
      </c>
      <c r="AJ2127" t="s">
        <v>1976</v>
      </c>
      <c r="AK2127" t="s">
        <v>2416</v>
      </c>
      <c r="AL2127" t="s">
        <v>272</v>
      </c>
    </row>
    <row r="2128" spans="1:38">
      <c r="A2128" t="s">
        <v>9110</v>
      </c>
      <c r="B2128" t="s">
        <v>9111</v>
      </c>
      <c r="C2128" t="s">
        <v>9112</v>
      </c>
      <c r="D2128" t="s">
        <v>9112</v>
      </c>
      <c r="E2128" t="s">
        <v>9113</v>
      </c>
      <c r="F2128" t="s">
        <v>2425</v>
      </c>
      <c r="G2128">
        <v>1</v>
      </c>
      <c r="H2128">
        <v>1</v>
      </c>
      <c r="I2128">
        <v>0.01</v>
      </c>
      <c r="J2128">
        <v>1000</v>
      </c>
      <c r="K2128">
        <v>0.7</v>
      </c>
      <c r="L2128">
        <v>98.15</v>
      </c>
      <c r="M2128">
        <v>97.47</v>
      </c>
      <c r="N2128">
        <v>93.62</v>
      </c>
      <c r="O2128">
        <v>98.15</v>
      </c>
      <c r="P2128">
        <v>0</v>
      </c>
      <c r="Q2128">
        <v>0</v>
      </c>
      <c r="R2128">
        <v>0</v>
      </c>
      <c r="S2128">
        <v>98.15</v>
      </c>
      <c r="T2128">
        <v>98.15</v>
      </c>
      <c r="U2128">
        <v>98.15</v>
      </c>
      <c r="V2128">
        <v>98.15</v>
      </c>
      <c r="W2128">
        <v>67724</v>
      </c>
      <c r="X2128">
        <v>95.32</v>
      </c>
      <c r="Y2128">
        <v>97.48</v>
      </c>
      <c r="Z2128">
        <v>7</v>
      </c>
      <c r="AA2128">
        <v>10000000</v>
      </c>
      <c r="AB2128">
        <v>2944.5</v>
      </c>
      <c r="AC2128">
        <v>0</v>
      </c>
      <c r="AD2128" t="s">
        <v>94</v>
      </c>
      <c r="AE2128" t="s">
        <v>94</v>
      </c>
      <c r="AF2128" t="s">
        <v>226</v>
      </c>
      <c r="AG2128" t="s">
        <v>226</v>
      </c>
      <c r="AH2128">
        <v>-100</v>
      </c>
      <c r="AI2128" t="s">
        <v>3537</v>
      </c>
      <c r="AJ2128" t="s">
        <v>1976</v>
      </c>
      <c r="AK2128" t="s">
        <v>2426</v>
      </c>
      <c r="AL2128" t="s">
        <v>272</v>
      </c>
    </row>
    <row r="2129" spans="1:38">
      <c r="A2129" t="s">
        <v>9114</v>
      </c>
      <c r="B2129" t="s">
        <v>9115</v>
      </c>
      <c r="C2129" t="s">
        <v>9116</v>
      </c>
      <c r="D2129" t="s">
        <v>9116</v>
      </c>
      <c r="E2129" t="s">
        <v>9117</v>
      </c>
      <c r="F2129" t="s">
        <v>2425</v>
      </c>
      <c r="G2129">
        <v>2</v>
      </c>
      <c r="H2129">
        <v>1</v>
      </c>
      <c r="I2129">
        <v>0.01</v>
      </c>
      <c r="J2129">
        <v>912.32</v>
      </c>
      <c r="K2129">
        <v>0</v>
      </c>
      <c r="L2129">
        <v>95.82</v>
      </c>
      <c r="M2129">
        <v>95.82</v>
      </c>
      <c r="N2129">
        <v>95.83</v>
      </c>
      <c r="O2129">
        <v>95.82</v>
      </c>
      <c r="P2129">
        <v>0</v>
      </c>
      <c r="Q2129">
        <v>0</v>
      </c>
      <c r="R2129">
        <v>0</v>
      </c>
      <c r="S2129">
        <v>95.58</v>
      </c>
      <c r="T2129">
        <v>95.8</v>
      </c>
      <c r="U2129">
        <v>95.5</v>
      </c>
      <c r="V2129">
        <v>95.82</v>
      </c>
      <c r="W2129">
        <v>14993616</v>
      </c>
      <c r="X2129">
        <v>95.81</v>
      </c>
      <c r="Y2129">
        <v>95.82</v>
      </c>
      <c r="Z2129">
        <v>690</v>
      </c>
      <c r="AA2129">
        <v>9500000</v>
      </c>
      <c r="AB2129">
        <v>11364.41</v>
      </c>
      <c r="AC2129">
        <v>0</v>
      </c>
      <c r="AD2129" t="s">
        <v>94</v>
      </c>
      <c r="AE2129" t="s">
        <v>94</v>
      </c>
      <c r="AF2129" t="s">
        <v>226</v>
      </c>
      <c r="AG2129" t="s">
        <v>226</v>
      </c>
      <c r="AH2129">
        <v>-100</v>
      </c>
      <c r="AI2129" t="s">
        <v>3537</v>
      </c>
      <c r="AJ2129" t="s">
        <v>1976</v>
      </c>
      <c r="AK2129" t="s">
        <v>2426</v>
      </c>
      <c r="AL2129" t="s">
        <v>272</v>
      </c>
    </row>
    <row r="2130" spans="1:38">
      <c r="A2130" t="s">
        <v>9118</v>
      </c>
      <c r="B2130" t="s">
        <v>9119</v>
      </c>
      <c r="C2130" t="s">
        <v>9120</v>
      </c>
      <c r="D2130" t="s">
        <v>9120</v>
      </c>
      <c r="E2130" t="s">
        <v>9121</v>
      </c>
      <c r="F2130" t="s">
        <v>2425</v>
      </c>
      <c r="G2130">
        <v>3</v>
      </c>
      <c r="H2130">
        <v>1</v>
      </c>
      <c r="I2130">
        <v>0.01</v>
      </c>
      <c r="J2130">
        <v>10000000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40</v>
      </c>
      <c r="AB2130">
        <v>0</v>
      </c>
      <c r="AC2130">
        <v>0</v>
      </c>
      <c r="AD2130" t="s">
        <v>94</v>
      </c>
      <c r="AE2130" t="s">
        <v>94</v>
      </c>
      <c r="AF2130" t="s">
        <v>304</v>
      </c>
      <c r="AG2130" t="s">
        <v>226</v>
      </c>
      <c r="AH2130">
        <v>0</v>
      </c>
      <c r="AI2130" t="s">
        <v>3537</v>
      </c>
      <c r="AJ2130" t="s">
        <v>1976</v>
      </c>
      <c r="AK2130" t="s">
        <v>2426</v>
      </c>
      <c r="AL2130" t="s">
        <v>272</v>
      </c>
    </row>
    <row r="2131" spans="1:38">
      <c r="A2131" t="s">
        <v>9122</v>
      </c>
      <c r="B2131" t="s">
        <v>9123</v>
      </c>
      <c r="C2131" t="s">
        <v>9124</v>
      </c>
      <c r="D2131" t="s">
        <v>9124</v>
      </c>
      <c r="E2131" t="s">
        <v>9125</v>
      </c>
      <c r="F2131" t="s">
        <v>2425</v>
      </c>
      <c r="G2131">
        <v>3</v>
      </c>
      <c r="H2131">
        <v>1</v>
      </c>
      <c r="I2131">
        <v>0.01</v>
      </c>
      <c r="J2131">
        <v>10000000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40</v>
      </c>
      <c r="AB2131">
        <v>0</v>
      </c>
      <c r="AC2131">
        <v>0</v>
      </c>
      <c r="AD2131" t="s">
        <v>94</v>
      </c>
      <c r="AE2131" t="s">
        <v>94</v>
      </c>
      <c r="AF2131" t="s">
        <v>304</v>
      </c>
      <c r="AG2131" t="s">
        <v>226</v>
      </c>
      <c r="AH2131">
        <v>0</v>
      </c>
      <c r="AI2131" t="s">
        <v>3537</v>
      </c>
      <c r="AJ2131" t="s">
        <v>1976</v>
      </c>
      <c r="AK2131" t="s">
        <v>2426</v>
      </c>
      <c r="AL2131" t="s">
        <v>272</v>
      </c>
    </row>
    <row r="2132" spans="1:38">
      <c r="A2132" t="s">
        <v>9126</v>
      </c>
      <c r="B2132" t="s">
        <v>9127</v>
      </c>
      <c r="C2132" t="s">
        <v>9128</v>
      </c>
      <c r="D2132" t="s">
        <v>9128</v>
      </c>
      <c r="E2132" t="s">
        <v>9129</v>
      </c>
      <c r="F2132" t="s">
        <v>2425</v>
      </c>
      <c r="G2132">
        <v>3</v>
      </c>
      <c r="H2132">
        <v>1</v>
      </c>
      <c r="I2132">
        <v>0.01</v>
      </c>
      <c r="J2132">
        <v>10000000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45</v>
      </c>
      <c r="AB2132">
        <v>0</v>
      </c>
      <c r="AC2132">
        <v>0</v>
      </c>
      <c r="AD2132" t="s">
        <v>94</v>
      </c>
      <c r="AE2132" t="s">
        <v>94</v>
      </c>
      <c r="AF2132" t="s">
        <v>304</v>
      </c>
      <c r="AG2132" t="s">
        <v>226</v>
      </c>
      <c r="AH2132">
        <v>0</v>
      </c>
      <c r="AI2132" t="s">
        <v>3537</v>
      </c>
      <c r="AJ2132" t="s">
        <v>1976</v>
      </c>
      <c r="AK2132" t="s">
        <v>2426</v>
      </c>
      <c r="AL2132" t="s">
        <v>272</v>
      </c>
    </row>
    <row r="2133" spans="1:38">
      <c r="A2133" t="s">
        <v>9130</v>
      </c>
      <c r="B2133" t="s">
        <v>9131</v>
      </c>
      <c r="C2133" t="s">
        <v>9132</v>
      </c>
      <c r="D2133" t="s">
        <v>9132</v>
      </c>
      <c r="E2133" t="s">
        <v>9133</v>
      </c>
      <c r="F2133" t="s">
        <v>2413</v>
      </c>
      <c r="G2133">
        <v>3</v>
      </c>
      <c r="H2133">
        <v>1</v>
      </c>
      <c r="I2133">
        <v>0.01</v>
      </c>
      <c r="J2133">
        <v>1000</v>
      </c>
      <c r="K2133">
        <v>-0.25</v>
      </c>
      <c r="L2133">
        <v>84.29</v>
      </c>
      <c r="M2133">
        <v>84.38</v>
      </c>
      <c r="N2133">
        <v>84.54</v>
      </c>
      <c r="O2133">
        <v>84.29</v>
      </c>
      <c r="P2133">
        <v>0</v>
      </c>
      <c r="Q2133">
        <v>0</v>
      </c>
      <c r="R2133">
        <v>0</v>
      </c>
      <c r="S2133">
        <v>84.17</v>
      </c>
      <c r="T2133">
        <v>85.43</v>
      </c>
      <c r="U2133">
        <v>83.25</v>
      </c>
      <c r="V2133">
        <v>85.97</v>
      </c>
      <c r="W2133">
        <v>127104</v>
      </c>
      <c r="X2133">
        <v>84.1</v>
      </c>
      <c r="Y2133">
        <v>84.32</v>
      </c>
      <c r="Z2133">
        <v>30</v>
      </c>
      <c r="AA2133">
        <v>500000</v>
      </c>
      <c r="AB2133">
        <v>842.9</v>
      </c>
      <c r="AC2133">
        <v>0</v>
      </c>
      <c r="AD2133" t="s">
        <v>94</v>
      </c>
      <c r="AE2133" t="s">
        <v>94</v>
      </c>
      <c r="AF2133" t="s">
        <v>226</v>
      </c>
      <c r="AG2133" t="s">
        <v>226</v>
      </c>
      <c r="AH2133">
        <v>6</v>
      </c>
      <c r="AI2133" t="s">
        <v>3537</v>
      </c>
      <c r="AJ2133" t="s">
        <v>1976</v>
      </c>
      <c r="AK2133" t="s">
        <v>2416</v>
      </c>
      <c r="AL2133" t="s">
        <v>272</v>
      </c>
    </row>
    <row r="2134" spans="1:38">
      <c r="A2134" t="s">
        <v>9134</v>
      </c>
      <c r="B2134" t="s">
        <v>9135</v>
      </c>
      <c r="C2134" t="s">
        <v>9136</v>
      </c>
      <c r="D2134" t="s">
        <v>9136</v>
      </c>
      <c r="E2134" t="s">
        <v>9137</v>
      </c>
      <c r="F2134" t="s">
        <v>2413</v>
      </c>
      <c r="G2134">
        <v>3</v>
      </c>
      <c r="H2134">
        <v>1</v>
      </c>
      <c r="I2134">
        <v>0.01</v>
      </c>
      <c r="J2134">
        <v>850</v>
      </c>
      <c r="K2134">
        <v>1.2</v>
      </c>
      <c r="L2134">
        <v>99</v>
      </c>
      <c r="M2134">
        <v>97.83</v>
      </c>
      <c r="N2134">
        <v>97.43</v>
      </c>
      <c r="O2134">
        <v>98.98</v>
      </c>
      <c r="P2134">
        <v>0</v>
      </c>
      <c r="Q2134">
        <v>0</v>
      </c>
      <c r="R2134">
        <v>0</v>
      </c>
      <c r="S2134">
        <v>98.9</v>
      </c>
      <c r="T2134">
        <v>98.46</v>
      </c>
      <c r="U2134">
        <v>98.25</v>
      </c>
      <c r="V2134">
        <v>99</v>
      </c>
      <c r="W2134">
        <v>191670</v>
      </c>
      <c r="X2134">
        <v>99</v>
      </c>
      <c r="Y2134">
        <v>99.16</v>
      </c>
      <c r="Z2134">
        <v>20</v>
      </c>
      <c r="AA2134">
        <v>65000</v>
      </c>
      <c r="AB2134">
        <v>841.5</v>
      </c>
      <c r="AC2134">
        <v>0</v>
      </c>
      <c r="AD2134" t="s">
        <v>94</v>
      </c>
      <c r="AE2134" t="s">
        <v>94</v>
      </c>
      <c r="AF2134" t="s">
        <v>226</v>
      </c>
      <c r="AG2134" t="s">
        <v>226</v>
      </c>
      <c r="AH2134">
        <v>6</v>
      </c>
      <c r="AI2134" t="s">
        <v>3537</v>
      </c>
      <c r="AJ2134" t="s">
        <v>1976</v>
      </c>
      <c r="AK2134" t="s">
        <v>2416</v>
      </c>
      <c r="AL2134" t="s">
        <v>272</v>
      </c>
    </row>
    <row r="2135" spans="1:38">
      <c r="A2135" t="s">
        <v>9138</v>
      </c>
      <c r="B2135" t="s">
        <v>9139</v>
      </c>
      <c r="C2135" t="s">
        <v>9140</v>
      </c>
      <c r="D2135" t="s">
        <v>9140</v>
      </c>
      <c r="E2135" t="s">
        <v>9141</v>
      </c>
      <c r="F2135" t="s">
        <v>2413</v>
      </c>
      <c r="G2135">
        <v>3</v>
      </c>
      <c r="H2135">
        <v>1</v>
      </c>
      <c r="I2135">
        <v>0.01</v>
      </c>
      <c r="J2135">
        <v>1000</v>
      </c>
      <c r="K2135">
        <v>-3.04</v>
      </c>
      <c r="L2135">
        <v>83</v>
      </c>
      <c r="M2135">
        <v>85.6</v>
      </c>
      <c r="N2135">
        <v>81.430000000000007</v>
      </c>
      <c r="O2135">
        <v>83</v>
      </c>
      <c r="P2135">
        <v>0</v>
      </c>
      <c r="Q2135">
        <v>0</v>
      </c>
      <c r="R2135">
        <v>0</v>
      </c>
      <c r="S2135">
        <v>82.82</v>
      </c>
      <c r="T2135">
        <v>82.06</v>
      </c>
      <c r="U2135">
        <v>82.06</v>
      </c>
      <c r="V2135">
        <v>83.05</v>
      </c>
      <c r="W2135">
        <v>24018</v>
      </c>
      <c r="X2135">
        <v>82.49</v>
      </c>
      <c r="Y2135">
        <v>83.05</v>
      </c>
      <c r="Z2135">
        <v>17</v>
      </c>
      <c r="AA2135">
        <v>150000</v>
      </c>
      <c r="AB2135">
        <v>1660</v>
      </c>
      <c r="AC2135">
        <v>0</v>
      </c>
      <c r="AD2135" t="s">
        <v>94</v>
      </c>
      <c r="AE2135" t="s">
        <v>94</v>
      </c>
      <c r="AF2135" t="s">
        <v>226</v>
      </c>
      <c r="AG2135" t="s">
        <v>226</v>
      </c>
      <c r="AH2135">
        <v>6</v>
      </c>
      <c r="AI2135" t="s">
        <v>3537</v>
      </c>
      <c r="AJ2135" t="s">
        <v>1976</v>
      </c>
      <c r="AK2135" t="s">
        <v>2416</v>
      </c>
      <c r="AL2135" t="s">
        <v>272</v>
      </c>
    </row>
    <row r="2136" spans="1:38">
      <c r="A2136" t="s">
        <v>9142</v>
      </c>
      <c r="B2136" t="s">
        <v>9143</v>
      </c>
      <c r="C2136" t="s">
        <v>9144</v>
      </c>
      <c r="D2136" t="s">
        <v>9144</v>
      </c>
      <c r="E2136" t="s">
        <v>9145</v>
      </c>
      <c r="F2136" t="s">
        <v>2413</v>
      </c>
      <c r="G2136">
        <v>3</v>
      </c>
      <c r="H2136">
        <v>1</v>
      </c>
      <c r="I2136">
        <v>0.01</v>
      </c>
      <c r="J2136">
        <v>1000</v>
      </c>
      <c r="K2136">
        <v>-0.06</v>
      </c>
      <c r="L2136">
        <v>89.57</v>
      </c>
      <c r="M2136">
        <v>89.62</v>
      </c>
      <c r="N2136">
        <v>89.06</v>
      </c>
      <c r="O2136">
        <v>89.57</v>
      </c>
      <c r="P2136">
        <v>0</v>
      </c>
      <c r="Q2136">
        <v>0</v>
      </c>
      <c r="R2136">
        <v>0</v>
      </c>
      <c r="S2136">
        <v>88.95</v>
      </c>
      <c r="T2136">
        <v>89.09</v>
      </c>
      <c r="U2136">
        <v>88.52</v>
      </c>
      <c r="V2136">
        <v>89.67</v>
      </c>
      <c r="W2136">
        <v>489234</v>
      </c>
      <c r="X2136">
        <v>89.31</v>
      </c>
      <c r="Y2136">
        <v>89.59</v>
      </c>
      <c r="Z2136">
        <v>68</v>
      </c>
      <c r="AA2136">
        <v>250000</v>
      </c>
      <c r="AB2136">
        <v>895.7</v>
      </c>
      <c r="AC2136">
        <v>0</v>
      </c>
      <c r="AD2136" t="s">
        <v>94</v>
      </c>
      <c r="AE2136" t="s">
        <v>94</v>
      </c>
      <c r="AF2136" t="s">
        <v>226</v>
      </c>
      <c r="AG2136" t="s">
        <v>226</v>
      </c>
      <c r="AH2136">
        <v>6</v>
      </c>
      <c r="AI2136" t="s">
        <v>3537</v>
      </c>
      <c r="AJ2136" t="s">
        <v>1976</v>
      </c>
      <c r="AK2136" t="s">
        <v>2416</v>
      </c>
      <c r="AL2136" t="s">
        <v>272</v>
      </c>
    </row>
    <row r="2137" spans="1:38">
      <c r="A2137" t="s">
        <v>9146</v>
      </c>
      <c r="B2137" t="s">
        <v>9147</v>
      </c>
      <c r="C2137" t="s">
        <v>9148</v>
      </c>
      <c r="D2137" t="s">
        <v>9148</v>
      </c>
      <c r="E2137" t="s">
        <v>9149</v>
      </c>
      <c r="F2137" t="s">
        <v>2413</v>
      </c>
      <c r="G2137">
        <v>3</v>
      </c>
      <c r="H2137">
        <v>1</v>
      </c>
      <c r="I2137">
        <v>0.01</v>
      </c>
      <c r="J2137">
        <v>1000</v>
      </c>
      <c r="K2137">
        <v>0.99</v>
      </c>
      <c r="L2137">
        <v>84.53</v>
      </c>
      <c r="M2137">
        <v>83.71</v>
      </c>
      <c r="N2137">
        <v>83.85</v>
      </c>
      <c r="O2137">
        <v>84.6</v>
      </c>
      <c r="P2137">
        <v>0</v>
      </c>
      <c r="Q2137">
        <v>0</v>
      </c>
      <c r="R2137">
        <v>0</v>
      </c>
      <c r="S2137">
        <v>84.5</v>
      </c>
      <c r="T2137">
        <v>84.97</v>
      </c>
      <c r="U2137">
        <v>84.21</v>
      </c>
      <c r="V2137">
        <v>84.99</v>
      </c>
      <c r="W2137">
        <v>183367</v>
      </c>
      <c r="X2137">
        <v>84.54</v>
      </c>
      <c r="Y2137">
        <v>84.95</v>
      </c>
      <c r="Z2137">
        <v>50</v>
      </c>
      <c r="AA2137">
        <v>100000</v>
      </c>
      <c r="AB2137">
        <v>4226.5</v>
      </c>
      <c r="AC2137">
        <v>0</v>
      </c>
      <c r="AD2137" t="s">
        <v>94</v>
      </c>
      <c r="AE2137" t="s">
        <v>94</v>
      </c>
      <c r="AF2137" t="s">
        <v>226</v>
      </c>
      <c r="AG2137" t="s">
        <v>226</v>
      </c>
      <c r="AH2137">
        <v>6</v>
      </c>
      <c r="AI2137" t="s">
        <v>3537</v>
      </c>
      <c r="AJ2137" t="s">
        <v>1976</v>
      </c>
      <c r="AK2137" t="s">
        <v>2416</v>
      </c>
      <c r="AL2137" t="s">
        <v>272</v>
      </c>
    </row>
    <row r="2138" spans="1:38">
      <c r="A2138" t="s">
        <v>9150</v>
      </c>
      <c r="B2138" t="s">
        <v>9151</v>
      </c>
      <c r="C2138" t="s">
        <v>9152</v>
      </c>
      <c r="D2138" t="s">
        <v>9152</v>
      </c>
      <c r="E2138" t="s">
        <v>9153</v>
      </c>
      <c r="F2138" t="s">
        <v>2425</v>
      </c>
      <c r="G2138">
        <v>3</v>
      </c>
      <c r="H2138">
        <v>1</v>
      </c>
      <c r="I2138">
        <v>0.01</v>
      </c>
      <c r="J2138">
        <v>676</v>
      </c>
      <c r="K2138">
        <v>-6.24</v>
      </c>
      <c r="L2138">
        <v>75</v>
      </c>
      <c r="M2138">
        <v>79.989999999999995</v>
      </c>
      <c r="N2138">
        <v>88.73</v>
      </c>
      <c r="O2138">
        <v>75</v>
      </c>
      <c r="P2138">
        <v>0</v>
      </c>
      <c r="Q2138">
        <v>0</v>
      </c>
      <c r="R2138">
        <v>0</v>
      </c>
      <c r="S2138">
        <v>75.319999999999993</v>
      </c>
      <c r="T2138">
        <v>77.33</v>
      </c>
      <c r="U2138">
        <v>75</v>
      </c>
      <c r="V2138">
        <v>77.33</v>
      </c>
      <c r="W2138">
        <v>21895</v>
      </c>
      <c r="X2138">
        <v>73.31</v>
      </c>
      <c r="Y2138">
        <v>79</v>
      </c>
      <c r="Z2138">
        <v>5</v>
      </c>
      <c r="AA2138">
        <v>5000000</v>
      </c>
      <c r="AB2138">
        <v>11661</v>
      </c>
      <c r="AC2138">
        <v>0</v>
      </c>
      <c r="AD2138" t="s">
        <v>94</v>
      </c>
      <c r="AE2138" t="s">
        <v>94</v>
      </c>
      <c r="AF2138" t="s">
        <v>226</v>
      </c>
      <c r="AG2138" t="s">
        <v>226</v>
      </c>
      <c r="AH2138">
        <v>8</v>
      </c>
      <c r="AI2138" t="s">
        <v>3537</v>
      </c>
      <c r="AJ2138" t="s">
        <v>1976</v>
      </c>
      <c r="AK2138" t="s">
        <v>2426</v>
      </c>
      <c r="AL2138" t="s">
        <v>272</v>
      </c>
    </row>
    <row r="2139" spans="1:38">
      <c r="A2139" t="s">
        <v>9154</v>
      </c>
      <c r="B2139" t="s">
        <v>9155</v>
      </c>
      <c r="C2139" t="s">
        <v>9156</v>
      </c>
      <c r="D2139" t="s">
        <v>9156</v>
      </c>
      <c r="E2139" t="s">
        <v>9157</v>
      </c>
      <c r="F2139" t="s">
        <v>2425</v>
      </c>
      <c r="G2139">
        <v>3</v>
      </c>
      <c r="H2139">
        <v>1</v>
      </c>
      <c r="I2139">
        <v>0.01</v>
      </c>
      <c r="J2139">
        <v>676</v>
      </c>
      <c r="K2139">
        <v>-7.84</v>
      </c>
      <c r="L2139">
        <v>70.040000000000006</v>
      </c>
      <c r="M2139">
        <v>76.010000000000005</v>
      </c>
      <c r="N2139">
        <v>84.35</v>
      </c>
      <c r="O2139">
        <v>71.08</v>
      </c>
      <c r="P2139">
        <v>0</v>
      </c>
      <c r="Q2139">
        <v>0</v>
      </c>
      <c r="R2139">
        <v>0</v>
      </c>
      <c r="S2139">
        <v>71.08</v>
      </c>
      <c r="T2139">
        <v>77.209999999999994</v>
      </c>
      <c r="U2139">
        <v>70.040000000000006</v>
      </c>
      <c r="V2139">
        <v>77.209999999999994</v>
      </c>
      <c r="W2139">
        <v>13934</v>
      </c>
      <c r="X2139">
        <v>70.08</v>
      </c>
      <c r="Y2139">
        <v>79.989999999999995</v>
      </c>
      <c r="Z2139">
        <v>7</v>
      </c>
      <c r="AA2139">
        <v>5000000</v>
      </c>
      <c r="AB2139">
        <v>4734.7</v>
      </c>
      <c r="AC2139">
        <v>0</v>
      </c>
      <c r="AD2139" t="s">
        <v>94</v>
      </c>
      <c r="AE2139" t="s">
        <v>94</v>
      </c>
      <c r="AF2139" t="s">
        <v>226</v>
      </c>
      <c r="AG2139" t="s">
        <v>226</v>
      </c>
      <c r="AH2139">
        <v>8</v>
      </c>
      <c r="AI2139" t="s">
        <v>3537</v>
      </c>
      <c r="AJ2139" t="s">
        <v>1976</v>
      </c>
      <c r="AK2139" t="s">
        <v>2426</v>
      </c>
      <c r="AL2139" t="s">
        <v>272</v>
      </c>
    </row>
    <row r="2140" spans="1:38">
      <c r="A2140" t="s">
        <v>9158</v>
      </c>
      <c r="B2140" t="s">
        <v>9159</v>
      </c>
      <c r="C2140" t="s">
        <v>9160</v>
      </c>
      <c r="D2140" t="s">
        <v>9160</v>
      </c>
      <c r="E2140" t="s">
        <v>9161</v>
      </c>
      <c r="F2140" t="s">
        <v>2413</v>
      </c>
      <c r="G2140">
        <v>3</v>
      </c>
      <c r="H2140">
        <v>1</v>
      </c>
      <c r="I2140">
        <v>0.01</v>
      </c>
      <c r="J2140">
        <v>1000</v>
      </c>
      <c r="K2140">
        <v>0.78</v>
      </c>
      <c r="L2140">
        <v>75.39</v>
      </c>
      <c r="M2140">
        <v>74.86</v>
      </c>
      <c r="N2140">
        <v>75.45</v>
      </c>
      <c r="O2140">
        <v>75.39</v>
      </c>
      <c r="P2140">
        <v>0</v>
      </c>
      <c r="Q2140">
        <v>0</v>
      </c>
      <c r="R2140">
        <v>0</v>
      </c>
      <c r="S2140">
        <v>75.23</v>
      </c>
      <c r="T2140">
        <v>75.44</v>
      </c>
      <c r="U2140">
        <v>74.91</v>
      </c>
      <c r="V2140">
        <v>75.44</v>
      </c>
      <c r="W2140">
        <v>63192</v>
      </c>
      <c r="X2140">
        <v>75.2</v>
      </c>
      <c r="Y2140">
        <v>75.400000000000006</v>
      </c>
      <c r="Z2140">
        <v>27</v>
      </c>
      <c r="AA2140">
        <v>200000</v>
      </c>
      <c r="AB2140">
        <v>3769.5</v>
      </c>
      <c r="AC2140">
        <v>0</v>
      </c>
      <c r="AD2140" t="s">
        <v>94</v>
      </c>
      <c r="AE2140" t="s">
        <v>94</v>
      </c>
      <c r="AF2140" t="s">
        <v>226</v>
      </c>
      <c r="AG2140" t="s">
        <v>226</v>
      </c>
      <c r="AH2140">
        <v>6</v>
      </c>
      <c r="AI2140" t="s">
        <v>3537</v>
      </c>
      <c r="AJ2140" t="s">
        <v>1976</v>
      </c>
      <c r="AK2140" t="s">
        <v>2416</v>
      </c>
      <c r="AL2140" t="s">
        <v>272</v>
      </c>
    </row>
    <row r="2141" spans="1:38">
      <c r="A2141" t="s">
        <v>9162</v>
      </c>
      <c r="B2141" t="s">
        <v>9163</v>
      </c>
      <c r="C2141" t="s">
        <v>9164</v>
      </c>
      <c r="D2141" t="s">
        <v>9164</v>
      </c>
      <c r="E2141" t="s">
        <v>9165</v>
      </c>
      <c r="F2141" t="s">
        <v>2413</v>
      </c>
      <c r="G2141">
        <v>3</v>
      </c>
      <c r="H2141">
        <v>1</v>
      </c>
      <c r="I2141">
        <v>0.01</v>
      </c>
      <c r="J2141">
        <v>1000</v>
      </c>
      <c r="K2141">
        <v>1.92</v>
      </c>
      <c r="L2141">
        <v>65.98</v>
      </c>
      <c r="M2141">
        <v>64.739999999999995</v>
      </c>
      <c r="N2141">
        <v>63.71</v>
      </c>
      <c r="O2141">
        <v>65.98</v>
      </c>
      <c r="P2141">
        <v>0</v>
      </c>
      <c r="Q2141">
        <v>0</v>
      </c>
      <c r="R2141">
        <v>0</v>
      </c>
      <c r="S2141">
        <v>65.67</v>
      </c>
      <c r="T2141">
        <v>64.02</v>
      </c>
      <c r="U2141">
        <v>63.24</v>
      </c>
      <c r="V2141">
        <v>67</v>
      </c>
      <c r="W2141">
        <v>131994</v>
      </c>
      <c r="X2141">
        <v>65.53</v>
      </c>
      <c r="Y2141">
        <v>65.98</v>
      </c>
      <c r="Z2141">
        <v>64</v>
      </c>
      <c r="AA2141">
        <v>200000</v>
      </c>
      <c r="AB2141">
        <v>659.8</v>
      </c>
      <c r="AC2141">
        <v>0</v>
      </c>
      <c r="AD2141" t="s">
        <v>94</v>
      </c>
      <c r="AE2141" t="s">
        <v>94</v>
      </c>
      <c r="AF2141" t="s">
        <v>226</v>
      </c>
      <c r="AG2141" t="s">
        <v>226</v>
      </c>
      <c r="AH2141">
        <v>6</v>
      </c>
      <c r="AI2141" t="s">
        <v>3537</v>
      </c>
      <c r="AJ2141" t="s">
        <v>1976</v>
      </c>
      <c r="AK2141" t="s">
        <v>2416</v>
      </c>
      <c r="AL2141" t="s">
        <v>272</v>
      </c>
    </row>
    <row r="2142" spans="1:38">
      <c r="A2142" t="s">
        <v>9166</v>
      </c>
      <c r="B2142" t="s">
        <v>9167</v>
      </c>
      <c r="C2142" t="s">
        <v>9168</v>
      </c>
      <c r="D2142" t="s">
        <v>9168</v>
      </c>
      <c r="E2142" t="s">
        <v>9169</v>
      </c>
      <c r="F2142" t="s">
        <v>2413</v>
      </c>
      <c r="G2142">
        <v>3</v>
      </c>
      <c r="H2142">
        <v>1</v>
      </c>
      <c r="I2142">
        <v>0.01</v>
      </c>
      <c r="J2142">
        <v>1000</v>
      </c>
      <c r="K2142">
        <v>-1.03</v>
      </c>
      <c r="L2142">
        <v>69.27</v>
      </c>
      <c r="M2142">
        <v>69.989999999999995</v>
      </c>
      <c r="N2142">
        <v>69.81</v>
      </c>
      <c r="O2142">
        <v>69.34</v>
      </c>
      <c r="P2142">
        <v>0</v>
      </c>
      <c r="Q2142">
        <v>0</v>
      </c>
      <c r="R2142">
        <v>0</v>
      </c>
      <c r="S2142">
        <v>69.55</v>
      </c>
      <c r="T2142">
        <v>70.599999999999994</v>
      </c>
      <c r="U2142">
        <v>68.8</v>
      </c>
      <c r="V2142">
        <v>70.61</v>
      </c>
      <c r="W2142">
        <v>573779</v>
      </c>
      <c r="X2142">
        <v>68.95</v>
      </c>
      <c r="Y2142">
        <v>69.2</v>
      </c>
      <c r="Z2142">
        <v>123</v>
      </c>
      <c r="AA2142">
        <v>400000</v>
      </c>
      <c r="AB2142">
        <v>692.7</v>
      </c>
      <c r="AC2142">
        <v>0</v>
      </c>
      <c r="AD2142" t="s">
        <v>94</v>
      </c>
      <c r="AE2142" t="s">
        <v>94</v>
      </c>
      <c r="AF2142" t="s">
        <v>226</v>
      </c>
      <c r="AG2142" t="s">
        <v>226</v>
      </c>
      <c r="AH2142">
        <v>6</v>
      </c>
      <c r="AI2142" t="s">
        <v>3537</v>
      </c>
      <c r="AJ2142" t="s">
        <v>1976</v>
      </c>
      <c r="AK2142" t="s">
        <v>2416</v>
      </c>
      <c r="AL2142" t="s">
        <v>272</v>
      </c>
    </row>
    <row r="2143" spans="1:38">
      <c r="A2143" t="s">
        <v>9170</v>
      </c>
      <c r="B2143" t="s">
        <v>9171</v>
      </c>
      <c r="C2143" t="s">
        <v>9172</v>
      </c>
      <c r="D2143" t="s">
        <v>9172</v>
      </c>
      <c r="E2143" t="s">
        <v>9173</v>
      </c>
      <c r="F2143" t="s">
        <v>2413</v>
      </c>
      <c r="G2143">
        <v>3</v>
      </c>
      <c r="H2143">
        <v>1</v>
      </c>
      <c r="I2143">
        <v>0.01</v>
      </c>
      <c r="J2143">
        <v>1000</v>
      </c>
      <c r="K2143">
        <v>-0.06</v>
      </c>
      <c r="L2143">
        <v>98.64</v>
      </c>
      <c r="M2143">
        <v>98.98</v>
      </c>
      <c r="N2143">
        <v>99.1</v>
      </c>
      <c r="O2143">
        <v>98.58</v>
      </c>
      <c r="P2143">
        <v>0</v>
      </c>
      <c r="Q2143">
        <v>0</v>
      </c>
      <c r="R2143">
        <v>0</v>
      </c>
      <c r="S2143">
        <v>98.86</v>
      </c>
      <c r="T2143">
        <v>99.38</v>
      </c>
      <c r="U2143">
        <v>98.54</v>
      </c>
      <c r="V2143">
        <v>99.38</v>
      </c>
      <c r="W2143">
        <v>1028101</v>
      </c>
      <c r="X2143">
        <v>98.54</v>
      </c>
      <c r="Y2143">
        <v>98.64</v>
      </c>
      <c r="Z2143">
        <v>132</v>
      </c>
      <c r="AA2143">
        <v>300000</v>
      </c>
      <c r="AB2143">
        <v>986.4</v>
      </c>
      <c r="AC2143">
        <v>0</v>
      </c>
      <c r="AD2143" t="s">
        <v>94</v>
      </c>
      <c r="AE2143" t="s">
        <v>94</v>
      </c>
      <c r="AF2143" t="s">
        <v>226</v>
      </c>
      <c r="AG2143" t="s">
        <v>226</v>
      </c>
      <c r="AH2143">
        <v>6</v>
      </c>
      <c r="AI2143" t="s">
        <v>3537</v>
      </c>
      <c r="AJ2143" t="s">
        <v>1976</v>
      </c>
      <c r="AK2143" t="s">
        <v>2416</v>
      </c>
      <c r="AL2143" t="s">
        <v>272</v>
      </c>
    </row>
    <row r="2144" spans="1:38">
      <c r="A2144" t="s">
        <v>9174</v>
      </c>
      <c r="B2144" t="s">
        <v>9175</v>
      </c>
      <c r="C2144" t="s">
        <v>9176</v>
      </c>
      <c r="D2144" t="s">
        <v>9176</v>
      </c>
      <c r="E2144" t="s">
        <v>9177</v>
      </c>
      <c r="F2144" t="s">
        <v>2413</v>
      </c>
      <c r="G2144">
        <v>3</v>
      </c>
      <c r="H2144">
        <v>1</v>
      </c>
      <c r="I2144">
        <v>0.01</v>
      </c>
      <c r="J2144">
        <v>1000</v>
      </c>
      <c r="K2144">
        <v>-0.3</v>
      </c>
      <c r="L2144">
        <v>100.11</v>
      </c>
      <c r="M2144">
        <v>100.41</v>
      </c>
      <c r="N2144">
        <v>100.09</v>
      </c>
      <c r="O2144">
        <v>100.19</v>
      </c>
      <c r="P2144">
        <v>0</v>
      </c>
      <c r="Q2144">
        <v>0</v>
      </c>
      <c r="R2144">
        <v>0</v>
      </c>
      <c r="S2144">
        <v>100.17</v>
      </c>
      <c r="T2144">
        <v>100.13</v>
      </c>
      <c r="U2144">
        <v>100</v>
      </c>
      <c r="V2144">
        <v>100.35</v>
      </c>
      <c r="W2144">
        <v>1410457</v>
      </c>
      <c r="X2144">
        <v>100.12</v>
      </c>
      <c r="Y2144">
        <v>100.3</v>
      </c>
      <c r="Z2144">
        <v>73</v>
      </c>
      <c r="AA2144">
        <v>1000000</v>
      </c>
      <c r="AB2144">
        <v>14015.4</v>
      </c>
      <c r="AC2144">
        <v>0</v>
      </c>
      <c r="AD2144" t="s">
        <v>94</v>
      </c>
      <c r="AE2144" t="s">
        <v>94</v>
      </c>
      <c r="AF2144" t="s">
        <v>226</v>
      </c>
      <c r="AG2144" t="s">
        <v>226</v>
      </c>
      <c r="AH2144">
        <v>800</v>
      </c>
      <c r="AI2144" t="s">
        <v>3537</v>
      </c>
      <c r="AJ2144" t="s">
        <v>1976</v>
      </c>
      <c r="AK2144" t="s">
        <v>2416</v>
      </c>
      <c r="AL2144" t="s">
        <v>272</v>
      </c>
    </row>
    <row r="2145" spans="1:38">
      <c r="A2145" t="s">
        <v>9178</v>
      </c>
      <c r="B2145" t="s">
        <v>9179</v>
      </c>
      <c r="C2145" t="s">
        <v>9180</v>
      </c>
      <c r="D2145" t="s">
        <v>9180</v>
      </c>
      <c r="E2145" t="s">
        <v>9181</v>
      </c>
      <c r="F2145" t="s">
        <v>2413</v>
      </c>
      <c r="G2145">
        <v>3</v>
      </c>
      <c r="H2145">
        <v>1</v>
      </c>
      <c r="I2145">
        <v>0.01</v>
      </c>
      <c r="J2145">
        <v>1000</v>
      </c>
      <c r="K2145">
        <v>-0.53</v>
      </c>
      <c r="L2145">
        <v>90.22</v>
      </c>
      <c r="M2145">
        <v>90.7</v>
      </c>
      <c r="N2145">
        <v>90.46</v>
      </c>
      <c r="O2145">
        <v>90.22</v>
      </c>
      <c r="P2145">
        <v>0</v>
      </c>
      <c r="Q2145">
        <v>0</v>
      </c>
      <c r="R2145">
        <v>0</v>
      </c>
      <c r="S2145">
        <v>90.39</v>
      </c>
      <c r="T2145">
        <v>90.04</v>
      </c>
      <c r="U2145">
        <v>90.03</v>
      </c>
      <c r="V2145">
        <v>90.75</v>
      </c>
      <c r="W2145">
        <v>151861</v>
      </c>
      <c r="X2145">
        <v>90.3</v>
      </c>
      <c r="Y2145">
        <v>90.5</v>
      </c>
      <c r="Z2145">
        <v>20</v>
      </c>
      <c r="AA2145">
        <v>500000</v>
      </c>
      <c r="AB2145">
        <v>902.2</v>
      </c>
      <c r="AC2145">
        <v>0</v>
      </c>
      <c r="AD2145" t="s">
        <v>94</v>
      </c>
      <c r="AE2145" t="s">
        <v>94</v>
      </c>
      <c r="AF2145" t="s">
        <v>226</v>
      </c>
      <c r="AG2145" t="s">
        <v>226</v>
      </c>
      <c r="AH2145">
        <v>800</v>
      </c>
      <c r="AI2145" t="s">
        <v>3537</v>
      </c>
      <c r="AJ2145" t="s">
        <v>1976</v>
      </c>
      <c r="AK2145" t="s">
        <v>2416</v>
      </c>
      <c r="AL2145" t="s">
        <v>272</v>
      </c>
    </row>
    <row r="2146" spans="1:38">
      <c r="A2146" t="s">
        <v>9182</v>
      </c>
      <c r="B2146" t="s">
        <v>9183</v>
      </c>
      <c r="C2146" t="s">
        <v>9184</v>
      </c>
      <c r="D2146" t="s">
        <v>9184</v>
      </c>
      <c r="E2146" t="s">
        <v>9185</v>
      </c>
      <c r="F2146" t="s">
        <v>2413</v>
      </c>
      <c r="G2146">
        <v>3</v>
      </c>
      <c r="H2146">
        <v>1</v>
      </c>
      <c r="I2146">
        <v>0.01</v>
      </c>
      <c r="J2146">
        <v>1000</v>
      </c>
      <c r="K2146">
        <v>0</v>
      </c>
      <c r="L2146">
        <v>0</v>
      </c>
      <c r="M2146">
        <v>98</v>
      </c>
      <c r="N2146">
        <v>94.56</v>
      </c>
      <c r="O2146">
        <v>98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93.01</v>
      </c>
      <c r="Y2146">
        <v>99.99</v>
      </c>
      <c r="Z2146">
        <v>0</v>
      </c>
      <c r="AA2146">
        <v>318524</v>
      </c>
      <c r="AB2146">
        <v>0</v>
      </c>
      <c r="AC2146">
        <v>0</v>
      </c>
      <c r="AD2146" t="s">
        <v>94</v>
      </c>
      <c r="AE2146" t="s">
        <v>94</v>
      </c>
      <c r="AF2146" t="s">
        <v>304</v>
      </c>
      <c r="AG2146" t="s">
        <v>226</v>
      </c>
      <c r="AH2146">
        <v>0</v>
      </c>
      <c r="AI2146" t="s">
        <v>3537</v>
      </c>
      <c r="AJ2146" t="s">
        <v>1976</v>
      </c>
      <c r="AK2146" t="s">
        <v>2416</v>
      </c>
      <c r="AL2146" t="s">
        <v>272</v>
      </c>
    </row>
    <row r="2147" spans="1:38">
      <c r="A2147" t="s">
        <v>9186</v>
      </c>
      <c r="B2147" t="s">
        <v>9187</v>
      </c>
      <c r="C2147" t="s">
        <v>9188</v>
      </c>
      <c r="D2147" t="s">
        <v>9188</v>
      </c>
      <c r="E2147" t="s">
        <v>9189</v>
      </c>
      <c r="F2147" t="s">
        <v>2425</v>
      </c>
      <c r="G2147">
        <v>2</v>
      </c>
      <c r="H2147">
        <v>1</v>
      </c>
      <c r="I2147">
        <v>0.01</v>
      </c>
      <c r="J2147">
        <v>1000</v>
      </c>
      <c r="K2147">
        <v>-0.2</v>
      </c>
      <c r="L2147">
        <v>93.81</v>
      </c>
      <c r="M2147">
        <v>94</v>
      </c>
      <c r="N2147">
        <v>93.11</v>
      </c>
      <c r="O2147">
        <v>93.81</v>
      </c>
      <c r="P2147">
        <v>0</v>
      </c>
      <c r="Q2147">
        <v>0</v>
      </c>
      <c r="R2147">
        <v>0</v>
      </c>
      <c r="S2147">
        <v>93.94</v>
      </c>
      <c r="T2147">
        <v>93.7</v>
      </c>
      <c r="U2147">
        <v>93.7</v>
      </c>
      <c r="V2147">
        <v>94.3</v>
      </c>
      <c r="W2147">
        <v>96762</v>
      </c>
      <c r="X2147">
        <v>93.81</v>
      </c>
      <c r="Y2147">
        <v>93.99</v>
      </c>
      <c r="Z2147">
        <v>28</v>
      </c>
      <c r="AA2147">
        <v>500000</v>
      </c>
      <c r="AB2147">
        <v>938.1</v>
      </c>
      <c r="AC2147">
        <v>0</v>
      </c>
      <c r="AD2147" t="s">
        <v>94</v>
      </c>
      <c r="AE2147" t="s">
        <v>94</v>
      </c>
      <c r="AF2147" t="s">
        <v>226</v>
      </c>
      <c r="AG2147" t="s">
        <v>226</v>
      </c>
      <c r="AH2147">
        <v>6</v>
      </c>
      <c r="AI2147" t="s">
        <v>3537</v>
      </c>
      <c r="AJ2147" t="s">
        <v>1976</v>
      </c>
      <c r="AK2147" t="s">
        <v>2426</v>
      </c>
      <c r="AL2147" t="s">
        <v>272</v>
      </c>
    </row>
    <row r="2148" spans="1:38">
      <c r="A2148" t="s">
        <v>9190</v>
      </c>
      <c r="B2148" t="s">
        <v>2527</v>
      </c>
      <c r="C2148" t="s">
        <v>2528</v>
      </c>
      <c r="D2148" t="s">
        <v>2528</v>
      </c>
      <c r="E2148" t="s">
        <v>2529</v>
      </c>
      <c r="F2148" t="s">
        <v>2413</v>
      </c>
      <c r="G2148">
        <v>3</v>
      </c>
      <c r="H2148">
        <v>1</v>
      </c>
      <c r="I2148">
        <v>1E-4</v>
      </c>
      <c r="J2148">
        <v>1000</v>
      </c>
      <c r="K2148">
        <v>-0.56999999999999995</v>
      </c>
      <c r="L2148">
        <v>88.2</v>
      </c>
      <c r="M2148">
        <v>88.71</v>
      </c>
      <c r="N2148">
        <v>89.445499999999996</v>
      </c>
      <c r="O2148">
        <v>90.099500000000006</v>
      </c>
      <c r="P2148">
        <v>0</v>
      </c>
      <c r="Q2148">
        <v>0</v>
      </c>
      <c r="R2148">
        <v>0</v>
      </c>
      <c r="S2148">
        <v>89.148700000000005</v>
      </c>
      <c r="T2148">
        <v>88.510099999999994</v>
      </c>
      <c r="U2148">
        <v>87.57</v>
      </c>
      <c r="V2148">
        <v>88.510099999999994</v>
      </c>
      <c r="W2148">
        <v>808020</v>
      </c>
      <c r="X2148">
        <v>87.802099999999996</v>
      </c>
      <c r="Y2148">
        <v>88.47</v>
      </c>
      <c r="Z2148">
        <v>30</v>
      </c>
      <c r="AA2148">
        <v>2600000</v>
      </c>
      <c r="AB2148">
        <v>141207.76</v>
      </c>
      <c r="AC2148">
        <v>0</v>
      </c>
      <c r="AD2148" t="s">
        <v>1663</v>
      </c>
      <c r="AE2148" t="s">
        <v>94</v>
      </c>
      <c r="AF2148" t="s">
        <v>226</v>
      </c>
      <c r="AG2148" t="s">
        <v>226</v>
      </c>
      <c r="AH2148">
        <v>-100</v>
      </c>
      <c r="AI2148" t="s">
        <v>3537</v>
      </c>
      <c r="AJ2148" t="s">
        <v>1976</v>
      </c>
      <c r="AK2148" t="s">
        <v>2416</v>
      </c>
      <c r="AL2148" t="s">
        <v>272</v>
      </c>
    </row>
    <row r="2149" spans="1:38">
      <c r="A2149" t="s">
        <v>9191</v>
      </c>
      <c r="B2149" t="s">
        <v>9192</v>
      </c>
      <c r="C2149" t="s">
        <v>9193</v>
      </c>
      <c r="D2149" t="s">
        <v>9193</v>
      </c>
      <c r="E2149" t="s">
        <v>9194</v>
      </c>
      <c r="F2149" t="s">
        <v>2425</v>
      </c>
      <c r="G2149">
        <v>3</v>
      </c>
      <c r="H2149">
        <v>1</v>
      </c>
      <c r="I2149">
        <v>1E-4</v>
      </c>
      <c r="J2149">
        <v>1000</v>
      </c>
      <c r="K2149">
        <v>-3.01</v>
      </c>
      <c r="L2149">
        <v>79.416799999999995</v>
      </c>
      <c r="M2149">
        <v>81.187100000000001</v>
      </c>
      <c r="N2149">
        <v>79.594999999999999</v>
      </c>
      <c r="O2149">
        <v>79.416799999999995</v>
      </c>
      <c r="P2149">
        <v>0</v>
      </c>
      <c r="Q2149">
        <v>0</v>
      </c>
      <c r="R2149">
        <v>0</v>
      </c>
      <c r="S2149">
        <v>79.662499999999994</v>
      </c>
      <c r="T2149">
        <v>81.187299999999993</v>
      </c>
      <c r="U2149">
        <v>78.268199999999993</v>
      </c>
      <c r="V2149">
        <v>81.187299999999993</v>
      </c>
      <c r="W2149">
        <v>11081527</v>
      </c>
      <c r="X2149">
        <v>79.0197</v>
      </c>
      <c r="Y2149">
        <v>79.575999999999993</v>
      </c>
      <c r="Z2149">
        <v>49</v>
      </c>
      <c r="AA2149">
        <v>382823</v>
      </c>
      <c r="AB2149">
        <v>84330.95</v>
      </c>
      <c r="AC2149">
        <v>0</v>
      </c>
      <c r="AD2149" t="s">
        <v>2</v>
      </c>
      <c r="AE2149" t="s">
        <v>94</v>
      </c>
      <c r="AF2149" t="s">
        <v>226</v>
      </c>
      <c r="AG2149" t="s">
        <v>226</v>
      </c>
      <c r="AH2149">
        <v>-100</v>
      </c>
      <c r="AI2149" t="s">
        <v>3537</v>
      </c>
      <c r="AJ2149" t="s">
        <v>1976</v>
      </c>
      <c r="AK2149" t="s">
        <v>2426</v>
      </c>
      <c r="AL2149" t="s">
        <v>272</v>
      </c>
    </row>
    <row r="2150" spans="1:38">
      <c r="A2150" t="s">
        <v>9195</v>
      </c>
      <c r="B2150" t="s">
        <v>9196</v>
      </c>
      <c r="C2150" t="s">
        <v>9197</v>
      </c>
      <c r="D2150" t="s">
        <v>9197</v>
      </c>
      <c r="E2150" t="s">
        <v>9198</v>
      </c>
      <c r="F2150" t="s">
        <v>2413</v>
      </c>
      <c r="G2150">
        <v>2</v>
      </c>
      <c r="H2150">
        <v>1</v>
      </c>
      <c r="I2150">
        <v>0.01</v>
      </c>
      <c r="J2150">
        <v>1000</v>
      </c>
      <c r="K2150">
        <v>0.08</v>
      </c>
      <c r="L2150">
        <v>83.99</v>
      </c>
      <c r="M2150">
        <v>83.78</v>
      </c>
      <c r="N2150">
        <v>83.73</v>
      </c>
      <c r="O2150">
        <v>83.99</v>
      </c>
      <c r="P2150">
        <v>0</v>
      </c>
      <c r="Q2150">
        <v>0</v>
      </c>
      <c r="R2150">
        <v>0</v>
      </c>
      <c r="S2150">
        <v>83.95</v>
      </c>
      <c r="T2150">
        <v>84.29</v>
      </c>
      <c r="U2150">
        <v>83.8</v>
      </c>
      <c r="V2150">
        <v>84.29</v>
      </c>
      <c r="W2150">
        <v>1281962</v>
      </c>
      <c r="X2150">
        <v>83.96</v>
      </c>
      <c r="Y2150">
        <v>83.99</v>
      </c>
      <c r="Z2150">
        <v>189</v>
      </c>
      <c r="AA2150">
        <v>6000000</v>
      </c>
      <c r="AB2150">
        <v>4199.5</v>
      </c>
      <c r="AC2150">
        <v>0</v>
      </c>
      <c r="AD2150" t="s">
        <v>94</v>
      </c>
      <c r="AE2150" t="s">
        <v>94</v>
      </c>
      <c r="AF2150" t="s">
        <v>226</v>
      </c>
      <c r="AG2150" t="s">
        <v>226</v>
      </c>
      <c r="AH2150">
        <v>6</v>
      </c>
      <c r="AI2150" t="s">
        <v>3537</v>
      </c>
      <c r="AJ2150" t="s">
        <v>1976</v>
      </c>
      <c r="AK2150" t="s">
        <v>2416</v>
      </c>
      <c r="AL2150" t="s">
        <v>272</v>
      </c>
    </row>
    <row r="2151" spans="1:38">
      <c r="A2151" t="s">
        <v>9199</v>
      </c>
      <c r="B2151" t="s">
        <v>9200</v>
      </c>
      <c r="C2151" t="s">
        <v>9201</v>
      </c>
      <c r="D2151" t="s">
        <v>9201</v>
      </c>
      <c r="E2151" t="s">
        <v>9202</v>
      </c>
      <c r="F2151" t="s">
        <v>2413</v>
      </c>
      <c r="G2151">
        <v>3</v>
      </c>
      <c r="H2151">
        <v>1</v>
      </c>
      <c r="I2151">
        <v>0.01</v>
      </c>
      <c r="J2151">
        <v>1000</v>
      </c>
      <c r="K2151">
        <v>-0.15</v>
      </c>
      <c r="L2151">
        <v>96.81</v>
      </c>
      <c r="M2151">
        <v>96.96</v>
      </c>
      <c r="N2151">
        <v>99.22</v>
      </c>
      <c r="O2151">
        <v>96.81</v>
      </c>
      <c r="P2151">
        <v>0</v>
      </c>
      <c r="Q2151">
        <v>0</v>
      </c>
      <c r="R2151">
        <v>0</v>
      </c>
      <c r="S2151">
        <v>94.05</v>
      </c>
      <c r="T2151">
        <v>94.82</v>
      </c>
      <c r="U2151">
        <v>92.64</v>
      </c>
      <c r="V2151">
        <v>97.58</v>
      </c>
      <c r="W2151">
        <v>39501</v>
      </c>
      <c r="X2151">
        <v>96.81</v>
      </c>
      <c r="Y2151">
        <v>97.28</v>
      </c>
      <c r="Z2151">
        <v>12</v>
      </c>
      <c r="AA2151">
        <v>500000</v>
      </c>
      <c r="AB2151">
        <v>968.1</v>
      </c>
      <c r="AC2151">
        <v>0</v>
      </c>
      <c r="AD2151" t="s">
        <v>94</v>
      </c>
      <c r="AE2151" t="s">
        <v>94</v>
      </c>
      <c r="AF2151" t="s">
        <v>226</v>
      </c>
      <c r="AG2151" t="s">
        <v>226</v>
      </c>
      <c r="AH2151">
        <v>800</v>
      </c>
      <c r="AI2151" t="s">
        <v>3537</v>
      </c>
      <c r="AJ2151" t="s">
        <v>1976</v>
      </c>
      <c r="AK2151" t="s">
        <v>2416</v>
      </c>
      <c r="AL2151" t="s">
        <v>272</v>
      </c>
    </row>
    <row r="2152" spans="1:38">
      <c r="A2152" t="s">
        <v>9203</v>
      </c>
      <c r="B2152" t="s">
        <v>9204</v>
      </c>
      <c r="C2152" t="s">
        <v>9205</v>
      </c>
      <c r="D2152" t="s">
        <v>9205</v>
      </c>
      <c r="E2152" t="s">
        <v>9206</v>
      </c>
      <c r="F2152" t="s">
        <v>2413</v>
      </c>
      <c r="G2152">
        <v>3</v>
      </c>
      <c r="H2152">
        <v>1</v>
      </c>
      <c r="I2152">
        <v>0.01</v>
      </c>
      <c r="J2152">
        <v>1000</v>
      </c>
      <c r="K2152">
        <v>-4.84</v>
      </c>
      <c r="L2152">
        <v>69.16</v>
      </c>
      <c r="M2152">
        <v>72.69</v>
      </c>
      <c r="N2152">
        <v>71.98</v>
      </c>
      <c r="O2152">
        <v>69.16</v>
      </c>
      <c r="P2152">
        <v>0</v>
      </c>
      <c r="Q2152">
        <v>0</v>
      </c>
      <c r="R2152">
        <v>0</v>
      </c>
      <c r="S2152">
        <v>67.36</v>
      </c>
      <c r="T2152">
        <v>66.27</v>
      </c>
      <c r="U2152">
        <v>66</v>
      </c>
      <c r="V2152">
        <v>71.72</v>
      </c>
      <c r="W2152">
        <v>49847</v>
      </c>
      <c r="X2152">
        <v>69.680000000000007</v>
      </c>
      <c r="Y2152">
        <v>72.540000000000006</v>
      </c>
      <c r="Z2152">
        <v>30</v>
      </c>
      <c r="AA2152">
        <v>60000</v>
      </c>
      <c r="AB2152">
        <v>4841.2</v>
      </c>
      <c r="AC2152">
        <v>0</v>
      </c>
      <c r="AD2152" t="s">
        <v>94</v>
      </c>
      <c r="AE2152" t="s">
        <v>94</v>
      </c>
      <c r="AF2152" t="s">
        <v>226</v>
      </c>
      <c r="AG2152" t="s">
        <v>226</v>
      </c>
      <c r="AH2152">
        <v>6</v>
      </c>
      <c r="AI2152" t="s">
        <v>3537</v>
      </c>
      <c r="AJ2152" t="s">
        <v>1976</v>
      </c>
      <c r="AK2152" t="s">
        <v>2416</v>
      </c>
      <c r="AL2152" t="s">
        <v>272</v>
      </c>
    </row>
    <row r="2153" spans="1:38">
      <c r="A2153" t="s">
        <v>9207</v>
      </c>
      <c r="B2153" t="s">
        <v>9208</v>
      </c>
      <c r="C2153" t="s">
        <v>9209</v>
      </c>
      <c r="D2153" t="s">
        <v>9209</v>
      </c>
      <c r="E2153" t="s">
        <v>9210</v>
      </c>
      <c r="F2153" t="s">
        <v>2413</v>
      </c>
      <c r="G2153">
        <v>3</v>
      </c>
      <c r="H2153">
        <v>1</v>
      </c>
      <c r="I2153">
        <v>0.01</v>
      </c>
      <c r="J2153">
        <v>340</v>
      </c>
      <c r="K2153">
        <v>0.91</v>
      </c>
      <c r="L2153">
        <v>93.59</v>
      </c>
      <c r="M2153">
        <v>92.74</v>
      </c>
      <c r="N2153">
        <v>92.74</v>
      </c>
      <c r="O2153">
        <v>93.56</v>
      </c>
      <c r="P2153">
        <v>0</v>
      </c>
      <c r="Q2153">
        <v>0</v>
      </c>
      <c r="R2153">
        <v>0</v>
      </c>
      <c r="S2153">
        <v>93.2</v>
      </c>
      <c r="T2153">
        <v>94.52</v>
      </c>
      <c r="U2153">
        <v>92.77</v>
      </c>
      <c r="V2153">
        <v>94.52</v>
      </c>
      <c r="W2153">
        <v>44366</v>
      </c>
      <c r="X2153">
        <v>92.95</v>
      </c>
      <c r="Y2153">
        <v>93.55</v>
      </c>
      <c r="Z2153">
        <v>48</v>
      </c>
      <c r="AA2153">
        <v>100000</v>
      </c>
      <c r="AB2153">
        <v>636.41</v>
      </c>
      <c r="AC2153">
        <v>0</v>
      </c>
      <c r="AD2153" t="s">
        <v>94</v>
      </c>
      <c r="AE2153" t="s">
        <v>94</v>
      </c>
      <c r="AF2153" t="s">
        <v>226</v>
      </c>
      <c r="AG2153" t="s">
        <v>226</v>
      </c>
      <c r="AH2153">
        <v>6</v>
      </c>
      <c r="AI2153" t="s">
        <v>3537</v>
      </c>
      <c r="AJ2153" t="s">
        <v>1976</v>
      </c>
      <c r="AK2153" t="s">
        <v>2416</v>
      </c>
      <c r="AL2153" t="s">
        <v>272</v>
      </c>
    </row>
    <row r="2154" spans="1:38">
      <c r="A2154" t="s">
        <v>9211</v>
      </c>
      <c r="B2154" t="s">
        <v>9212</v>
      </c>
      <c r="C2154" t="s">
        <v>9213</v>
      </c>
      <c r="D2154" t="s">
        <v>9213</v>
      </c>
      <c r="E2154" t="s">
        <v>9214</v>
      </c>
      <c r="F2154" t="s">
        <v>2413</v>
      </c>
      <c r="G2154">
        <v>3</v>
      </c>
      <c r="H2154">
        <v>1</v>
      </c>
      <c r="I2154">
        <v>0.01</v>
      </c>
      <c r="J2154">
        <v>550</v>
      </c>
      <c r="K2154">
        <v>-0.62</v>
      </c>
      <c r="L2154">
        <v>83.65</v>
      </c>
      <c r="M2154">
        <v>84.17</v>
      </c>
      <c r="N2154">
        <v>83.74</v>
      </c>
      <c r="O2154">
        <v>83.65</v>
      </c>
      <c r="P2154">
        <v>0</v>
      </c>
      <c r="Q2154">
        <v>0</v>
      </c>
      <c r="R2154">
        <v>0</v>
      </c>
      <c r="S2154">
        <v>83.52</v>
      </c>
      <c r="T2154">
        <v>84.16</v>
      </c>
      <c r="U2154">
        <v>83.2</v>
      </c>
      <c r="V2154">
        <v>84.16</v>
      </c>
      <c r="W2154">
        <v>335351</v>
      </c>
      <c r="X2154">
        <v>83.31</v>
      </c>
      <c r="Y2154">
        <v>83.7</v>
      </c>
      <c r="Z2154">
        <v>55</v>
      </c>
      <c r="AA2154">
        <v>200000</v>
      </c>
      <c r="AB2154">
        <v>460.08</v>
      </c>
      <c r="AC2154">
        <v>0</v>
      </c>
      <c r="AD2154" t="s">
        <v>94</v>
      </c>
      <c r="AE2154" t="s">
        <v>94</v>
      </c>
      <c r="AF2154" t="s">
        <v>226</v>
      </c>
      <c r="AG2154" t="s">
        <v>226</v>
      </c>
      <c r="AH2154">
        <v>6</v>
      </c>
      <c r="AI2154" t="s">
        <v>3537</v>
      </c>
      <c r="AJ2154" t="s">
        <v>1976</v>
      </c>
      <c r="AK2154" t="s">
        <v>2416</v>
      </c>
      <c r="AL2154" t="s">
        <v>272</v>
      </c>
    </row>
    <row r="2155" spans="1:38">
      <c r="A2155" t="s">
        <v>9215</v>
      </c>
      <c r="B2155" t="s">
        <v>9216</v>
      </c>
      <c r="C2155" t="s">
        <v>9217</v>
      </c>
      <c r="D2155" t="s">
        <v>9217</v>
      </c>
      <c r="E2155" t="s">
        <v>9218</v>
      </c>
      <c r="F2155" t="s">
        <v>2413</v>
      </c>
      <c r="G2155">
        <v>3</v>
      </c>
      <c r="H2155">
        <v>1</v>
      </c>
      <c r="I2155">
        <v>0.01</v>
      </c>
      <c r="J2155">
        <v>730</v>
      </c>
      <c r="K2155">
        <v>-0.16</v>
      </c>
      <c r="L2155">
        <v>84.81</v>
      </c>
      <c r="M2155">
        <v>84.88</v>
      </c>
      <c r="N2155">
        <v>85.09</v>
      </c>
      <c r="O2155">
        <v>85.16</v>
      </c>
      <c r="P2155">
        <v>0</v>
      </c>
      <c r="Q2155">
        <v>0</v>
      </c>
      <c r="R2155">
        <v>0</v>
      </c>
      <c r="S2155">
        <v>85.54</v>
      </c>
      <c r="T2155">
        <v>85.17</v>
      </c>
      <c r="U2155">
        <v>84.81</v>
      </c>
      <c r="V2155">
        <v>86.02</v>
      </c>
      <c r="W2155">
        <v>41837</v>
      </c>
      <c r="X2155">
        <v>85.16</v>
      </c>
      <c r="Y2155">
        <v>85.52</v>
      </c>
      <c r="Z2155">
        <v>20</v>
      </c>
      <c r="AA2155">
        <v>150000</v>
      </c>
      <c r="AB2155">
        <v>4333.79</v>
      </c>
      <c r="AC2155">
        <v>0</v>
      </c>
      <c r="AD2155" t="s">
        <v>94</v>
      </c>
      <c r="AE2155" t="s">
        <v>94</v>
      </c>
      <c r="AF2155" t="s">
        <v>226</v>
      </c>
      <c r="AG2155" t="s">
        <v>226</v>
      </c>
      <c r="AH2155">
        <v>6</v>
      </c>
      <c r="AI2155" t="s">
        <v>3537</v>
      </c>
      <c r="AJ2155" t="s">
        <v>1976</v>
      </c>
      <c r="AK2155" t="s">
        <v>2416</v>
      </c>
      <c r="AL2155" t="s">
        <v>272</v>
      </c>
    </row>
    <row r="2156" spans="1:38">
      <c r="A2156" t="s">
        <v>9219</v>
      </c>
      <c r="B2156" t="s">
        <v>9220</v>
      </c>
      <c r="C2156" t="s">
        <v>9221</v>
      </c>
      <c r="D2156" t="s">
        <v>9221</v>
      </c>
      <c r="E2156" t="s">
        <v>9222</v>
      </c>
      <c r="F2156" t="s">
        <v>2413</v>
      </c>
      <c r="G2156">
        <v>3</v>
      </c>
      <c r="H2156">
        <v>1</v>
      </c>
      <c r="I2156">
        <v>0.01</v>
      </c>
      <c r="J2156">
        <v>760</v>
      </c>
      <c r="K2156">
        <v>2.87</v>
      </c>
      <c r="L2156">
        <v>88.98</v>
      </c>
      <c r="M2156">
        <v>86.25</v>
      </c>
      <c r="N2156">
        <v>85.9</v>
      </c>
      <c r="O2156">
        <v>88.77</v>
      </c>
      <c r="P2156">
        <v>0</v>
      </c>
      <c r="Q2156">
        <v>0</v>
      </c>
      <c r="R2156">
        <v>0</v>
      </c>
      <c r="S2156">
        <v>87.28</v>
      </c>
      <c r="T2156">
        <v>87.12</v>
      </c>
      <c r="U2156">
        <v>86.51</v>
      </c>
      <c r="V2156">
        <v>89.07</v>
      </c>
      <c r="W2156">
        <v>414565</v>
      </c>
      <c r="X2156">
        <v>88.92</v>
      </c>
      <c r="Y2156">
        <v>88.99</v>
      </c>
      <c r="Z2156">
        <v>47</v>
      </c>
      <c r="AA2156">
        <v>150000</v>
      </c>
      <c r="AB2156">
        <v>676.25</v>
      </c>
      <c r="AC2156">
        <v>0</v>
      </c>
      <c r="AD2156" t="s">
        <v>94</v>
      </c>
      <c r="AE2156" t="s">
        <v>94</v>
      </c>
      <c r="AF2156" t="s">
        <v>226</v>
      </c>
      <c r="AG2156" t="s">
        <v>226</v>
      </c>
      <c r="AH2156">
        <v>6</v>
      </c>
      <c r="AI2156" t="s">
        <v>3537</v>
      </c>
      <c r="AJ2156" t="s">
        <v>1976</v>
      </c>
      <c r="AK2156" t="s">
        <v>2416</v>
      </c>
      <c r="AL2156" t="s">
        <v>272</v>
      </c>
    </row>
    <row r="2157" spans="1:38">
      <c r="A2157" t="s">
        <v>9223</v>
      </c>
      <c r="B2157" t="s">
        <v>9224</v>
      </c>
      <c r="C2157" t="s">
        <v>9225</v>
      </c>
      <c r="D2157" t="s">
        <v>9225</v>
      </c>
      <c r="E2157" t="s">
        <v>9226</v>
      </c>
      <c r="F2157" t="s">
        <v>2413</v>
      </c>
      <c r="G2157">
        <v>3</v>
      </c>
      <c r="H2157">
        <v>1</v>
      </c>
      <c r="I2157">
        <v>0.01</v>
      </c>
      <c r="J2157">
        <v>934</v>
      </c>
      <c r="K2157">
        <v>-1.65</v>
      </c>
      <c r="L2157">
        <v>83.3</v>
      </c>
      <c r="M2157">
        <v>84.7</v>
      </c>
      <c r="N2157">
        <v>84.1</v>
      </c>
      <c r="O2157">
        <v>83.05</v>
      </c>
      <c r="P2157">
        <v>0</v>
      </c>
      <c r="Q2157">
        <v>0</v>
      </c>
      <c r="R2157">
        <v>0</v>
      </c>
      <c r="S2157">
        <v>83.51</v>
      </c>
      <c r="T2157">
        <v>82.94</v>
      </c>
      <c r="U2157">
        <v>82.85</v>
      </c>
      <c r="V2157">
        <v>84.79</v>
      </c>
      <c r="W2157">
        <v>663748</v>
      </c>
      <c r="X2157">
        <v>83.1</v>
      </c>
      <c r="Y2157">
        <v>83.34</v>
      </c>
      <c r="Z2157">
        <v>64</v>
      </c>
      <c r="AA2157">
        <v>82352</v>
      </c>
      <c r="AB2157">
        <v>778.02</v>
      </c>
      <c r="AC2157">
        <v>0</v>
      </c>
      <c r="AD2157" t="s">
        <v>94</v>
      </c>
      <c r="AE2157" t="s">
        <v>94</v>
      </c>
      <c r="AF2157" t="s">
        <v>226</v>
      </c>
      <c r="AG2157" t="s">
        <v>226</v>
      </c>
      <c r="AH2157">
        <v>6</v>
      </c>
      <c r="AI2157" t="s">
        <v>3537</v>
      </c>
      <c r="AJ2157" t="s">
        <v>1976</v>
      </c>
      <c r="AK2157" t="s">
        <v>2416</v>
      </c>
      <c r="AL2157" t="s">
        <v>272</v>
      </c>
    </row>
    <row r="2158" spans="1:38">
      <c r="A2158" t="s">
        <v>9227</v>
      </c>
      <c r="B2158" t="s">
        <v>9228</v>
      </c>
      <c r="C2158" t="s">
        <v>9229</v>
      </c>
      <c r="D2158" t="s">
        <v>9229</v>
      </c>
      <c r="E2158" t="s">
        <v>9230</v>
      </c>
      <c r="F2158" t="s">
        <v>2413</v>
      </c>
      <c r="G2158">
        <v>2</v>
      </c>
      <c r="H2158">
        <v>1</v>
      </c>
      <c r="I2158">
        <v>0.01</v>
      </c>
      <c r="J2158">
        <v>1000</v>
      </c>
      <c r="K2158">
        <v>0.03</v>
      </c>
      <c r="L2158">
        <v>97.4</v>
      </c>
      <c r="M2158">
        <v>97.37</v>
      </c>
      <c r="N2158">
        <v>97.23</v>
      </c>
      <c r="O2158">
        <v>97.43</v>
      </c>
      <c r="P2158">
        <v>0</v>
      </c>
      <c r="Q2158">
        <v>0</v>
      </c>
      <c r="R2158">
        <v>0</v>
      </c>
      <c r="S2158">
        <v>97.34</v>
      </c>
      <c r="T2158">
        <v>97.37</v>
      </c>
      <c r="U2158">
        <v>97.16</v>
      </c>
      <c r="V2158">
        <v>97.53</v>
      </c>
      <c r="W2158">
        <v>1017156</v>
      </c>
      <c r="X2158">
        <v>97.4</v>
      </c>
      <c r="Y2158">
        <v>97.43</v>
      </c>
      <c r="Z2158">
        <v>175</v>
      </c>
      <c r="AA2158">
        <v>1000000</v>
      </c>
      <c r="AB2158">
        <v>974</v>
      </c>
      <c r="AC2158">
        <v>0</v>
      </c>
      <c r="AD2158" t="s">
        <v>94</v>
      </c>
      <c r="AE2158" t="s">
        <v>94</v>
      </c>
      <c r="AF2158" t="s">
        <v>226</v>
      </c>
      <c r="AG2158" t="s">
        <v>226</v>
      </c>
      <c r="AH2158">
        <v>6</v>
      </c>
      <c r="AI2158" t="s">
        <v>3537</v>
      </c>
      <c r="AJ2158" t="s">
        <v>1976</v>
      </c>
      <c r="AK2158" t="s">
        <v>2416</v>
      </c>
      <c r="AL2158" t="s">
        <v>272</v>
      </c>
    </row>
    <row r="2159" spans="1:38">
      <c r="A2159" t="s">
        <v>9231</v>
      </c>
      <c r="B2159" t="s">
        <v>9232</v>
      </c>
      <c r="C2159" t="s">
        <v>9233</v>
      </c>
      <c r="D2159" t="s">
        <v>9233</v>
      </c>
      <c r="E2159" t="s">
        <v>9234</v>
      </c>
      <c r="F2159" t="s">
        <v>2425</v>
      </c>
      <c r="G2159">
        <v>2</v>
      </c>
      <c r="H2159">
        <v>1</v>
      </c>
      <c r="I2159">
        <v>0.01</v>
      </c>
      <c r="J2159">
        <v>1000</v>
      </c>
      <c r="K2159">
        <v>-3.85</v>
      </c>
      <c r="L2159">
        <v>74.52</v>
      </c>
      <c r="M2159">
        <v>77.5</v>
      </c>
      <c r="N2159">
        <v>76.69</v>
      </c>
      <c r="O2159">
        <v>74.83</v>
      </c>
      <c r="P2159">
        <v>0</v>
      </c>
      <c r="Q2159">
        <v>0</v>
      </c>
      <c r="R2159">
        <v>0</v>
      </c>
      <c r="S2159">
        <v>74.83</v>
      </c>
      <c r="T2159">
        <v>75.47</v>
      </c>
      <c r="U2159">
        <v>74.52</v>
      </c>
      <c r="V2159">
        <v>75.47</v>
      </c>
      <c r="W2159">
        <v>4490</v>
      </c>
      <c r="X2159">
        <v>74.58</v>
      </c>
      <c r="Y2159">
        <v>76.25</v>
      </c>
      <c r="Z2159">
        <v>4</v>
      </c>
      <c r="AA2159">
        <v>10000000</v>
      </c>
      <c r="AB2159">
        <v>2235.6</v>
      </c>
      <c r="AC2159">
        <v>0</v>
      </c>
      <c r="AD2159" t="s">
        <v>94</v>
      </c>
      <c r="AE2159" t="s">
        <v>94</v>
      </c>
      <c r="AF2159" t="s">
        <v>226</v>
      </c>
      <c r="AG2159" t="s">
        <v>226</v>
      </c>
      <c r="AH2159">
        <v>-100</v>
      </c>
      <c r="AI2159" t="s">
        <v>3537</v>
      </c>
      <c r="AJ2159" t="s">
        <v>1976</v>
      </c>
      <c r="AK2159" t="s">
        <v>2426</v>
      </c>
      <c r="AL2159" t="s">
        <v>272</v>
      </c>
    </row>
    <row r="2160" spans="1:38">
      <c r="A2160" t="s">
        <v>9235</v>
      </c>
      <c r="B2160" t="s">
        <v>9236</v>
      </c>
      <c r="C2160" t="s">
        <v>9237</v>
      </c>
      <c r="D2160" t="s">
        <v>9237</v>
      </c>
      <c r="E2160" t="s">
        <v>9238</v>
      </c>
      <c r="F2160" t="s">
        <v>2413</v>
      </c>
      <c r="G2160">
        <v>3</v>
      </c>
      <c r="H2160">
        <v>1</v>
      </c>
      <c r="I2160">
        <v>0.01</v>
      </c>
      <c r="J2160">
        <v>1000</v>
      </c>
      <c r="K2160">
        <v>-1.33</v>
      </c>
      <c r="L2160">
        <v>94.98</v>
      </c>
      <c r="M2160">
        <v>94.67</v>
      </c>
      <c r="N2160">
        <v>94.22</v>
      </c>
      <c r="O2160">
        <v>94.69</v>
      </c>
      <c r="P2160">
        <v>0</v>
      </c>
      <c r="Q2160">
        <v>0</v>
      </c>
      <c r="R2160">
        <v>0</v>
      </c>
      <c r="S2160">
        <v>94.16</v>
      </c>
      <c r="T2160">
        <v>94.2</v>
      </c>
      <c r="U2160">
        <v>93.58</v>
      </c>
      <c r="V2160">
        <v>95</v>
      </c>
      <c r="W2160">
        <v>159134</v>
      </c>
      <c r="X2160">
        <v>94.48</v>
      </c>
      <c r="Y2160">
        <v>94.99</v>
      </c>
      <c r="Z2160">
        <v>32</v>
      </c>
      <c r="AA2160">
        <v>200000</v>
      </c>
      <c r="AB2160">
        <v>5698.8</v>
      </c>
      <c r="AC2160">
        <v>0</v>
      </c>
      <c r="AD2160" t="s">
        <v>94</v>
      </c>
      <c r="AE2160" t="s">
        <v>94</v>
      </c>
      <c r="AF2160" t="s">
        <v>226</v>
      </c>
      <c r="AG2160" t="s">
        <v>226</v>
      </c>
      <c r="AH2160">
        <v>6</v>
      </c>
      <c r="AI2160" t="s">
        <v>3537</v>
      </c>
      <c r="AJ2160" t="s">
        <v>1976</v>
      </c>
      <c r="AK2160" t="s">
        <v>2416</v>
      </c>
      <c r="AL2160" t="s">
        <v>272</v>
      </c>
    </row>
    <row r="2161" spans="1:38">
      <c r="A2161" t="s">
        <v>9239</v>
      </c>
      <c r="B2161" t="s">
        <v>9240</v>
      </c>
      <c r="C2161" t="s">
        <v>9241</v>
      </c>
      <c r="D2161" t="s">
        <v>9241</v>
      </c>
      <c r="E2161" t="s">
        <v>9242</v>
      </c>
      <c r="F2161" t="s">
        <v>2413</v>
      </c>
      <c r="G2161">
        <v>3</v>
      </c>
      <c r="H2161">
        <v>1</v>
      </c>
      <c r="I2161">
        <v>0.01</v>
      </c>
      <c r="J2161">
        <v>1000</v>
      </c>
      <c r="K2161">
        <v>0.3</v>
      </c>
      <c r="L2161">
        <v>71.099999999999994</v>
      </c>
      <c r="M2161">
        <v>70.89</v>
      </c>
      <c r="N2161">
        <v>70.42</v>
      </c>
      <c r="O2161">
        <v>71.09</v>
      </c>
      <c r="P2161">
        <v>0</v>
      </c>
      <c r="Q2161">
        <v>0</v>
      </c>
      <c r="R2161">
        <v>0</v>
      </c>
      <c r="S2161">
        <v>70.75</v>
      </c>
      <c r="T2161">
        <v>71.05</v>
      </c>
      <c r="U2161">
        <v>70.17</v>
      </c>
      <c r="V2161">
        <v>71.099999999999994</v>
      </c>
      <c r="W2161">
        <v>183940</v>
      </c>
      <c r="X2161">
        <v>70.819999999999993</v>
      </c>
      <c r="Y2161">
        <v>71.099999999999994</v>
      </c>
      <c r="Z2161">
        <v>36</v>
      </c>
      <c r="AA2161">
        <v>300000</v>
      </c>
      <c r="AB2161">
        <v>711</v>
      </c>
      <c r="AC2161">
        <v>0</v>
      </c>
      <c r="AD2161" t="s">
        <v>94</v>
      </c>
      <c r="AE2161" t="s">
        <v>94</v>
      </c>
      <c r="AF2161" t="s">
        <v>226</v>
      </c>
      <c r="AG2161" t="s">
        <v>226</v>
      </c>
      <c r="AH2161">
        <v>6</v>
      </c>
      <c r="AI2161" t="s">
        <v>3537</v>
      </c>
      <c r="AJ2161" t="s">
        <v>1976</v>
      </c>
      <c r="AK2161" t="s">
        <v>2416</v>
      </c>
      <c r="AL2161" t="s">
        <v>272</v>
      </c>
    </row>
    <row r="2162" spans="1:38">
      <c r="A2162" t="s">
        <v>9243</v>
      </c>
      <c r="B2162" t="s">
        <v>9244</v>
      </c>
      <c r="C2162" t="s">
        <v>9245</v>
      </c>
      <c r="D2162" t="s">
        <v>9245</v>
      </c>
      <c r="E2162" t="s">
        <v>9246</v>
      </c>
      <c r="F2162" t="s">
        <v>2413</v>
      </c>
      <c r="G2162">
        <v>3</v>
      </c>
      <c r="H2162">
        <v>1</v>
      </c>
      <c r="I2162">
        <v>0.01</v>
      </c>
      <c r="J2162">
        <v>1000</v>
      </c>
      <c r="K2162">
        <v>2.25</v>
      </c>
      <c r="L2162">
        <v>73.17</v>
      </c>
      <c r="M2162">
        <v>72.930000000000007</v>
      </c>
      <c r="N2162">
        <v>72.92</v>
      </c>
      <c r="O2162">
        <v>73.17</v>
      </c>
      <c r="P2162">
        <v>0</v>
      </c>
      <c r="Q2162">
        <v>0</v>
      </c>
      <c r="R2162">
        <v>0</v>
      </c>
      <c r="S2162">
        <v>73.010000000000005</v>
      </c>
      <c r="T2162">
        <v>73.569999999999993</v>
      </c>
      <c r="U2162">
        <v>72.92</v>
      </c>
      <c r="V2162">
        <v>73.569999999999993</v>
      </c>
      <c r="W2162">
        <v>32853</v>
      </c>
      <c r="X2162">
        <v>72.959999999999994</v>
      </c>
      <c r="Y2162">
        <v>73.14</v>
      </c>
      <c r="Z2162">
        <v>9</v>
      </c>
      <c r="AA2162">
        <v>100000</v>
      </c>
      <c r="AB2162">
        <v>3658.5</v>
      </c>
      <c r="AC2162">
        <v>0</v>
      </c>
      <c r="AD2162" t="s">
        <v>94</v>
      </c>
      <c r="AE2162" t="s">
        <v>94</v>
      </c>
      <c r="AF2162" t="s">
        <v>226</v>
      </c>
      <c r="AG2162" t="s">
        <v>226</v>
      </c>
      <c r="AH2162">
        <v>6</v>
      </c>
      <c r="AI2162" t="s">
        <v>3537</v>
      </c>
      <c r="AJ2162" t="s">
        <v>1976</v>
      </c>
      <c r="AK2162" t="s">
        <v>2416</v>
      </c>
      <c r="AL2162" t="s">
        <v>272</v>
      </c>
    </row>
    <row r="2163" spans="1:38">
      <c r="A2163" t="s">
        <v>9247</v>
      </c>
      <c r="B2163" t="s">
        <v>9248</v>
      </c>
      <c r="C2163" t="s">
        <v>9249</v>
      </c>
      <c r="D2163" t="s">
        <v>9249</v>
      </c>
      <c r="E2163" t="s">
        <v>9250</v>
      </c>
      <c r="F2163" t="s">
        <v>2413</v>
      </c>
      <c r="G2163">
        <v>3</v>
      </c>
      <c r="H2163">
        <v>1</v>
      </c>
      <c r="I2163">
        <v>0.01</v>
      </c>
      <c r="J2163">
        <v>1000</v>
      </c>
      <c r="K2163">
        <v>-0.2</v>
      </c>
      <c r="L2163">
        <v>73.650000000000006</v>
      </c>
      <c r="M2163">
        <v>73.8</v>
      </c>
      <c r="N2163">
        <v>73.98</v>
      </c>
      <c r="O2163">
        <v>73.61</v>
      </c>
      <c r="P2163">
        <v>0</v>
      </c>
      <c r="Q2163">
        <v>0</v>
      </c>
      <c r="R2163">
        <v>0</v>
      </c>
      <c r="S2163">
        <v>73.569999999999993</v>
      </c>
      <c r="T2163">
        <v>73.8</v>
      </c>
      <c r="U2163">
        <v>73.430000000000007</v>
      </c>
      <c r="V2163">
        <v>74.569999999999993</v>
      </c>
      <c r="W2163">
        <v>241314</v>
      </c>
      <c r="X2163">
        <v>73.52</v>
      </c>
      <c r="Y2163">
        <v>74</v>
      </c>
      <c r="Z2163">
        <v>28</v>
      </c>
      <c r="AA2163">
        <v>150000</v>
      </c>
      <c r="AB2163">
        <v>7365</v>
      </c>
      <c r="AC2163">
        <v>0</v>
      </c>
      <c r="AD2163" t="s">
        <v>94</v>
      </c>
      <c r="AE2163" t="s">
        <v>94</v>
      </c>
      <c r="AF2163" t="s">
        <v>226</v>
      </c>
      <c r="AG2163" t="s">
        <v>226</v>
      </c>
      <c r="AH2163">
        <v>6</v>
      </c>
      <c r="AI2163" t="s">
        <v>3537</v>
      </c>
      <c r="AJ2163" t="s">
        <v>1976</v>
      </c>
      <c r="AK2163" t="s">
        <v>2416</v>
      </c>
      <c r="AL2163" t="s">
        <v>272</v>
      </c>
    </row>
    <row r="2164" spans="1:38">
      <c r="A2164" t="s">
        <v>9251</v>
      </c>
      <c r="B2164" t="s">
        <v>9252</v>
      </c>
      <c r="C2164" t="s">
        <v>9253</v>
      </c>
      <c r="D2164" t="s">
        <v>9253</v>
      </c>
      <c r="E2164" t="s">
        <v>9254</v>
      </c>
      <c r="F2164" t="s">
        <v>3754</v>
      </c>
      <c r="G2164">
        <v>1</v>
      </c>
      <c r="H2164">
        <v>1</v>
      </c>
      <c r="I2164">
        <v>0.01</v>
      </c>
      <c r="J2164">
        <v>340</v>
      </c>
      <c r="K2164">
        <v>-0.01</v>
      </c>
      <c r="L2164">
        <v>94.97</v>
      </c>
      <c r="M2164">
        <v>94.98</v>
      </c>
      <c r="N2164">
        <v>95.04</v>
      </c>
      <c r="O2164">
        <v>94.95</v>
      </c>
      <c r="P2164">
        <v>0</v>
      </c>
      <c r="Q2164">
        <v>0</v>
      </c>
      <c r="R2164">
        <v>0</v>
      </c>
      <c r="S2164">
        <v>94.89</v>
      </c>
      <c r="T2164">
        <v>94.55</v>
      </c>
      <c r="U2164">
        <v>94.55</v>
      </c>
      <c r="V2164">
        <v>95.09</v>
      </c>
      <c r="W2164">
        <v>249065</v>
      </c>
      <c r="X2164">
        <v>94.95</v>
      </c>
      <c r="Y2164">
        <v>94.96</v>
      </c>
      <c r="Z2164">
        <v>67</v>
      </c>
      <c r="AA2164">
        <v>30000000</v>
      </c>
      <c r="AB2164">
        <v>645.79999999999995</v>
      </c>
      <c r="AC2164">
        <v>0</v>
      </c>
      <c r="AD2164" t="s">
        <v>94</v>
      </c>
      <c r="AE2164" t="s">
        <v>94</v>
      </c>
      <c r="AF2164" t="s">
        <v>226</v>
      </c>
      <c r="AG2164" t="s">
        <v>226</v>
      </c>
      <c r="AH2164">
        <v>-100</v>
      </c>
      <c r="AI2164" t="s">
        <v>3537</v>
      </c>
      <c r="AJ2164" t="s">
        <v>1976</v>
      </c>
      <c r="AK2164" t="s">
        <v>3755</v>
      </c>
      <c r="AL2164" t="s">
        <v>272</v>
      </c>
    </row>
    <row r="2165" spans="1:38">
      <c r="A2165" t="s">
        <v>9255</v>
      </c>
      <c r="B2165" t="s">
        <v>9256</v>
      </c>
      <c r="C2165" t="s">
        <v>9257</v>
      </c>
      <c r="D2165" t="s">
        <v>9257</v>
      </c>
      <c r="E2165" t="s">
        <v>9258</v>
      </c>
      <c r="F2165" t="s">
        <v>3754</v>
      </c>
      <c r="G2165">
        <v>1</v>
      </c>
      <c r="H2165">
        <v>1</v>
      </c>
      <c r="I2165">
        <v>0.01</v>
      </c>
      <c r="J2165">
        <v>500</v>
      </c>
      <c r="K2165">
        <v>0.73</v>
      </c>
      <c r="L2165">
        <v>83.15</v>
      </c>
      <c r="M2165">
        <v>82.55</v>
      </c>
      <c r="N2165">
        <v>82.67</v>
      </c>
      <c r="O2165">
        <v>83.15</v>
      </c>
      <c r="P2165">
        <v>0</v>
      </c>
      <c r="Q2165">
        <v>0</v>
      </c>
      <c r="R2165">
        <v>0</v>
      </c>
      <c r="S2165">
        <v>83.02</v>
      </c>
      <c r="T2165">
        <v>82.93</v>
      </c>
      <c r="U2165">
        <v>82.55</v>
      </c>
      <c r="V2165">
        <v>83.15</v>
      </c>
      <c r="W2165">
        <v>35282</v>
      </c>
      <c r="X2165">
        <v>83.01</v>
      </c>
      <c r="Y2165">
        <v>83.15</v>
      </c>
      <c r="Z2165">
        <v>17</v>
      </c>
      <c r="AA2165">
        <v>25000000</v>
      </c>
      <c r="AB2165">
        <v>415.75</v>
      </c>
      <c r="AC2165">
        <v>0</v>
      </c>
      <c r="AD2165" t="s">
        <v>94</v>
      </c>
      <c r="AE2165" t="s">
        <v>94</v>
      </c>
      <c r="AF2165" t="s">
        <v>226</v>
      </c>
      <c r="AG2165" t="s">
        <v>226</v>
      </c>
      <c r="AH2165">
        <v>-100</v>
      </c>
      <c r="AI2165" t="s">
        <v>3537</v>
      </c>
      <c r="AJ2165" t="s">
        <v>1976</v>
      </c>
      <c r="AK2165" t="s">
        <v>3755</v>
      </c>
      <c r="AL2165" t="s">
        <v>272</v>
      </c>
    </row>
    <row r="2166" spans="1:38">
      <c r="A2166" t="s">
        <v>9259</v>
      </c>
      <c r="B2166" t="s">
        <v>9260</v>
      </c>
      <c r="C2166" t="s">
        <v>9261</v>
      </c>
      <c r="D2166" t="s">
        <v>9261</v>
      </c>
      <c r="E2166" t="s">
        <v>9262</v>
      </c>
      <c r="F2166" t="s">
        <v>3754</v>
      </c>
      <c r="G2166">
        <v>1</v>
      </c>
      <c r="H2166">
        <v>1</v>
      </c>
      <c r="I2166">
        <v>0.01</v>
      </c>
      <c r="J2166">
        <v>700</v>
      </c>
      <c r="K2166">
        <v>0</v>
      </c>
      <c r="L2166">
        <v>79.72</v>
      </c>
      <c r="M2166">
        <v>79.900000000000006</v>
      </c>
      <c r="N2166">
        <v>80.16</v>
      </c>
      <c r="O2166">
        <v>80.06</v>
      </c>
      <c r="P2166">
        <v>0</v>
      </c>
      <c r="Q2166">
        <v>0</v>
      </c>
      <c r="R2166">
        <v>0</v>
      </c>
      <c r="S2166">
        <v>79.94</v>
      </c>
      <c r="T2166">
        <v>79.510000000000005</v>
      </c>
      <c r="U2166">
        <v>79.5</v>
      </c>
      <c r="V2166">
        <v>80.180000000000007</v>
      </c>
      <c r="W2166">
        <v>42525</v>
      </c>
      <c r="X2166">
        <v>79.83</v>
      </c>
      <c r="Y2166">
        <v>80.17</v>
      </c>
      <c r="Z2166">
        <v>13</v>
      </c>
      <c r="AA2166">
        <v>30000000</v>
      </c>
      <c r="AB2166">
        <v>558.04</v>
      </c>
      <c r="AC2166">
        <v>0</v>
      </c>
      <c r="AD2166" t="s">
        <v>94</v>
      </c>
      <c r="AE2166" t="s">
        <v>94</v>
      </c>
      <c r="AF2166" t="s">
        <v>226</v>
      </c>
      <c r="AG2166" t="s">
        <v>226</v>
      </c>
      <c r="AH2166">
        <v>-100</v>
      </c>
      <c r="AI2166" t="s">
        <v>3537</v>
      </c>
      <c r="AJ2166" t="s">
        <v>1976</v>
      </c>
      <c r="AK2166" t="s">
        <v>3755</v>
      </c>
      <c r="AL2166" t="s">
        <v>272</v>
      </c>
    </row>
    <row r="2167" spans="1:38">
      <c r="A2167" t="s">
        <v>9263</v>
      </c>
      <c r="B2167" t="s">
        <v>9264</v>
      </c>
      <c r="C2167" t="s">
        <v>9265</v>
      </c>
      <c r="D2167" t="s">
        <v>9265</v>
      </c>
      <c r="E2167" t="s">
        <v>9266</v>
      </c>
      <c r="F2167" t="s">
        <v>3754</v>
      </c>
      <c r="G2167">
        <v>1</v>
      </c>
      <c r="H2167">
        <v>1</v>
      </c>
      <c r="I2167">
        <v>0.01</v>
      </c>
      <c r="J2167">
        <v>1000</v>
      </c>
      <c r="K2167">
        <v>-5.51</v>
      </c>
      <c r="L2167">
        <v>109.14</v>
      </c>
      <c r="M2167">
        <v>115.5</v>
      </c>
      <c r="N2167">
        <v>0</v>
      </c>
      <c r="O2167">
        <v>109.14</v>
      </c>
      <c r="P2167">
        <v>0</v>
      </c>
      <c r="Q2167">
        <v>0</v>
      </c>
      <c r="R2167">
        <v>0</v>
      </c>
      <c r="S2167">
        <v>113.71</v>
      </c>
      <c r="T2167">
        <v>116</v>
      </c>
      <c r="U2167">
        <v>109.14</v>
      </c>
      <c r="V2167">
        <v>116</v>
      </c>
      <c r="W2167">
        <v>3411</v>
      </c>
      <c r="X2167">
        <v>102.77</v>
      </c>
      <c r="Y2167">
        <v>115.85</v>
      </c>
      <c r="Z2167">
        <v>3</v>
      </c>
      <c r="AA2167">
        <v>30000000</v>
      </c>
      <c r="AB2167">
        <v>1091.4000000000001</v>
      </c>
      <c r="AC2167">
        <v>0</v>
      </c>
      <c r="AD2167" t="s">
        <v>94</v>
      </c>
      <c r="AE2167" t="s">
        <v>94</v>
      </c>
      <c r="AF2167" t="s">
        <v>226</v>
      </c>
      <c r="AG2167" t="s">
        <v>226</v>
      </c>
      <c r="AH2167">
        <v>-100</v>
      </c>
      <c r="AI2167" t="s">
        <v>3537</v>
      </c>
      <c r="AJ2167" t="s">
        <v>1976</v>
      </c>
      <c r="AK2167" t="s">
        <v>3755</v>
      </c>
      <c r="AL2167" t="s">
        <v>272</v>
      </c>
    </row>
    <row r="2168" spans="1:38">
      <c r="A2168" t="s">
        <v>9267</v>
      </c>
      <c r="B2168" t="s">
        <v>9268</v>
      </c>
      <c r="C2168" t="s">
        <v>9269</v>
      </c>
      <c r="D2168" t="s">
        <v>9269</v>
      </c>
      <c r="E2168" t="s">
        <v>9270</v>
      </c>
      <c r="F2168" t="s">
        <v>2413</v>
      </c>
      <c r="G2168">
        <v>3</v>
      </c>
      <c r="H2168">
        <v>1</v>
      </c>
      <c r="I2168">
        <v>0.01</v>
      </c>
      <c r="J2168">
        <v>1000</v>
      </c>
      <c r="K2168">
        <v>-1.73</v>
      </c>
      <c r="L2168">
        <v>89.02</v>
      </c>
      <c r="M2168">
        <v>90.59</v>
      </c>
      <c r="N2168">
        <v>89.62</v>
      </c>
      <c r="O2168">
        <v>89.38</v>
      </c>
      <c r="P2168">
        <v>0</v>
      </c>
      <c r="Q2168">
        <v>0</v>
      </c>
      <c r="R2168">
        <v>0</v>
      </c>
      <c r="S2168">
        <v>90.25</v>
      </c>
      <c r="T2168">
        <v>90.58</v>
      </c>
      <c r="U2168">
        <v>89.02</v>
      </c>
      <c r="V2168">
        <v>90.6</v>
      </c>
      <c r="W2168">
        <v>223832</v>
      </c>
      <c r="X2168">
        <v>90.2</v>
      </c>
      <c r="Y2168">
        <v>90.21</v>
      </c>
      <c r="Z2168">
        <v>34</v>
      </c>
      <c r="AA2168">
        <v>100000</v>
      </c>
      <c r="AB2168">
        <v>890.2</v>
      </c>
      <c r="AC2168">
        <v>0</v>
      </c>
      <c r="AD2168" t="s">
        <v>94</v>
      </c>
      <c r="AE2168" t="s">
        <v>94</v>
      </c>
      <c r="AF2168" t="s">
        <v>226</v>
      </c>
      <c r="AG2168" t="s">
        <v>226</v>
      </c>
      <c r="AH2168">
        <v>6</v>
      </c>
      <c r="AI2168" t="s">
        <v>3537</v>
      </c>
      <c r="AJ2168" t="s">
        <v>1976</v>
      </c>
      <c r="AK2168" t="s">
        <v>2416</v>
      </c>
      <c r="AL2168" t="s">
        <v>272</v>
      </c>
    </row>
    <row r="2169" spans="1:38">
      <c r="A2169" t="s">
        <v>9271</v>
      </c>
      <c r="B2169" t="s">
        <v>9272</v>
      </c>
      <c r="C2169" t="s">
        <v>9273</v>
      </c>
      <c r="D2169" t="s">
        <v>9273</v>
      </c>
      <c r="E2169" t="s">
        <v>9274</v>
      </c>
      <c r="F2169" t="s">
        <v>2413</v>
      </c>
      <c r="G2169">
        <v>2</v>
      </c>
      <c r="H2169">
        <v>1</v>
      </c>
      <c r="I2169">
        <v>0.01</v>
      </c>
      <c r="J2169">
        <v>1000</v>
      </c>
      <c r="K2169">
        <v>-0.76</v>
      </c>
      <c r="L2169">
        <v>85.04</v>
      </c>
      <c r="M2169">
        <v>85.69</v>
      </c>
      <c r="N2169">
        <v>85.58</v>
      </c>
      <c r="O2169">
        <v>85.04</v>
      </c>
      <c r="P2169">
        <v>0</v>
      </c>
      <c r="Q2169">
        <v>0</v>
      </c>
      <c r="R2169">
        <v>0</v>
      </c>
      <c r="S2169">
        <v>85.03</v>
      </c>
      <c r="T2169">
        <v>85.85</v>
      </c>
      <c r="U2169">
        <v>84.9</v>
      </c>
      <c r="V2169">
        <v>85.85</v>
      </c>
      <c r="W2169">
        <v>1340995</v>
      </c>
      <c r="X2169">
        <v>85</v>
      </c>
      <c r="Y2169">
        <v>85.04</v>
      </c>
      <c r="Z2169">
        <v>119</v>
      </c>
      <c r="AA2169">
        <v>10000000</v>
      </c>
      <c r="AB2169">
        <v>42520</v>
      </c>
      <c r="AC2169">
        <v>0</v>
      </c>
      <c r="AD2169" t="s">
        <v>94</v>
      </c>
      <c r="AE2169" t="s">
        <v>94</v>
      </c>
      <c r="AF2169" t="s">
        <v>226</v>
      </c>
      <c r="AG2169" t="s">
        <v>226</v>
      </c>
      <c r="AH2169">
        <v>6</v>
      </c>
      <c r="AI2169" t="s">
        <v>3537</v>
      </c>
      <c r="AJ2169" t="s">
        <v>1976</v>
      </c>
      <c r="AK2169" t="s">
        <v>2416</v>
      </c>
      <c r="AL2169" t="s">
        <v>272</v>
      </c>
    </row>
    <row r="2170" spans="1:38">
      <c r="A2170" t="s">
        <v>9275</v>
      </c>
      <c r="B2170" t="s">
        <v>9276</v>
      </c>
      <c r="C2170" t="s">
        <v>9277</v>
      </c>
      <c r="D2170" t="s">
        <v>9277</v>
      </c>
      <c r="E2170" t="s">
        <v>9278</v>
      </c>
      <c r="F2170" t="s">
        <v>2413</v>
      </c>
      <c r="G2170">
        <v>2</v>
      </c>
      <c r="H2170">
        <v>1</v>
      </c>
      <c r="I2170">
        <v>0.01</v>
      </c>
      <c r="J2170">
        <v>1000</v>
      </c>
      <c r="K2170">
        <v>-0.09</v>
      </c>
      <c r="L2170">
        <v>88.25</v>
      </c>
      <c r="M2170">
        <v>87.97</v>
      </c>
      <c r="N2170">
        <v>88.47</v>
      </c>
      <c r="O2170">
        <v>88.25</v>
      </c>
      <c r="P2170">
        <v>0</v>
      </c>
      <c r="Q2170">
        <v>0</v>
      </c>
      <c r="R2170">
        <v>0</v>
      </c>
      <c r="S2170">
        <v>88.26</v>
      </c>
      <c r="T2170">
        <v>88.41</v>
      </c>
      <c r="U2170">
        <v>87.81</v>
      </c>
      <c r="V2170">
        <v>89.4</v>
      </c>
      <c r="W2170">
        <v>2791634</v>
      </c>
      <c r="X2170">
        <v>88.1</v>
      </c>
      <c r="Y2170">
        <v>88.25</v>
      </c>
      <c r="Z2170">
        <v>150</v>
      </c>
      <c r="AA2170">
        <v>10000000</v>
      </c>
      <c r="AB2170">
        <v>3530</v>
      </c>
      <c r="AC2170">
        <v>0</v>
      </c>
      <c r="AD2170" t="s">
        <v>94</v>
      </c>
      <c r="AE2170" t="s">
        <v>94</v>
      </c>
      <c r="AF2170" t="s">
        <v>226</v>
      </c>
      <c r="AG2170" t="s">
        <v>226</v>
      </c>
      <c r="AH2170">
        <v>6</v>
      </c>
      <c r="AI2170" t="s">
        <v>3537</v>
      </c>
      <c r="AJ2170" t="s">
        <v>1976</v>
      </c>
      <c r="AK2170" t="s">
        <v>2416</v>
      </c>
      <c r="AL2170" t="s">
        <v>272</v>
      </c>
    </row>
    <row r="2171" spans="1:38">
      <c r="A2171" t="s">
        <v>9279</v>
      </c>
      <c r="B2171" t="s">
        <v>9280</v>
      </c>
      <c r="C2171" t="s">
        <v>9281</v>
      </c>
      <c r="D2171" t="s">
        <v>9281</v>
      </c>
      <c r="E2171" t="s">
        <v>9282</v>
      </c>
      <c r="F2171" t="s">
        <v>2413</v>
      </c>
      <c r="G2171">
        <v>3</v>
      </c>
      <c r="H2171">
        <v>1</v>
      </c>
      <c r="I2171">
        <v>0.01</v>
      </c>
      <c r="J2171">
        <v>1000</v>
      </c>
      <c r="K2171">
        <v>-1.55</v>
      </c>
      <c r="L2171">
        <v>93.81</v>
      </c>
      <c r="M2171">
        <v>95.24</v>
      </c>
      <c r="N2171">
        <v>93.97</v>
      </c>
      <c r="O2171">
        <v>93.81</v>
      </c>
      <c r="P2171">
        <v>0</v>
      </c>
      <c r="Q2171">
        <v>0</v>
      </c>
      <c r="R2171">
        <v>0</v>
      </c>
      <c r="S2171">
        <v>93.81</v>
      </c>
      <c r="T2171">
        <v>93.81</v>
      </c>
      <c r="U2171">
        <v>93.81</v>
      </c>
      <c r="V2171">
        <v>93.81</v>
      </c>
      <c r="W2171">
        <v>938</v>
      </c>
      <c r="X2171">
        <v>93.87</v>
      </c>
      <c r="Y2171">
        <v>96.61</v>
      </c>
      <c r="Z2171">
        <v>1</v>
      </c>
      <c r="AA2171">
        <v>21000000</v>
      </c>
      <c r="AB2171">
        <v>938.1</v>
      </c>
      <c r="AC2171">
        <v>0</v>
      </c>
      <c r="AD2171" t="s">
        <v>94</v>
      </c>
      <c r="AE2171" t="s">
        <v>94</v>
      </c>
      <c r="AF2171" t="s">
        <v>226</v>
      </c>
      <c r="AG2171" t="s">
        <v>226</v>
      </c>
      <c r="AH2171">
        <v>6</v>
      </c>
      <c r="AI2171" t="s">
        <v>3537</v>
      </c>
      <c r="AJ2171" t="s">
        <v>1976</v>
      </c>
      <c r="AK2171" t="s">
        <v>2416</v>
      </c>
      <c r="AL2171" t="s">
        <v>272</v>
      </c>
    </row>
    <row r="2172" spans="1:38">
      <c r="A2172" t="s">
        <v>9283</v>
      </c>
      <c r="B2172" t="s">
        <v>9284</v>
      </c>
      <c r="C2172" t="s">
        <v>9285</v>
      </c>
      <c r="D2172" t="s">
        <v>9285</v>
      </c>
      <c r="E2172" t="s">
        <v>9286</v>
      </c>
      <c r="F2172" t="s">
        <v>2413</v>
      </c>
      <c r="G2172">
        <v>3</v>
      </c>
      <c r="H2172">
        <v>1</v>
      </c>
      <c r="I2172">
        <v>0.01</v>
      </c>
      <c r="J2172">
        <v>1000</v>
      </c>
      <c r="K2172">
        <v>0.03</v>
      </c>
      <c r="L2172">
        <v>97.8</v>
      </c>
      <c r="M2172">
        <v>97.77</v>
      </c>
      <c r="N2172">
        <v>97.68</v>
      </c>
      <c r="O2172">
        <v>97.8</v>
      </c>
      <c r="P2172">
        <v>0</v>
      </c>
      <c r="Q2172">
        <v>0</v>
      </c>
      <c r="R2172">
        <v>0</v>
      </c>
      <c r="S2172">
        <v>97.77</v>
      </c>
      <c r="T2172">
        <v>98.16</v>
      </c>
      <c r="U2172">
        <v>97.41</v>
      </c>
      <c r="V2172">
        <v>98.16</v>
      </c>
      <c r="W2172">
        <v>352965</v>
      </c>
      <c r="X2172">
        <v>97.65</v>
      </c>
      <c r="Y2172">
        <v>97.8</v>
      </c>
      <c r="Z2172">
        <v>32</v>
      </c>
      <c r="AA2172">
        <v>30000000</v>
      </c>
      <c r="AB2172">
        <v>45966</v>
      </c>
      <c r="AC2172">
        <v>0</v>
      </c>
      <c r="AD2172" t="s">
        <v>94</v>
      </c>
      <c r="AE2172" t="s">
        <v>94</v>
      </c>
      <c r="AF2172" t="s">
        <v>226</v>
      </c>
      <c r="AG2172" t="s">
        <v>226</v>
      </c>
      <c r="AH2172">
        <v>6</v>
      </c>
      <c r="AI2172" t="s">
        <v>3537</v>
      </c>
      <c r="AJ2172" t="s">
        <v>1976</v>
      </c>
      <c r="AK2172" t="s">
        <v>2416</v>
      </c>
      <c r="AL2172" t="s">
        <v>272</v>
      </c>
    </row>
    <row r="2173" spans="1:38">
      <c r="A2173" t="s">
        <v>9287</v>
      </c>
      <c r="B2173" t="s">
        <v>9288</v>
      </c>
      <c r="C2173" t="s">
        <v>9289</v>
      </c>
      <c r="D2173" t="s">
        <v>9289</v>
      </c>
      <c r="E2173" t="s">
        <v>9290</v>
      </c>
      <c r="F2173" t="s">
        <v>2413</v>
      </c>
      <c r="G2173">
        <v>3</v>
      </c>
      <c r="H2173">
        <v>1</v>
      </c>
      <c r="I2173">
        <v>0.01</v>
      </c>
      <c r="J2173">
        <v>1000</v>
      </c>
      <c r="K2173">
        <v>0.37</v>
      </c>
      <c r="L2173">
        <v>87.95</v>
      </c>
      <c r="M2173">
        <v>87.65</v>
      </c>
      <c r="N2173">
        <v>87.83</v>
      </c>
      <c r="O2173">
        <v>87.94</v>
      </c>
      <c r="P2173">
        <v>0</v>
      </c>
      <c r="Q2173">
        <v>0</v>
      </c>
      <c r="R2173">
        <v>0</v>
      </c>
      <c r="S2173">
        <v>86.83</v>
      </c>
      <c r="T2173">
        <v>87.91</v>
      </c>
      <c r="U2173">
        <v>86</v>
      </c>
      <c r="V2173">
        <v>87.95</v>
      </c>
      <c r="W2173">
        <v>48627</v>
      </c>
      <c r="X2173">
        <v>87.37</v>
      </c>
      <c r="Y2173">
        <v>88.4</v>
      </c>
      <c r="Z2173">
        <v>20</v>
      </c>
      <c r="AA2173">
        <v>14000000</v>
      </c>
      <c r="AB2173">
        <v>2638.5</v>
      </c>
      <c r="AC2173">
        <v>0</v>
      </c>
      <c r="AD2173" t="s">
        <v>94</v>
      </c>
      <c r="AE2173" t="s">
        <v>94</v>
      </c>
      <c r="AF2173" t="s">
        <v>226</v>
      </c>
      <c r="AG2173" t="s">
        <v>226</v>
      </c>
      <c r="AH2173">
        <v>6</v>
      </c>
      <c r="AI2173" t="s">
        <v>3537</v>
      </c>
      <c r="AJ2173" t="s">
        <v>1976</v>
      </c>
      <c r="AK2173" t="s">
        <v>2416</v>
      </c>
      <c r="AL2173" t="s">
        <v>272</v>
      </c>
    </row>
    <row r="2174" spans="1:38">
      <c r="A2174" t="s">
        <v>9291</v>
      </c>
      <c r="B2174" t="s">
        <v>9292</v>
      </c>
      <c r="C2174" t="s">
        <v>9293</v>
      </c>
      <c r="D2174" t="s">
        <v>9293</v>
      </c>
      <c r="E2174" t="s">
        <v>9294</v>
      </c>
      <c r="F2174" t="s">
        <v>2413</v>
      </c>
      <c r="G2174">
        <v>3</v>
      </c>
      <c r="H2174">
        <v>1</v>
      </c>
      <c r="I2174">
        <v>1E-4</v>
      </c>
      <c r="J2174">
        <v>1000</v>
      </c>
      <c r="K2174">
        <v>0</v>
      </c>
      <c r="L2174">
        <v>0</v>
      </c>
      <c r="M2174">
        <v>85</v>
      </c>
      <c r="N2174">
        <v>84.237300000000005</v>
      </c>
      <c r="O2174">
        <v>85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80.000100000000003</v>
      </c>
      <c r="Y2174">
        <v>83.849900000000005</v>
      </c>
      <c r="Z2174">
        <v>0</v>
      </c>
      <c r="AA2174">
        <v>300000</v>
      </c>
      <c r="AB2174">
        <v>0</v>
      </c>
      <c r="AC2174">
        <v>0</v>
      </c>
      <c r="AD2174" t="s">
        <v>2</v>
      </c>
      <c r="AE2174" t="s">
        <v>94</v>
      </c>
      <c r="AF2174" t="s">
        <v>226</v>
      </c>
      <c r="AG2174" t="s">
        <v>226</v>
      </c>
      <c r="AH2174">
        <v>6</v>
      </c>
      <c r="AI2174" t="s">
        <v>3537</v>
      </c>
      <c r="AJ2174" t="s">
        <v>1976</v>
      </c>
      <c r="AK2174" t="s">
        <v>2416</v>
      </c>
      <c r="AL2174" t="s">
        <v>272</v>
      </c>
    </row>
    <row r="2175" spans="1:38">
      <c r="A2175" t="s">
        <v>9295</v>
      </c>
      <c r="B2175" t="s">
        <v>9296</v>
      </c>
      <c r="C2175" t="s">
        <v>9297</v>
      </c>
      <c r="D2175" t="s">
        <v>9297</v>
      </c>
      <c r="E2175" t="s">
        <v>9298</v>
      </c>
      <c r="F2175" t="s">
        <v>2425</v>
      </c>
      <c r="G2175">
        <v>3</v>
      </c>
      <c r="H2175">
        <v>1</v>
      </c>
      <c r="I2175">
        <v>0.01</v>
      </c>
      <c r="J2175">
        <v>1000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480000</v>
      </c>
      <c r="AB2175">
        <v>0</v>
      </c>
      <c r="AC2175">
        <v>0</v>
      </c>
      <c r="AD2175" t="s">
        <v>94</v>
      </c>
      <c r="AE2175" t="s">
        <v>94</v>
      </c>
      <c r="AF2175" t="s">
        <v>304</v>
      </c>
      <c r="AG2175" t="s">
        <v>226</v>
      </c>
      <c r="AH2175">
        <v>0</v>
      </c>
      <c r="AI2175" t="s">
        <v>3537</v>
      </c>
      <c r="AJ2175" t="s">
        <v>1976</v>
      </c>
      <c r="AK2175" t="s">
        <v>2426</v>
      </c>
      <c r="AL2175" t="s">
        <v>272</v>
      </c>
    </row>
    <row r="2176" spans="1:38">
      <c r="A2176" t="s">
        <v>9299</v>
      </c>
      <c r="B2176" t="s">
        <v>9300</v>
      </c>
      <c r="C2176" t="s">
        <v>9301</v>
      </c>
      <c r="D2176" t="s">
        <v>9301</v>
      </c>
      <c r="E2176" t="s">
        <v>9302</v>
      </c>
      <c r="F2176" t="s">
        <v>2425</v>
      </c>
      <c r="G2176">
        <v>3</v>
      </c>
      <c r="H2176">
        <v>1</v>
      </c>
      <c r="I2176">
        <v>0.01</v>
      </c>
      <c r="J2176">
        <v>1000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258665</v>
      </c>
      <c r="AB2176">
        <v>0</v>
      </c>
      <c r="AC2176">
        <v>0</v>
      </c>
      <c r="AD2176" t="s">
        <v>94</v>
      </c>
      <c r="AE2176" t="s">
        <v>94</v>
      </c>
      <c r="AF2176" t="s">
        <v>304</v>
      </c>
      <c r="AG2176" t="s">
        <v>226</v>
      </c>
      <c r="AH2176">
        <v>0</v>
      </c>
      <c r="AI2176" t="s">
        <v>3537</v>
      </c>
      <c r="AJ2176" t="s">
        <v>1976</v>
      </c>
      <c r="AK2176" t="s">
        <v>2426</v>
      </c>
      <c r="AL2176" t="s">
        <v>272</v>
      </c>
    </row>
    <row r="2177" spans="1:38">
      <c r="A2177" t="s">
        <v>9303</v>
      </c>
      <c r="B2177" t="s">
        <v>9304</v>
      </c>
      <c r="C2177" t="s">
        <v>9305</v>
      </c>
      <c r="D2177" t="s">
        <v>9305</v>
      </c>
      <c r="E2177" t="s">
        <v>9306</v>
      </c>
      <c r="F2177" t="s">
        <v>2425</v>
      </c>
      <c r="G2177">
        <v>3</v>
      </c>
      <c r="H2177">
        <v>1</v>
      </c>
      <c r="I2177">
        <v>0.01</v>
      </c>
      <c r="J2177">
        <v>1000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205423</v>
      </c>
      <c r="AB2177">
        <v>0</v>
      </c>
      <c r="AC2177">
        <v>0</v>
      </c>
      <c r="AD2177" t="s">
        <v>94</v>
      </c>
      <c r="AE2177" t="s">
        <v>94</v>
      </c>
      <c r="AF2177" t="s">
        <v>304</v>
      </c>
      <c r="AG2177" t="s">
        <v>226</v>
      </c>
      <c r="AH2177">
        <v>0</v>
      </c>
      <c r="AI2177" t="s">
        <v>3537</v>
      </c>
      <c r="AJ2177" t="s">
        <v>1976</v>
      </c>
      <c r="AK2177" t="s">
        <v>2426</v>
      </c>
      <c r="AL2177" t="s">
        <v>272</v>
      </c>
    </row>
    <row r="2178" spans="1:38">
      <c r="A2178" t="s">
        <v>9307</v>
      </c>
      <c r="B2178" t="s">
        <v>9308</v>
      </c>
      <c r="C2178" t="s">
        <v>9309</v>
      </c>
      <c r="D2178" t="s">
        <v>9309</v>
      </c>
      <c r="E2178" t="s">
        <v>9310</v>
      </c>
      <c r="F2178" t="s">
        <v>2425</v>
      </c>
      <c r="G2178">
        <v>3</v>
      </c>
      <c r="H2178">
        <v>1</v>
      </c>
      <c r="I2178">
        <v>0.01</v>
      </c>
      <c r="J2178">
        <v>1000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203709</v>
      </c>
      <c r="AB2178">
        <v>0</v>
      </c>
      <c r="AC2178">
        <v>0</v>
      </c>
      <c r="AD2178" t="s">
        <v>94</v>
      </c>
      <c r="AE2178" t="s">
        <v>94</v>
      </c>
      <c r="AF2178" t="s">
        <v>304</v>
      </c>
      <c r="AG2178" t="s">
        <v>226</v>
      </c>
      <c r="AH2178">
        <v>0</v>
      </c>
      <c r="AI2178" t="s">
        <v>3537</v>
      </c>
      <c r="AJ2178" t="s">
        <v>1976</v>
      </c>
      <c r="AK2178" t="s">
        <v>2426</v>
      </c>
      <c r="AL2178" t="s">
        <v>272</v>
      </c>
    </row>
    <row r="2179" spans="1:38">
      <c r="A2179" t="s">
        <v>9311</v>
      </c>
      <c r="B2179" t="s">
        <v>9312</v>
      </c>
      <c r="C2179" t="s">
        <v>9313</v>
      </c>
      <c r="D2179" t="s">
        <v>9313</v>
      </c>
      <c r="E2179" t="s">
        <v>9314</v>
      </c>
      <c r="F2179" t="s">
        <v>2425</v>
      </c>
      <c r="G2179">
        <v>3</v>
      </c>
      <c r="H2179">
        <v>1</v>
      </c>
      <c r="I2179">
        <v>0.01</v>
      </c>
      <c r="J2179">
        <v>1000</v>
      </c>
      <c r="K2179">
        <v>0</v>
      </c>
      <c r="L2179">
        <v>0</v>
      </c>
      <c r="M2179">
        <v>100</v>
      </c>
      <c r="N2179">
        <v>0</v>
      </c>
      <c r="O2179">
        <v>100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50149</v>
      </c>
      <c r="AB2179">
        <v>0</v>
      </c>
      <c r="AC2179">
        <v>0</v>
      </c>
      <c r="AD2179" t="s">
        <v>94</v>
      </c>
      <c r="AE2179" t="s">
        <v>94</v>
      </c>
      <c r="AF2179" t="s">
        <v>304</v>
      </c>
      <c r="AG2179" t="s">
        <v>226</v>
      </c>
      <c r="AH2179">
        <v>0</v>
      </c>
      <c r="AI2179" t="s">
        <v>3537</v>
      </c>
      <c r="AJ2179" t="s">
        <v>1976</v>
      </c>
      <c r="AK2179" t="s">
        <v>2426</v>
      </c>
      <c r="AL2179" t="s">
        <v>272</v>
      </c>
    </row>
    <row r="2180" spans="1:38">
      <c r="A2180" t="s">
        <v>9315</v>
      </c>
      <c r="B2180" t="s">
        <v>9316</v>
      </c>
      <c r="C2180" t="s">
        <v>9317</v>
      </c>
      <c r="D2180" t="s">
        <v>9317</v>
      </c>
      <c r="E2180" t="s">
        <v>9318</v>
      </c>
      <c r="F2180" t="s">
        <v>2425</v>
      </c>
      <c r="G2180">
        <v>3</v>
      </c>
      <c r="H2180">
        <v>1</v>
      </c>
      <c r="I2180">
        <v>0.01</v>
      </c>
      <c r="J2180">
        <v>1000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324106</v>
      </c>
      <c r="AB2180">
        <v>0</v>
      </c>
      <c r="AC2180">
        <v>0</v>
      </c>
      <c r="AD2180" t="s">
        <v>94</v>
      </c>
      <c r="AE2180" t="s">
        <v>94</v>
      </c>
      <c r="AF2180" t="s">
        <v>304</v>
      </c>
      <c r="AG2180" t="s">
        <v>226</v>
      </c>
      <c r="AH2180">
        <v>0</v>
      </c>
      <c r="AI2180" t="s">
        <v>3537</v>
      </c>
      <c r="AJ2180" t="s">
        <v>1976</v>
      </c>
      <c r="AK2180" t="s">
        <v>2426</v>
      </c>
      <c r="AL2180" t="s">
        <v>272</v>
      </c>
    </row>
    <row r="2181" spans="1:38">
      <c r="A2181" t="s">
        <v>9319</v>
      </c>
      <c r="B2181" t="s">
        <v>9320</v>
      </c>
      <c r="C2181" t="s">
        <v>9321</v>
      </c>
      <c r="D2181" t="s">
        <v>9321</v>
      </c>
      <c r="E2181" t="s">
        <v>9322</v>
      </c>
      <c r="F2181" t="s">
        <v>2425</v>
      </c>
      <c r="G2181">
        <v>3</v>
      </c>
      <c r="H2181">
        <v>1</v>
      </c>
      <c r="I2181">
        <v>0.01</v>
      </c>
      <c r="J2181">
        <v>1000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125696</v>
      </c>
      <c r="AB2181">
        <v>0</v>
      </c>
      <c r="AC2181">
        <v>0</v>
      </c>
      <c r="AD2181" t="s">
        <v>94</v>
      </c>
      <c r="AE2181" t="s">
        <v>94</v>
      </c>
      <c r="AF2181" t="s">
        <v>304</v>
      </c>
      <c r="AG2181" t="s">
        <v>226</v>
      </c>
      <c r="AH2181">
        <v>0</v>
      </c>
      <c r="AI2181" t="s">
        <v>3537</v>
      </c>
      <c r="AJ2181" t="s">
        <v>1976</v>
      </c>
      <c r="AK2181" t="s">
        <v>2426</v>
      </c>
      <c r="AL2181" t="s">
        <v>272</v>
      </c>
    </row>
    <row r="2182" spans="1:38">
      <c r="A2182" t="s">
        <v>9323</v>
      </c>
      <c r="B2182" t="s">
        <v>9324</v>
      </c>
      <c r="C2182" t="s">
        <v>9325</v>
      </c>
      <c r="D2182" t="s">
        <v>9325</v>
      </c>
      <c r="E2182" t="s">
        <v>9326</v>
      </c>
      <c r="F2182" t="s">
        <v>2425</v>
      </c>
      <c r="G2182">
        <v>3</v>
      </c>
      <c r="H2182">
        <v>1</v>
      </c>
      <c r="I2182">
        <v>0.01</v>
      </c>
      <c r="J2182">
        <v>1000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212319</v>
      </c>
      <c r="AB2182">
        <v>0</v>
      </c>
      <c r="AC2182">
        <v>0</v>
      </c>
      <c r="AD2182" t="s">
        <v>94</v>
      </c>
      <c r="AE2182" t="s">
        <v>94</v>
      </c>
      <c r="AF2182" t="s">
        <v>304</v>
      </c>
      <c r="AG2182" t="s">
        <v>226</v>
      </c>
      <c r="AH2182">
        <v>0</v>
      </c>
      <c r="AI2182" t="s">
        <v>3537</v>
      </c>
      <c r="AJ2182" t="s">
        <v>1976</v>
      </c>
      <c r="AK2182" t="s">
        <v>2426</v>
      </c>
      <c r="AL2182" t="s">
        <v>272</v>
      </c>
    </row>
    <row r="2183" spans="1:38">
      <c r="A2183" t="s">
        <v>9327</v>
      </c>
      <c r="B2183" t="s">
        <v>9328</v>
      </c>
      <c r="C2183" t="s">
        <v>9329</v>
      </c>
      <c r="D2183" t="s">
        <v>9329</v>
      </c>
      <c r="E2183" t="s">
        <v>9330</v>
      </c>
      <c r="F2183" t="s">
        <v>2425</v>
      </c>
      <c r="G2183">
        <v>3</v>
      </c>
      <c r="H2183">
        <v>1</v>
      </c>
      <c r="I2183">
        <v>0.01</v>
      </c>
      <c r="J2183">
        <v>1000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200466</v>
      </c>
      <c r="AB2183">
        <v>0</v>
      </c>
      <c r="AC2183">
        <v>0</v>
      </c>
      <c r="AD2183" t="s">
        <v>94</v>
      </c>
      <c r="AE2183" t="s">
        <v>94</v>
      </c>
      <c r="AF2183" t="s">
        <v>304</v>
      </c>
      <c r="AG2183" t="s">
        <v>226</v>
      </c>
      <c r="AH2183">
        <v>0</v>
      </c>
      <c r="AI2183" t="s">
        <v>3537</v>
      </c>
      <c r="AJ2183" t="s">
        <v>1976</v>
      </c>
      <c r="AK2183" t="s">
        <v>2426</v>
      </c>
      <c r="AL2183" t="s">
        <v>272</v>
      </c>
    </row>
    <row r="2184" spans="1:38">
      <c r="A2184" t="s">
        <v>9331</v>
      </c>
      <c r="B2184" t="s">
        <v>9332</v>
      </c>
      <c r="C2184" t="s">
        <v>9333</v>
      </c>
      <c r="D2184" t="s">
        <v>9333</v>
      </c>
      <c r="E2184" t="s">
        <v>9334</v>
      </c>
      <c r="F2184" t="s">
        <v>2425</v>
      </c>
      <c r="G2184">
        <v>3</v>
      </c>
      <c r="H2184">
        <v>1</v>
      </c>
      <c r="I2184">
        <v>0.01</v>
      </c>
      <c r="J2184">
        <v>1000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66287</v>
      </c>
      <c r="AB2184">
        <v>0</v>
      </c>
      <c r="AC2184">
        <v>0</v>
      </c>
      <c r="AD2184" t="s">
        <v>94</v>
      </c>
      <c r="AE2184" t="s">
        <v>94</v>
      </c>
      <c r="AF2184" t="s">
        <v>304</v>
      </c>
      <c r="AG2184" t="s">
        <v>226</v>
      </c>
      <c r="AH2184">
        <v>0</v>
      </c>
      <c r="AI2184" t="s">
        <v>3537</v>
      </c>
      <c r="AJ2184" t="s">
        <v>1976</v>
      </c>
      <c r="AK2184" t="s">
        <v>2426</v>
      </c>
      <c r="AL2184" t="s">
        <v>272</v>
      </c>
    </row>
    <row r="2185" spans="1:38">
      <c r="A2185" t="s">
        <v>9335</v>
      </c>
      <c r="B2185" t="s">
        <v>9336</v>
      </c>
      <c r="C2185" t="s">
        <v>9337</v>
      </c>
      <c r="D2185" t="s">
        <v>9337</v>
      </c>
      <c r="E2185" t="s">
        <v>9338</v>
      </c>
      <c r="F2185" t="s">
        <v>2425</v>
      </c>
      <c r="G2185">
        <v>3</v>
      </c>
      <c r="H2185">
        <v>1</v>
      </c>
      <c r="I2185">
        <v>0.01</v>
      </c>
      <c r="J2185">
        <v>1000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114702</v>
      </c>
      <c r="AB2185">
        <v>0</v>
      </c>
      <c r="AC2185">
        <v>0</v>
      </c>
      <c r="AD2185" t="s">
        <v>94</v>
      </c>
      <c r="AE2185" t="s">
        <v>94</v>
      </c>
      <c r="AF2185" t="s">
        <v>304</v>
      </c>
      <c r="AG2185" t="s">
        <v>226</v>
      </c>
      <c r="AH2185">
        <v>0</v>
      </c>
      <c r="AI2185" t="s">
        <v>3537</v>
      </c>
      <c r="AJ2185" t="s">
        <v>1976</v>
      </c>
      <c r="AK2185" t="s">
        <v>2426</v>
      </c>
      <c r="AL2185" t="s">
        <v>272</v>
      </c>
    </row>
    <row r="2186" spans="1:38">
      <c r="A2186" t="s">
        <v>9339</v>
      </c>
      <c r="B2186" t="s">
        <v>9340</v>
      </c>
      <c r="C2186" t="s">
        <v>9341</v>
      </c>
      <c r="D2186" t="s">
        <v>9341</v>
      </c>
      <c r="E2186" t="s">
        <v>9342</v>
      </c>
      <c r="F2186" t="s">
        <v>2425</v>
      </c>
      <c r="G2186">
        <v>3</v>
      </c>
      <c r="H2186">
        <v>1</v>
      </c>
      <c r="I2186">
        <v>0.01</v>
      </c>
      <c r="J2186">
        <v>1000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189951</v>
      </c>
      <c r="AB2186">
        <v>0</v>
      </c>
      <c r="AC2186">
        <v>0</v>
      </c>
      <c r="AD2186" t="s">
        <v>94</v>
      </c>
      <c r="AE2186" t="s">
        <v>94</v>
      </c>
      <c r="AF2186" t="s">
        <v>304</v>
      </c>
      <c r="AG2186" t="s">
        <v>226</v>
      </c>
      <c r="AH2186">
        <v>0</v>
      </c>
      <c r="AI2186" t="s">
        <v>3537</v>
      </c>
      <c r="AJ2186" t="s">
        <v>1976</v>
      </c>
      <c r="AK2186" t="s">
        <v>2426</v>
      </c>
      <c r="AL2186" t="s">
        <v>272</v>
      </c>
    </row>
    <row r="2187" spans="1:38">
      <c r="A2187" t="s">
        <v>9343</v>
      </c>
      <c r="B2187" t="s">
        <v>9344</v>
      </c>
      <c r="C2187" t="s">
        <v>9345</v>
      </c>
      <c r="D2187" t="s">
        <v>9345</v>
      </c>
      <c r="E2187" t="s">
        <v>9346</v>
      </c>
      <c r="F2187" t="s">
        <v>2425</v>
      </c>
      <c r="G2187">
        <v>3</v>
      </c>
      <c r="H2187">
        <v>1</v>
      </c>
      <c r="I2187">
        <v>0.01</v>
      </c>
      <c r="J2187">
        <v>1000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30762</v>
      </c>
      <c r="AB2187">
        <v>0</v>
      </c>
      <c r="AC2187">
        <v>0</v>
      </c>
      <c r="AD2187" t="s">
        <v>94</v>
      </c>
      <c r="AE2187" t="s">
        <v>94</v>
      </c>
      <c r="AF2187" t="s">
        <v>304</v>
      </c>
      <c r="AG2187" t="s">
        <v>226</v>
      </c>
      <c r="AH2187">
        <v>0</v>
      </c>
      <c r="AI2187" t="s">
        <v>3537</v>
      </c>
      <c r="AJ2187" t="s">
        <v>1976</v>
      </c>
      <c r="AK2187" t="s">
        <v>2426</v>
      </c>
      <c r="AL2187" t="s">
        <v>272</v>
      </c>
    </row>
    <row r="2188" spans="1:38">
      <c r="A2188" t="s">
        <v>9347</v>
      </c>
      <c r="B2188" t="s">
        <v>9348</v>
      </c>
      <c r="C2188" t="s">
        <v>9349</v>
      </c>
      <c r="D2188" t="s">
        <v>9349</v>
      </c>
      <c r="E2188" t="s">
        <v>9350</v>
      </c>
      <c r="F2188" t="s">
        <v>2425</v>
      </c>
      <c r="G2188">
        <v>3</v>
      </c>
      <c r="H2188">
        <v>1</v>
      </c>
      <c r="I2188">
        <v>0.01</v>
      </c>
      <c r="J2188">
        <v>1000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103332</v>
      </c>
      <c r="AB2188">
        <v>0</v>
      </c>
      <c r="AC2188">
        <v>0</v>
      </c>
      <c r="AD2188" t="s">
        <v>94</v>
      </c>
      <c r="AE2188" t="s">
        <v>94</v>
      </c>
      <c r="AF2188" t="s">
        <v>304</v>
      </c>
      <c r="AG2188" t="s">
        <v>226</v>
      </c>
      <c r="AH2188">
        <v>0</v>
      </c>
      <c r="AI2188" t="s">
        <v>3537</v>
      </c>
      <c r="AJ2188" t="s">
        <v>1976</v>
      </c>
      <c r="AK2188" t="s">
        <v>2426</v>
      </c>
      <c r="AL2188" t="s">
        <v>272</v>
      </c>
    </row>
    <row r="2189" spans="1:38">
      <c r="A2189" t="s">
        <v>9351</v>
      </c>
      <c r="B2189" t="s">
        <v>9352</v>
      </c>
      <c r="C2189" t="s">
        <v>9353</v>
      </c>
      <c r="D2189" t="s">
        <v>9353</v>
      </c>
      <c r="E2189" t="s">
        <v>9354</v>
      </c>
      <c r="F2189" t="s">
        <v>2425</v>
      </c>
      <c r="G2189">
        <v>3</v>
      </c>
      <c r="H2189">
        <v>1</v>
      </c>
      <c r="I2189">
        <v>0.01</v>
      </c>
      <c r="J2189">
        <v>1000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160132</v>
      </c>
      <c r="AB2189">
        <v>0</v>
      </c>
      <c r="AC2189">
        <v>0</v>
      </c>
      <c r="AD2189" t="s">
        <v>94</v>
      </c>
      <c r="AE2189" t="s">
        <v>94</v>
      </c>
      <c r="AF2189" t="s">
        <v>304</v>
      </c>
      <c r="AG2189" t="s">
        <v>226</v>
      </c>
      <c r="AH2189">
        <v>0</v>
      </c>
      <c r="AI2189" t="s">
        <v>3537</v>
      </c>
      <c r="AJ2189" t="s">
        <v>1976</v>
      </c>
      <c r="AK2189" t="s">
        <v>2426</v>
      </c>
      <c r="AL2189" t="s">
        <v>272</v>
      </c>
    </row>
    <row r="2190" spans="1:38">
      <c r="A2190" t="s">
        <v>9355</v>
      </c>
      <c r="B2190" t="s">
        <v>9356</v>
      </c>
      <c r="C2190" t="s">
        <v>9357</v>
      </c>
      <c r="D2190" t="s">
        <v>9357</v>
      </c>
      <c r="E2190" t="s">
        <v>9358</v>
      </c>
      <c r="F2190" t="s">
        <v>2425</v>
      </c>
      <c r="G2190">
        <v>3</v>
      </c>
      <c r="H2190">
        <v>1</v>
      </c>
      <c r="I2190">
        <v>0.01</v>
      </c>
      <c r="J2190">
        <v>1000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154622</v>
      </c>
      <c r="AB2190">
        <v>0</v>
      </c>
      <c r="AC2190">
        <v>0</v>
      </c>
      <c r="AD2190" t="s">
        <v>94</v>
      </c>
      <c r="AE2190" t="s">
        <v>94</v>
      </c>
      <c r="AF2190" t="s">
        <v>304</v>
      </c>
      <c r="AG2190" t="s">
        <v>226</v>
      </c>
      <c r="AH2190">
        <v>0</v>
      </c>
      <c r="AI2190" t="s">
        <v>3537</v>
      </c>
      <c r="AJ2190" t="s">
        <v>1976</v>
      </c>
      <c r="AK2190" t="s">
        <v>2426</v>
      </c>
      <c r="AL2190" t="s">
        <v>272</v>
      </c>
    </row>
    <row r="2191" spans="1:38">
      <c r="A2191" t="s">
        <v>9359</v>
      </c>
      <c r="B2191" t="s">
        <v>9360</v>
      </c>
      <c r="C2191" t="s">
        <v>9361</v>
      </c>
      <c r="D2191" t="s">
        <v>9361</v>
      </c>
      <c r="E2191" t="s">
        <v>9362</v>
      </c>
      <c r="F2191" t="s">
        <v>2425</v>
      </c>
      <c r="G2191">
        <v>3</v>
      </c>
      <c r="H2191">
        <v>1</v>
      </c>
      <c r="I2191">
        <v>0.01</v>
      </c>
      <c r="J2191">
        <v>1000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161485</v>
      </c>
      <c r="AB2191">
        <v>0</v>
      </c>
      <c r="AC2191">
        <v>0</v>
      </c>
      <c r="AD2191" t="s">
        <v>94</v>
      </c>
      <c r="AE2191" t="s">
        <v>94</v>
      </c>
      <c r="AF2191" t="s">
        <v>304</v>
      </c>
      <c r="AG2191" t="s">
        <v>226</v>
      </c>
      <c r="AH2191">
        <v>0</v>
      </c>
      <c r="AI2191" t="s">
        <v>3537</v>
      </c>
      <c r="AJ2191" t="s">
        <v>1976</v>
      </c>
      <c r="AK2191" t="s">
        <v>2426</v>
      </c>
      <c r="AL2191" t="s">
        <v>272</v>
      </c>
    </row>
    <row r="2192" spans="1:38">
      <c r="A2192" t="s">
        <v>9363</v>
      </c>
      <c r="B2192" t="s">
        <v>9364</v>
      </c>
      <c r="C2192" t="s">
        <v>9365</v>
      </c>
      <c r="D2192" t="s">
        <v>9365</v>
      </c>
      <c r="E2192" t="s">
        <v>9366</v>
      </c>
      <c r="F2192" t="s">
        <v>2425</v>
      </c>
      <c r="G2192">
        <v>3</v>
      </c>
      <c r="H2192">
        <v>1</v>
      </c>
      <c r="I2192">
        <v>0.01</v>
      </c>
      <c r="J2192">
        <v>1000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300668</v>
      </c>
      <c r="AB2192">
        <v>0</v>
      </c>
      <c r="AC2192">
        <v>0</v>
      </c>
      <c r="AD2192" t="s">
        <v>94</v>
      </c>
      <c r="AE2192" t="s">
        <v>94</v>
      </c>
      <c r="AF2192" t="s">
        <v>304</v>
      </c>
      <c r="AG2192" t="s">
        <v>226</v>
      </c>
      <c r="AH2192">
        <v>0</v>
      </c>
      <c r="AI2192" t="s">
        <v>3537</v>
      </c>
      <c r="AJ2192" t="s">
        <v>1976</v>
      </c>
      <c r="AK2192" t="s">
        <v>2426</v>
      </c>
      <c r="AL2192" t="s">
        <v>272</v>
      </c>
    </row>
    <row r="2193" spans="1:38">
      <c r="A2193" t="s">
        <v>9367</v>
      </c>
      <c r="B2193" t="s">
        <v>9368</v>
      </c>
      <c r="C2193" t="s">
        <v>9369</v>
      </c>
      <c r="D2193" t="s">
        <v>9369</v>
      </c>
      <c r="E2193" t="s">
        <v>9370</v>
      </c>
      <c r="F2193" t="s">
        <v>2425</v>
      </c>
      <c r="G2193">
        <v>3</v>
      </c>
      <c r="H2193">
        <v>1</v>
      </c>
      <c r="I2193">
        <v>0.01</v>
      </c>
      <c r="J2193">
        <v>1000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181958</v>
      </c>
      <c r="AB2193">
        <v>0</v>
      </c>
      <c r="AC2193">
        <v>0</v>
      </c>
      <c r="AD2193" t="s">
        <v>94</v>
      </c>
      <c r="AE2193" t="s">
        <v>94</v>
      </c>
      <c r="AF2193" t="s">
        <v>304</v>
      </c>
      <c r="AG2193" t="s">
        <v>226</v>
      </c>
      <c r="AH2193">
        <v>0</v>
      </c>
      <c r="AI2193" t="s">
        <v>3537</v>
      </c>
      <c r="AJ2193" t="s">
        <v>1976</v>
      </c>
      <c r="AK2193" t="s">
        <v>2426</v>
      </c>
      <c r="AL2193" t="s">
        <v>272</v>
      </c>
    </row>
    <row r="2194" spans="1:38">
      <c r="A2194" t="s">
        <v>9371</v>
      </c>
      <c r="B2194" t="s">
        <v>9372</v>
      </c>
      <c r="C2194" t="s">
        <v>9373</v>
      </c>
      <c r="D2194" t="s">
        <v>9373</v>
      </c>
      <c r="E2194" t="s">
        <v>9374</v>
      </c>
      <c r="F2194" t="s">
        <v>2425</v>
      </c>
      <c r="G2194">
        <v>3</v>
      </c>
      <c r="H2194">
        <v>1</v>
      </c>
      <c r="I2194">
        <v>0.01</v>
      </c>
      <c r="J2194">
        <v>1000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99438</v>
      </c>
      <c r="AB2194">
        <v>0</v>
      </c>
      <c r="AC2194">
        <v>0</v>
      </c>
      <c r="AD2194" t="s">
        <v>94</v>
      </c>
      <c r="AE2194" t="s">
        <v>94</v>
      </c>
      <c r="AF2194" t="s">
        <v>304</v>
      </c>
      <c r="AG2194" t="s">
        <v>226</v>
      </c>
      <c r="AH2194">
        <v>0</v>
      </c>
      <c r="AI2194" t="s">
        <v>3537</v>
      </c>
      <c r="AJ2194" t="s">
        <v>1976</v>
      </c>
      <c r="AK2194" t="s">
        <v>2426</v>
      </c>
      <c r="AL2194" t="s">
        <v>272</v>
      </c>
    </row>
    <row r="2195" spans="1:38">
      <c r="A2195" t="s">
        <v>9375</v>
      </c>
      <c r="B2195" t="s">
        <v>9376</v>
      </c>
      <c r="C2195" t="s">
        <v>9377</v>
      </c>
      <c r="D2195" t="s">
        <v>9377</v>
      </c>
      <c r="E2195" t="s">
        <v>9378</v>
      </c>
      <c r="F2195" t="s">
        <v>2425</v>
      </c>
      <c r="G2195">
        <v>3</v>
      </c>
      <c r="H2195">
        <v>1</v>
      </c>
      <c r="I2195">
        <v>0.01</v>
      </c>
      <c r="J2195">
        <v>1000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124268</v>
      </c>
      <c r="AB2195">
        <v>0</v>
      </c>
      <c r="AC2195">
        <v>0</v>
      </c>
      <c r="AD2195" t="s">
        <v>94</v>
      </c>
      <c r="AE2195" t="s">
        <v>94</v>
      </c>
      <c r="AF2195" t="s">
        <v>304</v>
      </c>
      <c r="AG2195" t="s">
        <v>226</v>
      </c>
      <c r="AH2195">
        <v>0</v>
      </c>
      <c r="AI2195" t="s">
        <v>3537</v>
      </c>
      <c r="AJ2195" t="s">
        <v>1976</v>
      </c>
      <c r="AK2195" t="s">
        <v>2426</v>
      </c>
      <c r="AL2195" t="s">
        <v>272</v>
      </c>
    </row>
    <row r="2196" spans="1:38">
      <c r="A2196" t="s">
        <v>9379</v>
      </c>
      <c r="B2196" t="s">
        <v>9380</v>
      </c>
      <c r="C2196" t="s">
        <v>9381</v>
      </c>
      <c r="D2196" t="s">
        <v>9381</v>
      </c>
      <c r="E2196" t="s">
        <v>9382</v>
      </c>
      <c r="F2196" t="s">
        <v>2425</v>
      </c>
      <c r="G2196">
        <v>3</v>
      </c>
      <c r="H2196">
        <v>1</v>
      </c>
      <c r="I2196">
        <v>0.01</v>
      </c>
      <c r="J2196">
        <v>1000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69871</v>
      </c>
      <c r="AB2196">
        <v>0</v>
      </c>
      <c r="AC2196">
        <v>0</v>
      </c>
      <c r="AD2196" t="s">
        <v>94</v>
      </c>
      <c r="AE2196" t="s">
        <v>94</v>
      </c>
      <c r="AF2196" t="s">
        <v>304</v>
      </c>
      <c r="AG2196" t="s">
        <v>226</v>
      </c>
      <c r="AH2196">
        <v>0</v>
      </c>
      <c r="AI2196" t="s">
        <v>3537</v>
      </c>
      <c r="AJ2196" t="s">
        <v>1976</v>
      </c>
      <c r="AK2196" t="s">
        <v>2426</v>
      </c>
      <c r="AL2196" t="s">
        <v>272</v>
      </c>
    </row>
    <row r="2197" spans="1:38">
      <c r="A2197" t="s">
        <v>9383</v>
      </c>
      <c r="B2197" t="s">
        <v>9384</v>
      </c>
      <c r="C2197" t="s">
        <v>9385</v>
      </c>
      <c r="D2197" t="s">
        <v>9385</v>
      </c>
      <c r="E2197" t="s">
        <v>9386</v>
      </c>
      <c r="F2197" t="s">
        <v>2425</v>
      </c>
      <c r="G2197">
        <v>3</v>
      </c>
      <c r="H2197">
        <v>1</v>
      </c>
      <c r="I2197">
        <v>0.01</v>
      </c>
      <c r="J2197">
        <v>1000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78998</v>
      </c>
      <c r="AB2197">
        <v>0</v>
      </c>
      <c r="AC2197">
        <v>0</v>
      </c>
      <c r="AD2197" t="s">
        <v>94</v>
      </c>
      <c r="AE2197" t="s">
        <v>94</v>
      </c>
      <c r="AF2197" t="s">
        <v>304</v>
      </c>
      <c r="AG2197" t="s">
        <v>226</v>
      </c>
      <c r="AH2197">
        <v>0</v>
      </c>
      <c r="AI2197" t="s">
        <v>3537</v>
      </c>
      <c r="AJ2197" t="s">
        <v>1976</v>
      </c>
      <c r="AK2197" t="s">
        <v>2426</v>
      </c>
      <c r="AL2197" t="s">
        <v>272</v>
      </c>
    </row>
    <row r="2198" spans="1:38">
      <c r="A2198" t="s">
        <v>9387</v>
      </c>
      <c r="B2198" t="s">
        <v>9388</v>
      </c>
      <c r="C2198" t="s">
        <v>9389</v>
      </c>
      <c r="D2198" t="s">
        <v>9389</v>
      </c>
      <c r="E2198" t="s">
        <v>9390</v>
      </c>
      <c r="F2198" t="s">
        <v>2425</v>
      </c>
      <c r="G2198">
        <v>3</v>
      </c>
      <c r="H2198">
        <v>1</v>
      </c>
      <c r="I2198">
        <v>0.01</v>
      </c>
      <c r="J2198">
        <v>1000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80464</v>
      </c>
      <c r="AB2198">
        <v>0</v>
      </c>
      <c r="AC2198">
        <v>0</v>
      </c>
      <c r="AD2198" t="s">
        <v>94</v>
      </c>
      <c r="AE2198" t="s">
        <v>94</v>
      </c>
      <c r="AF2198" t="s">
        <v>304</v>
      </c>
      <c r="AG2198" t="s">
        <v>226</v>
      </c>
      <c r="AH2198">
        <v>0</v>
      </c>
      <c r="AI2198" t="s">
        <v>3537</v>
      </c>
      <c r="AJ2198" t="s">
        <v>1976</v>
      </c>
      <c r="AK2198" t="s">
        <v>2426</v>
      </c>
      <c r="AL2198" t="s">
        <v>272</v>
      </c>
    </row>
    <row r="2199" spans="1:38">
      <c r="A2199" t="s">
        <v>9391</v>
      </c>
      <c r="B2199" t="s">
        <v>9392</v>
      </c>
      <c r="C2199" t="s">
        <v>9393</v>
      </c>
      <c r="D2199" t="s">
        <v>9393</v>
      </c>
      <c r="E2199" t="s">
        <v>9394</v>
      </c>
      <c r="F2199" t="s">
        <v>2425</v>
      </c>
      <c r="G2199">
        <v>3</v>
      </c>
      <c r="H2199">
        <v>1</v>
      </c>
      <c r="I2199">
        <v>0.01</v>
      </c>
      <c r="J2199">
        <v>1000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141500</v>
      </c>
      <c r="AB2199">
        <v>0</v>
      </c>
      <c r="AC2199">
        <v>0</v>
      </c>
      <c r="AD2199" t="s">
        <v>94</v>
      </c>
      <c r="AE2199" t="s">
        <v>94</v>
      </c>
      <c r="AF2199" t="s">
        <v>304</v>
      </c>
      <c r="AG2199" t="s">
        <v>226</v>
      </c>
      <c r="AH2199">
        <v>0</v>
      </c>
      <c r="AI2199" t="s">
        <v>3537</v>
      </c>
      <c r="AJ2199" t="s">
        <v>1976</v>
      </c>
      <c r="AK2199" t="s">
        <v>2426</v>
      </c>
      <c r="AL2199" t="s">
        <v>272</v>
      </c>
    </row>
    <row r="2200" spans="1:38">
      <c r="A2200" t="s">
        <v>9395</v>
      </c>
      <c r="B2200" t="s">
        <v>9396</v>
      </c>
      <c r="C2200" t="s">
        <v>9397</v>
      </c>
      <c r="D2200" t="s">
        <v>9397</v>
      </c>
      <c r="E2200" t="s">
        <v>9398</v>
      </c>
      <c r="F2200" t="s">
        <v>2425</v>
      </c>
      <c r="G2200">
        <v>3</v>
      </c>
      <c r="H2200">
        <v>1</v>
      </c>
      <c r="I2200">
        <v>0.01</v>
      </c>
      <c r="J2200">
        <v>1000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166952</v>
      </c>
      <c r="AB2200">
        <v>0</v>
      </c>
      <c r="AC2200">
        <v>0</v>
      </c>
      <c r="AD2200" t="s">
        <v>94</v>
      </c>
      <c r="AE2200" t="s">
        <v>94</v>
      </c>
      <c r="AF2200" t="s">
        <v>304</v>
      </c>
      <c r="AG2200" t="s">
        <v>226</v>
      </c>
      <c r="AH2200">
        <v>0</v>
      </c>
      <c r="AI2200" t="s">
        <v>3537</v>
      </c>
      <c r="AJ2200" t="s">
        <v>1976</v>
      </c>
      <c r="AK2200" t="s">
        <v>2426</v>
      </c>
      <c r="AL2200" t="s">
        <v>272</v>
      </c>
    </row>
    <row r="2201" spans="1:38">
      <c r="A2201" t="s">
        <v>9399</v>
      </c>
      <c r="B2201" t="s">
        <v>9400</v>
      </c>
      <c r="C2201" t="s">
        <v>9401</v>
      </c>
      <c r="D2201" t="s">
        <v>9401</v>
      </c>
      <c r="E2201" t="s">
        <v>9402</v>
      </c>
      <c r="F2201" t="s">
        <v>2425</v>
      </c>
      <c r="G2201">
        <v>3</v>
      </c>
      <c r="H2201">
        <v>1</v>
      </c>
      <c r="I2201">
        <v>0.01</v>
      </c>
      <c r="J2201">
        <v>1000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46950</v>
      </c>
      <c r="AB2201">
        <v>0</v>
      </c>
      <c r="AC2201">
        <v>0</v>
      </c>
      <c r="AD2201" t="s">
        <v>94</v>
      </c>
      <c r="AE2201" t="s">
        <v>94</v>
      </c>
      <c r="AF2201" t="s">
        <v>304</v>
      </c>
      <c r="AG2201" t="s">
        <v>226</v>
      </c>
      <c r="AH2201">
        <v>0</v>
      </c>
      <c r="AI2201" t="s">
        <v>3537</v>
      </c>
      <c r="AJ2201" t="s">
        <v>1976</v>
      </c>
      <c r="AK2201" t="s">
        <v>2426</v>
      </c>
      <c r="AL2201" t="s">
        <v>272</v>
      </c>
    </row>
    <row r="2202" spans="1:38">
      <c r="A2202" t="s">
        <v>9403</v>
      </c>
      <c r="B2202" t="s">
        <v>9404</v>
      </c>
      <c r="C2202" t="s">
        <v>9405</v>
      </c>
      <c r="D2202" t="s">
        <v>9405</v>
      </c>
      <c r="E2202" t="s">
        <v>9406</v>
      </c>
      <c r="F2202" t="s">
        <v>2425</v>
      </c>
      <c r="G2202">
        <v>3</v>
      </c>
      <c r="H2202">
        <v>1</v>
      </c>
      <c r="I2202">
        <v>0.01</v>
      </c>
      <c r="J2202">
        <v>1000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166501</v>
      </c>
      <c r="AB2202">
        <v>0</v>
      </c>
      <c r="AC2202">
        <v>0</v>
      </c>
      <c r="AD2202" t="s">
        <v>94</v>
      </c>
      <c r="AE2202" t="s">
        <v>94</v>
      </c>
      <c r="AF2202" t="s">
        <v>304</v>
      </c>
      <c r="AG2202" t="s">
        <v>226</v>
      </c>
      <c r="AH2202">
        <v>0</v>
      </c>
      <c r="AI2202" t="s">
        <v>3537</v>
      </c>
      <c r="AJ2202" t="s">
        <v>1976</v>
      </c>
      <c r="AK2202" t="s">
        <v>2426</v>
      </c>
      <c r="AL2202" t="s">
        <v>272</v>
      </c>
    </row>
    <row r="2203" spans="1:38">
      <c r="A2203" t="s">
        <v>9407</v>
      </c>
      <c r="B2203" t="s">
        <v>9408</v>
      </c>
      <c r="C2203" t="s">
        <v>9409</v>
      </c>
      <c r="D2203" t="s">
        <v>9409</v>
      </c>
      <c r="E2203" t="s">
        <v>9410</v>
      </c>
      <c r="F2203" t="s">
        <v>2425</v>
      </c>
      <c r="G2203">
        <v>3</v>
      </c>
      <c r="H2203">
        <v>1</v>
      </c>
      <c r="I2203">
        <v>0.01</v>
      </c>
      <c r="J2203">
        <v>1000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95744</v>
      </c>
      <c r="AB2203">
        <v>0</v>
      </c>
      <c r="AC2203">
        <v>0</v>
      </c>
      <c r="AD2203" t="s">
        <v>94</v>
      </c>
      <c r="AE2203" t="s">
        <v>94</v>
      </c>
      <c r="AF2203" t="s">
        <v>304</v>
      </c>
      <c r="AG2203" t="s">
        <v>226</v>
      </c>
      <c r="AH2203">
        <v>0</v>
      </c>
      <c r="AI2203" t="s">
        <v>3537</v>
      </c>
      <c r="AJ2203" t="s">
        <v>1976</v>
      </c>
      <c r="AK2203" t="s">
        <v>2426</v>
      </c>
      <c r="AL2203" t="s">
        <v>272</v>
      </c>
    </row>
    <row r="2204" spans="1:38">
      <c r="A2204" t="s">
        <v>9411</v>
      </c>
      <c r="B2204" t="s">
        <v>9412</v>
      </c>
      <c r="C2204" t="s">
        <v>9413</v>
      </c>
      <c r="D2204" t="s">
        <v>9413</v>
      </c>
      <c r="E2204" t="s">
        <v>9414</v>
      </c>
      <c r="F2204" t="s">
        <v>2425</v>
      </c>
      <c r="G2204">
        <v>3</v>
      </c>
      <c r="H2204">
        <v>1</v>
      </c>
      <c r="I2204">
        <v>0.01</v>
      </c>
      <c r="J2204">
        <v>1000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60.04</v>
      </c>
      <c r="Y2204">
        <v>0</v>
      </c>
      <c r="Z2204">
        <v>0</v>
      </c>
      <c r="AA2204">
        <v>80860</v>
      </c>
      <c r="AB2204">
        <v>0</v>
      </c>
      <c r="AC2204">
        <v>0</v>
      </c>
      <c r="AD2204" t="s">
        <v>94</v>
      </c>
      <c r="AE2204" t="s">
        <v>94</v>
      </c>
      <c r="AF2204" t="s">
        <v>304</v>
      </c>
      <c r="AG2204" t="s">
        <v>226</v>
      </c>
      <c r="AH2204">
        <v>0</v>
      </c>
      <c r="AI2204" t="s">
        <v>3537</v>
      </c>
      <c r="AJ2204" t="s">
        <v>1976</v>
      </c>
      <c r="AK2204" t="s">
        <v>2426</v>
      </c>
      <c r="AL2204" t="s">
        <v>272</v>
      </c>
    </row>
    <row r="2205" spans="1:38">
      <c r="A2205" t="s">
        <v>9415</v>
      </c>
      <c r="B2205" t="s">
        <v>9416</v>
      </c>
      <c r="C2205" t="s">
        <v>9417</v>
      </c>
      <c r="D2205" t="s">
        <v>9417</v>
      </c>
      <c r="E2205" t="s">
        <v>9418</v>
      </c>
      <c r="F2205" t="s">
        <v>2425</v>
      </c>
      <c r="G2205">
        <v>3</v>
      </c>
      <c r="H2205">
        <v>1</v>
      </c>
      <c r="I2205">
        <v>0.01</v>
      </c>
      <c r="J2205">
        <v>1000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87530</v>
      </c>
      <c r="AB2205">
        <v>0</v>
      </c>
      <c r="AC2205">
        <v>0</v>
      </c>
      <c r="AD2205" t="s">
        <v>94</v>
      </c>
      <c r="AE2205" t="s">
        <v>94</v>
      </c>
      <c r="AF2205" t="s">
        <v>304</v>
      </c>
      <c r="AG2205" t="s">
        <v>226</v>
      </c>
      <c r="AH2205">
        <v>0</v>
      </c>
      <c r="AI2205" t="s">
        <v>3537</v>
      </c>
      <c r="AJ2205" t="s">
        <v>1976</v>
      </c>
      <c r="AK2205" t="s">
        <v>2426</v>
      </c>
      <c r="AL2205" t="s">
        <v>272</v>
      </c>
    </row>
    <row r="2206" spans="1:38">
      <c r="A2206" t="s">
        <v>9419</v>
      </c>
      <c r="B2206" t="s">
        <v>9420</v>
      </c>
      <c r="C2206" t="s">
        <v>9421</v>
      </c>
      <c r="D2206" t="s">
        <v>9421</v>
      </c>
      <c r="E2206" t="s">
        <v>9422</v>
      </c>
      <c r="F2206" t="s">
        <v>2425</v>
      </c>
      <c r="G2206">
        <v>3</v>
      </c>
      <c r="H2206">
        <v>1</v>
      </c>
      <c r="I2206">
        <v>0.01</v>
      </c>
      <c r="J2206">
        <v>1000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62170</v>
      </c>
      <c r="AB2206">
        <v>0</v>
      </c>
      <c r="AC2206">
        <v>0</v>
      </c>
      <c r="AD2206" t="s">
        <v>94</v>
      </c>
      <c r="AE2206" t="s">
        <v>94</v>
      </c>
      <c r="AF2206" t="s">
        <v>304</v>
      </c>
      <c r="AG2206" t="s">
        <v>226</v>
      </c>
      <c r="AH2206">
        <v>0</v>
      </c>
      <c r="AI2206" t="s">
        <v>3537</v>
      </c>
      <c r="AJ2206" t="s">
        <v>1976</v>
      </c>
      <c r="AK2206" t="s">
        <v>2426</v>
      </c>
      <c r="AL2206" t="s">
        <v>272</v>
      </c>
    </row>
    <row r="2207" spans="1:38">
      <c r="A2207" t="s">
        <v>9423</v>
      </c>
      <c r="B2207" t="s">
        <v>9424</v>
      </c>
      <c r="C2207" t="s">
        <v>9425</v>
      </c>
      <c r="D2207" t="s">
        <v>9425</v>
      </c>
      <c r="E2207" t="s">
        <v>9426</v>
      </c>
      <c r="F2207" t="s">
        <v>2425</v>
      </c>
      <c r="G2207">
        <v>3</v>
      </c>
      <c r="H2207">
        <v>1</v>
      </c>
      <c r="I2207">
        <v>0.01</v>
      </c>
      <c r="J2207">
        <v>1000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139773</v>
      </c>
      <c r="AB2207">
        <v>0</v>
      </c>
      <c r="AC2207">
        <v>0</v>
      </c>
      <c r="AD2207" t="s">
        <v>94</v>
      </c>
      <c r="AE2207" t="s">
        <v>94</v>
      </c>
      <c r="AF2207" t="s">
        <v>304</v>
      </c>
      <c r="AG2207" t="s">
        <v>226</v>
      </c>
      <c r="AH2207">
        <v>0</v>
      </c>
      <c r="AI2207" t="s">
        <v>3537</v>
      </c>
      <c r="AJ2207" t="s">
        <v>1976</v>
      </c>
      <c r="AK2207" t="s">
        <v>2426</v>
      </c>
      <c r="AL2207" t="s">
        <v>272</v>
      </c>
    </row>
    <row r="2208" spans="1:38">
      <c r="A2208" t="s">
        <v>9427</v>
      </c>
      <c r="B2208" t="s">
        <v>9428</v>
      </c>
      <c r="C2208" t="s">
        <v>9429</v>
      </c>
      <c r="D2208" t="s">
        <v>9429</v>
      </c>
      <c r="E2208" t="s">
        <v>9430</v>
      </c>
      <c r="F2208" t="s">
        <v>2425</v>
      </c>
      <c r="G2208">
        <v>3</v>
      </c>
      <c r="H2208">
        <v>1</v>
      </c>
      <c r="I2208">
        <v>0.01</v>
      </c>
      <c r="J2208">
        <v>1000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120580</v>
      </c>
      <c r="AB2208">
        <v>0</v>
      </c>
      <c r="AC2208">
        <v>0</v>
      </c>
      <c r="AD2208" t="s">
        <v>94</v>
      </c>
      <c r="AE2208" t="s">
        <v>94</v>
      </c>
      <c r="AF2208" t="s">
        <v>304</v>
      </c>
      <c r="AG2208" t="s">
        <v>226</v>
      </c>
      <c r="AH2208">
        <v>0</v>
      </c>
      <c r="AI2208" t="s">
        <v>3537</v>
      </c>
      <c r="AJ2208" t="s">
        <v>1976</v>
      </c>
      <c r="AK2208" t="s">
        <v>2426</v>
      </c>
      <c r="AL2208" t="s">
        <v>272</v>
      </c>
    </row>
    <row r="2209" spans="1:38">
      <c r="A2209" t="s">
        <v>9431</v>
      </c>
      <c r="B2209" t="s">
        <v>9432</v>
      </c>
      <c r="C2209" t="s">
        <v>9433</v>
      </c>
      <c r="D2209" t="s">
        <v>9433</v>
      </c>
      <c r="E2209" t="s">
        <v>9434</v>
      </c>
      <c r="F2209" t="s">
        <v>2425</v>
      </c>
      <c r="G2209">
        <v>3</v>
      </c>
      <c r="H2209">
        <v>1</v>
      </c>
      <c r="I2209">
        <v>0.01</v>
      </c>
      <c r="J2209">
        <v>1000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67574</v>
      </c>
      <c r="AB2209">
        <v>0</v>
      </c>
      <c r="AC2209">
        <v>0</v>
      </c>
      <c r="AD2209" t="s">
        <v>94</v>
      </c>
      <c r="AE2209" t="s">
        <v>94</v>
      </c>
      <c r="AF2209" t="s">
        <v>304</v>
      </c>
      <c r="AG2209" t="s">
        <v>226</v>
      </c>
      <c r="AH2209">
        <v>0</v>
      </c>
      <c r="AI2209" t="s">
        <v>3537</v>
      </c>
      <c r="AJ2209" t="s">
        <v>1976</v>
      </c>
      <c r="AK2209" t="s">
        <v>2426</v>
      </c>
      <c r="AL2209" t="s">
        <v>272</v>
      </c>
    </row>
    <row r="2210" spans="1:38">
      <c r="A2210" t="s">
        <v>9435</v>
      </c>
      <c r="B2210" t="s">
        <v>9436</v>
      </c>
      <c r="C2210" t="s">
        <v>9437</v>
      </c>
      <c r="D2210" t="s">
        <v>9437</v>
      </c>
      <c r="E2210" t="s">
        <v>9438</v>
      </c>
      <c r="F2210" t="s">
        <v>2425</v>
      </c>
      <c r="G2210">
        <v>3</v>
      </c>
      <c r="H2210">
        <v>1</v>
      </c>
      <c r="I2210">
        <v>0.01</v>
      </c>
      <c r="J2210">
        <v>1000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86526</v>
      </c>
      <c r="AB2210">
        <v>0</v>
      </c>
      <c r="AC2210">
        <v>0</v>
      </c>
      <c r="AD2210" t="s">
        <v>94</v>
      </c>
      <c r="AE2210" t="s">
        <v>94</v>
      </c>
      <c r="AF2210" t="s">
        <v>304</v>
      </c>
      <c r="AG2210" t="s">
        <v>226</v>
      </c>
      <c r="AH2210">
        <v>0</v>
      </c>
      <c r="AI2210" t="s">
        <v>3537</v>
      </c>
      <c r="AJ2210" t="s">
        <v>1976</v>
      </c>
      <c r="AK2210" t="s">
        <v>2426</v>
      </c>
      <c r="AL2210" t="s">
        <v>272</v>
      </c>
    </row>
    <row r="2211" spans="1:38">
      <c r="A2211" t="s">
        <v>9439</v>
      </c>
      <c r="B2211" t="s">
        <v>9440</v>
      </c>
      <c r="C2211" t="s">
        <v>9441</v>
      </c>
      <c r="D2211" t="s">
        <v>9441</v>
      </c>
      <c r="E2211" t="s">
        <v>9442</v>
      </c>
      <c r="F2211" t="s">
        <v>2425</v>
      </c>
      <c r="G2211">
        <v>3</v>
      </c>
      <c r="H2211">
        <v>1</v>
      </c>
      <c r="I2211">
        <v>0.01</v>
      </c>
      <c r="J2211">
        <v>100000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15400</v>
      </c>
      <c r="AB2211">
        <v>0</v>
      </c>
      <c r="AC2211">
        <v>0</v>
      </c>
      <c r="AD2211" t="s">
        <v>94</v>
      </c>
      <c r="AE2211" t="s">
        <v>94</v>
      </c>
      <c r="AF2211" t="s">
        <v>304</v>
      </c>
      <c r="AG2211" t="s">
        <v>226</v>
      </c>
      <c r="AH2211">
        <v>0</v>
      </c>
      <c r="AI2211" t="s">
        <v>3537</v>
      </c>
      <c r="AJ2211" t="s">
        <v>1976</v>
      </c>
      <c r="AK2211" t="s">
        <v>2426</v>
      </c>
      <c r="AL2211" t="s">
        <v>272</v>
      </c>
    </row>
    <row r="2212" spans="1:38">
      <c r="A2212" t="s">
        <v>9443</v>
      </c>
      <c r="B2212" t="s">
        <v>9444</v>
      </c>
      <c r="C2212" t="s">
        <v>9445</v>
      </c>
      <c r="D2212" t="s">
        <v>9445</v>
      </c>
      <c r="E2212" t="s">
        <v>9446</v>
      </c>
      <c r="F2212" t="s">
        <v>2425</v>
      </c>
      <c r="G2212">
        <v>3</v>
      </c>
      <c r="H2212">
        <v>1</v>
      </c>
      <c r="I2212">
        <v>0.01</v>
      </c>
      <c r="J2212">
        <v>617.25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520000</v>
      </c>
      <c r="AB2212">
        <v>0</v>
      </c>
      <c r="AC2212">
        <v>0</v>
      </c>
      <c r="AD2212" t="s">
        <v>94</v>
      </c>
      <c r="AE2212" t="s">
        <v>94</v>
      </c>
      <c r="AF2212" t="s">
        <v>304</v>
      </c>
      <c r="AG2212" t="s">
        <v>226</v>
      </c>
      <c r="AH2212">
        <v>0</v>
      </c>
      <c r="AI2212" t="s">
        <v>3537</v>
      </c>
      <c r="AJ2212" t="s">
        <v>1976</v>
      </c>
      <c r="AK2212" t="s">
        <v>2426</v>
      </c>
      <c r="AL2212" t="s">
        <v>272</v>
      </c>
    </row>
    <row r="2213" spans="1:38">
      <c r="A2213" t="s">
        <v>9447</v>
      </c>
      <c r="B2213" t="s">
        <v>9448</v>
      </c>
      <c r="C2213" t="s">
        <v>9449</v>
      </c>
      <c r="D2213" t="s">
        <v>9449</v>
      </c>
      <c r="E2213" t="s">
        <v>9450</v>
      </c>
      <c r="F2213" t="s">
        <v>2425</v>
      </c>
      <c r="G2213">
        <v>3</v>
      </c>
      <c r="H2213">
        <v>1</v>
      </c>
      <c r="I2213">
        <v>0.01</v>
      </c>
      <c r="J2213">
        <v>1000</v>
      </c>
      <c r="K2213">
        <v>0</v>
      </c>
      <c r="L2213">
        <v>0</v>
      </c>
      <c r="M2213">
        <v>137.38</v>
      </c>
      <c r="N2213">
        <v>100.56</v>
      </c>
      <c r="O2213">
        <v>137.38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82.01</v>
      </c>
      <c r="Y2213">
        <v>98</v>
      </c>
      <c r="Z2213">
        <v>0</v>
      </c>
      <c r="AA2213">
        <v>1000000</v>
      </c>
      <c r="AB2213">
        <v>0</v>
      </c>
      <c r="AC2213">
        <v>0</v>
      </c>
      <c r="AD2213" t="s">
        <v>94</v>
      </c>
      <c r="AE2213" t="s">
        <v>94</v>
      </c>
      <c r="AF2213" t="s">
        <v>304</v>
      </c>
      <c r="AG2213" t="s">
        <v>226</v>
      </c>
      <c r="AH2213">
        <v>0</v>
      </c>
      <c r="AI2213" t="s">
        <v>3537</v>
      </c>
      <c r="AJ2213" t="s">
        <v>1976</v>
      </c>
      <c r="AK2213" t="s">
        <v>2426</v>
      </c>
      <c r="AL2213" t="s">
        <v>272</v>
      </c>
    </row>
    <row r="2214" spans="1:38">
      <c r="A2214" t="s">
        <v>9451</v>
      </c>
      <c r="B2214" t="s">
        <v>9452</v>
      </c>
      <c r="C2214" t="s">
        <v>9453</v>
      </c>
      <c r="D2214" t="s">
        <v>9453</v>
      </c>
      <c r="E2214" t="s">
        <v>9454</v>
      </c>
      <c r="F2214" t="s">
        <v>2425</v>
      </c>
      <c r="G2214">
        <v>3</v>
      </c>
      <c r="H2214">
        <v>1</v>
      </c>
      <c r="I2214">
        <v>0.01</v>
      </c>
      <c r="J2214">
        <v>296.63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440000</v>
      </c>
      <c r="AB2214">
        <v>0</v>
      </c>
      <c r="AC2214">
        <v>0</v>
      </c>
      <c r="AD2214" t="s">
        <v>94</v>
      </c>
      <c r="AE2214" t="s">
        <v>94</v>
      </c>
      <c r="AF2214" t="s">
        <v>304</v>
      </c>
      <c r="AG2214" t="s">
        <v>226</v>
      </c>
      <c r="AH2214">
        <v>0</v>
      </c>
      <c r="AI2214" t="s">
        <v>3537</v>
      </c>
      <c r="AJ2214" t="s">
        <v>1976</v>
      </c>
      <c r="AK2214" t="s">
        <v>2426</v>
      </c>
      <c r="AL2214" t="s">
        <v>272</v>
      </c>
    </row>
    <row r="2215" spans="1:38">
      <c r="A2215" t="s">
        <v>9455</v>
      </c>
      <c r="B2215" t="s">
        <v>9456</v>
      </c>
      <c r="C2215" t="s">
        <v>9457</v>
      </c>
      <c r="D2215" t="s">
        <v>9457</v>
      </c>
      <c r="E2215" t="s">
        <v>9458</v>
      </c>
      <c r="F2215" t="s">
        <v>2425</v>
      </c>
      <c r="G2215">
        <v>3</v>
      </c>
      <c r="H2215">
        <v>1</v>
      </c>
      <c r="I2215">
        <v>0.01</v>
      </c>
      <c r="J2215">
        <v>612.78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208400000</v>
      </c>
      <c r="AB2215">
        <v>0</v>
      </c>
      <c r="AC2215">
        <v>0</v>
      </c>
      <c r="AD2215" t="s">
        <v>94</v>
      </c>
      <c r="AE2215" t="s">
        <v>94</v>
      </c>
      <c r="AF2215" t="s">
        <v>304</v>
      </c>
      <c r="AG2215" t="s">
        <v>226</v>
      </c>
      <c r="AH2215">
        <v>0</v>
      </c>
      <c r="AI2215" t="s">
        <v>3537</v>
      </c>
      <c r="AJ2215" t="s">
        <v>1976</v>
      </c>
      <c r="AK2215" t="s">
        <v>2426</v>
      </c>
      <c r="AL2215" t="s">
        <v>272</v>
      </c>
    </row>
    <row r="2216" spans="1:38">
      <c r="A2216" t="s">
        <v>9459</v>
      </c>
      <c r="B2216" t="s">
        <v>9460</v>
      </c>
      <c r="C2216" t="s">
        <v>9461</v>
      </c>
      <c r="D2216" t="s">
        <v>9461</v>
      </c>
      <c r="E2216" t="s">
        <v>9462</v>
      </c>
      <c r="F2216" t="s">
        <v>2425</v>
      </c>
      <c r="G2216">
        <v>3</v>
      </c>
      <c r="H2216">
        <v>1</v>
      </c>
      <c r="I2216">
        <v>0.01</v>
      </c>
      <c r="J2216">
        <v>924</v>
      </c>
      <c r="K2216">
        <v>-1.63</v>
      </c>
      <c r="L2216">
        <v>84.35</v>
      </c>
      <c r="M2216">
        <v>85.75</v>
      </c>
      <c r="N2216">
        <v>85.48</v>
      </c>
      <c r="O2216">
        <v>84.75</v>
      </c>
      <c r="P2216">
        <v>0</v>
      </c>
      <c r="Q2216">
        <v>0</v>
      </c>
      <c r="R2216">
        <v>0</v>
      </c>
      <c r="S2216">
        <v>85.32</v>
      </c>
      <c r="T2216">
        <v>85.31</v>
      </c>
      <c r="U2216">
        <v>84.31</v>
      </c>
      <c r="V2216">
        <v>85.87</v>
      </c>
      <c r="W2216">
        <v>867228</v>
      </c>
      <c r="X2216">
        <v>84.35</v>
      </c>
      <c r="Y2216">
        <v>85.16</v>
      </c>
      <c r="Z2216">
        <v>29</v>
      </c>
      <c r="AA2216">
        <v>207128</v>
      </c>
      <c r="AB2216">
        <v>14808.49</v>
      </c>
      <c r="AC2216">
        <v>0</v>
      </c>
      <c r="AD2216" t="s">
        <v>94</v>
      </c>
      <c r="AE2216" t="s">
        <v>94</v>
      </c>
      <c r="AF2216" t="s">
        <v>226</v>
      </c>
      <c r="AG2216" t="s">
        <v>226</v>
      </c>
      <c r="AH2216">
        <v>-100</v>
      </c>
      <c r="AI2216" t="s">
        <v>3537</v>
      </c>
      <c r="AJ2216" t="s">
        <v>1976</v>
      </c>
      <c r="AK2216" t="s">
        <v>2426</v>
      </c>
      <c r="AL2216" t="s">
        <v>272</v>
      </c>
    </row>
    <row r="2217" spans="1:38">
      <c r="A2217" t="s">
        <v>9463</v>
      </c>
      <c r="B2217" t="s">
        <v>9464</v>
      </c>
      <c r="C2217" t="s">
        <v>9465</v>
      </c>
      <c r="D2217" t="s">
        <v>9465</v>
      </c>
      <c r="E2217" t="s">
        <v>9466</v>
      </c>
      <c r="F2217" t="s">
        <v>2425</v>
      </c>
      <c r="G2217">
        <v>3</v>
      </c>
      <c r="H2217">
        <v>1</v>
      </c>
      <c r="I2217">
        <v>0.01</v>
      </c>
      <c r="J2217">
        <v>668.51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90000</v>
      </c>
      <c r="AB2217">
        <v>0</v>
      </c>
      <c r="AC2217">
        <v>0</v>
      </c>
      <c r="AD2217" t="s">
        <v>94</v>
      </c>
      <c r="AE2217" t="s">
        <v>94</v>
      </c>
      <c r="AF2217" t="s">
        <v>304</v>
      </c>
      <c r="AG2217" t="s">
        <v>226</v>
      </c>
      <c r="AH2217">
        <v>0</v>
      </c>
      <c r="AI2217" t="s">
        <v>3537</v>
      </c>
      <c r="AJ2217" t="s">
        <v>1976</v>
      </c>
      <c r="AK2217" t="s">
        <v>2426</v>
      </c>
      <c r="AL2217" t="s">
        <v>272</v>
      </c>
    </row>
    <row r="2218" spans="1:38">
      <c r="A2218" t="s">
        <v>9467</v>
      </c>
      <c r="B2218" t="s">
        <v>9468</v>
      </c>
      <c r="C2218" t="s">
        <v>9469</v>
      </c>
      <c r="D2218" t="s">
        <v>9469</v>
      </c>
      <c r="E2218" t="s">
        <v>9470</v>
      </c>
      <c r="F2218" t="s">
        <v>2413</v>
      </c>
      <c r="G2218">
        <v>3</v>
      </c>
      <c r="H2218">
        <v>1</v>
      </c>
      <c r="I2218">
        <v>0.01</v>
      </c>
      <c r="J2218">
        <v>1000</v>
      </c>
      <c r="K2218">
        <v>0.06</v>
      </c>
      <c r="L2218">
        <v>64.22</v>
      </c>
      <c r="M2218">
        <v>64.180000000000007</v>
      </c>
      <c r="N2218">
        <v>64.83</v>
      </c>
      <c r="O2218">
        <v>64.22</v>
      </c>
      <c r="P2218">
        <v>0</v>
      </c>
      <c r="Q2218">
        <v>0</v>
      </c>
      <c r="R2218">
        <v>0</v>
      </c>
      <c r="S2218">
        <v>64.11</v>
      </c>
      <c r="T2218">
        <v>63.54</v>
      </c>
      <c r="U2218">
        <v>63.5</v>
      </c>
      <c r="V2218">
        <v>64.56</v>
      </c>
      <c r="W2218">
        <v>126937</v>
      </c>
      <c r="X2218">
        <v>63.3</v>
      </c>
      <c r="Y2218">
        <v>64.16</v>
      </c>
      <c r="Z2218">
        <v>38</v>
      </c>
      <c r="AA2218">
        <v>500000</v>
      </c>
      <c r="AB2218">
        <v>1284.4000000000001</v>
      </c>
      <c r="AC2218">
        <v>0</v>
      </c>
      <c r="AD2218" t="s">
        <v>94</v>
      </c>
      <c r="AE2218" t="s">
        <v>94</v>
      </c>
      <c r="AF2218" t="s">
        <v>226</v>
      </c>
      <c r="AG2218" t="s">
        <v>226</v>
      </c>
      <c r="AH2218">
        <v>6</v>
      </c>
      <c r="AI2218" t="s">
        <v>3537</v>
      </c>
      <c r="AJ2218" t="s">
        <v>1976</v>
      </c>
      <c r="AK2218" t="s">
        <v>2416</v>
      </c>
      <c r="AL2218" t="s">
        <v>272</v>
      </c>
    </row>
    <row r="2219" spans="1:38">
      <c r="A2219" t="s">
        <v>9471</v>
      </c>
      <c r="B2219" t="s">
        <v>9472</v>
      </c>
      <c r="C2219" t="s">
        <v>9473</v>
      </c>
      <c r="D2219" t="s">
        <v>9473</v>
      </c>
      <c r="E2219" t="s">
        <v>9474</v>
      </c>
      <c r="F2219" t="s">
        <v>2413</v>
      </c>
      <c r="G2219">
        <v>3</v>
      </c>
      <c r="H2219">
        <v>1</v>
      </c>
      <c r="I2219">
        <v>0.01</v>
      </c>
      <c r="J2219">
        <v>1000</v>
      </c>
      <c r="K2219">
        <v>-0.52</v>
      </c>
      <c r="L2219">
        <v>96.75</v>
      </c>
      <c r="M2219">
        <v>97.28</v>
      </c>
      <c r="N2219">
        <v>97.22</v>
      </c>
      <c r="O2219">
        <v>96.75</v>
      </c>
      <c r="P2219">
        <v>0</v>
      </c>
      <c r="Q2219">
        <v>0</v>
      </c>
      <c r="R2219">
        <v>0</v>
      </c>
      <c r="S2219">
        <v>96.91</v>
      </c>
      <c r="T2219">
        <v>97.26</v>
      </c>
      <c r="U2219">
        <v>96.31</v>
      </c>
      <c r="V2219">
        <v>97.35</v>
      </c>
      <c r="W2219">
        <v>311095</v>
      </c>
      <c r="X2219">
        <v>96.41</v>
      </c>
      <c r="Y2219">
        <v>96.75</v>
      </c>
      <c r="Z2219">
        <v>67</v>
      </c>
      <c r="AA2219">
        <v>250000</v>
      </c>
      <c r="AB2219">
        <v>3870</v>
      </c>
      <c r="AC2219">
        <v>0</v>
      </c>
      <c r="AD2219" t="s">
        <v>94</v>
      </c>
      <c r="AE2219" t="s">
        <v>94</v>
      </c>
      <c r="AF2219" t="s">
        <v>226</v>
      </c>
      <c r="AG2219" t="s">
        <v>226</v>
      </c>
      <c r="AH2219">
        <v>6</v>
      </c>
      <c r="AI2219" t="s">
        <v>3537</v>
      </c>
      <c r="AJ2219" t="s">
        <v>1976</v>
      </c>
      <c r="AK2219" t="s">
        <v>2416</v>
      </c>
      <c r="AL2219" t="s">
        <v>272</v>
      </c>
    </row>
    <row r="2220" spans="1:38">
      <c r="A2220" t="s">
        <v>9475</v>
      </c>
      <c r="B2220" t="s">
        <v>9476</v>
      </c>
      <c r="C2220" t="s">
        <v>9477</v>
      </c>
      <c r="D2220" t="s">
        <v>9477</v>
      </c>
      <c r="E2220" t="s">
        <v>9478</v>
      </c>
      <c r="F2220" t="s">
        <v>3754</v>
      </c>
      <c r="G2220">
        <v>1</v>
      </c>
      <c r="H2220">
        <v>1</v>
      </c>
      <c r="I2220">
        <v>0.01</v>
      </c>
      <c r="J2220">
        <v>350</v>
      </c>
      <c r="K2220">
        <v>3.34</v>
      </c>
      <c r="L2220">
        <v>91.95</v>
      </c>
      <c r="M2220">
        <v>88.97</v>
      </c>
      <c r="N2220">
        <v>89.4</v>
      </c>
      <c r="O2220">
        <v>90.13</v>
      </c>
      <c r="P2220">
        <v>0</v>
      </c>
      <c r="Q2220">
        <v>0</v>
      </c>
      <c r="R2220">
        <v>0</v>
      </c>
      <c r="S2220">
        <v>89.69</v>
      </c>
      <c r="T2220">
        <v>88.95</v>
      </c>
      <c r="U2220">
        <v>88.89</v>
      </c>
      <c r="V2220">
        <v>91.95</v>
      </c>
      <c r="W2220">
        <v>27626</v>
      </c>
      <c r="X2220">
        <v>89.93</v>
      </c>
      <c r="Y2220">
        <v>91.05</v>
      </c>
      <c r="Z2220">
        <v>33</v>
      </c>
      <c r="AA2220">
        <v>8000000</v>
      </c>
      <c r="AB2220">
        <v>321.83</v>
      </c>
      <c r="AC2220">
        <v>0</v>
      </c>
      <c r="AD2220" t="s">
        <v>94</v>
      </c>
      <c r="AE2220" t="s">
        <v>94</v>
      </c>
      <c r="AF2220" t="s">
        <v>226</v>
      </c>
      <c r="AG2220" t="s">
        <v>226</v>
      </c>
      <c r="AH2220">
        <v>-100</v>
      </c>
      <c r="AI2220" t="s">
        <v>3537</v>
      </c>
      <c r="AJ2220" t="s">
        <v>1976</v>
      </c>
      <c r="AK2220" t="s">
        <v>3755</v>
      </c>
      <c r="AL2220" t="s">
        <v>272</v>
      </c>
    </row>
    <row r="2221" spans="1:38">
      <c r="A2221" t="s">
        <v>9479</v>
      </c>
      <c r="B2221" t="s">
        <v>9480</v>
      </c>
      <c r="C2221" t="s">
        <v>9481</v>
      </c>
      <c r="D2221" t="s">
        <v>9481</v>
      </c>
      <c r="E2221" t="s">
        <v>9482</v>
      </c>
      <c r="F2221" t="s">
        <v>3754</v>
      </c>
      <c r="G2221">
        <v>1</v>
      </c>
      <c r="H2221">
        <v>1</v>
      </c>
      <c r="I2221">
        <v>0.01</v>
      </c>
      <c r="J2221">
        <v>400</v>
      </c>
      <c r="K2221">
        <v>0.11</v>
      </c>
      <c r="L2221">
        <v>88.56</v>
      </c>
      <c r="M2221">
        <v>89.19</v>
      </c>
      <c r="N2221">
        <v>93.6</v>
      </c>
      <c r="O2221">
        <v>88.56</v>
      </c>
      <c r="P2221">
        <v>0</v>
      </c>
      <c r="Q2221">
        <v>0</v>
      </c>
      <c r="R2221">
        <v>0</v>
      </c>
      <c r="S2221">
        <v>88.07</v>
      </c>
      <c r="T2221">
        <v>88.93</v>
      </c>
      <c r="U2221">
        <v>86.43</v>
      </c>
      <c r="V2221">
        <v>89.49</v>
      </c>
      <c r="W2221">
        <v>17262</v>
      </c>
      <c r="X2221">
        <v>87.41</v>
      </c>
      <c r="Y2221">
        <v>87.91</v>
      </c>
      <c r="Z2221">
        <v>30</v>
      </c>
      <c r="AA2221">
        <v>5000000</v>
      </c>
      <c r="AB2221">
        <v>354.24</v>
      </c>
      <c r="AC2221">
        <v>0</v>
      </c>
      <c r="AD2221" t="s">
        <v>94</v>
      </c>
      <c r="AE2221" t="s">
        <v>94</v>
      </c>
      <c r="AF2221" t="s">
        <v>226</v>
      </c>
      <c r="AG2221" t="s">
        <v>226</v>
      </c>
      <c r="AH2221">
        <v>-100</v>
      </c>
      <c r="AI2221" t="s">
        <v>3537</v>
      </c>
      <c r="AJ2221" t="s">
        <v>1976</v>
      </c>
      <c r="AK2221" t="s">
        <v>3755</v>
      </c>
      <c r="AL2221" t="s">
        <v>272</v>
      </c>
    </row>
    <row r="2222" spans="1:38">
      <c r="A2222" t="s">
        <v>9483</v>
      </c>
      <c r="B2222" t="s">
        <v>9484</v>
      </c>
      <c r="C2222" t="s">
        <v>9485</v>
      </c>
      <c r="D2222" t="s">
        <v>9485</v>
      </c>
      <c r="E2222" t="s">
        <v>9486</v>
      </c>
      <c r="F2222" t="s">
        <v>2413</v>
      </c>
      <c r="G2222">
        <v>3</v>
      </c>
      <c r="H2222">
        <v>1</v>
      </c>
      <c r="I2222">
        <v>0.01</v>
      </c>
      <c r="J2222">
        <v>1000</v>
      </c>
      <c r="K2222">
        <v>2.62</v>
      </c>
      <c r="L2222">
        <v>88.95</v>
      </c>
      <c r="M2222">
        <v>86.66</v>
      </c>
      <c r="N2222">
        <v>86.69</v>
      </c>
      <c r="O2222">
        <v>89.48</v>
      </c>
      <c r="P2222">
        <v>0</v>
      </c>
      <c r="Q2222">
        <v>0</v>
      </c>
      <c r="R2222">
        <v>0</v>
      </c>
      <c r="S2222">
        <v>86.99</v>
      </c>
      <c r="T2222">
        <v>82.02</v>
      </c>
      <c r="U2222">
        <v>82.02</v>
      </c>
      <c r="V2222">
        <v>90</v>
      </c>
      <c r="W2222">
        <v>124389</v>
      </c>
      <c r="X2222">
        <v>85.73</v>
      </c>
      <c r="Y2222">
        <v>88.94</v>
      </c>
      <c r="Z2222">
        <v>33</v>
      </c>
      <c r="AA2222">
        <v>160000</v>
      </c>
      <c r="AB2222">
        <v>889.5</v>
      </c>
      <c r="AC2222">
        <v>0</v>
      </c>
      <c r="AD2222" t="s">
        <v>94</v>
      </c>
      <c r="AE2222" t="s">
        <v>94</v>
      </c>
      <c r="AF2222" t="s">
        <v>304</v>
      </c>
      <c r="AG2222" t="s">
        <v>226</v>
      </c>
      <c r="AH2222">
        <v>0</v>
      </c>
      <c r="AI2222" t="s">
        <v>3537</v>
      </c>
      <c r="AJ2222" t="s">
        <v>1976</v>
      </c>
      <c r="AK2222" t="s">
        <v>2416</v>
      </c>
      <c r="AL2222" t="s">
        <v>272</v>
      </c>
    </row>
    <row r="2223" spans="1:38">
      <c r="A2223" t="s">
        <v>9487</v>
      </c>
      <c r="B2223" t="s">
        <v>9488</v>
      </c>
      <c r="C2223" t="s">
        <v>9489</v>
      </c>
      <c r="D2223" t="s">
        <v>9489</v>
      </c>
      <c r="E2223" t="s">
        <v>9490</v>
      </c>
      <c r="F2223" t="s">
        <v>2413</v>
      </c>
      <c r="G2223">
        <v>3</v>
      </c>
      <c r="H2223">
        <v>1</v>
      </c>
      <c r="I2223">
        <v>0.01</v>
      </c>
      <c r="J2223">
        <v>1000</v>
      </c>
      <c r="K2223">
        <v>0.51</v>
      </c>
      <c r="L2223">
        <v>99.49</v>
      </c>
      <c r="M2223">
        <v>99.19</v>
      </c>
      <c r="N2223">
        <v>98.5</v>
      </c>
      <c r="O2223">
        <v>99.49</v>
      </c>
      <c r="P2223">
        <v>0</v>
      </c>
      <c r="Q2223">
        <v>0</v>
      </c>
      <c r="R2223">
        <v>0</v>
      </c>
      <c r="S2223">
        <v>100.91</v>
      </c>
      <c r="T2223">
        <v>99.95</v>
      </c>
      <c r="U2223">
        <v>97.15</v>
      </c>
      <c r="V2223">
        <v>102.98</v>
      </c>
      <c r="W2223">
        <v>185682</v>
      </c>
      <c r="X2223">
        <v>98.32</v>
      </c>
      <c r="Y2223">
        <v>99.49</v>
      </c>
      <c r="Z2223">
        <v>18</v>
      </c>
      <c r="AA2223">
        <v>300000</v>
      </c>
      <c r="AB2223">
        <v>994.9</v>
      </c>
      <c r="AC2223">
        <v>0</v>
      </c>
      <c r="AD2223" t="s">
        <v>94</v>
      </c>
      <c r="AE2223" t="s">
        <v>94</v>
      </c>
      <c r="AF2223" t="s">
        <v>226</v>
      </c>
      <c r="AG2223" t="s">
        <v>226</v>
      </c>
      <c r="AH2223">
        <v>6</v>
      </c>
      <c r="AI2223" t="s">
        <v>3537</v>
      </c>
      <c r="AJ2223" t="s">
        <v>1976</v>
      </c>
      <c r="AK2223" t="s">
        <v>2416</v>
      </c>
      <c r="AL2223" t="s">
        <v>272</v>
      </c>
    </row>
    <row r="2224" spans="1:38">
      <c r="A2224" t="s">
        <v>9491</v>
      </c>
      <c r="B2224" t="s">
        <v>9492</v>
      </c>
      <c r="C2224" t="s">
        <v>9493</v>
      </c>
      <c r="D2224" t="s">
        <v>9493</v>
      </c>
      <c r="E2224" t="s">
        <v>9494</v>
      </c>
      <c r="F2224" t="s">
        <v>2425</v>
      </c>
      <c r="G2224">
        <v>3</v>
      </c>
      <c r="H2224">
        <v>1</v>
      </c>
      <c r="I2224">
        <v>0.01</v>
      </c>
      <c r="J2224">
        <v>1000</v>
      </c>
      <c r="K2224">
        <v>0.13</v>
      </c>
      <c r="L2224">
        <v>90.74</v>
      </c>
      <c r="M2224">
        <v>90.61</v>
      </c>
      <c r="N2224">
        <v>90.74</v>
      </c>
      <c r="O2224">
        <v>90.74</v>
      </c>
      <c r="P2224">
        <v>0</v>
      </c>
      <c r="Q2224">
        <v>0</v>
      </c>
      <c r="R2224">
        <v>0</v>
      </c>
      <c r="S2224">
        <v>90.85</v>
      </c>
      <c r="T2224">
        <v>90.63</v>
      </c>
      <c r="U2224">
        <v>90.4</v>
      </c>
      <c r="V2224">
        <v>93.01</v>
      </c>
      <c r="W2224">
        <v>502426</v>
      </c>
      <c r="X2224">
        <v>90.55</v>
      </c>
      <c r="Y2224">
        <v>90.74</v>
      </c>
      <c r="Z2224">
        <v>30</v>
      </c>
      <c r="AA2224">
        <v>1500000</v>
      </c>
      <c r="AB2224">
        <v>907.4</v>
      </c>
      <c r="AC2224">
        <v>0</v>
      </c>
      <c r="AD2224" t="s">
        <v>94</v>
      </c>
      <c r="AE2224" t="s">
        <v>94</v>
      </c>
      <c r="AF2224" t="s">
        <v>226</v>
      </c>
      <c r="AG2224" t="s">
        <v>226</v>
      </c>
      <c r="AH2224">
        <v>6</v>
      </c>
      <c r="AI2224" t="s">
        <v>3537</v>
      </c>
      <c r="AJ2224" t="s">
        <v>1976</v>
      </c>
      <c r="AK2224" t="s">
        <v>2426</v>
      </c>
      <c r="AL2224" t="s">
        <v>272</v>
      </c>
    </row>
    <row r="2225" spans="1:38">
      <c r="A2225" t="s">
        <v>9495</v>
      </c>
      <c r="B2225" t="s">
        <v>9496</v>
      </c>
      <c r="C2225" t="s">
        <v>9497</v>
      </c>
      <c r="D2225" t="s">
        <v>9497</v>
      </c>
      <c r="E2225" t="s">
        <v>9498</v>
      </c>
      <c r="F2225" t="s">
        <v>2413</v>
      </c>
      <c r="G2225">
        <v>3</v>
      </c>
      <c r="H2225">
        <v>1</v>
      </c>
      <c r="I2225">
        <v>0.01</v>
      </c>
      <c r="J2225">
        <v>1000</v>
      </c>
      <c r="K2225">
        <v>0</v>
      </c>
      <c r="L2225">
        <v>0</v>
      </c>
      <c r="M2225">
        <v>98.13</v>
      </c>
      <c r="N2225">
        <v>0</v>
      </c>
      <c r="O2225">
        <v>98.13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90.15</v>
      </c>
      <c r="Y2225">
        <v>0</v>
      </c>
      <c r="Z2225">
        <v>0</v>
      </c>
      <c r="AA2225">
        <v>500000</v>
      </c>
      <c r="AB2225">
        <v>0</v>
      </c>
      <c r="AC2225">
        <v>0</v>
      </c>
      <c r="AD2225" t="s">
        <v>94</v>
      </c>
      <c r="AE2225" t="s">
        <v>94</v>
      </c>
      <c r="AF2225" t="s">
        <v>226</v>
      </c>
      <c r="AG2225" t="s">
        <v>226</v>
      </c>
      <c r="AH2225">
        <v>800</v>
      </c>
      <c r="AI2225" t="s">
        <v>3537</v>
      </c>
      <c r="AJ2225" t="s">
        <v>1976</v>
      </c>
      <c r="AK2225" t="s">
        <v>2416</v>
      </c>
      <c r="AL2225" t="s">
        <v>272</v>
      </c>
    </row>
    <row r="2226" spans="1:38">
      <c r="A2226" t="s">
        <v>9499</v>
      </c>
      <c r="B2226" t="s">
        <v>9500</v>
      </c>
      <c r="C2226" t="s">
        <v>9501</v>
      </c>
      <c r="D2226" t="s">
        <v>9501</v>
      </c>
      <c r="E2226" t="s">
        <v>9502</v>
      </c>
      <c r="F2226" t="s">
        <v>2413</v>
      </c>
      <c r="G2226">
        <v>3</v>
      </c>
      <c r="H2226">
        <v>1</v>
      </c>
      <c r="I2226">
        <v>0.01</v>
      </c>
      <c r="J2226">
        <v>1000</v>
      </c>
      <c r="K2226">
        <v>1.72</v>
      </c>
      <c r="L2226">
        <v>99.23</v>
      </c>
      <c r="M2226">
        <v>97.55</v>
      </c>
      <c r="N2226">
        <v>96.57</v>
      </c>
      <c r="O2226">
        <v>99.23</v>
      </c>
      <c r="P2226">
        <v>0</v>
      </c>
      <c r="Q2226">
        <v>0</v>
      </c>
      <c r="R2226">
        <v>0</v>
      </c>
      <c r="S2226">
        <v>100.07</v>
      </c>
      <c r="T2226">
        <v>97.59</v>
      </c>
      <c r="U2226">
        <v>97.59</v>
      </c>
      <c r="V2226">
        <v>100.98</v>
      </c>
      <c r="W2226">
        <v>37025</v>
      </c>
      <c r="X2226">
        <v>99.25</v>
      </c>
      <c r="Y2226">
        <v>99.64</v>
      </c>
      <c r="Z2226">
        <v>15</v>
      </c>
      <c r="AA2226">
        <v>280000</v>
      </c>
      <c r="AB2226">
        <v>1984.6</v>
      </c>
      <c r="AC2226">
        <v>0</v>
      </c>
      <c r="AD2226" t="s">
        <v>94</v>
      </c>
      <c r="AE2226" t="s">
        <v>94</v>
      </c>
      <c r="AF2226" t="s">
        <v>226</v>
      </c>
      <c r="AG2226" t="s">
        <v>226</v>
      </c>
      <c r="AH2226">
        <v>6</v>
      </c>
      <c r="AI2226" t="s">
        <v>3537</v>
      </c>
      <c r="AJ2226" t="s">
        <v>1976</v>
      </c>
      <c r="AK2226" t="s">
        <v>2416</v>
      </c>
      <c r="AL2226" t="s">
        <v>272</v>
      </c>
    </row>
    <row r="2227" spans="1:38">
      <c r="A2227" t="s">
        <v>9503</v>
      </c>
      <c r="B2227" t="s">
        <v>9504</v>
      </c>
      <c r="C2227" t="s">
        <v>9505</v>
      </c>
      <c r="D2227" t="s">
        <v>9505</v>
      </c>
      <c r="E2227" t="s">
        <v>9506</v>
      </c>
      <c r="F2227" t="s">
        <v>2413</v>
      </c>
      <c r="G2227">
        <v>3</v>
      </c>
      <c r="H2227">
        <v>1</v>
      </c>
      <c r="I2227">
        <v>0.01</v>
      </c>
      <c r="J2227">
        <v>1000</v>
      </c>
      <c r="K2227">
        <v>-1.0900000000000001</v>
      </c>
      <c r="L2227">
        <v>89.02</v>
      </c>
      <c r="M2227">
        <v>90</v>
      </c>
      <c r="N2227">
        <v>88.34</v>
      </c>
      <c r="O2227">
        <v>89.22</v>
      </c>
      <c r="P2227">
        <v>0</v>
      </c>
      <c r="Q2227">
        <v>0</v>
      </c>
      <c r="R2227">
        <v>0</v>
      </c>
      <c r="S2227">
        <v>89.23</v>
      </c>
      <c r="T2227">
        <v>89.3</v>
      </c>
      <c r="U2227">
        <v>88.94</v>
      </c>
      <c r="V2227">
        <v>89.94</v>
      </c>
      <c r="W2227">
        <v>64249</v>
      </c>
      <c r="X2227">
        <v>89.07</v>
      </c>
      <c r="Y2227">
        <v>89.87</v>
      </c>
      <c r="Z2227">
        <v>19</v>
      </c>
      <c r="AA2227">
        <v>500000</v>
      </c>
      <c r="AB2227">
        <v>2670.6</v>
      </c>
      <c r="AC2227">
        <v>0</v>
      </c>
      <c r="AD2227" t="s">
        <v>94</v>
      </c>
      <c r="AE2227" t="s">
        <v>94</v>
      </c>
      <c r="AF2227" t="s">
        <v>226</v>
      </c>
      <c r="AG2227" t="s">
        <v>226</v>
      </c>
      <c r="AH2227">
        <v>6</v>
      </c>
      <c r="AI2227" t="s">
        <v>3537</v>
      </c>
      <c r="AJ2227" t="s">
        <v>1976</v>
      </c>
      <c r="AK2227" t="s">
        <v>2416</v>
      </c>
      <c r="AL2227" t="s">
        <v>272</v>
      </c>
    </row>
    <row r="2228" spans="1:38">
      <c r="A2228" t="s">
        <v>9507</v>
      </c>
      <c r="B2228" t="s">
        <v>9508</v>
      </c>
      <c r="C2228" t="s">
        <v>9509</v>
      </c>
      <c r="D2228" t="s">
        <v>9509</v>
      </c>
      <c r="E2228" t="s">
        <v>9510</v>
      </c>
      <c r="F2228" t="s">
        <v>2413</v>
      </c>
      <c r="G2228">
        <v>1</v>
      </c>
      <c r="H2228">
        <v>1</v>
      </c>
      <c r="I2228">
        <v>0.01</v>
      </c>
      <c r="J2228">
        <v>1000</v>
      </c>
      <c r="K2228">
        <v>0.79</v>
      </c>
      <c r="L2228">
        <v>94.49</v>
      </c>
      <c r="M2228">
        <v>93.75</v>
      </c>
      <c r="N2228">
        <v>94.28</v>
      </c>
      <c r="O2228">
        <v>94.47</v>
      </c>
      <c r="P2228">
        <v>0</v>
      </c>
      <c r="Q2228">
        <v>0</v>
      </c>
      <c r="R2228">
        <v>0</v>
      </c>
      <c r="S2228">
        <v>94.34</v>
      </c>
      <c r="T2228">
        <v>94.46</v>
      </c>
      <c r="U2228">
        <v>93.75</v>
      </c>
      <c r="V2228">
        <v>94.87</v>
      </c>
      <c r="W2228">
        <v>30386090</v>
      </c>
      <c r="X2228">
        <v>94.49</v>
      </c>
      <c r="Y2228">
        <v>94.5</v>
      </c>
      <c r="Z2228">
        <v>918</v>
      </c>
      <c r="AA2228">
        <v>20000000</v>
      </c>
      <c r="AB2228">
        <v>66143</v>
      </c>
      <c r="AC2228">
        <v>0</v>
      </c>
      <c r="AD2228" t="s">
        <v>94</v>
      </c>
      <c r="AE2228" t="s">
        <v>94</v>
      </c>
      <c r="AF2228" t="s">
        <v>226</v>
      </c>
      <c r="AG2228" t="s">
        <v>226</v>
      </c>
      <c r="AH2228">
        <v>6</v>
      </c>
      <c r="AI2228" t="s">
        <v>3537</v>
      </c>
      <c r="AJ2228" t="s">
        <v>1976</v>
      </c>
      <c r="AK2228" t="s">
        <v>2416</v>
      </c>
      <c r="AL2228" t="s">
        <v>272</v>
      </c>
    </row>
    <row r="2229" spans="1:38">
      <c r="A2229" t="s">
        <v>9511</v>
      </c>
      <c r="B2229" t="s">
        <v>9512</v>
      </c>
      <c r="C2229" t="s">
        <v>1981</v>
      </c>
      <c r="D2229" t="s">
        <v>1981</v>
      </c>
      <c r="E2229" t="s">
        <v>1980</v>
      </c>
      <c r="F2229" t="s">
        <v>2413</v>
      </c>
      <c r="G2229">
        <v>1</v>
      </c>
      <c r="H2229">
        <v>1</v>
      </c>
      <c r="I2229">
        <v>0.01</v>
      </c>
      <c r="J2229">
        <v>1000</v>
      </c>
      <c r="K2229">
        <v>-0.12</v>
      </c>
      <c r="L2229">
        <v>90.16</v>
      </c>
      <c r="M2229">
        <v>90.27</v>
      </c>
      <c r="N2229">
        <v>90.08</v>
      </c>
      <c r="O2229">
        <v>90.05</v>
      </c>
      <c r="P2229">
        <v>0</v>
      </c>
      <c r="Q2229">
        <v>0</v>
      </c>
      <c r="R2229">
        <v>0</v>
      </c>
      <c r="S2229">
        <v>90.25</v>
      </c>
      <c r="T2229">
        <v>90.27</v>
      </c>
      <c r="U2229">
        <v>90.02</v>
      </c>
      <c r="V2229">
        <v>90.65</v>
      </c>
      <c r="W2229">
        <v>5475521</v>
      </c>
      <c r="X2229">
        <v>90.11</v>
      </c>
      <c r="Y2229">
        <v>90.16</v>
      </c>
      <c r="Z2229">
        <v>465</v>
      </c>
      <c r="AA2229">
        <v>15000000</v>
      </c>
      <c r="AB2229">
        <v>3606.4</v>
      </c>
      <c r="AC2229">
        <v>0</v>
      </c>
      <c r="AD2229" t="s">
        <v>94</v>
      </c>
      <c r="AE2229" t="s">
        <v>94</v>
      </c>
      <c r="AF2229" t="s">
        <v>226</v>
      </c>
      <c r="AG2229" t="s">
        <v>226</v>
      </c>
      <c r="AH2229">
        <v>6</v>
      </c>
      <c r="AI2229" t="s">
        <v>3537</v>
      </c>
      <c r="AJ2229" t="s">
        <v>1976</v>
      </c>
      <c r="AK2229" t="s">
        <v>2416</v>
      </c>
      <c r="AL2229" t="s">
        <v>272</v>
      </c>
    </row>
    <row r="2230" spans="1:38">
      <c r="A2230" t="s">
        <v>9513</v>
      </c>
      <c r="B2230" t="s">
        <v>9514</v>
      </c>
      <c r="C2230" t="s">
        <v>9515</v>
      </c>
      <c r="D2230" t="s">
        <v>9515</v>
      </c>
      <c r="E2230" t="s">
        <v>9516</v>
      </c>
      <c r="F2230" t="s">
        <v>2413</v>
      </c>
      <c r="G2230">
        <v>1</v>
      </c>
      <c r="H2230">
        <v>1</v>
      </c>
      <c r="I2230">
        <v>0.01</v>
      </c>
      <c r="J2230">
        <v>1000</v>
      </c>
      <c r="K2230">
        <v>-0.4</v>
      </c>
      <c r="L2230">
        <v>74.8</v>
      </c>
      <c r="M2230">
        <v>75.099999999999994</v>
      </c>
      <c r="N2230">
        <v>75.069999999999993</v>
      </c>
      <c r="O2230">
        <v>74.819999999999993</v>
      </c>
      <c r="P2230">
        <v>0</v>
      </c>
      <c r="Q2230">
        <v>0</v>
      </c>
      <c r="R2230">
        <v>0</v>
      </c>
      <c r="S2230">
        <v>74.989999999999995</v>
      </c>
      <c r="T2230">
        <v>75.099999999999994</v>
      </c>
      <c r="U2230">
        <v>74.25</v>
      </c>
      <c r="V2230">
        <v>75.53</v>
      </c>
      <c r="W2230">
        <v>11267276</v>
      </c>
      <c r="X2230">
        <v>74.73</v>
      </c>
      <c r="Y2230">
        <v>74.8</v>
      </c>
      <c r="Z2230">
        <v>1057</v>
      </c>
      <c r="AA2230">
        <v>24500000</v>
      </c>
      <c r="AB2230">
        <v>748</v>
      </c>
      <c r="AC2230">
        <v>0</v>
      </c>
      <c r="AD2230" t="s">
        <v>94</v>
      </c>
      <c r="AE2230" t="s">
        <v>94</v>
      </c>
      <c r="AF2230" t="s">
        <v>226</v>
      </c>
      <c r="AG2230" t="s">
        <v>226</v>
      </c>
      <c r="AH2230">
        <v>6</v>
      </c>
      <c r="AI2230" t="s">
        <v>3537</v>
      </c>
      <c r="AJ2230" t="s">
        <v>1976</v>
      </c>
      <c r="AK2230" t="s">
        <v>2416</v>
      </c>
      <c r="AL2230" t="s">
        <v>272</v>
      </c>
    </row>
    <row r="2231" spans="1:38">
      <c r="A2231" t="s">
        <v>9517</v>
      </c>
      <c r="B2231" t="s">
        <v>9518</v>
      </c>
      <c r="C2231" t="s">
        <v>9519</v>
      </c>
      <c r="D2231" t="s">
        <v>9519</v>
      </c>
      <c r="E2231" t="s">
        <v>9520</v>
      </c>
      <c r="F2231" t="s">
        <v>2413</v>
      </c>
      <c r="G2231">
        <v>1</v>
      </c>
      <c r="H2231">
        <v>1</v>
      </c>
      <c r="I2231">
        <v>0.01</v>
      </c>
      <c r="J2231">
        <v>1000</v>
      </c>
      <c r="K2231">
        <v>-1.19</v>
      </c>
      <c r="L2231">
        <v>78.05</v>
      </c>
      <c r="M2231">
        <v>78.989999999999995</v>
      </c>
      <c r="N2231">
        <v>79.650000000000006</v>
      </c>
      <c r="O2231">
        <v>78.150000000000006</v>
      </c>
      <c r="P2231">
        <v>0</v>
      </c>
      <c r="Q2231">
        <v>0</v>
      </c>
      <c r="R2231">
        <v>0</v>
      </c>
      <c r="S2231">
        <v>78.36</v>
      </c>
      <c r="T2231">
        <v>78.989999999999995</v>
      </c>
      <c r="U2231">
        <v>77.8</v>
      </c>
      <c r="V2231">
        <v>79.09</v>
      </c>
      <c r="W2231">
        <v>30077942</v>
      </c>
      <c r="X2231">
        <v>78.069999999999993</v>
      </c>
      <c r="Y2231">
        <v>78.2</v>
      </c>
      <c r="Z2231">
        <v>929</v>
      </c>
      <c r="AA2231">
        <v>20000000</v>
      </c>
      <c r="AB2231">
        <v>2341.5</v>
      </c>
      <c r="AC2231">
        <v>0</v>
      </c>
      <c r="AD2231" t="s">
        <v>94</v>
      </c>
      <c r="AE2231" t="s">
        <v>94</v>
      </c>
      <c r="AF2231" t="s">
        <v>226</v>
      </c>
      <c r="AG2231" t="s">
        <v>226</v>
      </c>
      <c r="AH2231">
        <v>800</v>
      </c>
      <c r="AI2231" t="s">
        <v>3537</v>
      </c>
      <c r="AJ2231" t="s">
        <v>1976</v>
      </c>
      <c r="AK2231" t="s">
        <v>2416</v>
      </c>
      <c r="AL2231" t="s">
        <v>272</v>
      </c>
    </row>
    <row r="2232" spans="1:38">
      <c r="A2232" t="s">
        <v>9521</v>
      </c>
      <c r="B2232" t="s">
        <v>9522</v>
      </c>
      <c r="C2232" t="s">
        <v>9523</v>
      </c>
      <c r="D2232" t="s">
        <v>9523</v>
      </c>
      <c r="E2232" t="s">
        <v>9524</v>
      </c>
      <c r="F2232" t="s">
        <v>2413</v>
      </c>
      <c r="G2232">
        <v>1</v>
      </c>
      <c r="H2232">
        <v>1</v>
      </c>
      <c r="I2232">
        <v>0.01</v>
      </c>
      <c r="J2232">
        <v>1000</v>
      </c>
      <c r="K2232">
        <v>-0.28999999999999998</v>
      </c>
      <c r="L2232">
        <v>80.42</v>
      </c>
      <c r="M2232">
        <v>80.650000000000006</v>
      </c>
      <c r="N2232">
        <v>80.569999999999993</v>
      </c>
      <c r="O2232">
        <v>80.41</v>
      </c>
      <c r="P2232">
        <v>0</v>
      </c>
      <c r="Q2232">
        <v>0</v>
      </c>
      <c r="R2232">
        <v>0</v>
      </c>
      <c r="S2232">
        <v>80.53</v>
      </c>
      <c r="T2232">
        <v>80.64</v>
      </c>
      <c r="U2232">
        <v>80.11</v>
      </c>
      <c r="V2232">
        <v>80.7</v>
      </c>
      <c r="W2232">
        <v>4359250</v>
      </c>
      <c r="X2232">
        <v>80.42</v>
      </c>
      <c r="Y2232">
        <v>80.430000000000007</v>
      </c>
      <c r="Z2232">
        <v>367</v>
      </c>
      <c r="AA2232">
        <v>5000000</v>
      </c>
      <c r="AB2232">
        <v>804.2</v>
      </c>
      <c r="AC2232">
        <v>0</v>
      </c>
      <c r="AD2232" t="s">
        <v>94</v>
      </c>
      <c r="AE2232" t="s">
        <v>94</v>
      </c>
      <c r="AF2232" t="s">
        <v>226</v>
      </c>
      <c r="AG2232" t="s">
        <v>226</v>
      </c>
      <c r="AH2232">
        <v>6</v>
      </c>
      <c r="AI2232" t="s">
        <v>3537</v>
      </c>
      <c r="AJ2232" t="s">
        <v>1976</v>
      </c>
      <c r="AK2232" t="s">
        <v>2416</v>
      </c>
      <c r="AL2232" t="s">
        <v>272</v>
      </c>
    </row>
    <row r="2233" spans="1:38">
      <c r="A2233" t="s">
        <v>9525</v>
      </c>
      <c r="B2233" t="s">
        <v>9526</v>
      </c>
      <c r="C2233" t="s">
        <v>9527</v>
      </c>
      <c r="D2233" t="s">
        <v>9527</v>
      </c>
      <c r="E2233" t="s">
        <v>9528</v>
      </c>
      <c r="F2233" t="s">
        <v>2425</v>
      </c>
      <c r="G2233">
        <v>3</v>
      </c>
      <c r="H2233">
        <v>1</v>
      </c>
      <c r="I2233">
        <v>0.01</v>
      </c>
      <c r="J2233">
        <v>1000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96.81</v>
      </c>
      <c r="Y2233">
        <v>98.8</v>
      </c>
      <c r="Z2233">
        <v>0</v>
      </c>
      <c r="AA2233">
        <v>100051</v>
      </c>
      <c r="AB2233">
        <v>0</v>
      </c>
      <c r="AC2233">
        <v>0</v>
      </c>
      <c r="AD2233" t="s">
        <v>94</v>
      </c>
      <c r="AE2233" t="s">
        <v>94</v>
      </c>
      <c r="AF2233" t="s">
        <v>304</v>
      </c>
      <c r="AG2233" t="s">
        <v>226</v>
      </c>
      <c r="AH2233">
        <v>0</v>
      </c>
      <c r="AI2233" t="s">
        <v>3537</v>
      </c>
      <c r="AJ2233" t="s">
        <v>1976</v>
      </c>
      <c r="AK2233" t="s">
        <v>2426</v>
      </c>
      <c r="AL2233" t="s">
        <v>272</v>
      </c>
    </row>
    <row r="2234" spans="1:38">
      <c r="A2234" t="s">
        <v>9529</v>
      </c>
      <c r="B2234" t="s">
        <v>9530</v>
      </c>
      <c r="C2234" t="s">
        <v>9531</v>
      </c>
      <c r="D2234" t="s">
        <v>9531</v>
      </c>
      <c r="E2234" t="s">
        <v>9532</v>
      </c>
      <c r="F2234" t="s">
        <v>2413</v>
      </c>
      <c r="G2234">
        <v>1</v>
      </c>
      <c r="H2234">
        <v>1</v>
      </c>
      <c r="I2234">
        <v>0.01</v>
      </c>
      <c r="J2234">
        <v>1000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90.01</v>
      </c>
      <c r="Y2234">
        <v>0</v>
      </c>
      <c r="Z2234">
        <v>0</v>
      </c>
      <c r="AA2234">
        <v>7000000</v>
      </c>
      <c r="AB2234">
        <v>0</v>
      </c>
      <c r="AC2234">
        <v>0</v>
      </c>
      <c r="AD2234" t="s">
        <v>94</v>
      </c>
      <c r="AE2234" t="s">
        <v>94</v>
      </c>
      <c r="AF2234" t="s">
        <v>226</v>
      </c>
      <c r="AG2234" t="s">
        <v>226</v>
      </c>
      <c r="AH2234">
        <v>-100</v>
      </c>
      <c r="AI2234" t="s">
        <v>3537</v>
      </c>
      <c r="AJ2234" t="s">
        <v>1976</v>
      </c>
      <c r="AK2234" t="s">
        <v>2416</v>
      </c>
      <c r="AL2234" t="s">
        <v>272</v>
      </c>
    </row>
    <row r="2235" spans="1:38">
      <c r="A2235" t="s">
        <v>9533</v>
      </c>
      <c r="B2235" t="s">
        <v>9534</v>
      </c>
      <c r="C2235" t="s">
        <v>9535</v>
      </c>
      <c r="D2235" t="s">
        <v>9535</v>
      </c>
      <c r="E2235" t="s">
        <v>9536</v>
      </c>
      <c r="F2235" t="s">
        <v>2413</v>
      </c>
      <c r="G2235">
        <v>1</v>
      </c>
      <c r="H2235">
        <v>1</v>
      </c>
      <c r="I2235">
        <v>0.01</v>
      </c>
      <c r="J2235">
        <v>1000</v>
      </c>
      <c r="K2235">
        <v>0.28000000000000003</v>
      </c>
      <c r="L2235">
        <v>85.84</v>
      </c>
      <c r="M2235">
        <v>85.6</v>
      </c>
      <c r="N2235">
        <v>85.63</v>
      </c>
      <c r="O2235">
        <v>85.84</v>
      </c>
      <c r="P2235">
        <v>0</v>
      </c>
      <c r="Q2235">
        <v>0</v>
      </c>
      <c r="R2235">
        <v>0</v>
      </c>
      <c r="S2235">
        <v>85.81</v>
      </c>
      <c r="T2235">
        <v>86.93</v>
      </c>
      <c r="U2235">
        <v>85.65</v>
      </c>
      <c r="V2235">
        <v>86.93</v>
      </c>
      <c r="W2235">
        <v>1269193</v>
      </c>
      <c r="X2235">
        <v>85.66</v>
      </c>
      <c r="Y2235">
        <v>85.84</v>
      </c>
      <c r="Z2235">
        <v>116</v>
      </c>
      <c r="AA2235">
        <v>18000000</v>
      </c>
      <c r="AB2235">
        <v>3433.6</v>
      </c>
      <c r="AC2235">
        <v>0</v>
      </c>
      <c r="AD2235" t="s">
        <v>94</v>
      </c>
      <c r="AE2235" t="s">
        <v>94</v>
      </c>
      <c r="AF2235" t="s">
        <v>226</v>
      </c>
      <c r="AG2235" t="s">
        <v>226</v>
      </c>
      <c r="AH2235">
        <v>-100</v>
      </c>
      <c r="AI2235" t="s">
        <v>3537</v>
      </c>
      <c r="AJ2235" t="s">
        <v>1976</v>
      </c>
      <c r="AK2235" t="s">
        <v>2416</v>
      </c>
      <c r="AL2235" t="s">
        <v>272</v>
      </c>
    </row>
    <row r="2236" spans="1:38">
      <c r="A2236" t="s">
        <v>9537</v>
      </c>
      <c r="B2236" t="s">
        <v>9538</v>
      </c>
      <c r="C2236" t="s">
        <v>9539</v>
      </c>
      <c r="D2236" t="s">
        <v>9539</v>
      </c>
      <c r="E2236" t="s">
        <v>9540</v>
      </c>
      <c r="F2236" t="s">
        <v>2413</v>
      </c>
      <c r="G2236">
        <v>1</v>
      </c>
      <c r="H2236">
        <v>1</v>
      </c>
      <c r="I2236">
        <v>0.01</v>
      </c>
      <c r="J2236">
        <v>1000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27000000</v>
      </c>
      <c r="AB2236">
        <v>0</v>
      </c>
      <c r="AC2236">
        <v>0</v>
      </c>
      <c r="AD2236" t="s">
        <v>94</v>
      </c>
      <c r="AE2236" t="s">
        <v>94</v>
      </c>
      <c r="AF2236" t="s">
        <v>226</v>
      </c>
      <c r="AG2236" t="s">
        <v>226</v>
      </c>
      <c r="AH2236">
        <v>-100</v>
      </c>
      <c r="AI2236" t="s">
        <v>3537</v>
      </c>
      <c r="AJ2236" t="s">
        <v>1976</v>
      </c>
      <c r="AK2236" t="s">
        <v>2416</v>
      </c>
      <c r="AL2236" t="s">
        <v>272</v>
      </c>
    </row>
    <row r="2237" spans="1:38">
      <c r="A2237" t="s">
        <v>9541</v>
      </c>
      <c r="B2237" t="s">
        <v>9542</v>
      </c>
      <c r="C2237" t="s">
        <v>9543</v>
      </c>
      <c r="D2237" t="s">
        <v>9543</v>
      </c>
      <c r="E2237" t="s">
        <v>9544</v>
      </c>
      <c r="F2237" t="s">
        <v>2413</v>
      </c>
      <c r="G2237">
        <v>1</v>
      </c>
      <c r="H2237">
        <v>1</v>
      </c>
      <c r="I2237">
        <v>0.01</v>
      </c>
      <c r="J2237">
        <v>1000</v>
      </c>
      <c r="K2237">
        <v>0.2</v>
      </c>
      <c r="L2237">
        <v>83.9</v>
      </c>
      <c r="M2237">
        <v>83.73</v>
      </c>
      <c r="N2237">
        <v>84.12</v>
      </c>
      <c r="O2237">
        <v>83.9</v>
      </c>
      <c r="P2237">
        <v>0</v>
      </c>
      <c r="Q2237">
        <v>0</v>
      </c>
      <c r="R2237">
        <v>0</v>
      </c>
      <c r="S2237">
        <v>84.32</v>
      </c>
      <c r="T2237">
        <v>87.44</v>
      </c>
      <c r="U2237">
        <v>83.87</v>
      </c>
      <c r="V2237">
        <v>87.44</v>
      </c>
      <c r="W2237">
        <v>2688028</v>
      </c>
      <c r="X2237">
        <v>83.89</v>
      </c>
      <c r="Y2237">
        <v>83.9</v>
      </c>
      <c r="Z2237">
        <v>126</v>
      </c>
      <c r="AA2237">
        <v>7000000</v>
      </c>
      <c r="AB2237">
        <v>1678</v>
      </c>
      <c r="AC2237">
        <v>0</v>
      </c>
      <c r="AD2237" t="s">
        <v>94</v>
      </c>
      <c r="AE2237" t="s">
        <v>94</v>
      </c>
      <c r="AF2237" t="s">
        <v>226</v>
      </c>
      <c r="AG2237" t="s">
        <v>226</v>
      </c>
      <c r="AH2237">
        <v>-100</v>
      </c>
      <c r="AI2237" t="s">
        <v>3537</v>
      </c>
      <c r="AJ2237" t="s">
        <v>1976</v>
      </c>
      <c r="AK2237" t="s">
        <v>2416</v>
      </c>
      <c r="AL2237" t="s">
        <v>272</v>
      </c>
    </row>
    <row r="2238" spans="1:38">
      <c r="A2238" t="s">
        <v>9545</v>
      </c>
      <c r="B2238" t="s">
        <v>9546</v>
      </c>
      <c r="C2238" t="s">
        <v>9547</v>
      </c>
      <c r="D2238" t="s">
        <v>9547</v>
      </c>
      <c r="E2238" t="s">
        <v>9548</v>
      </c>
      <c r="F2238" t="s">
        <v>2413</v>
      </c>
      <c r="G2238">
        <v>1</v>
      </c>
      <c r="H2238">
        <v>1</v>
      </c>
      <c r="I2238">
        <v>0.01</v>
      </c>
      <c r="J2238">
        <v>1000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78.489999999999995</v>
      </c>
      <c r="Y2238">
        <v>0</v>
      </c>
      <c r="Z2238">
        <v>0</v>
      </c>
      <c r="AA2238">
        <v>15000000</v>
      </c>
      <c r="AB2238">
        <v>0</v>
      </c>
      <c r="AC2238">
        <v>0</v>
      </c>
      <c r="AD2238" t="s">
        <v>94</v>
      </c>
      <c r="AE2238" t="s">
        <v>94</v>
      </c>
      <c r="AF2238" t="s">
        <v>226</v>
      </c>
      <c r="AG2238" t="s">
        <v>226</v>
      </c>
      <c r="AH2238">
        <v>-100</v>
      </c>
      <c r="AI2238" t="s">
        <v>3537</v>
      </c>
      <c r="AJ2238" t="s">
        <v>1976</v>
      </c>
      <c r="AK2238" t="s">
        <v>2416</v>
      </c>
      <c r="AL2238" t="s">
        <v>272</v>
      </c>
    </row>
    <row r="2239" spans="1:38">
      <c r="A2239" t="s">
        <v>9549</v>
      </c>
      <c r="B2239" t="s">
        <v>9550</v>
      </c>
      <c r="C2239" t="s">
        <v>9551</v>
      </c>
      <c r="D2239" t="s">
        <v>9551</v>
      </c>
      <c r="E2239" t="s">
        <v>9552</v>
      </c>
      <c r="F2239" t="s">
        <v>2413</v>
      </c>
      <c r="G2239">
        <v>1</v>
      </c>
      <c r="H2239">
        <v>1</v>
      </c>
      <c r="I2239">
        <v>0.01</v>
      </c>
      <c r="J2239">
        <v>1000</v>
      </c>
      <c r="K2239">
        <v>-0.76</v>
      </c>
      <c r="L2239">
        <v>81.97</v>
      </c>
      <c r="M2239">
        <v>82.6</v>
      </c>
      <c r="N2239">
        <v>82.53</v>
      </c>
      <c r="O2239">
        <v>82.16</v>
      </c>
      <c r="P2239">
        <v>0</v>
      </c>
      <c r="Q2239">
        <v>0</v>
      </c>
      <c r="R2239">
        <v>0</v>
      </c>
      <c r="S2239">
        <v>82.42</v>
      </c>
      <c r="T2239">
        <v>83.3</v>
      </c>
      <c r="U2239">
        <v>81.92</v>
      </c>
      <c r="V2239">
        <v>83.3</v>
      </c>
      <c r="W2239">
        <v>1092931</v>
      </c>
      <c r="X2239">
        <v>82.05</v>
      </c>
      <c r="Y2239">
        <v>82.23</v>
      </c>
      <c r="Z2239">
        <v>104</v>
      </c>
      <c r="AA2239">
        <v>4000000</v>
      </c>
      <c r="AB2239">
        <v>4098.5</v>
      </c>
      <c r="AC2239">
        <v>0</v>
      </c>
      <c r="AD2239" t="s">
        <v>94</v>
      </c>
      <c r="AE2239" t="s">
        <v>94</v>
      </c>
      <c r="AF2239" t="s">
        <v>226</v>
      </c>
      <c r="AG2239" t="s">
        <v>226</v>
      </c>
      <c r="AH2239">
        <v>-100</v>
      </c>
      <c r="AI2239" t="s">
        <v>3537</v>
      </c>
      <c r="AJ2239" t="s">
        <v>1976</v>
      </c>
      <c r="AK2239" t="s">
        <v>2416</v>
      </c>
      <c r="AL2239" t="s">
        <v>272</v>
      </c>
    </row>
    <row r="2240" spans="1:38">
      <c r="A2240" t="s">
        <v>9553</v>
      </c>
      <c r="B2240" t="s">
        <v>9554</v>
      </c>
      <c r="C2240" t="s">
        <v>9555</v>
      </c>
      <c r="D2240" t="s">
        <v>9555</v>
      </c>
      <c r="E2240" t="s">
        <v>9556</v>
      </c>
      <c r="F2240" t="s">
        <v>2413</v>
      </c>
      <c r="G2240">
        <v>1</v>
      </c>
      <c r="H2240">
        <v>1</v>
      </c>
      <c r="I2240">
        <v>0.01</v>
      </c>
      <c r="J2240">
        <v>1000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15000000</v>
      </c>
      <c r="AB2240">
        <v>0</v>
      </c>
      <c r="AC2240">
        <v>0</v>
      </c>
      <c r="AD2240" t="s">
        <v>94</v>
      </c>
      <c r="AE2240" t="s">
        <v>94</v>
      </c>
      <c r="AF2240" t="s">
        <v>226</v>
      </c>
      <c r="AG2240" t="s">
        <v>226</v>
      </c>
      <c r="AH2240">
        <v>-100</v>
      </c>
      <c r="AI2240" t="s">
        <v>3537</v>
      </c>
      <c r="AJ2240" t="s">
        <v>1976</v>
      </c>
      <c r="AK2240" t="s">
        <v>2416</v>
      </c>
      <c r="AL2240" t="s">
        <v>272</v>
      </c>
    </row>
    <row r="2241" spans="1:38">
      <c r="A2241" t="s">
        <v>9557</v>
      </c>
      <c r="B2241" t="s">
        <v>9558</v>
      </c>
      <c r="C2241" t="s">
        <v>9559</v>
      </c>
      <c r="D2241" t="s">
        <v>9559</v>
      </c>
      <c r="E2241" t="s">
        <v>9560</v>
      </c>
      <c r="F2241" t="s">
        <v>2413</v>
      </c>
      <c r="G2241">
        <v>1</v>
      </c>
      <c r="H2241">
        <v>1</v>
      </c>
      <c r="I2241">
        <v>0.01</v>
      </c>
      <c r="J2241">
        <v>1000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5000000</v>
      </c>
      <c r="AB2241">
        <v>0</v>
      </c>
      <c r="AC2241">
        <v>0</v>
      </c>
      <c r="AD2241" t="s">
        <v>94</v>
      </c>
      <c r="AE2241" t="s">
        <v>94</v>
      </c>
      <c r="AF2241" t="s">
        <v>226</v>
      </c>
      <c r="AG2241" t="s">
        <v>226</v>
      </c>
      <c r="AH2241">
        <v>-100</v>
      </c>
      <c r="AI2241" t="s">
        <v>3537</v>
      </c>
      <c r="AJ2241" t="s">
        <v>1976</v>
      </c>
      <c r="AK2241" t="s">
        <v>2416</v>
      </c>
      <c r="AL2241" t="s">
        <v>272</v>
      </c>
    </row>
    <row r="2242" spans="1:38">
      <c r="A2242" t="s">
        <v>9561</v>
      </c>
      <c r="B2242" t="s">
        <v>9562</v>
      </c>
      <c r="C2242" t="s">
        <v>9563</v>
      </c>
      <c r="D2242" t="s">
        <v>9563</v>
      </c>
      <c r="E2242" t="s">
        <v>9564</v>
      </c>
      <c r="F2242" t="s">
        <v>2413</v>
      </c>
      <c r="G2242">
        <v>1</v>
      </c>
      <c r="H2242">
        <v>1</v>
      </c>
      <c r="I2242">
        <v>0.01</v>
      </c>
      <c r="J2242">
        <v>1000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12000000</v>
      </c>
      <c r="AB2242">
        <v>0</v>
      </c>
      <c r="AC2242">
        <v>0</v>
      </c>
      <c r="AD2242" t="s">
        <v>94</v>
      </c>
      <c r="AE2242" t="s">
        <v>94</v>
      </c>
      <c r="AF2242" t="s">
        <v>226</v>
      </c>
      <c r="AG2242" t="s">
        <v>226</v>
      </c>
      <c r="AH2242">
        <v>-100</v>
      </c>
      <c r="AI2242" t="s">
        <v>3537</v>
      </c>
      <c r="AJ2242" t="s">
        <v>1976</v>
      </c>
      <c r="AK2242" t="s">
        <v>2416</v>
      </c>
      <c r="AL2242" t="s">
        <v>272</v>
      </c>
    </row>
    <row r="2243" spans="1:38">
      <c r="A2243" t="s">
        <v>9565</v>
      </c>
      <c r="B2243" t="s">
        <v>9566</v>
      </c>
      <c r="C2243" t="s">
        <v>9567</v>
      </c>
      <c r="D2243" t="s">
        <v>9567</v>
      </c>
      <c r="E2243" t="s">
        <v>9568</v>
      </c>
      <c r="F2243" t="s">
        <v>2413</v>
      </c>
      <c r="G2243">
        <v>1</v>
      </c>
      <c r="H2243">
        <v>1</v>
      </c>
      <c r="I2243">
        <v>0.01</v>
      </c>
      <c r="J2243">
        <v>1000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15000000</v>
      </c>
      <c r="AB2243">
        <v>0</v>
      </c>
      <c r="AC2243">
        <v>0</v>
      </c>
      <c r="AD2243" t="s">
        <v>94</v>
      </c>
      <c r="AE2243" t="s">
        <v>94</v>
      </c>
      <c r="AF2243" t="s">
        <v>226</v>
      </c>
      <c r="AG2243" t="s">
        <v>226</v>
      </c>
      <c r="AH2243">
        <v>-100</v>
      </c>
      <c r="AI2243" t="s">
        <v>3537</v>
      </c>
      <c r="AJ2243" t="s">
        <v>1976</v>
      </c>
      <c r="AK2243" t="s">
        <v>2416</v>
      </c>
      <c r="AL2243" t="s">
        <v>272</v>
      </c>
    </row>
    <row r="2244" spans="1:38">
      <c r="A2244" t="s">
        <v>9569</v>
      </c>
      <c r="B2244" t="s">
        <v>9570</v>
      </c>
      <c r="C2244" t="s">
        <v>9571</v>
      </c>
      <c r="D2244" t="s">
        <v>9571</v>
      </c>
      <c r="E2244" t="s">
        <v>9572</v>
      </c>
      <c r="F2244" t="s">
        <v>2413</v>
      </c>
      <c r="G2244">
        <v>1</v>
      </c>
      <c r="H2244">
        <v>1</v>
      </c>
      <c r="I2244">
        <v>0.01</v>
      </c>
      <c r="J2244">
        <v>1000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15000000</v>
      </c>
      <c r="AB2244">
        <v>0</v>
      </c>
      <c r="AC2244">
        <v>0</v>
      </c>
      <c r="AD2244" t="s">
        <v>94</v>
      </c>
      <c r="AE2244" t="s">
        <v>94</v>
      </c>
      <c r="AF2244" t="s">
        <v>226</v>
      </c>
      <c r="AG2244" t="s">
        <v>226</v>
      </c>
      <c r="AH2244">
        <v>-100</v>
      </c>
      <c r="AI2244" t="s">
        <v>3537</v>
      </c>
      <c r="AJ2244" t="s">
        <v>1976</v>
      </c>
      <c r="AK2244" t="s">
        <v>2416</v>
      </c>
      <c r="AL2244" t="s">
        <v>272</v>
      </c>
    </row>
    <row r="2245" spans="1:38">
      <c r="A2245" t="s">
        <v>9573</v>
      </c>
      <c r="B2245" t="s">
        <v>9574</v>
      </c>
      <c r="C2245" t="s">
        <v>9575</v>
      </c>
      <c r="D2245" t="s">
        <v>9575</v>
      </c>
      <c r="E2245" t="s">
        <v>9576</v>
      </c>
      <c r="F2245" t="s">
        <v>2413</v>
      </c>
      <c r="G2245">
        <v>3</v>
      </c>
      <c r="H2245">
        <v>1</v>
      </c>
      <c r="I2245">
        <v>0.01</v>
      </c>
      <c r="J2245">
        <v>1000</v>
      </c>
      <c r="K2245">
        <v>0.05</v>
      </c>
      <c r="L2245">
        <v>97.4</v>
      </c>
      <c r="M2245">
        <v>97.35</v>
      </c>
      <c r="N2245">
        <v>97.23</v>
      </c>
      <c r="O2245">
        <v>97.4</v>
      </c>
      <c r="P2245">
        <v>0</v>
      </c>
      <c r="Q2245">
        <v>0</v>
      </c>
      <c r="R2245">
        <v>0</v>
      </c>
      <c r="S2245">
        <v>97.33</v>
      </c>
      <c r="T2245">
        <v>97.35</v>
      </c>
      <c r="U2245">
        <v>97.2</v>
      </c>
      <c r="V2245">
        <v>97.46</v>
      </c>
      <c r="W2245">
        <v>34824066</v>
      </c>
      <c r="X2245">
        <v>97.38</v>
      </c>
      <c r="Y2245">
        <v>97.39</v>
      </c>
      <c r="Z2245">
        <v>273</v>
      </c>
      <c r="AA2245">
        <v>62000000</v>
      </c>
      <c r="AB2245">
        <v>974</v>
      </c>
      <c r="AC2245">
        <v>0</v>
      </c>
      <c r="AD2245" t="s">
        <v>94</v>
      </c>
      <c r="AE2245" t="s">
        <v>94</v>
      </c>
      <c r="AF2245" t="s">
        <v>226</v>
      </c>
      <c r="AG2245" t="s">
        <v>226</v>
      </c>
      <c r="AH2245">
        <v>-100</v>
      </c>
      <c r="AI2245" t="s">
        <v>3537</v>
      </c>
      <c r="AJ2245" t="s">
        <v>1976</v>
      </c>
      <c r="AK2245" t="s">
        <v>2416</v>
      </c>
      <c r="AL2245" t="s">
        <v>272</v>
      </c>
    </row>
    <row r="2246" spans="1:38">
      <c r="A2246" t="s">
        <v>9577</v>
      </c>
      <c r="B2246" t="s">
        <v>9578</v>
      </c>
      <c r="C2246" t="s">
        <v>9579</v>
      </c>
      <c r="D2246" t="s">
        <v>9579</v>
      </c>
      <c r="E2246" t="s">
        <v>9580</v>
      </c>
      <c r="F2246" t="s">
        <v>2413</v>
      </c>
      <c r="G2246">
        <v>3</v>
      </c>
      <c r="H2246">
        <v>1</v>
      </c>
      <c r="I2246">
        <v>0.01</v>
      </c>
      <c r="J2246">
        <v>1000</v>
      </c>
      <c r="K2246">
        <v>-0.04</v>
      </c>
      <c r="L2246">
        <v>85.61</v>
      </c>
      <c r="M2246">
        <v>85.64</v>
      </c>
      <c r="N2246">
        <v>85.73</v>
      </c>
      <c r="O2246">
        <v>85.67</v>
      </c>
      <c r="P2246">
        <v>0</v>
      </c>
      <c r="Q2246">
        <v>0</v>
      </c>
      <c r="R2246">
        <v>0</v>
      </c>
      <c r="S2246">
        <v>85.57</v>
      </c>
      <c r="T2246">
        <v>86.23</v>
      </c>
      <c r="U2246">
        <v>85.5</v>
      </c>
      <c r="V2246">
        <v>86.23</v>
      </c>
      <c r="W2246">
        <v>21321317</v>
      </c>
      <c r="X2246">
        <v>85.57</v>
      </c>
      <c r="Y2246">
        <v>85.61</v>
      </c>
      <c r="Z2246">
        <v>424</v>
      </c>
      <c r="AA2246">
        <v>68000000</v>
      </c>
      <c r="AB2246">
        <v>34244</v>
      </c>
      <c r="AC2246">
        <v>0</v>
      </c>
      <c r="AD2246" t="s">
        <v>94</v>
      </c>
      <c r="AE2246" t="s">
        <v>94</v>
      </c>
      <c r="AF2246" t="s">
        <v>226</v>
      </c>
      <c r="AG2246" t="s">
        <v>226</v>
      </c>
      <c r="AH2246">
        <v>-100</v>
      </c>
      <c r="AI2246" t="s">
        <v>3537</v>
      </c>
      <c r="AJ2246" t="s">
        <v>1976</v>
      </c>
      <c r="AK2246" t="s">
        <v>2416</v>
      </c>
      <c r="AL2246" t="s">
        <v>272</v>
      </c>
    </row>
    <row r="2247" spans="1:38">
      <c r="A2247" t="s">
        <v>9581</v>
      </c>
      <c r="B2247" t="s">
        <v>9582</v>
      </c>
      <c r="C2247" t="s">
        <v>9583</v>
      </c>
      <c r="D2247" t="s">
        <v>9583</v>
      </c>
      <c r="E2247" t="s">
        <v>9584</v>
      </c>
      <c r="F2247" t="s">
        <v>2413</v>
      </c>
      <c r="G2247">
        <v>2</v>
      </c>
      <c r="H2247">
        <v>1</v>
      </c>
      <c r="I2247">
        <v>0.01</v>
      </c>
      <c r="J2247">
        <v>1000</v>
      </c>
      <c r="K2247">
        <v>-0.16</v>
      </c>
      <c r="L2247">
        <v>100.74</v>
      </c>
      <c r="M2247">
        <v>100.9</v>
      </c>
      <c r="N2247">
        <v>101.14</v>
      </c>
      <c r="O2247">
        <v>100.65</v>
      </c>
      <c r="P2247">
        <v>0</v>
      </c>
      <c r="Q2247">
        <v>0</v>
      </c>
      <c r="R2247">
        <v>0</v>
      </c>
      <c r="S2247">
        <v>100.81</v>
      </c>
      <c r="T2247">
        <v>101.4</v>
      </c>
      <c r="U2247">
        <v>100.63</v>
      </c>
      <c r="V2247">
        <v>101.4</v>
      </c>
      <c r="W2247">
        <v>116938</v>
      </c>
      <c r="X2247">
        <v>100.49</v>
      </c>
      <c r="Y2247">
        <v>100.74</v>
      </c>
      <c r="Z2247">
        <v>13</v>
      </c>
      <c r="AA2247">
        <v>2054432</v>
      </c>
      <c r="AB2247">
        <v>1007.4</v>
      </c>
      <c r="AC2247">
        <v>0</v>
      </c>
      <c r="AD2247" t="s">
        <v>94</v>
      </c>
      <c r="AE2247" t="s">
        <v>94</v>
      </c>
      <c r="AF2247" t="s">
        <v>226</v>
      </c>
      <c r="AG2247" t="s">
        <v>226</v>
      </c>
      <c r="AH2247">
        <v>8</v>
      </c>
      <c r="AI2247" t="s">
        <v>3537</v>
      </c>
      <c r="AJ2247" t="s">
        <v>1976</v>
      </c>
      <c r="AK2247" t="s">
        <v>2416</v>
      </c>
      <c r="AL2247" t="s">
        <v>272</v>
      </c>
    </row>
    <row r="2248" spans="1:38">
      <c r="A2248" t="s">
        <v>9585</v>
      </c>
      <c r="B2248" t="s">
        <v>9586</v>
      </c>
      <c r="C2248" t="s">
        <v>9587</v>
      </c>
      <c r="D2248" t="s">
        <v>9587</v>
      </c>
      <c r="E2248" t="s">
        <v>9588</v>
      </c>
      <c r="F2248" t="s">
        <v>2413</v>
      </c>
      <c r="G2248">
        <v>2</v>
      </c>
      <c r="H2248">
        <v>1</v>
      </c>
      <c r="I2248">
        <v>0.01</v>
      </c>
      <c r="J2248">
        <v>1000</v>
      </c>
      <c r="K2248">
        <v>-0.01</v>
      </c>
      <c r="L2248">
        <v>100.19</v>
      </c>
      <c r="M2248">
        <v>100.2</v>
      </c>
      <c r="N2248">
        <v>100.19</v>
      </c>
      <c r="O2248">
        <v>100.18</v>
      </c>
      <c r="P2248">
        <v>0</v>
      </c>
      <c r="Q2248">
        <v>0</v>
      </c>
      <c r="R2248">
        <v>0</v>
      </c>
      <c r="S2248">
        <v>100.01</v>
      </c>
      <c r="T2248">
        <v>100.19</v>
      </c>
      <c r="U2248">
        <v>100.05</v>
      </c>
      <c r="V2248">
        <v>100.19</v>
      </c>
      <c r="W2248">
        <v>2738032</v>
      </c>
      <c r="X2248">
        <v>100.11</v>
      </c>
      <c r="Y2248">
        <v>100.19</v>
      </c>
      <c r="Z2248">
        <v>48</v>
      </c>
      <c r="AA2248">
        <v>35000000</v>
      </c>
      <c r="AB2248">
        <v>44083.6</v>
      </c>
      <c r="AC2248">
        <v>0</v>
      </c>
      <c r="AD2248" t="s">
        <v>94</v>
      </c>
      <c r="AE2248" t="s">
        <v>94</v>
      </c>
      <c r="AF2248" t="s">
        <v>226</v>
      </c>
      <c r="AG2248" t="s">
        <v>226</v>
      </c>
      <c r="AH2248">
        <v>8</v>
      </c>
      <c r="AI2248" t="s">
        <v>3537</v>
      </c>
      <c r="AJ2248" t="s">
        <v>1976</v>
      </c>
      <c r="AK2248" t="s">
        <v>2416</v>
      </c>
      <c r="AL2248" t="s">
        <v>272</v>
      </c>
    </row>
    <row r="2249" spans="1:38">
      <c r="A2249" t="s">
        <v>9589</v>
      </c>
      <c r="B2249" t="s">
        <v>9590</v>
      </c>
      <c r="C2249" t="s">
        <v>9591</v>
      </c>
      <c r="D2249" t="s">
        <v>9591</v>
      </c>
      <c r="E2249" t="s">
        <v>9592</v>
      </c>
      <c r="F2249" t="s">
        <v>2413</v>
      </c>
      <c r="G2249">
        <v>1</v>
      </c>
      <c r="H2249">
        <v>1</v>
      </c>
      <c r="I2249">
        <v>0.01</v>
      </c>
      <c r="J2249">
        <v>1000</v>
      </c>
      <c r="K2249">
        <v>-0.23</v>
      </c>
      <c r="L2249">
        <v>95.56</v>
      </c>
      <c r="M2249">
        <v>95.78</v>
      </c>
      <c r="N2249">
        <v>95.81</v>
      </c>
      <c r="O2249">
        <v>95.53</v>
      </c>
      <c r="P2249">
        <v>0</v>
      </c>
      <c r="Q2249">
        <v>0</v>
      </c>
      <c r="R2249">
        <v>0</v>
      </c>
      <c r="S2249">
        <v>95.71</v>
      </c>
      <c r="T2249">
        <v>95.95</v>
      </c>
      <c r="U2249">
        <v>95.26</v>
      </c>
      <c r="V2249">
        <v>95.95</v>
      </c>
      <c r="W2249">
        <v>5188462</v>
      </c>
      <c r="X2249">
        <v>95.51</v>
      </c>
      <c r="Y2249">
        <v>95.57</v>
      </c>
      <c r="Z2249">
        <v>228</v>
      </c>
      <c r="AA2249">
        <v>15000000</v>
      </c>
      <c r="AB2249">
        <v>955.6</v>
      </c>
      <c r="AC2249">
        <v>0</v>
      </c>
      <c r="AD2249" t="s">
        <v>94</v>
      </c>
      <c r="AE2249" t="s">
        <v>94</v>
      </c>
      <c r="AF2249" t="s">
        <v>226</v>
      </c>
      <c r="AG2249" t="s">
        <v>226</v>
      </c>
      <c r="AH2249">
        <v>-100</v>
      </c>
      <c r="AI2249" t="s">
        <v>3537</v>
      </c>
      <c r="AJ2249" t="s">
        <v>1976</v>
      </c>
      <c r="AK2249" t="s">
        <v>2416</v>
      </c>
      <c r="AL2249" t="s">
        <v>272</v>
      </c>
    </row>
    <row r="2250" spans="1:38">
      <c r="A2250" t="s">
        <v>9593</v>
      </c>
      <c r="B2250" t="s">
        <v>9594</v>
      </c>
      <c r="C2250" t="s">
        <v>9595</v>
      </c>
      <c r="D2250" t="s">
        <v>9595</v>
      </c>
      <c r="E2250" t="s">
        <v>9596</v>
      </c>
      <c r="F2250" t="s">
        <v>2413</v>
      </c>
      <c r="G2250">
        <v>2</v>
      </c>
      <c r="H2250">
        <v>1</v>
      </c>
      <c r="I2250">
        <v>0.01</v>
      </c>
      <c r="J2250">
        <v>1000</v>
      </c>
      <c r="K2250">
        <v>0.54</v>
      </c>
      <c r="L2250">
        <v>46.63</v>
      </c>
      <c r="M2250">
        <v>46.38</v>
      </c>
      <c r="N2250">
        <v>46.06</v>
      </c>
      <c r="O2250">
        <v>46.71</v>
      </c>
      <c r="P2250">
        <v>0</v>
      </c>
      <c r="Q2250">
        <v>0</v>
      </c>
      <c r="R2250">
        <v>0</v>
      </c>
      <c r="S2250">
        <v>46.47</v>
      </c>
      <c r="T2250">
        <v>46.38</v>
      </c>
      <c r="U2250">
        <v>46.1</v>
      </c>
      <c r="V2250">
        <v>47</v>
      </c>
      <c r="W2250">
        <v>2021776</v>
      </c>
      <c r="X2250">
        <v>46.61</v>
      </c>
      <c r="Y2250">
        <v>46.79</v>
      </c>
      <c r="Z2250">
        <v>175</v>
      </c>
      <c r="AA2250">
        <v>12000000</v>
      </c>
      <c r="AB2250">
        <v>466.3</v>
      </c>
      <c r="AC2250">
        <v>0</v>
      </c>
      <c r="AD2250" t="s">
        <v>94</v>
      </c>
      <c r="AE2250" t="s">
        <v>94</v>
      </c>
      <c r="AF2250" t="s">
        <v>226</v>
      </c>
      <c r="AG2250" t="s">
        <v>226</v>
      </c>
      <c r="AH2250">
        <v>-100</v>
      </c>
      <c r="AI2250" t="s">
        <v>3537</v>
      </c>
      <c r="AJ2250" t="s">
        <v>1976</v>
      </c>
      <c r="AK2250" t="s">
        <v>2416</v>
      </c>
      <c r="AL2250" t="s">
        <v>272</v>
      </c>
    </row>
    <row r="2251" spans="1:38">
      <c r="A2251" t="s">
        <v>9597</v>
      </c>
      <c r="B2251" t="s">
        <v>9598</v>
      </c>
      <c r="C2251" t="s">
        <v>9599</v>
      </c>
      <c r="D2251" t="s">
        <v>9599</v>
      </c>
      <c r="E2251" t="s">
        <v>9600</v>
      </c>
      <c r="F2251" t="s">
        <v>2413</v>
      </c>
      <c r="G2251">
        <v>2</v>
      </c>
      <c r="H2251">
        <v>1</v>
      </c>
      <c r="I2251">
        <v>0.01</v>
      </c>
      <c r="J2251">
        <v>1000</v>
      </c>
      <c r="K2251">
        <v>0.13</v>
      </c>
      <c r="L2251">
        <v>45.28</v>
      </c>
      <c r="M2251">
        <v>45.22</v>
      </c>
      <c r="N2251">
        <v>45.23</v>
      </c>
      <c r="O2251">
        <v>45.27</v>
      </c>
      <c r="P2251">
        <v>0</v>
      </c>
      <c r="Q2251">
        <v>0</v>
      </c>
      <c r="R2251">
        <v>0</v>
      </c>
      <c r="S2251">
        <v>45.02</v>
      </c>
      <c r="T2251">
        <v>45.49</v>
      </c>
      <c r="U2251">
        <v>45.02</v>
      </c>
      <c r="V2251">
        <v>45.49</v>
      </c>
      <c r="W2251">
        <v>9510644</v>
      </c>
      <c r="X2251">
        <v>45.27</v>
      </c>
      <c r="Y2251">
        <v>45.28</v>
      </c>
      <c r="Z2251">
        <v>460</v>
      </c>
      <c r="AA2251">
        <v>16000000</v>
      </c>
      <c r="AB2251">
        <v>23545.599999999999</v>
      </c>
      <c r="AC2251">
        <v>0</v>
      </c>
      <c r="AD2251" t="s">
        <v>94</v>
      </c>
      <c r="AE2251" t="s">
        <v>94</v>
      </c>
      <c r="AF2251" t="s">
        <v>226</v>
      </c>
      <c r="AG2251" t="s">
        <v>226</v>
      </c>
      <c r="AH2251">
        <v>-100</v>
      </c>
      <c r="AI2251" t="s">
        <v>3537</v>
      </c>
      <c r="AJ2251" t="s">
        <v>1976</v>
      </c>
      <c r="AK2251" t="s">
        <v>2416</v>
      </c>
      <c r="AL2251" t="s">
        <v>272</v>
      </c>
    </row>
    <row r="2252" spans="1:38">
      <c r="A2252" t="s">
        <v>9601</v>
      </c>
      <c r="B2252" t="s">
        <v>9602</v>
      </c>
      <c r="C2252" t="s">
        <v>9603</v>
      </c>
      <c r="D2252" t="s">
        <v>9603</v>
      </c>
      <c r="E2252" t="s">
        <v>9604</v>
      </c>
      <c r="F2252" t="s">
        <v>2425</v>
      </c>
      <c r="G2252">
        <v>3</v>
      </c>
      <c r="H2252">
        <v>1</v>
      </c>
      <c r="I2252">
        <v>0.01</v>
      </c>
      <c r="J2252">
        <v>10000000</v>
      </c>
      <c r="K2252">
        <v>-0.13</v>
      </c>
      <c r="L2252">
        <v>75.900000000000006</v>
      </c>
      <c r="M2252">
        <v>75.95</v>
      </c>
      <c r="N2252">
        <v>75.099999999999994</v>
      </c>
      <c r="O2252">
        <v>75.900000000000006</v>
      </c>
      <c r="P2252">
        <v>0</v>
      </c>
      <c r="Q2252">
        <v>0</v>
      </c>
      <c r="R2252">
        <v>0</v>
      </c>
      <c r="S2252">
        <v>75.900000000000006</v>
      </c>
      <c r="T2252">
        <v>75.900000000000006</v>
      </c>
      <c r="U2252">
        <v>75.900000000000006</v>
      </c>
      <c r="V2252">
        <v>75.900000000000006</v>
      </c>
      <c r="W2252">
        <v>7590000</v>
      </c>
      <c r="X2252">
        <v>74.099999999999994</v>
      </c>
      <c r="Y2252">
        <v>76</v>
      </c>
      <c r="Z2252">
        <v>1</v>
      </c>
      <c r="AA2252">
        <v>5600</v>
      </c>
      <c r="AB2252">
        <v>7590000</v>
      </c>
      <c r="AC2252">
        <v>0</v>
      </c>
      <c r="AD2252" t="s">
        <v>94</v>
      </c>
      <c r="AE2252" t="s">
        <v>94</v>
      </c>
      <c r="AF2252" t="s">
        <v>304</v>
      </c>
      <c r="AG2252" t="s">
        <v>226</v>
      </c>
      <c r="AH2252">
        <v>0</v>
      </c>
      <c r="AI2252" t="s">
        <v>3537</v>
      </c>
      <c r="AJ2252" t="s">
        <v>1976</v>
      </c>
      <c r="AK2252" t="s">
        <v>2426</v>
      </c>
      <c r="AL2252" t="s">
        <v>272</v>
      </c>
    </row>
    <row r="2253" spans="1:38">
      <c r="A2253" t="s">
        <v>9605</v>
      </c>
      <c r="B2253" t="s">
        <v>9606</v>
      </c>
      <c r="C2253" t="s">
        <v>9607</v>
      </c>
      <c r="D2253" t="s">
        <v>9607</v>
      </c>
      <c r="E2253" t="s">
        <v>9608</v>
      </c>
      <c r="F2253" t="s">
        <v>2425</v>
      </c>
      <c r="G2253">
        <v>3</v>
      </c>
      <c r="H2253">
        <v>1</v>
      </c>
      <c r="I2253">
        <v>0.01</v>
      </c>
      <c r="J2253">
        <v>10000000</v>
      </c>
      <c r="K2253">
        <v>0</v>
      </c>
      <c r="L2253">
        <v>0</v>
      </c>
      <c r="M2253">
        <v>71</v>
      </c>
      <c r="N2253">
        <v>74.319999999999993</v>
      </c>
      <c r="O2253">
        <v>71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71</v>
      </c>
      <c r="Y2253">
        <v>0</v>
      </c>
      <c r="Z2253">
        <v>0</v>
      </c>
      <c r="AA2253">
        <v>761</v>
      </c>
      <c r="AB2253">
        <v>0</v>
      </c>
      <c r="AC2253">
        <v>0</v>
      </c>
      <c r="AD2253" t="s">
        <v>94</v>
      </c>
      <c r="AE2253" t="s">
        <v>94</v>
      </c>
      <c r="AF2253" t="s">
        <v>304</v>
      </c>
      <c r="AG2253" t="s">
        <v>226</v>
      </c>
      <c r="AH2253">
        <v>0</v>
      </c>
      <c r="AI2253" t="s">
        <v>3537</v>
      </c>
      <c r="AJ2253" t="s">
        <v>1976</v>
      </c>
      <c r="AK2253" t="s">
        <v>2426</v>
      </c>
      <c r="AL2253" t="s">
        <v>272</v>
      </c>
    </row>
    <row r="2254" spans="1:38">
      <c r="A2254" t="s">
        <v>9609</v>
      </c>
      <c r="B2254" t="s">
        <v>9610</v>
      </c>
      <c r="C2254" t="s">
        <v>9611</v>
      </c>
      <c r="D2254" t="s">
        <v>9611</v>
      </c>
      <c r="E2254" t="s">
        <v>9612</v>
      </c>
      <c r="F2254" t="s">
        <v>2413</v>
      </c>
      <c r="G2254">
        <v>3</v>
      </c>
      <c r="H2254">
        <v>1</v>
      </c>
      <c r="I2254">
        <v>0.01</v>
      </c>
      <c r="J2254">
        <v>1000</v>
      </c>
      <c r="K2254">
        <v>0</v>
      </c>
      <c r="L2254">
        <v>0</v>
      </c>
      <c r="M2254">
        <v>72.8</v>
      </c>
      <c r="N2254">
        <v>0</v>
      </c>
      <c r="O2254">
        <v>72.8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72.010000000000005</v>
      </c>
      <c r="Y2254">
        <v>0</v>
      </c>
      <c r="Z2254">
        <v>0</v>
      </c>
      <c r="AA2254">
        <v>136025</v>
      </c>
      <c r="AB2254">
        <v>0</v>
      </c>
      <c r="AC2254">
        <v>0</v>
      </c>
      <c r="AD2254" t="s">
        <v>94</v>
      </c>
      <c r="AE2254" t="s">
        <v>94</v>
      </c>
      <c r="AF2254" t="s">
        <v>226</v>
      </c>
      <c r="AG2254" t="s">
        <v>226</v>
      </c>
      <c r="AH2254">
        <v>800</v>
      </c>
      <c r="AI2254" t="s">
        <v>3537</v>
      </c>
      <c r="AJ2254" t="s">
        <v>1976</v>
      </c>
      <c r="AK2254" t="s">
        <v>2416</v>
      </c>
      <c r="AL2254" t="s">
        <v>272</v>
      </c>
    </row>
    <row r="2255" spans="1:38">
      <c r="A2255" t="s">
        <v>9613</v>
      </c>
      <c r="B2255" t="s">
        <v>9614</v>
      </c>
      <c r="C2255" t="s">
        <v>9615</v>
      </c>
      <c r="D2255" t="s">
        <v>9615</v>
      </c>
      <c r="E2255" t="s">
        <v>9616</v>
      </c>
      <c r="F2255" t="s">
        <v>2413</v>
      </c>
      <c r="G2255">
        <v>3</v>
      </c>
      <c r="H2255">
        <v>1</v>
      </c>
      <c r="I2255">
        <v>0.01</v>
      </c>
      <c r="J2255">
        <v>1000</v>
      </c>
      <c r="K2255">
        <v>0</v>
      </c>
      <c r="L2255">
        <v>0</v>
      </c>
      <c r="M2255">
        <v>99.9</v>
      </c>
      <c r="N2255">
        <v>99.45</v>
      </c>
      <c r="O2255">
        <v>99.9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839795</v>
      </c>
      <c r="AB2255">
        <v>0</v>
      </c>
      <c r="AC2255">
        <v>0</v>
      </c>
      <c r="AD2255" t="s">
        <v>94</v>
      </c>
      <c r="AE2255" t="s">
        <v>94</v>
      </c>
      <c r="AF2255" t="s">
        <v>226</v>
      </c>
      <c r="AG2255" t="s">
        <v>226</v>
      </c>
      <c r="AH2255">
        <v>800</v>
      </c>
      <c r="AI2255" t="s">
        <v>3537</v>
      </c>
      <c r="AJ2255" t="s">
        <v>1976</v>
      </c>
      <c r="AK2255" t="s">
        <v>2416</v>
      </c>
      <c r="AL2255" t="s">
        <v>272</v>
      </c>
    </row>
    <row r="2256" spans="1:38">
      <c r="A2256" t="s">
        <v>9617</v>
      </c>
      <c r="B2256" t="s">
        <v>9618</v>
      </c>
      <c r="C2256" t="s">
        <v>9619</v>
      </c>
      <c r="D2256" t="s">
        <v>9619</v>
      </c>
      <c r="E2256" t="s">
        <v>9620</v>
      </c>
      <c r="F2256" t="s">
        <v>2413</v>
      </c>
      <c r="G2256">
        <v>3</v>
      </c>
      <c r="H2256">
        <v>1</v>
      </c>
      <c r="I2256">
        <v>0.01</v>
      </c>
      <c r="J2256">
        <v>1000</v>
      </c>
      <c r="K2256">
        <v>0</v>
      </c>
      <c r="L2256">
        <v>0</v>
      </c>
      <c r="M2256">
        <v>116.5</v>
      </c>
      <c r="N2256">
        <v>115.96</v>
      </c>
      <c r="O2256">
        <v>116.5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1000000</v>
      </c>
      <c r="AB2256">
        <v>0</v>
      </c>
      <c r="AC2256">
        <v>0</v>
      </c>
      <c r="AD2256" t="s">
        <v>94</v>
      </c>
      <c r="AE2256" t="s">
        <v>94</v>
      </c>
      <c r="AF2256" t="s">
        <v>226</v>
      </c>
      <c r="AG2256" t="s">
        <v>226</v>
      </c>
      <c r="AH2256">
        <v>800</v>
      </c>
      <c r="AI2256" t="s">
        <v>3537</v>
      </c>
      <c r="AJ2256" t="s">
        <v>1976</v>
      </c>
      <c r="AK2256" t="s">
        <v>2416</v>
      </c>
      <c r="AL2256" t="s">
        <v>272</v>
      </c>
    </row>
    <row r="2257" spans="1:38">
      <c r="A2257" t="s">
        <v>9621</v>
      </c>
      <c r="B2257" t="s">
        <v>9622</v>
      </c>
      <c r="C2257" t="s">
        <v>9623</v>
      </c>
      <c r="D2257" t="s">
        <v>9623</v>
      </c>
      <c r="E2257" t="s">
        <v>9624</v>
      </c>
      <c r="F2257" t="s">
        <v>2413</v>
      </c>
      <c r="G2257">
        <v>3</v>
      </c>
      <c r="H2257">
        <v>1</v>
      </c>
      <c r="I2257">
        <v>0.01</v>
      </c>
      <c r="J2257">
        <v>1000</v>
      </c>
      <c r="K2257">
        <v>0</v>
      </c>
      <c r="L2257">
        <v>0</v>
      </c>
      <c r="M2257">
        <v>171.4</v>
      </c>
      <c r="N2257">
        <v>174.54</v>
      </c>
      <c r="O2257">
        <v>171.4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170.51</v>
      </c>
      <c r="Y2257">
        <v>239.95</v>
      </c>
      <c r="Z2257">
        <v>0</v>
      </c>
      <c r="AA2257">
        <v>649234</v>
      </c>
      <c r="AB2257">
        <v>0</v>
      </c>
      <c r="AC2257">
        <v>0</v>
      </c>
      <c r="AD2257" t="s">
        <v>94</v>
      </c>
      <c r="AE2257" t="s">
        <v>94</v>
      </c>
      <c r="AF2257" t="s">
        <v>226</v>
      </c>
      <c r="AG2257" t="s">
        <v>226</v>
      </c>
      <c r="AH2257">
        <v>800</v>
      </c>
      <c r="AI2257" t="s">
        <v>3537</v>
      </c>
      <c r="AJ2257" t="s">
        <v>1976</v>
      </c>
      <c r="AK2257" t="s">
        <v>2416</v>
      </c>
      <c r="AL2257" t="s">
        <v>272</v>
      </c>
    </row>
    <row r="2258" spans="1:38">
      <c r="A2258" t="s">
        <v>9625</v>
      </c>
      <c r="B2258" t="s">
        <v>9626</v>
      </c>
      <c r="C2258" t="s">
        <v>9627</v>
      </c>
      <c r="D2258" t="s">
        <v>9627</v>
      </c>
      <c r="E2258" t="s">
        <v>9628</v>
      </c>
      <c r="F2258" t="s">
        <v>2413</v>
      </c>
      <c r="G2258">
        <v>3</v>
      </c>
      <c r="H2258">
        <v>1</v>
      </c>
      <c r="I2258">
        <v>0.01</v>
      </c>
      <c r="J2258">
        <v>1000</v>
      </c>
      <c r="K2258">
        <v>0</v>
      </c>
      <c r="L2258">
        <v>0</v>
      </c>
      <c r="M2258">
        <v>100.7</v>
      </c>
      <c r="N2258">
        <v>0</v>
      </c>
      <c r="O2258">
        <v>100.7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100.2</v>
      </c>
      <c r="Y2258">
        <v>0</v>
      </c>
      <c r="Z2258">
        <v>0</v>
      </c>
      <c r="AA2258">
        <v>741602</v>
      </c>
      <c r="AB2258">
        <v>0</v>
      </c>
      <c r="AC2258">
        <v>0</v>
      </c>
      <c r="AD2258" t="s">
        <v>94</v>
      </c>
      <c r="AE2258" t="s">
        <v>94</v>
      </c>
      <c r="AF2258" t="s">
        <v>226</v>
      </c>
      <c r="AG2258" t="s">
        <v>226</v>
      </c>
      <c r="AH2258">
        <v>800</v>
      </c>
      <c r="AI2258" t="s">
        <v>3537</v>
      </c>
      <c r="AJ2258" t="s">
        <v>1976</v>
      </c>
      <c r="AK2258" t="s">
        <v>2416</v>
      </c>
      <c r="AL2258" t="s">
        <v>272</v>
      </c>
    </row>
    <row r="2259" spans="1:38">
      <c r="A2259" t="s">
        <v>9629</v>
      </c>
      <c r="B2259" t="s">
        <v>9630</v>
      </c>
      <c r="C2259" t="s">
        <v>9631</v>
      </c>
      <c r="D2259" t="s">
        <v>9631</v>
      </c>
      <c r="E2259" t="s">
        <v>9632</v>
      </c>
      <c r="F2259" t="s">
        <v>2413</v>
      </c>
      <c r="G2259">
        <v>3</v>
      </c>
      <c r="H2259">
        <v>1</v>
      </c>
      <c r="I2259">
        <v>0.01</v>
      </c>
      <c r="J2259">
        <v>1000</v>
      </c>
      <c r="K2259">
        <v>0.94</v>
      </c>
      <c r="L2259">
        <v>107.6</v>
      </c>
      <c r="M2259">
        <v>106.6</v>
      </c>
      <c r="N2259">
        <v>0</v>
      </c>
      <c r="O2259">
        <v>107.6</v>
      </c>
      <c r="P2259">
        <v>0</v>
      </c>
      <c r="Q2259">
        <v>0</v>
      </c>
      <c r="R2259">
        <v>0</v>
      </c>
      <c r="S2259">
        <v>107.6</v>
      </c>
      <c r="T2259">
        <v>107.6</v>
      </c>
      <c r="U2259">
        <v>107.6</v>
      </c>
      <c r="V2259">
        <v>107.6</v>
      </c>
      <c r="W2259">
        <v>1076</v>
      </c>
      <c r="X2259">
        <v>107.61</v>
      </c>
      <c r="Y2259">
        <v>0</v>
      </c>
      <c r="Z2259">
        <v>1</v>
      </c>
      <c r="AA2259">
        <v>463226</v>
      </c>
      <c r="AB2259">
        <v>1076</v>
      </c>
      <c r="AC2259">
        <v>0</v>
      </c>
      <c r="AD2259" t="s">
        <v>94</v>
      </c>
      <c r="AE2259" t="s">
        <v>94</v>
      </c>
      <c r="AF2259" t="s">
        <v>226</v>
      </c>
      <c r="AG2259" t="s">
        <v>226</v>
      </c>
      <c r="AH2259">
        <v>800</v>
      </c>
      <c r="AI2259" t="s">
        <v>3537</v>
      </c>
      <c r="AJ2259" t="s">
        <v>1976</v>
      </c>
      <c r="AK2259" t="s">
        <v>2416</v>
      </c>
      <c r="AL2259" t="s">
        <v>272</v>
      </c>
    </row>
    <row r="2260" spans="1:38">
      <c r="A2260" t="s">
        <v>9633</v>
      </c>
      <c r="B2260" t="s">
        <v>9634</v>
      </c>
      <c r="C2260" t="s">
        <v>9635</v>
      </c>
      <c r="D2260" t="s">
        <v>9635</v>
      </c>
      <c r="E2260" t="s">
        <v>9636</v>
      </c>
      <c r="F2260" t="s">
        <v>2413</v>
      </c>
      <c r="G2260">
        <v>3</v>
      </c>
      <c r="H2260">
        <v>1</v>
      </c>
      <c r="I2260">
        <v>0.01</v>
      </c>
      <c r="J2260">
        <v>1000</v>
      </c>
      <c r="K2260">
        <v>-1.72</v>
      </c>
      <c r="L2260">
        <v>126.6</v>
      </c>
      <c r="M2260">
        <v>128.81</v>
      </c>
      <c r="N2260">
        <v>129.06</v>
      </c>
      <c r="O2260">
        <v>126.6</v>
      </c>
      <c r="P2260">
        <v>0</v>
      </c>
      <c r="Q2260">
        <v>0</v>
      </c>
      <c r="R2260">
        <v>0</v>
      </c>
      <c r="S2260">
        <v>126.67</v>
      </c>
      <c r="T2260">
        <v>128.51</v>
      </c>
      <c r="U2260">
        <v>126.01</v>
      </c>
      <c r="V2260">
        <v>128.51</v>
      </c>
      <c r="W2260">
        <v>5164135</v>
      </c>
      <c r="X2260">
        <v>126.6</v>
      </c>
      <c r="Y2260">
        <v>128.30000000000001</v>
      </c>
      <c r="Z2260">
        <v>11</v>
      </c>
      <c r="AA2260">
        <v>1599314</v>
      </c>
      <c r="AB2260">
        <v>126600</v>
      </c>
      <c r="AC2260">
        <v>0</v>
      </c>
      <c r="AD2260" t="s">
        <v>94</v>
      </c>
      <c r="AE2260" t="s">
        <v>94</v>
      </c>
      <c r="AF2260" t="s">
        <v>226</v>
      </c>
      <c r="AG2260" t="s">
        <v>226</v>
      </c>
      <c r="AH2260">
        <v>800</v>
      </c>
      <c r="AI2260" t="s">
        <v>3537</v>
      </c>
      <c r="AJ2260" t="s">
        <v>1976</v>
      </c>
      <c r="AK2260" t="s">
        <v>2416</v>
      </c>
      <c r="AL2260" t="s">
        <v>272</v>
      </c>
    </row>
    <row r="2261" spans="1:38">
      <c r="A2261" t="s">
        <v>9637</v>
      </c>
      <c r="B2261" t="s">
        <v>9638</v>
      </c>
      <c r="C2261" t="s">
        <v>9639</v>
      </c>
      <c r="D2261" t="s">
        <v>9639</v>
      </c>
      <c r="E2261" t="s">
        <v>9640</v>
      </c>
      <c r="F2261" t="s">
        <v>2413</v>
      </c>
      <c r="G2261">
        <v>3</v>
      </c>
      <c r="H2261">
        <v>1</v>
      </c>
      <c r="I2261">
        <v>0.01</v>
      </c>
      <c r="J2261">
        <v>1000</v>
      </c>
      <c r="K2261">
        <v>0</v>
      </c>
      <c r="L2261">
        <v>0</v>
      </c>
      <c r="M2261">
        <v>96.13</v>
      </c>
      <c r="N2261">
        <v>95.91</v>
      </c>
      <c r="O2261">
        <v>96.13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96.22</v>
      </c>
      <c r="Y2261">
        <v>97.1</v>
      </c>
      <c r="Z2261">
        <v>0</v>
      </c>
      <c r="AA2261">
        <v>1150389</v>
      </c>
      <c r="AB2261">
        <v>0</v>
      </c>
      <c r="AC2261">
        <v>0</v>
      </c>
      <c r="AD2261" t="s">
        <v>94</v>
      </c>
      <c r="AE2261" t="s">
        <v>94</v>
      </c>
      <c r="AF2261" t="s">
        <v>226</v>
      </c>
      <c r="AG2261" t="s">
        <v>226</v>
      </c>
      <c r="AH2261">
        <v>800</v>
      </c>
      <c r="AI2261" t="s">
        <v>3537</v>
      </c>
      <c r="AJ2261" t="s">
        <v>1976</v>
      </c>
      <c r="AK2261" t="s">
        <v>2416</v>
      </c>
      <c r="AL2261" t="s">
        <v>272</v>
      </c>
    </row>
    <row r="2262" spans="1:38">
      <c r="A2262" t="s">
        <v>9641</v>
      </c>
      <c r="B2262" t="s">
        <v>9642</v>
      </c>
      <c r="C2262" t="s">
        <v>9643</v>
      </c>
      <c r="D2262" t="s">
        <v>9643</v>
      </c>
      <c r="E2262" t="s">
        <v>9644</v>
      </c>
      <c r="F2262" t="s">
        <v>2413</v>
      </c>
      <c r="G2262">
        <v>3</v>
      </c>
      <c r="H2262">
        <v>1</v>
      </c>
      <c r="I2262">
        <v>0.01</v>
      </c>
      <c r="J2262">
        <v>1000</v>
      </c>
      <c r="K2262">
        <v>0</v>
      </c>
      <c r="L2262">
        <v>0</v>
      </c>
      <c r="M2262">
        <v>101.6</v>
      </c>
      <c r="N2262">
        <v>100</v>
      </c>
      <c r="O2262">
        <v>101.6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102.8</v>
      </c>
      <c r="Y2262">
        <v>0</v>
      </c>
      <c r="Z2262">
        <v>0</v>
      </c>
      <c r="AA2262">
        <v>450409</v>
      </c>
      <c r="AB2262">
        <v>0</v>
      </c>
      <c r="AC2262">
        <v>0</v>
      </c>
      <c r="AD2262" t="s">
        <v>94</v>
      </c>
      <c r="AE2262" t="s">
        <v>94</v>
      </c>
      <c r="AF2262" t="s">
        <v>226</v>
      </c>
      <c r="AG2262" t="s">
        <v>226</v>
      </c>
      <c r="AH2262">
        <v>800</v>
      </c>
      <c r="AI2262" t="s">
        <v>3537</v>
      </c>
      <c r="AJ2262" t="s">
        <v>1976</v>
      </c>
      <c r="AK2262" t="s">
        <v>2416</v>
      </c>
      <c r="AL2262" t="s">
        <v>272</v>
      </c>
    </row>
    <row r="2263" spans="1:38">
      <c r="A2263" t="s">
        <v>9645</v>
      </c>
      <c r="B2263" t="s">
        <v>9646</v>
      </c>
      <c r="C2263" t="s">
        <v>9647</v>
      </c>
      <c r="D2263" t="s">
        <v>9647</v>
      </c>
      <c r="E2263" t="s">
        <v>9648</v>
      </c>
      <c r="F2263" t="s">
        <v>2413</v>
      </c>
      <c r="G2263">
        <v>3</v>
      </c>
      <c r="H2263">
        <v>1</v>
      </c>
      <c r="I2263">
        <v>0.01</v>
      </c>
      <c r="J2263">
        <v>1000</v>
      </c>
      <c r="K2263">
        <v>0</v>
      </c>
      <c r="L2263">
        <v>0</v>
      </c>
      <c r="M2263">
        <v>104.8</v>
      </c>
      <c r="N2263">
        <v>0</v>
      </c>
      <c r="O2263">
        <v>104.8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105</v>
      </c>
      <c r="Y2263">
        <v>0</v>
      </c>
      <c r="Z2263">
        <v>0</v>
      </c>
      <c r="AA2263">
        <v>307572</v>
      </c>
      <c r="AB2263">
        <v>0</v>
      </c>
      <c r="AC2263">
        <v>0</v>
      </c>
      <c r="AD2263" t="s">
        <v>94</v>
      </c>
      <c r="AE2263" t="s">
        <v>94</v>
      </c>
      <c r="AF2263" t="s">
        <v>226</v>
      </c>
      <c r="AG2263" t="s">
        <v>226</v>
      </c>
      <c r="AH2263">
        <v>800</v>
      </c>
      <c r="AI2263" t="s">
        <v>3537</v>
      </c>
      <c r="AJ2263" t="s">
        <v>1976</v>
      </c>
      <c r="AK2263" t="s">
        <v>2416</v>
      </c>
      <c r="AL2263" t="s">
        <v>272</v>
      </c>
    </row>
    <row r="2264" spans="1:38">
      <c r="A2264" t="s">
        <v>9649</v>
      </c>
      <c r="B2264" t="s">
        <v>9650</v>
      </c>
      <c r="C2264" t="s">
        <v>9651</v>
      </c>
      <c r="D2264" t="s">
        <v>9651</v>
      </c>
      <c r="E2264" t="s">
        <v>9652</v>
      </c>
      <c r="F2264" t="s">
        <v>2413</v>
      </c>
      <c r="G2264">
        <v>3</v>
      </c>
      <c r="H2264">
        <v>1</v>
      </c>
      <c r="I2264">
        <v>0.01</v>
      </c>
      <c r="J2264">
        <v>1000</v>
      </c>
      <c r="K2264">
        <v>0</v>
      </c>
      <c r="L2264">
        <v>0</v>
      </c>
      <c r="M2264">
        <v>100</v>
      </c>
      <c r="N2264">
        <v>98.37</v>
      </c>
      <c r="O2264">
        <v>100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99.5</v>
      </c>
      <c r="Y2264">
        <v>108.37</v>
      </c>
      <c r="Z2264">
        <v>0</v>
      </c>
      <c r="AA2264">
        <v>887476</v>
      </c>
      <c r="AB2264">
        <v>0</v>
      </c>
      <c r="AC2264">
        <v>0</v>
      </c>
      <c r="AD2264" t="s">
        <v>94</v>
      </c>
      <c r="AE2264" t="s">
        <v>94</v>
      </c>
      <c r="AF2264" t="s">
        <v>226</v>
      </c>
      <c r="AG2264" t="s">
        <v>226</v>
      </c>
      <c r="AH2264">
        <v>800</v>
      </c>
      <c r="AI2264" t="s">
        <v>3537</v>
      </c>
      <c r="AJ2264" t="s">
        <v>1976</v>
      </c>
      <c r="AK2264" t="s">
        <v>2416</v>
      </c>
      <c r="AL2264" t="s">
        <v>272</v>
      </c>
    </row>
    <row r="2265" spans="1:38">
      <c r="A2265" t="s">
        <v>9653</v>
      </c>
      <c r="B2265" t="s">
        <v>9654</v>
      </c>
      <c r="C2265" t="s">
        <v>9655</v>
      </c>
      <c r="D2265" t="s">
        <v>9655</v>
      </c>
      <c r="E2265" t="s">
        <v>9656</v>
      </c>
      <c r="F2265" t="s">
        <v>2413</v>
      </c>
      <c r="G2265">
        <v>3</v>
      </c>
      <c r="H2265">
        <v>1</v>
      </c>
      <c r="I2265">
        <v>0.01</v>
      </c>
      <c r="J2265">
        <v>1000</v>
      </c>
      <c r="K2265">
        <v>0</v>
      </c>
      <c r="L2265">
        <v>0</v>
      </c>
      <c r="M2265">
        <v>118</v>
      </c>
      <c r="N2265">
        <v>116.66</v>
      </c>
      <c r="O2265">
        <v>118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119.2</v>
      </c>
      <c r="Y2265">
        <v>0</v>
      </c>
      <c r="Z2265">
        <v>0</v>
      </c>
      <c r="AA2265">
        <v>740656</v>
      </c>
      <c r="AB2265">
        <v>0</v>
      </c>
      <c r="AC2265">
        <v>0</v>
      </c>
      <c r="AD2265" t="s">
        <v>94</v>
      </c>
      <c r="AE2265" t="s">
        <v>94</v>
      </c>
      <c r="AF2265" t="s">
        <v>226</v>
      </c>
      <c r="AG2265" t="s">
        <v>226</v>
      </c>
      <c r="AH2265">
        <v>800</v>
      </c>
      <c r="AI2265" t="s">
        <v>3537</v>
      </c>
      <c r="AJ2265" t="s">
        <v>1976</v>
      </c>
      <c r="AK2265" t="s">
        <v>2416</v>
      </c>
      <c r="AL2265" t="s">
        <v>272</v>
      </c>
    </row>
    <row r="2266" spans="1:38">
      <c r="A2266" t="s">
        <v>9657</v>
      </c>
      <c r="B2266" t="s">
        <v>9658</v>
      </c>
      <c r="C2266" t="s">
        <v>9659</v>
      </c>
      <c r="D2266" t="s">
        <v>9659</v>
      </c>
      <c r="E2266" t="s">
        <v>9660</v>
      </c>
      <c r="F2266" t="s">
        <v>2413</v>
      </c>
      <c r="G2266">
        <v>3</v>
      </c>
      <c r="H2266">
        <v>1</v>
      </c>
      <c r="I2266">
        <v>0.01</v>
      </c>
      <c r="J2266">
        <v>1000</v>
      </c>
      <c r="K2266">
        <v>0</v>
      </c>
      <c r="L2266">
        <v>0</v>
      </c>
      <c r="M2266">
        <v>105.4</v>
      </c>
      <c r="N2266">
        <v>104.95</v>
      </c>
      <c r="O2266">
        <v>105.4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105.3</v>
      </c>
      <c r="Y2266">
        <v>147.84</v>
      </c>
      <c r="Z2266">
        <v>0</v>
      </c>
      <c r="AA2266">
        <v>905994</v>
      </c>
      <c r="AB2266">
        <v>0</v>
      </c>
      <c r="AC2266">
        <v>0</v>
      </c>
      <c r="AD2266" t="s">
        <v>94</v>
      </c>
      <c r="AE2266" t="s">
        <v>94</v>
      </c>
      <c r="AF2266" t="s">
        <v>226</v>
      </c>
      <c r="AG2266" t="s">
        <v>226</v>
      </c>
      <c r="AH2266">
        <v>800</v>
      </c>
      <c r="AI2266" t="s">
        <v>3537</v>
      </c>
      <c r="AJ2266" t="s">
        <v>1976</v>
      </c>
      <c r="AK2266" t="s">
        <v>2416</v>
      </c>
      <c r="AL2266" t="s">
        <v>272</v>
      </c>
    </row>
    <row r="2267" spans="1:38">
      <c r="A2267" t="s">
        <v>9661</v>
      </c>
      <c r="B2267" t="s">
        <v>9662</v>
      </c>
      <c r="C2267" t="s">
        <v>9663</v>
      </c>
      <c r="D2267" t="s">
        <v>9663</v>
      </c>
      <c r="E2267" t="s">
        <v>9664</v>
      </c>
      <c r="F2267" t="s">
        <v>2413</v>
      </c>
      <c r="G2267">
        <v>3</v>
      </c>
      <c r="H2267">
        <v>1</v>
      </c>
      <c r="I2267">
        <v>0.01</v>
      </c>
      <c r="J2267">
        <v>1000</v>
      </c>
      <c r="K2267">
        <v>-0.18</v>
      </c>
      <c r="L2267">
        <v>108.5</v>
      </c>
      <c r="M2267">
        <v>108.7</v>
      </c>
      <c r="N2267">
        <v>107.15</v>
      </c>
      <c r="O2267">
        <v>108.5</v>
      </c>
      <c r="P2267">
        <v>0</v>
      </c>
      <c r="Q2267">
        <v>0</v>
      </c>
      <c r="R2267">
        <v>0</v>
      </c>
      <c r="S2267">
        <v>108.5</v>
      </c>
      <c r="T2267">
        <v>108.5</v>
      </c>
      <c r="U2267">
        <v>108.5</v>
      </c>
      <c r="V2267">
        <v>108.5</v>
      </c>
      <c r="W2267">
        <v>542500</v>
      </c>
      <c r="X2267">
        <v>108.5</v>
      </c>
      <c r="Y2267">
        <v>136.49</v>
      </c>
      <c r="Z2267">
        <v>1</v>
      </c>
      <c r="AA2267">
        <v>780000</v>
      </c>
      <c r="AB2267">
        <v>542500</v>
      </c>
      <c r="AC2267">
        <v>0</v>
      </c>
      <c r="AD2267" t="s">
        <v>94</v>
      </c>
      <c r="AE2267" t="s">
        <v>94</v>
      </c>
      <c r="AF2267" t="s">
        <v>226</v>
      </c>
      <c r="AG2267" t="s">
        <v>226</v>
      </c>
      <c r="AH2267">
        <v>800</v>
      </c>
      <c r="AI2267" t="s">
        <v>3537</v>
      </c>
      <c r="AJ2267" t="s">
        <v>1976</v>
      </c>
      <c r="AK2267" t="s">
        <v>2416</v>
      </c>
      <c r="AL2267" t="s">
        <v>272</v>
      </c>
    </row>
    <row r="2268" spans="1:38">
      <c r="A2268" t="s">
        <v>9665</v>
      </c>
      <c r="B2268" t="s">
        <v>9666</v>
      </c>
      <c r="C2268" t="s">
        <v>9667</v>
      </c>
      <c r="D2268" t="s">
        <v>9667</v>
      </c>
      <c r="E2268" t="s">
        <v>9668</v>
      </c>
      <c r="F2268" t="s">
        <v>2413</v>
      </c>
      <c r="G2268">
        <v>3</v>
      </c>
      <c r="H2268">
        <v>1</v>
      </c>
      <c r="I2268">
        <v>0.01</v>
      </c>
      <c r="J2268">
        <v>1000</v>
      </c>
      <c r="K2268">
        <v>0</v>
      </c>
      <c r="L2268">
        <v>0</v>
      </c>
      <c r="M2268">
        <v>107.6</v>
      </c>
      <c r="N2268">
        <v>106.6</v>
      </c>
      <c r="O2268">
        <v>107.6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107.3</v>
      </c>
      <c r="Y2268">
        <v>0</v>
      </c>
      <c r="Z2268">
        <v>0</v>
      </c>
      <c r="AA2268">
        <v>681200</v>
      </c>
      <c r="AB2268">
        <v>0</v>
      </c>
      <c r="AC2268">
        <v>0</v>
      </c>
      <c r="AD2268" t="s">
        <v>94</v>
      </c>
      <c r="AE2268" t="s">
        <v>94</v>
      </c>
      <c r="AF2268" t="s">
        <v>226</v>
      </c>
      <c r="AG2268" t="s">
        <v>226</v>
      </c>
      <c r="AH2268">
        <v>800</v>
      </c>
      <c r="AI2268" t="s">
        <v>3537</v>
      </c>
      <c r="AJ2268" t="s">
        <v>1976</v>
      </c>
      <c r="AK2268" t="s">
        <v>2416</v>
      </c>
      <c r="AL2268" t="s">
        <v>272</v>
      </c>
    </row>
    <row r="2269" spans="1:38">
      <c r="A2269" t="s">
        <v>9669</v>
      </c>
      <c r="B2269" t="s">
        <v>9670</v>
      </c>
      <c r="C2269" t="s">
        <v>9671</v>
      </c>
      <c r="D2269" t="s">
        <v>9671</v>
      </c>
      <c r="E2269" t="s">
        <v>9672</v>
      </c>
      <c r="F2269" t="s">
        <v>2413</v>
      </c>
      <c r="G2269">
        <v>3</v>
      </c>
      <c r="H2269">
        <v>1</v>
      </c>
      <c r="I2269">
        <v>0.01</v>
      </c>
      <c r="J2269">
        <v>1000</v>
      </c>
      <c r="K2269">
        <v>0</v>
      </c>
      <c r="L2269">
        <v>0</v>
      </c>
      <c r="M2269">
        <v>128.5</v>
      </c>
      <c r="N2269">
        <v>125.59</v>
      </c>
      <c r="O2269">
        <v>128.5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128.19999999999999</v>
      </c>
      <c r="Y2269">
        <v>0</v>
      </c>
      <c r="Z2269">
        <v>0</v>
      </c>
      <c r="AA2269">
        <v>603105</v>
      </c>
      <c r="AB2269">
        <v>0</v>
      </c>
      <c r="AC2269">
        <v>0</v>
      </c>
      <c r="AD2269" t="s">
        <v>94</v>
      </c>
      <c r="AE2269" t="s">
        <v>94</v>
      </c>
      <c r="AF2269" t="s">
        <v>226</v>
      </c>
      <c r="AG2269" t="s">
        <v>226</v>
      </c>
      <c r="AH2269">
        <v>800</v>
      </c>
      <c r="AI2269" t="s">
        <v>3537</v>
      </c>
      <c r="AJ2269" t="s">
        <v>1976</v>
      </c>
      <c r="AK2269" t="s">
        <v>2416</v>
      </c>
      <c r="AL2269" t="s">
        <v>272</v>
      </c>
    </row>
    <row r="2270" spans="1:38">
      <c r="A2270" t="s">
        <v>9673</v>
      </c>
      <c r="B2270" t="s">
        <v>9674</v>
      </c>
      <c r="C2270" t="s">
        <v>9675</v>
      </c>
      <c r="D2270" t="s">
        <v>9675</v>
      </c>
      <c r="E2270" t="s">
        <v>9676</v>
      </c>
      <c r="F2270" t="s">
        <v>2413</v>
      </c>
      <c r="G2270">
        <v>3</v>
      </c>
      <c r="H2270">
        <v>1</v>
      </c>
      <c r="I2270">
        <v>0.01</v>
      </c>
      <c r="J2270">
        <v>1000</v>
      </c>
      <c r="K2270">
        <v>0</v>
      </c>
      <c r="L2270">
        <v>0</v>
      </c>
      <c r="M2270">
        <v>100.1</v>
      </c>
      <c r="N2270">
        <v>98.66</v>
      </c>
      <c r="O2270">
        <v>100.1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100.2</v>
      </c>
      <c r="Y2270">
        <v>130.21</v>
      </c>
      <c r="Z2270">
        <v>0</v>
      </c>
      <c r="AA2270">
        <v>201453</v>
      </c>
      <c r="AB2270">
        <v>0</v>
      </c>
      <c r="AC2270">
        <v>0</v>
      </c>
      <c r="AD2270" t="s">
        <v>94</v>
      </c>
      <c r="AE2270" t="s">
        <v>94</v>
      </c>
      <c r="AF2270" t="s">
        <v>226</v>
      </c>
      <c r="AG2270" t="s">
        <v>226</v>
      </c>
      <c r="AH2270">
        <v>800</v>
      </c>
      <c r="AI2270" t="s">
        <v>3537</v>
      </c>
      <c r="AJ2270" t="s">
        <v>1976</v>
      </c>
      <c r="AK2270" t="s">
        <v>2416</v>
      </c>
      <c r="AL2270" t="s">
        <v>272</v>
      </c>
    </row>
    <row r="2271" spans="1:38">
      <c r="A2271" t="s">
        <v>9677</v>
      </c>
      <c r="B2271" t="s">
        <v>9678</v>
      </c>
      <c r="C2271" t="s">
        <v>9679</v>
      </c>
      <c r="D2271" t="s">
        <v>9679</v>
      </c>
      <c r="E2271" t="s">
        <v>9680</v>
      </c>
      <c r="F2271" t="s">
        <v>2413</v>
      </c>
      <c r="G2271">
        <v>3</v>
      </c>
      <c r="H2271">
        <v>1</v>
      </c>
      <c r="I2271">
        <v>0.01</v>
      </c>
      <c r="J2271">
        <v>1000</v>
      </c>
      <c r="K2271">
        <v>0</v>
      </c>
      <c r="L2271">
        <v>0</v>
      </c>
      <c r="M2271">
        <v>98.2</v>
      </c>
      <c r="N2271">
        <v>0</v>
      </c>
      <c r="O2271">
        <v>98.2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99.7</v>
      </c>
      <c r="Y2271">
        <v>102.61</v>
      </c>
      <c r="Z2271">
        <v>0</v>
      </c>
      <c r="AA2271">
        <v>282879</v>
      </c>
      <c r="AB2271">
        <v>0</v>
      </c>
      <c r="AC2271">
        <v>0</v>
      </c>
      <c r="AD2271" t="s">
        <v>94</v>
      </c>
      <c r="AE2271" t="s">
        <v>94</v>
      </c>
      <c r="AF2271" t="s">
        <v>226</v>
      </c>
      <c r="AG2271" t="s">
        <v>226</v>
      </c>
      <c r="AH2271">
        <v>800</v>
      </c>
      <c r="AI2271" t="s">
        <v>3537</v>
      </c>
      <c r="AJ2271" t="s">
        <v>1976</v>
      </c>
      <c r="AK2271" t="s">
        <v>2416</v>
      </c>
      <c r="AL2271" t="s">
        <v>272</v>
      </c>
    </row>
    <row r="2272" spans="1:38">
      <c r="A2272" t="s">
        <v>9681</v>
      </c>
      <c r="B2272" t="s">
        <v>9682</v>
      </c>
      <c r="C2272" t="s">
        <v>9683</v>
      </c>
      <c r="D2272" t="s">
        <v>9683</v>
      </c>
      <c r="E2272" t="s">
        <v>9684</v>
      </c>
      <c r="F2272" t="s">
        <v>2413</v>
      </c>
      <c r="G2272">
        <v>3</v>
      </c>
      <c r="H2272">
        <v>1</v>
      </c>
      <c r="I2272">
        <v>0.01</v>
      </c>
      <c r="J2272">
        <v>1000</v>
      </c>
      <c r="K2272">
        <v>0</v>
      </c>
      <c r="L2272">
        <v>0</v>
      </c>
      <c r="M2272">
        <v>134.9</v>
      </c>
      <c r="N2272">
        <v>133.41999999999999</v>
      </c>
      <c r="O2272">
        <v>134.9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134.5</v>
      </c>
      <c r="Y2272">
        <v>0</v>
      </c>
      <c r="Z2272">
        <v>0</v>
      </c>
      <c r="AA2272">
        <v>999991</v>
      </c>
      <c r="AB2272">
        <v>0</v>
      </c>
      <c r="AC2272">
        <v>0</v>
      </c>
      <c r="AD2272" t="s">
        <v>94</v>
      </c>
      <c r="AE2272" t="s">
        <v>94</v>
      </c>
      <c r="AF2272" t="s">
        <v>226</v>
      </c>
      <c r="AG2272" t="s">
        <v>226</v>
      </c>
      <c r="AH2272">
        <v>800</v>
      </c>
      <c r="AI2272" t="s">
        <v>3537</v>
      </c>
      <c r="AJ2272" t="s">
        <v>1976</v>
      </c>
      <c r="AK2272" t="s">
        <v>2416</v>
      </c>
      <c r="AL2272" t="s">
        <v>272</v>
      </c>
    </row>
    <row r="2273" spans="1:38">
      <c r="A2273" t="s">
        <v>9685</v>
      </c>
      <c r="B2273" t="s">
        <v>9686</v>
      </c>
      <c r="C2273" t="s">
        <v>9687</v>
      </c>
      <c r="D2273" t="s">
        <v>9687</v>
      </c>
      <c r="E2273" t="s">
        <v>9688</v>
      </c>
      <c r="F2273" t="s">
        <v>2413</v>
      </c>
      <c r="G2273">
        <v>3</v>
      </c>
      <c r="H2273">
        <v>1</v>
      </c>
      <c r="I2273">
        <v>0.01</v>
      </c>
      <c r="J2273">
        <v>1000</v>
      </c>
      <c r="K2273">
        <v>0</v>
      </c>
      <c r="L2273">
        <v>0</v>
      </c>
      <c r="M2273">
        <v>107.9</v>
      </c>
      <c r="N2273">
        <v>104.74</v>
      </c>
      <c r="O2273">
        <v>107.9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107.4</v>
      </c>
      <c r="Y2273">
        <v>151.06</v>
      </c>
      <c r="Z2273">
        <v>0</v>
      </c>
      <c r="AA2273">
        <v>232342</v>
      </c>
      <c r="AB2273">
        <v>0</v>
      </c>
      <c r="AC2273">
        <v>0</v>
      </c>
      <c r="AD2273" t="s">
        <v>94</v>
      </c>
      <c r="AE2273" t="s">
        <v>94</v>
      </c>
      <c r="AF2273" t="s">
        <v>226</v>
      </c>
      <c r="AG2273" t="s">
        <v>226</v>
      </c>
      <c r="AH2273">
        <v>800</v>
      </c>
      <c r="AI2273" t="s">
        <v>3537</v>
      </c>
      <c r="AJ2273" t="s">
        <v>1976</v>
      </c>
      <c r="AK2273" t="s">
        <v>2416</v>
      </c>
      <c r="AL2273" t="s">
        <v>272</v>
      </c>
    </row>
    <row r="2274" spans="1:38">
      <c r="A2274" t="s">
        <v>9689</v>
      </c>
      <c r="B2274" t="s">
        <v>9690</v>
      </c>
      <c r="C2274" t="s">
        <v>9691</v>
      </c>
      <c r="D2274" t="s">
        <v>9691</v>
      </c>
      <c r="E2274" t="s">
        <v>9692</v>
      </c>
      <c r="F2274" t="s">
        <v>2413</v>
      </c>
      <c r="G2274">
        <v>3</v>
      </c>
      <c r="H2274">
        <v>1</v>
      </c>
      <c r="I2274">
        <v>0.01</v>
      </c>
      <c r="J2274">
        <v>1000</v>
      </c>
      <c r="K2274">
        <v>0</v>
      </c>
      <c r="L2274">
        <v>0</v>
      </c>
      <c r="M2274">
        <v>105.9</v>
      </c>
      <c r="N2274">
        <v>105.49</v>
      </c>
      <c r="O2274">
        <v>105.9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105.7</v>
      </c>
      <c r="Y2274">
        <v>148.4</v>
      </c>
      <c r="Z2274">
        <v>0</v>
      </c>
      <c r="AA2274">
        <v>1350939</v>
      </c>
      <c r="AB2274">
        <v>0</v>
      </c>
      <c r="AC2274">
        <v>0</v>
      </c>
      <c r="AD2274" t="s">
        <v>94</v>
      </c>
      <c r="AE2274" t="s">
        <v>94</v>
      </c>
      <c r="AF2274" t="s">
        <v>226</v>
      </c>
      <c r="AG2274" t="s">
        <v>226</v>
      </c>
      <c r="AH2274">
        <v>800</v>
      </c>
      <c r="AI2274" t="s">
        <v>3537</v>
      </c>
      <c r="AJ2274" t="s">
        <v>1976</v>
      </c>
      <c r="AK2274" t="s">
        <v>2416</v>
      </c>
      <c r="AL2274" t="s">
        <v>272</v>
      </c>
    </row>
    <row r="2275" spans="1:38">
      <c r="A2275" t="s">
        <v>9693</v>
      </c>
      <c r="B2275" t="s">
        <v>9694</v>
      </c>
      <c r="C2275" t="s">
        <v>9695</v>
      </c>
      <c r="D2275" t="s">
        <v>9695</v>
      </c>
      <c r="E2275" t="s">
        <v>9696</v>
      </c>
      <c r="F2275" t="s">
        <v>2413</v>
      </c>
      <c r="G2275">
        <v>3</v>
      </c>
      <c r="H2275">
        <v>1</v>
      </c>
      <c r="I2275">
        <v>0.01</v>
      </c>
      <c r="J2275">
        <v>1000</v>
      </c>
      <c r="K2275">
        <v>0</v>
      </c>
      <c r="L2275">
        <v>0</v>
      </c>
      <c r="M2275">
        <v>101.3</v>
      </c>
      <c r="N2275">
        <v>101.39</v>
      </c>
      <c r="O2275">
        <v>101.3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100.6</v>
      </c>
      <c r="Y2275">
        <v>141.81</v>
      </c>
      <c r="Z2275">
        <v>0</v>
      </c>
      <c r="AA2275">
        <v>108929</v>
      </c>
      <c r="AB2275">
        <v>0</v>
      </c>
      <c r="AC2275">
        <v>0</v>
      </c>
      <c r="AD2275" t="s">
        <v>94</v>
      </c>
      <c r="AE2275" t="s">
        <v>94</v>
      </c>
      <c r="AF2275" t="s">
        <v>226</v>
      </c>
      <c r="AG2275" t="s">
        <v>226</v>
      </c>
      <c r="AH2275">
        <v>800</v>
      </c>
      <c r="AI2275" t="s">
        <v>3537</v>
      </c>
      <c r="AJ2275" t="s">
        <v>1976</v>
      </c>
      <c r="AK2275" t="s">
        <v>2416</v>
      </c>
      <c r="AL2275" t="s">
        <v>272</v>
      </c>
    </row>
    <row r="2276" spans="1:38">
      <c r="A2276" t="s">
        <v>9697</v>
      </c>
      <c r="B2276" t="s">
        <v>9698</v>
      </c>
      <c r="C2276" t="s">
        <v>9699</v>
      </c>
      <c r="D2276" t="s">
        <v>9699</v>
      </c>
      <c r="E2276" t="s">
        <v>9700</v>
      </c>
      <c r="F2276" t="s">
        <v>2413</v>
      </c>
      <c r="G2276">
        <v>3</v>
      </c>
      <c r="H2276">
        <v>1</v>
      </c>
      <c r="I2276">
        <v>0.01</v>
      </c>
      <c r="J2276">
        <v>1000</v>
      </c>
      <c r="K2276">
        <v>0</v>
      </c>
      <c r="L2276">
        <v>0</v>
      </c>
      <c r="M2276">
        <v>137.80000000000001</v>
      </c>
      <c r="N2276">
        <v>134.88</v>
      </c>
      <c r="O2276">
        <v>137.80000000000001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137.5</v>
      </c>
      <c r="Y2276">
        <v>0</v>
      </c>
      <c r="Z2276">
        <v>0</v>
      </c>
      <c r="AA2276">
        <v>1583199</v>
      </c>
      <c r="AB2276">
        <v>0</v>
      </c>
      <c r="AC2276">
        <v>0</v>
      </c>
      <c r="AD2276" t="s">
        <v>94</v>
      </c>
      <c r="AE2276" t="s">
        <v>94</v>
      </c>
      <c r="AF2276" t="s">
        <v>226</v>
      </c>
      <c r="AG2276" t="s">
        <v>226</v>
      </c>
      <c r="AH2276">
        <v>800</v>
      </c>
      <c r="AI2276" t="s">
        <v>3537</v>
      </c>
      <c r="AJ2276" t="s">
        <v>1976</v>
      </c>
      <c r="AK2276" t="s">
        <v>2416</v>
      </c>
      <c r="AL2276" t="s">
        <v>272</v>
      </c>
    </row>
    <row r="2277" spans="1:38">
      <c r="A2277" t="s">
        <v>9701</v>
      </c>
      <c r="B2277" t="s">
        <v>9702</v>
      </c>
      <c r="C2277" t="s">
        <v>9703</v>
      </c>
      <c r="D2277" t="s">
        <v>9703</v>
      </c>
      <c r="E2277" t="s">
        <v>9704</v>
      </c>
      <c r="F2277" t="s">
        <v>2413</v>
      </c>
      <c r="G2277">
        <v>3</v>
      </c>
      <c r="H2277">
        <v>1</v>
      </c>
      <c r="I2277">
        <v>0.01</v>
      </c>
      <c r="J2277">
        <v>1000</v>
      </c>
      <c r="K2277">
        <v>0.1</v>
      </c>
      <c r="L2277">
        <v>103.5</v>
      </c>
      <c r="M2277">
        <v>103.4</v>
      </c>
      <c r="N2277">
        <v>103.11</v>
      </c>
      <c r="O2277">
        <v>103.5</v>
      </c>
      <c r="P2277">
        <v>0</v>
      </c>
      <c r="Q2277">
        <v>0</v>
      </c>
      <c r="R2277">
        <v>0</v>
      </c>
      <c r="S2277">
        <v>103.5</v>
      </c>
      <c r="T2277">
        <v>103.5</v>
      </c>
      <c r="U2277">
        <v>103.5</v>
      </c>
      <c r="V2277">
        <v>103.5</v>
      </c>
      <c r="W2277">
        <v>414000</v>
      </c>
      <c r="X2277">
        <v>103.5</v>
      </c>
      <c r="Y2277">
        <v>0</v>
      </c>
      <c r="Z2277">
        <v>1</v>
      </c>
      <c r="AA2277">
        <v>478477</v>
      </c>
      <c r="AB2277">
        <v>414000</v>
      </c>
      <c r="AC2277">
        <v>0</v>
      </c>
      <c r="AD2277" t="s">
        <v>94</v>
      </c>
      <c r="AE2277" t="s">
        <v>94</v>
      </c>
      <c r="AF2277" t="s">
        <v>226</v>
      </c>
      <c r="AG2277" t="s">
        <v>226</v>
      </c>
      <c r="AH2277">
        <v>800</v>
      </c>
      <c r="AI2277" t="s">
        <v>3537</v>
      </c>
      <c r="AJ2277" t="s">
        <v>1976</v>
      </c>
      <c r="AK2277" t="s">
        <v>2416</v>
      </c>
      <c r="AL2277" t="s">
        <v>272</v>
      </c>
    </row>
    <row r="2278" spans="1:38">
      <c r="A2278" t="s">
        <v>9705</v>
      </c>
      <c r="B2278" t="s">
        <v>9706</v>
      </c>
      <c r="C2278" t="s">
        <v>9707</v>
      </c>
      <c r="D2278" t="s">
        <v>9707</v>
      </c>
      <c r="E2278" t="s">
        <v>9708</v>
      </c>
      <c r="F2278" t="s">
        <v>2413</v>
      </c>
      <c r="G2278">
        <v>3</v>
      </c>
      <c r="H2278">
        <v>1</v>
      </c>
      <c r="I2278">
        <v>0.01</v>
      </c>
      <c r="J2278">
        <v>1000</v>
      </c>
      <c r="K2278">
        <v>0</v>
      </c>
      <c r="L2278">
        <v>0</v>
      </c>
      <c r="M2278">
        <v>102.3</v>
      </c>
      <c r="N2278">
        <v>100.86</v>
      </c>
      <c r="O2278">
        <v>102.3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102.2</v>
      </c>
      <c r="Y2278">
        <v>143.21</v>
      </c>
      <c r="Z2278">
        <v>0</v>
      </c>
      <c r="AA2278">
        <v>1517412</v>
      </c>
      <c r="AB2278">
        <v>0</v>
      </c>
      <c r="AC2278">
        <v>0</v>
      </c>
      <c r="AD2278" t="s">
        <v>94</v>
      </c>
      <c r="AE2278" t="s">
        <v>94</v>
      </c>
      <c r="AF2278" t="s">
        <v>226</v>
      </c>
      <c r="AG2278" t="s">
        <v>226</v>
      </c>
      <c r="AH2278">
        <v>800</v>
      </c>
      <c r="AI2278" t="s">
        <v>3537</v>
      </c>
      <c r="AJ2278" t="s">
        <v>1976</v>
      </c>
      <c r="AK2278" t="s">
        <v>2416</v>
      </c>
      <c r="AL2278" t="s">
        <v>272</v>
      </c>
    </row>
    <row r="2279" spans="1:38">
      <c r="A2279" t="s">
        <v>9709</v>
      </c>
      <c r="B2279" t="s">
        <v>9710</v>
      </c>
      <c r="C2279" t="s">
        <v>9711</v>
      </c>
      <c r="D2279" t="s">
        <v>9711</v>
      </c>
      <c r="E2279" t="s">
        <v>9712</v>
      </c>
      <c r="F2279" t="s">
        <v>2413</v>
      </c>
      <c r="G2279">
        <v>3</v>
      </c>
      <c r="H2279">
        <v>1</v>
      </c>
      <c r="I2279">
        <v>0.01</v>
      </c>
      <c r="J2279">
        <v>1000</v>
      </c>
      <c r="K2279">
        <v>0</v>
      </c>
      <c r="L2279">
        <v>0</v>
      </c>
      <c r="M2279">
        <v>100.3</v>
      </c>
      <c r="N2279">
        <v>99.27</v>
      </c>
      <c r="O2279">
        <v>100.3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99.6</v>
      </c>
      <c r="Y2279">
        <v>110.32</v>
      </c>
      <c r="Z2279">
        <v>0</v>
      </c>
      <c r="AA2279">
        <v>542869</v>
      </c>
      <c r="AB2279">
        <v>0</v>
      </c>
      <c r="AC2279">
        <v>0</v>
      </c>
      <c r="AD2279" t="s">
        <v>94</v>
      </c>
      <c r="AE2279" t="s">
        <v>94</v>
      </c>
      <c r="AF2279" t="s">
        <v>226</v>
      </c>
      <c r="AG2279" t="s">
        <v>226</v>
      </c>
      <c r="AH2279">
        <v>800</v>
      </c>
      <c r="AI2279" t="s">
        <v>3537</v>
      </c>
      <c r="AJ2279" t="s">
        <v>1976</v>
      </c>
      <c r="AK2279" t="s">
        <v>2416</v>
      </c>
      <c r="AL2279" t="s">
        <v>272</v>
      </c>
    </row>
    <row r="2280" spans="1:38">
      <c r="A2280" t="s">
        <v>9713</v>
      </c>
      <c r="B2280" t="s">
        <v>9714</v>
      </c>
      <c r="C2280" t="s">
        <v>9715</v>
      </c>
      <c r="D2280" t="s">
        <v>9715</v>
      </c>
      <c r="E2280" t="s">
        <v>9716</v>
      </c>
      <c r="F2280" t="s">
        <v>2413</v>
      </c>
      <c r="G2280">
        <v>3</v>
      </c>
      <c r="H2280">
        <v>1</v>
      </c>
      <c r="I2280">
        <v>0.01</v>
      </c>
      <c r="J2280">
        <v>1000</v>
      </c>
      <c r="K2280">
        <v>0</v>
      </c>
      <c r="L2280">
        <v>0</v>
      </c>
      <c r="M2280">
        <v>101.1</v>
      </c>
      <c r="N2280">
        <v>100.41</v>
      </c>
      <c r="O2280">
        <v>101.1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101.9</v>
      </c>
      <c r="Y2280">
        <v>142.93</v>
      </c>
      <c r="Z2280">
        <v>0</v>
      </c>
      <c r="AA2280">
        <v>1193336</v>
      </c>
      <c r="AB2280">
        <v>0</v>
      </c>
      <c r="AC2280">
        <v>0</v>
      </c>
      <c r="AD2280" t="s">
        <v>94</v>
      </c>
      <c r="AE2280" t="s">
        <v>94</v>
      </c>
      <c r="AF2280" t="s">
        <v>226</v>
      </c>
      <c r="AG2280" t="s">
        <v>226</v>
      </c>
      <c r="AH2280">
        <v>800</v>
      </c>
      <c r="AI2280" t="s">
        <v>3537</v>
      </c>
      <c r="AJ2280" t="s">
        <v>1976</v>
      </c>
      <c r="AK2280" t="s">
        <v>2416</v>
      </c>
      <c r="AL2280" t="s">
        <v>272</v>
      </c>
    </row>
    <row r="2281" spans="1:38">
      <c r="A2281" t="s">
        <v>9717</v>
      </c>
      <c r="B2281" t="s">
        <v>9718</v>
      </c>
      <c r="C2281" t="s">
        <v>9719</v>
      </c>
      <c r="D2281" t="s">
        <v>9719</v>
      </c>
      <c r="E2281" t="s">
        <v>9720</v>
      </c>
      <c r="F2281" t="s">
        <v>2413</v>
      </c>
      <c r="G2281">
        <v>3</v>
      </c>
      <c r="H2281">
        <v>1</v>
      </c>
      <c r="I2281">
        <v>0.01</v>
      </c>
      <c r="J2281">
        <v>1000</v>
      </c>
      <c r="K2281">
        <v>0</v>
      </c>
      <c r="L2281">
        <v>0</v>
      </c>
      <c r="M2281">
        <v>129.9</v>
      </c>
      <c r="N2281">
        <v>130.04</v>
      </c>
      <c r="O2281">
        <v>129.9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132.4</v>
      </c>
      <c r="Y2281">
        <v>0</v>
      </c>
      <c r="Z2281">
        <v>0</v>
      </c>
      <c r="AA2281">
        <v>1042919</v>
      </c>
      <c r="AB2281">
        <v>0</v>
      </c>
      <c r="AC2281">
        <v>0</v>
      </c>
      <c r="AD2281" t="s">
        <v>94</v>
      </c>
      <c r="AE2281" t="s">
        <v>94</v>
      </c>
      <c r="AF2281" t="s">
        <v>226</v>
      </c>
      <c r="AG2281" t="s">
        <v>226</v>
      </c>
      <c r="AH2281">
        <v>800</v>
      </c>
      <c r="AI2281" t="s">
        <v>3537</v>
      </c>
      <c r="AJ2281" t="s">
        <v>1976</v>
      </c>
      <c r="AK2281" t="s">
        <v>2416</v>
      </c>
      <c r="AL2281" t="s">
        <v>272</v>
      </c>
    </row>
    <row r="2282" spans="1:38">
      <c r="A2282" t="s">
        <v>9721</v>
      </c>
      <c r="B2282" t="s">
        <v>9722</v>
      </c>
      <c r="C2282" t="s">
        <v>9723</v>
      </c>
      <c r="D2282" t="s">
        <v>9723</v>
      </c>
      <c r="E2282" t="s">
        <v>9724</v>
      </c>
      <c r="F2282" t="s">
        <v>2413</v>
      </c>
      <c r="G2282">
        <v>3</v>
      </c>
      <c r="H2282">
        <v>1</v>
      </c>
      <c r="I2282">
        <v>0.01</v>
      </c>
      <c r="J2282">
        <v>1000</v>
      </c>
      <c r="K2282">
        <v>0</v>
      </c>
      <c r="L2282">
        <v>0</v>
      </c>
      <c r="M2282">
        <v>95.26</v>
      </c>
      <c r="N2282">
        <v>0</v>
      </c>
      <c r="O2282">
        <v>95.26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101.5</v>
      </c>
      <c r="Y2282">
        <v>0</v>
      </c>
      <c r="Z2282">
        <v>0</v>
      </c>
      <c r="AA2282">
        <v>146667</v>
      </c>
      <c r="AB2282">
        <v>0</v>
      </c>
      <c r="AC2282">
        <v>0</v>
      </c>
      <c r="AD2282" t="s">
        <v>94</v>
      </c>
      <c r="AE2282" t="s">
        <v>94</v>
      </c>
      <c r="AF2282" t="s">
        <v>226</v>
      </c>
      <c r="AG2282" t="s">
        <v>226</v>
      </c>
      <c r="AH2282">
        <v>800</v>
      </c>
      <c r="AI2282" t="s">
        <v>3537</v>
      </c>
      <c r="AJ2282" t="s">
        <v>1976</v>
      </c>
      <c r="AK2282" t="s">
        <v>2416</v>
      </c>
      <c r="AL2282" t="s">
        <v>272</v>
      </c>
    </row>
    <row r="2283" spans="1:38">
      <c r="A2283" t="s">
        <v>9725</v>
      </c>
      <c r="B2283" t="s">
        <v>9726</v>
      </c>
      <c r="C2283" t="s">
        <v>9727</v>
      </c>
      <c r="D2283" t="s">
        <v>9727</v>
      </c>
      <c r="E2283" t="s">
        <v>9728</v>
      </c>
      <c r="F2283" t="s">
        <v>2413</v>
      </c>
      <c r="G2283">
        <v>3</v>
      </c>
      <c r="H2283">
        <v>1</v>
      </c>
      <c r="I2283">
        <v>0.01</v>
      </c>
      <c r="J2283">
        <v>1000</v>
      </c>
      <c r="K2283">
        <v>0</v>
      </c>
      <c r="L2283">
        <v>0</v>
      </c>
      <c r="M2283">
        <v>120.1</v>
      </c>
      <c r="N2283">
        <v>119.82</v>
      </c>
      <c r="O2283">
        <v>120.1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117.4</v>
      </c>
      <c r="Y2283">
        <v>170.52</v>
      </c>
      <c r="Z2283">
        <v>0</v>
      </c>
      <c r="AA2283">
        <v>332592</v>
      </c>
      <c r="AB2283">
        <v>0</v>
      </c>
      <c r="AC2283">
        <v>0</v>
      </c>
      <c r="AD2283" t="s">
        <v>94</v>
      </c>
      <c r="AE2283" t="s">
        <v>94</v>
      </c>
      <c r="AF2283" t="s">
        <v>226</v>
      </c>
      <c r="AG2283" t="s">
        <v>226</v>
      </c>
      <c r="AH2283">
        <v>800</v>
      </c>
      <c r="AI2283" t="s">
        <v>3537</v>
      </c>
      <c r="AJ2283" t="s">
        <v>1976</v>
      </c>
      <c r="AK2283" t="s">
        <v>2416</v>
      </c>
      <c r="AL2283" t="s">
        <v>272</v>
      </c>
    </row>
    <row r="2284" spans="1:38">
      <c r="A2284" t="s">
        <v>9729</v>
      </c>
      <c r="B2284" t="s">
        <v>9730</v>
      </c>
      <c r="C2284" t="s">
        <v>9731</v>
      </c>
      <c r="D2284" t="s">
        <v>9731</v>
      </c>
      <c r="E2284" t="s">
        <v>9732</v>
      </c>
      <c r="F2284" t="s">
        <v>2413</v>
      </c>
      <c r="G2284">
        <v>3</v>
      </c>
      <c r="H2284">
        <v>1</v>
      </c>
      <c r="I2284">
        <v>0.01</v>
      </c>
      <c r="J2284">
        <v>1000</v>
      </c>
      <c r="K2284">
        <v>2.0499999999999998</v>
      </c>
      <c r="L2284">
        <v>94.3</v>
      </c>
      <c r="M2284">
        <v>92.41</v>
      </c>
      <c r="N2284">
        <v>97.55</v>
      </c>
      <c r="O2284">
        <v>94.3</v>
      </c>
      <c r="P2284">
        <v>0</v>
      </c>
      <c r="Q2284">
        <v>0</v>
      </c>
      <c r="R2284">
        <v>0</v>
      </c>
      <c r="S2284">
        <v>94.3</v>
      </c>
      <c r="T2284">
        <v>94.31</v>
      </c>
      <c r="U2284">
        <v>94.3</v>
      </c>
      <c r="V2284">
        <v>94.31</v>
      </c>
      <c r="W2284">
        <v>3772</v>
      </c>
      <c r="X2284">
        <v>94.3</v>
      </c>
      <c r="Y2284">
        <v>95.51</v>
      </c>
      <c r="Z2284">
        <v>2</v>
      </c>
      <c r="AA2284">
        <v>206175</v>
      </c>
      <c r="AB2284">
        <v>2829</v>
      </c>
      <c r="AC2284">
        <v>0</v>
      </c>
      <c r="AD2284" t="s">
        <v>94</v>
      </c>
      <c r="AE2284" t="s">
        <v>94</v>
      </c>
      <c r="AF2284" t="s">
        <v>226</v>
      </c>
      <c r="AG2284" t="s">
        <v>226</v>
      </c>
      <c r="AH2284">
        <v>800</v>
      </c>
      <c r="AI2284" t="s">
        <v>3537</v>
      </c>
      <c r="AJ2284" t="s">
        <v>1976</v>
      </c>
      <c r="AK2284" t="s">
        <v>2416</v>
      </c>
      <c r="AL2284" t="s">
        <v>272</v>
      </c>
    </row>
    <row r="2285" spans="1:38">
      <c r="A2285" t="s">
        <v>9733</v>
      </c>
      <c r="B2285" t="s">
        <v>9734</v>
      </c>
      <c r="C2285" t="s">
        <v>9735</v>
      </c>
      <c r="D2285" t="s">
        <v>9735</v>
      </c>
      <c r="E2285" t="s">
        <v>9736</v>
      </c>
      <c r="F2285" t="s">
        <v>2413</v>
      </c>
      <c r="G2285">
        <v>3</v>
      </c>
      <c r="H2285">
        <v>1</v>
      </c>
      <c r="I2285">
        <v>0.01</v>
      </c>
      <c r="J2285">
        <v>1000</v>
      </c>
      <c r="K2285">
        <v>0</v>
      </c>
      <c r="L2285">
        <v>0</v>
      </c>
      <c r="M2285">
        <v>94.6</v>
      </c>
      <c r="N2285">
        <v>94.53</v>
      </c>
      <c r="O2285">
        <v>94.6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94.81</v>
      </c>
      <c r="Y2285">
        <v>95.51</v>
      </c>
      <c r="Z2285">
        <v>0</v>
      </c>
      <c r="AA2285">
        <v>254583</v>
      </c>
      <c r="AB2285">
        <v>0</v>
      </c>
      <c r="AC2285">
        <v>0</v>
      </c>
      <c r="AD2285" t="s">
        <v>94</v>
      </c>
      <c r="AE2285" t="s">
        <v>94</v>
      </c>
      <c r="AF2285" t="s">
        <v>226</v>
      </c>
      <c r="AG2285" t="s">
        <v>226</v>
      </c>
      <c r="AH2285">
        <v>800</v>
      </c>
      <c r="AI2285" t="s">
        <v>3537</v>
      </c>
      <c r="AJ2285" t="s">
        <v>1976</v>
      </c>
      <c r="AK2285" t="s">
        <v>2416</v>
      </c>
      <c r="AL2285" t="s">
        <v>272</v>
      </c>
    </row>
    <row r="2286" spans="1:38">
      <c r="A2286" t="s">
        <v>9737</v>
      </c>
      <c r="B2286" t="s">
        <v>9738</v>
      </c>
      <c r="C2286" t="s">
        <v>9739</v>
      </c>
      <c r="D2286" t="s">
        <v>9739</v>
      </c>
      <c r="E2286" t="s">
        <v>9740</v>
      </c>
      <c r="F2286" t="s">
        <v>2413</v>
      </c>
      <c r="G2286">
        <v>3</v>
      </c>
      <c r="H2286">
        <v>1</v>
      </c>
      <c r="I2286">
        <v>0.01</v>
      </c>
      <c r="J2286">
        <v>1000</v>
      </c>
      <c r="K2286">
        <v>0</v>
      </c>
      <c r="L2286">
        <v>0</v>
      </c>
      <c r="M2286">
        <v>94.94</v>
      </c>
      <c r="N2286">
        <v>96.95</v>
      </c>
      <c r="O2286">
        <v>94.94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96.41</v>
      </c>
      <c r="Y2286">
        <v>0</v>
      </c>
      <c r="Z2286">
        <v>0</v>
      </c>
      <c r="AA2286">
        <v>297463</v>
      </c>
      <c r="AB2286">
        <v>0</v>
      </c>
      <c r="AC2286">
        <v>0</v>
      </c>
      <c r="AD2286" t="s">
        <v>94</v>
      </c>
      <c r="AE2286" t="s">
        <v>94</v>
      </c>
      <c r="AF2286" t="s">
        <v>226</v>
      </c>
      <c r="AG2286" t="s">
        <v>226</v>
      </c>
      <c r="AH2286">
        <v>800</v>
      </c>
      <c r="AI2286" t="s">
        <v>3537</v>
      </c>
      <c r="AJ2286" t="s">
        <v>1976</v>
      </c>
      <c r="AK2286" t="s">
        <v>2416</v>
      </c>
      <c r="AL2286" t="s">
        <v>272</v>
      </c>
    </row>
    <row r="2287" spans="1:38">
      <c r="A2287" t="s">
        <v>9741</v>
      </c>
      <c r="B2287" t="s">
        <v>9742</v>
      </c>
      <c r="C2287" t="s">
        <v>9743</v>
      </c>
      <c r="D2287" t="s">
        <v>9743</v>
      </c>
      <c r="E2287" t="s">
        <v>9744</v>
      </c>
      <c r="F2287" t="s">
        <v>2413</v>
      </c>
      <c r="G2287">
        <v>3</v>
      </c>
      <c r="H2287">
        <v>1</v>
      </c>
      <c r="I2287">
        <v>0.01</v>
      </c>
      <c r="J2287">
        <v>1000</v>
      </c>
      <c r="K2287">
        <v>0</v>
      </c>
      <c r="L2287">
        <v>0</v>
      </c>
      <c r="M2287">
        <v>92.5</v>
      </c>
      <c r="N2287">
        <v>92.33</v>
      </c>
      <c r="O2287">
        <v>92.5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92.91</v>
      </c>
      <c r="Y2287">
        <v>93.71</v>
      </c>
      <c r="Z2287">
        <v>0</v>
      </c>
      <c r="AA2287">
        <v>282745</v>
      </c>
      <c r="AB2287">
        <v>0</v>
      </c>
      <c r="AC2287">
        <v>0</v>
      </c>
      <c r="AD2287" t="s">
        <v>94</v>
      </c>
      <c r="AE2287" t="s">
        <v>94</v>
      </c>
      <c r="AF2287" t="s">
        <v>226</v>
      </c>
      <c r="AG2287" t="s">
        <v>226</v>
      </c>
      <c r="AH2287">
        <v>800</v>
      </c>
      <c r="AI2287" t="s">
        <v>3537</v>
      </c>
      <c r="AJ2287" t="s">
        <v>1976</v>
      </c>
      <c r="AK2287" t="s">
        <v>2416</v>
      </c>
      <c r="AL2287" t="s">
        <v>272</v>
      </c>
    </row>
    <row r="2288" spans="1:38">
      <c r="A2288" t="s">
        <v>9745</v>
      </c>
      <c r="B2288" t="s">
        <v>9746</v>
      </c>
      <c r="C2288" t="s">
        <v>9747</v>
      </c>
      <c r="D2288" t="s">
        <v>9747</v>
      </c>
      <c r="E2288" t="s">
        <v>9748</v>
      </c>
      <c r="F2288" t="s">
        <v>2413</v>
      </c>
      <c r="G2288">
        <v>3</v>
      </c>
      <c r="H2288">
        <v>1</v>
      </c>
      <c r="I2288">
        <v>0.01</v>
      </c>
      <c r="J2288">
        <v>1000</v>
      </c>
      <c r="K2288">
        <v>0.04</v>
      </c>
      <c r="L2288">
        <v>92.1</v>
      </c>
      <c r="M2288">
        <v>92.06</v>
      </c>
      <c r="N2288">
        <v>91.73</v>
      </c>
      <c r="O2288">
        <v>92.1</v>
      </c>
      <c r="P2288">
        <v>0</v>
      </c>
      <c r="Q2288">
        <v>0</v>
      </c>
      <c r="R2288">
        <v>0</v>
      </c>
      <c r="S2288">
        <v>92.1</v>
      </c>
      <c r="T2288">
        <v>92.09</v>
      </c>
      <c r="U2288">
        <v>92.09</v>
      </c>
      <c r="V2288">
        <v>92.1</v>
      </c>
      <c r="W2288">
        <v>463263</v>
      </c>
      <c r="X2288">
        <v>92.02</v>
      </c>
      <c r="Y2288">
        <v>92.5</v>
      </c>
      <c r="Z2288">
        <v>2</v>
      </c>
      <c r="AA2288">
        <v>2485447</v>
      </c>
      <c r="AB2288">
        <v>460500</v>
      </c>
      <c r="AC2288">
        <v>0</v>
      </c>
      <c r="AD2288" t="s">
        <v>94</v>
      </c>
      <c r="AE2288" t="s">
        <v>94</v>
      </c>
      <c r="AF2288" t="s">
        <v>226</v>
      </c>
      <c r="AG2288" t="s">
        <v>226</v>
      </c>
      <c r="AH2288">
        <v>800</v>
      </c>
      <c r="AI2288" t="s">
        <v>3537</v>
      </c>
      <c r="AJ2288" t="s">
        <v>1976</v>
      </c>
      <c r="AK2288" t="s">
        <v>2416</v>
      </c>
      <c r="AL2288" t="s">
        <v>272</v>
      </c>
    </row>
    <row r="2289" spans="1:38">
      <c r="A2289" t="s">
        <v>9749</v>
      </c>
      <c r="B2289" t="s">
        <v>9750</v>
      </c>
      <c r="C2289" t="s">
        <v>9751</v>
      </c>
      <c r="D2289" t="s">
        <v>9751</v>
      </c>
      <c r="E2289" t="s">
        <v>9752</v>
      </c>
      <c r="F2289" t="s">
        <v>2413</v>
      </c>
      <c r="G2289">
        <v>3</v>
      </c>
      <c r="H2289">
        <v>1</v>
      </c>
      <c r="I2289">
        <v>0.01</v>
      </c>
      <c r="J2289">
        <v>1000</v>
      </c>
      <c r="K2289">
        <v>0</v>
      </c>
      <c r="L2289">
        <v>0</v>
      </c>
      <c r="M2289">
        <v>91.5</v>
      </c>
      <c r="N2289">
        <v>0</v>
      </c>
      <c r="O2289">
        <v>91.5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91.71</v>
      </c>
      <c r="Y2289">
        <v>0</v>
      </c>
      <c r="Z2289">
        <v>0</v>
      </c>
      <c r="AA2289">
        <v>177328</v>
      </c>
      <c r="AB2289">
        <v>0</v>
      </c>
      <c r="AC2289">
        <v>0</v>
      </c>
      <c r="AD2289" t="s">
        <v>94</v>
      </c>
      <c r="AE2289" t="s">
        <v>94</v>
      </c>
      <c r="AF2289" t="s">
        <v>226</v>
      </c>
      <c r="AG2289" t="s">
        <v>226</v>
      </c>
      <c r="AH2289">
        <v>800</v>
      </c>
      <c r="AI2289" t="s">
        <v>3537</v>
      </c>
      <c r="AJ2289" t="s">
        <v>1976</v>
      </c>
      <c r="AK2289" t="s">
        <v>2416</v>
      </c>
      <c r="AL2289" t="s">
        <v>272</v>
      </c>
    </row>
    <row r="2290" spans="1:38">
      <c r="A2290" t="s">
        <v>9753</v>
      </c>
      <c r="B2290" t="s">
        <v>9754</v>
      </c>
      <c r="C2290" t="s">
        <v>9755</v>
      </c>
      <c r="D2290" t="s">
        <v>9755</v>
      </c>
      <c r="E2290" t="s">
        <v>9756</v>
      </c>
      <c r="F2290" t="s">
        <v>2413</v>
      </c>
      <c r="G2290">
        <v>3</v>
      </c>
      <c r="H2290">
        <v>1</v>
      </c>
      <c r="I2290">
        <v>0.01</v>
      </c>
      <c r="J2290">
        <v>1000</v>
      </c>
      <c r="K2290">
        <v>0</v>
      </c>
      <c r="L2290">
        <v>0</v>
      </c>
      <c r="M2290">
        <v>127.9</v>
      </c>
      <c r="N2290">
        <v>126.34</v>
      </c>
      <c r="O2290">
        <v>127.9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127.6</v>
      </c>
      <c r="Y2290">
        <v>0</v>
      </c>
      <c r="Z2290">
        <v>0</v>
      </c>
      <c r="AA2290">
        <v>110808</v>
      </c>
      <c r="AB2290">
        <v>0</v>
      </c>
      <c r="AC2290">
        <v>0</v>
      </c>
      <c r="AD2290" t="s">
        <v>94</v>
      </c>
      <c r="AE2290" t="s">
        <v>94</v>
      </c>
      <c r="AF2290" t="s">
        <v>226</v>
      </c>
      <c r="AG2290" t="s">
        <v>226</v>
      </c>
      <c r="AH2290">
        <v>800</v>
      </c>
      <c r="AI2290" t="s">
        <v>3537</v>
      </c>
      <c r="AJ2290" t="s">
        <v>1976</v>
      </c>
      <c r="AK2290" t="s">
        <v>2416</v>
      </c>
      <c r="AL2290" t="s">
        <v>272</v>
      </c>
    </row>
    <row r="2291" spans="1:38">
      <c r="A2291" t="s">
        <v>9757</v>
      </c>
      <c r="B2291" t="s">
        <v>9758</v>
      </c>
      <c r="C2291" t="s">
        <v>9759</v>
      </c>
      <c r="D2291" t="s">
        <v>9759</v>
      </c>
      <c r="E2291" t="s">
        <v>9760</v>
      </c>
      <c r="F2291" t="s">
        <v>2413</v>
      </c>
      <c r="G2291">
        <v>3</v>
      </c>
      <c r="H2291">
        <v>1</v>
      </c>
      <c r="I2291">
        <v>0.01</v>
      </c>
      <c r="J2291">
        <v>1000</v>
      </c>
      <c r="K2291">
        <v>0</v>
      </c>
      <c r="L2291">
        <v>0</v>
      </c>
      <c r="M2291">
        <v>94.6</v>
      </c>
      <c r="N2291">
        <v>93.95</v>
      </c>
      <c r="O2291">
        <v>94.6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94.11</v>
      </c>
      <c r="Y2291">
        <v>132.12</v>
      </c>
      <c r="Z2291">
        <v>0</v>
      </c>
      <c r="AA2291">
        <v>584189</v>
      </c>
      <c r="AB2291">
        <v>0</v>
      </c>
      <c r="AC2291">
        <v>0</v>
      </c>
      <c r="AD2291" t="s">
        <v>94</v>
      </c>
      <c r="AE2291" t="s">
        <v>94</v>
      </c>
      <c r="AF2291" t="s">
        <v>226</v>
      </c>
      <c r="AG2291" t="s">
        <v>226</v>
      </c>
      <c r="AH2291">
        <v>800</v>
      </c>
      <c r="AI2291" t="s">
        <v>3537</v>
      </c>
      <c r="AJ2291" t="s">
        <v>1976</v>
      </c>
      <c r="AK2291" t="s">
        <v>2416</v>
      </c>
      <c r="AL2291" t="s">
        <v>272</v>
      </c>
    </row>
    <row r="2292" spans="1:38">
      <c r="A2292" t="s">
        <v>9761</v>
      </c>
      <c r="B2292" t="s">
        <v>9762</v>
      </c>
      <c r="C2292" t="s">
        <v>9763</v>
      </c>
      <c r="D2292" t="s">
        <v>9763</v>
      </c>
      <c r="E2292" t="s">
        <v>9764</v>
      </c>
      <c r="F2292" t="s">
        <v>2413</v>
      </c>
      <c r="G2292">
        <v>3</v>
      </c>
      <c r="H2292">
        <v>1</v>
      </c>
      <c r="I2292">
        <v>0.01</v>
      </c>
      <c r="J2292">
        <v>1000</v>
      </c>
      <c r="K2292">
        <v>0</v>
      </c>
      <c r="L2292">
        <v>0</v>
      </c>
      <c r="M2292">
        <v>128.19999999999999</v>
      </c>
      <c r="N2292">
        <v>125.96</v>
      </c>
      <c r="O2292">
        <v>128.19999999999999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127.8</v>
      </c>
      <c r="Y2292">
        <v>0</v>
      </c>
      <c r="Z2292">
        <v>0</v>
      </c>
      <c r="AA2292">
        <v>636529</v>
      </c>
      <c r="AB2292">
        <v>0</v>
      </c>
      <c r="AC2292">
        <v>0</v>
      </c>
      <c r="AD2292" t="s">
        <v>94</v>
      </c>
      <c r="AE2292" t="s">
        <v>94</v>
      </c>
      <c r="AF2292" t="s">
        <v>226</v>
      </c>
      <c r="AG2292" t="s">
        <v>226</v>
      </c>
      <c r="AH2292">
        <v>800</v>
      </c>
      <c r="AI2292" t="s">
        <v>3537</v>
      </c>
      <c r="AJ2292" t="s">
        <v>1976</v>
      </c>
      <c r="AK2292" t="s">
        <v>2416</v>
      </c>
      <c r="AL2292" t="s">
        <v>272</v>
      </c>
    </row>
    <row r="2293" spans="1:38">
      <c r="A2293" t="s">
        <v>9765</v>
      </c>
      <c r="B2293" t="s">
        <v>9766</v>
      </c>
      <c r="C2293" t="s">
        <v>9767</v>
      </c>
      <c r="D2293" t="s">
        <v>9767</v>
      </c>
      <c r="E2293" t="s">
        <v>9768</v>
      </c>
      <c r="F2293" t="s">
        <v>2413</v>
      </c>
      <c r="G2293">
        <v>3</v>
      </c>
      <c r="H2293">
        <v>1</v>
      </c>
      <c r="I2293">
        <v>0.01</v>
      </c>
      <c r="J2293">
        <v>1000</v>
      </c>
      <c r="K2293">
        <v>0.11</v>
      </c>
      <c r="L2293">
        <v>90.4</v>
      </c>
      <c r="M2293">
        <v>90.3</v>
      </c>
      <c r="N2293">
        <v>89.89</v>
      </c>
      <c r="O2293">
        <v>90.4</v>
      </c>
      <c r="P2293">
        <v>0</v>
      </c>
      <c r="Q2293">
        <v>0</v>
      </c>
      <c r="R2293">
        <v>0</v>
      </c>
      <c r="S2293">
        <v>90.4</v>
      </c>
      <c r="T2293">
        <v>90.4</v>
      </c>
      <c r="U2293">
        <v>90.4</v>
      </c>
      <c r="V2293">
        <v>90.4</v>
      </c>
      <c r="W2293">
        <v>45200</v>
      </c>
      <c r="X2293">
        <v>90.21</v>
      </c>
      <c r="Y2293">
        <v>91.24</v>
      </c>
      <c r="Z2293">
        <v>1</v>
      </c>
      <c r="AA2293">
        <v>1712551</v>
      </c>
      <c r="AB2293">
        <v>45200</v>
      </c>
      <c r="AC2293">
        <v>0</v>
      </c>
      <c r="AD2293" t="s">
        <v>94</v>
      </c>
      <c r="AE2293" t="s">
        <v>94</v>
      </c>
      <c r="AF2293" t="s">
        <v>226</v>
      </c>
      <c r="AG2293" t="s">
        <v>226</v>
      </c>
      <c r="AH2293">
        <v>800</v>
      </c>
      <c r="AI2293" t="s">
        <v>3537</v>
      </c>
      <c r="AJ2293" t="s">
        <v>1976</v>
      </c>
      <c r="AK2293" t="s">
        <v>2416</v>
      </c>
      <c r="AL2293" t="s">
        <v>272</v>
      </c>
    </row>
    <row r="2294" spans="1:38">
      <c r="A2294" t="s">
        <v>9769</v>
      </c>
      <c r="B2294" t="s">
        <v>9770</v>
      </c>
      <c r="C2294" t="s">
        <v>9771</v>
      </c>
      <c r="D2294" t="s">
        <v>9771</v>
      </c>
      <c r="E2294" t="s">
        <v>9772</v>
      </c>
      <c r="F2294" t="s">
        <v>2413</v>
      </c>
      <c r="G2294">
        <v>3</v>
      </c>
      <c r="H2294">
        <v>1</v>
      </c>
      <c r="I2294">
        <v>0.01</v>
      </c>
      <c r="J2294">
        <v>1000</v>
      </c>
      <c r="K2294">
        <v>0</v>
      </c>
      <c r="L2294">
        <v>0</v>
      </c>
      <c r="M2294">
        <v>96.2</v>
      </c>
      <c r="N2294">
        <v>95.85</v>
      </c>
      <c r="O2294">
        <v>96.2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95.81</v>
      </c>
      <c r="Y2294">
        <v>113</v>
      </c>
      <c r="Z2294">
        <v>0</v>
      </c>
      <c r="AA2294">
        <v>1994992</v>
      </c>
      <c r="AB2294">
        <v>0</v>
      </c>
      <c r="AC2294">
        <v>0</v>
      </c>
      <c r="AD2294" t="s">
        <v>94</v>
      </c>
      <c r="AE2294" t="s">
        <v>94</v>
      </c>
      <c r="AF2294" t="s">
        <v>226</v>
      </c>
      <c r="AG2294" t="s">
        <v>226</v>
      </c>
      <c r="AH2294">
        <v>800</v>
      </c>
      <c r="AI2294" t="s">
        <v>3537</v>
      </c>
      <c r="AJ2294" t="s">
        <v>1976</v>
      </c>
      <c r="AK2294" t="s">
        <v>2416</v>
      </c>
      <c r="AL2294" t="s">
        <v>272</v>
      </c>
    </row>
    <row r="2295" spans="1:38">
      <c r="A2295" t="s">
        <v>9773</v>
      </c>
      <c r="B2295" t="s">
        <v>9774</v>
      </c>
      <c r="C2295" t="s">
        <v>9775</v>
      </c>
      <c r="D2295" t="s">
        <v>9775</v>
      </c>
      <c r="E2295" t="s">
        <v>9776</v>
      </c>
      <c r="F2295" t="s">
        <v>2413</v>
      </c>
      <c r="G2295">
        <v>3</v>
      </c>
      <c r="H2295">
        <v>1</v>
      </c>
      <c r="I2295">
        <v>0.01</v>
      </c>
      <c r="J2295">
        <v>1000</v>
      </c>
      <c r="K2295">
        <v>-0.48</v>
      </c>
      <c r="L2295">
        <v>104.3</v>
      </c>
      <c r="M2295">
        <v>104.8</v>
      </c>
      <c r="N2295">
        <v>104.59</v>
      </c>
      <c r="O2295">
        <v>104.3</v>
      </c>
      <c r="P2295">
        <v>0</v>
      </c>
      <c r="Q2295">
        <v>0</v>
      </c>
      <c r="R2295">
        <v>0</v>
      </c>
      <c r="S2295">
        <v>104.3</v>
      </c>
      <c r="T2295">
        <v>104.3</v>
      </c>
      <c r="U2295">
        <v>104.3</v>
      </c>
      <c r="V2295">
        <v>104.3</v>
      </c>
      <c r="W2295">
        <v>1043000</v>
      </c>
      <c r="X2295">
        <v>104.3</v>
      </c>
      <c r="Y2295">
        <v>104.55</v>
      </c>
      <c r="Z2295">
        <v>1</v>
      </c>
      <c r="AA2295">
        <v>1932059</v>
      </c>
      <c r="AB2295">
        <v>1043000</v>
      </c>
      <c r="AC2295">
        <v>0</v>
      </c>
      <c r="AD2295" t="s">
        <v>94</v>
      </c>
      <c r="AE2295" t="s">
        <v>94</v>
      </c>
      <c r="AF2295" t="s">
        <v>226</v>
      </c>
      <c r="AG2295" t="s">
        <v>226</v>
      </c>
      <c r="AH2295">
        <v>800</v>
      </c>
      <c r="AI2295" t="s">
        <v>3537</v>
      </c>
      <c r="AJ2295" t="s">
        <v>1976</v>
      </c>
      <c r="AK2295" t="s">
        <v>2416</v>
      </c>
      <c r="AL2295" t="s">
        <v>272</v>
      </c>
    </row>
    <row r="2296" spans="1:38">
      <c r="A2296" t="s">
        <v>9777</v>
      </c>
      <c r="B2296" t="s">
        <v>9778</v>
      </c>
      <c r="C2296" t="s">
        <v>9779</v>
      </c>
      <c r="D2296" t="s">
        <v>9779</v>
      </c>
      <c r="E2296" t="s">
        <v>9780</v>
      </c>
      <c r="F2296" t="s">
        <v>2413</v>
      </c>
      <c r="G2296">
        <v>3</v>
      </c>
      <c r="H2296">
        <v>1</v>
      </c>
      <c r="I2296">
        <v>0.01</v>
      </c>
      <c r="J2296">
        <v>1000</v>
      </c>
      <c r="K2296">
        <v>0</v>
      </c>
      <c r="L2296">
        <v>0</v>
      </c>
      <c r="M2296">
        <v>86.2</v>
      </c>
      <c r="N2296">
        <v>86.15</v>
      </c>
      <c r="O2296">
        <v>86.2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86.41</v>
      </c>
      <c r="Y2296">
        <v>90.13</v>
      </c>
      <c r="Z2296">
        <v>0</v>
      </c>
      <c r="AA2296">
        <v>1036404</v>
      </c>
      <c r="AB2296">
        <v>0</v>
      </c>
      <c r="AC2296">
        <v>0</v>
      </c>
      <c r="AD2296" t="s">
        <v>94</v>
      </c>
      <c r="AE2296" t="s">
        <v>94</v>
      </c>
      <c r="AF2296" t="s">
        <v>226</v>
      </c>
      <c r="AG2296" t="s">
        <v>226</v>
      </c>
      <c r="AH2296">
        <v>800</v>
      </c>
      <c r="AI2296" t="s">
        <v>3537</v>
      </c>
      <c r="AJ2296" t="s">
        <v>1976</v>
      </c>
      <c r="AK2296" t="s">
        <v>2416</v>
      </c>
      <c r="AL2296" t="s">
        <v>272</v>
      </c>
    </row>
    <row r="2297" spans="1:38">
      <c r="A2297" t="s">
        <v>9781</v>
      </c>
      <c r="B2297" t="s">
        <v>9782</v>
      </c>
      <c r="C2297" t="s">
        <v>9783</v>
      </c>
      <c r="D2297" t="s">
        <v>9783</v>
      </c>
      <c r="E2297" t="s">
        <v>9784</v>
      </c>
      <c r="F2297" t="s">
        <v>2413</v>
      </c>
      <c r="G2297">
        <v>3</v>
      </c>
      <c r="H2297">
        <v>1</v>
      </c>
      <c r="I2297">
        <v>0.01</v>
      </c>
      <c r="J2297">
        <v>1000</v>
      </c>
      <c r="K2297">
        <v>0</v>
      </c>
      <c r="L2297">
        <v>0</v>
      </c>
      <c r="M2297">
        <v>114</v>
      </c>
      <c r="N2297">
        <v>112.2</v>
      </c>
      <c r="O2297">
        <v>114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113.8</v>
      </c>
      <c r="Y2297">
        <v>159.72999999999999</v>
      </c>
      <c r="Z2297">
        <v>0</v>
      </c>
      <c r="AA2297">
        <v>933198</v>
      </c>
      <c r="AB2297">
        <v>0</v>
      </c>
      <c r="AC2297">
        <v>0</v>
      </c>
      <c r="AD2297" t="s">
        <v>94</v>
      </c>
      <c r="AE2297" t="s">
        <v>94</v>
      </c>
      <c r="AF2297" t="s">
        <v>226</v>
      </c>
      <c r="AG2297" t="s">
        <v>226</v>
      </c>
      <c r="AH2297">
        <v>800</v>
      </c>
      <c r="AI2297" t="s">
        <v>3537</v>
      </c>
      <c r="AJ2297" t="s">
        <v>1976</v>
      </c>
      <c r="AK2297" t="s">
        <v>2416</v>
      </c>
      <c r="AL2297" t="s">
        <v>272</v>
      </c>
    </row>
    <row r="2298" spans="1:38">
      <c r="A2298" t="s">
        <v>9785</v>
      </c>
      <c r="B2298" t="s">
        <v>9786</v>
      </c>
      <c r="C2298" t="s">
        <v>9787</v>
      </c>
      <c r="D2298" t="s">
        <v>9787</v>
      </c>
      <c r="E2298" t="s">
        <v>9788</v>
      </c>
      <c r="F2298" t="s">
        <v>2413</v>
      </c>
      <c r="G2298">
        <v>3</v>
      </c>
      <c r="H2298">
        <v>1</v>
      </c>
      <c r="I2298">
        <v>0.01</v>
      </c>
      <c r="J2298">
        <v>1000</v>
      </c>
      <c r="K2298">
        <v>0</v>
      </c>
      <c r="L2298">
        <v>0</v>
      </c>
      <c r="M2298">
        <v>90.5</v>
      </c>
      <c r="N2298">
        <v>0</v>
      </c>
      <c r="O2298">
        <v>90.5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90.51</v>
      </c>
      <c r="Y2298">
        <v>0</v>
      </c>
      <c r="Z2298">
        <v>0</v>
      </c>
      <c r="AA2298">
        <v>151597</v>
      </c>
      <c r="AB2298">
        <v>0</v>
      </c>
      <c r="AC2298">
        <v>0</v>
      </c>
      <c r="AD2298" t="s">
        <v>94</v>
      </c>
      <c r="AE2298" t="s">
        <v>94</v>
      </c>
      <c r="AF2298" t="s">
        <v>226</v>
      </c>
      <c r="AG2298" t="s">
        <v>226</v>
      </c>
      <c r="AH2298">
        <v>800</v>
      </c>
      <c r="AI2298" t="s">
        <v>3537</v>
      </c>
      <c r="AJ2298" t="s">
        <v>1976</v>
      </c>
      <c r="AK2298" t="s">
        <v>2416</v>
      </c>
      <c r="AL2298" t="s">
        <v>272</v>
      </c>
    </row>
    <row r="2299" spans="1:38">
      <c r="A2299" t="s">
        <v>9789</v>
      </c>
      <c r="B2299" t="s">
        <v>9790</v>
      </c>
      <c r="C2299" t="s">
        <v>9791</v>
      </c>
      <c r="D2299" t="s">
        <v>9791</v>
      </c>
      <c r="E2299" t="s">
        <v>9792</v>
      </c>
      <c r="F2299" t="s">
        <v>2413</v>
      </c>
      <c r="G2299">
        <v>3</v>
      </c>
      <c r="H2299">
        <v>1</v>
      </c>
      <c r="I2299">
        <v>0.01</v>
      </c>
      <c r="J2299">
        <v>1000</v>
      </c>
      <c r="K2299">
        <v>-0.53</v>
      </c>
      <c r="L2299">
        <v>94.4</v>
      </c>
      <c r="M2299">
        <v>94.9</v>
      </c>
      <c r="N2299">
        <v>93.95</v>
      </c>
      <c r="O2299">
        <v>94.4</v>
      </c>
      <c r="P2299">
        <v>0</v>
      </c>
      <c r="Q2299">
        <v>0</v>
      </c>
      <c r="R2299">
        <v>0</v>
      </c>
      <c r="S2299">
        <v>94.4</v>
      </c>
      <c r="T2299">
        <v>94.4</v>
      </c>
      <c r="U2299">
        <v>94.4</v>
      </c>
      <c r="V2299">
        <v>94.4</v>
      </c>
      <c r="W2299">
        <v>122720</v>
      </c>
      <c r="X2299">
        <v>94.41</v>
      </c>
      <c r="Y2299">
        <v>95.13</v>
      </c>
      <c r="Z2299">
        <v>2</v>
      </c>
      <c r="AA2299">
        <v>1996199</v>
      </c>
      <c r="AB2299">
        <v>47200</v>
      </c>
      <c r="AC2299">
        <v>0</v>
      </c>
      <c r="AD2299" t="s">
        <v>94</v>
      </c>
      <c r="AE2299" t="s">
        <v>94</v>
      </c>
      <c r="AF2299" t="s">
        <v>226</v>
      </c>
      <c r="AG2299" t="s">
        <v>226</v>
      </c>
      <c r="AH2299">
        <v>800</v>
      </c>
      <c r="AI2299" t="s">
        <v>3537</v>
      </c>
      <c r="AJ2299" t="s">
        <v>1976</v>
      </c>
      <c r="AK2299" t="s">
        <v>2416</v>
      </c>
      <c r="AL2299" t="s">
        <v>272</v>
      </c>
    </row>
    <row r="2300" spans="1:38">
      <c r="A2300" t="s">
        <v>9793</v>
      </c>
      <c r="B2300" t="s">
        <v>9794</v>
      </c>
      <c r="C2300" t="s">
        <v>9795</v>
      </c>
      <c r="D2300" t="s">
        <v>9795</v>
      </c>
      <c r="E2300" t="s">
        <v>9796</v>
      </c>
      <c r="F2300" t="s">
        <v>2413</v>
      </c>
      <c r="G2300">
        <v>3</v>
      </c>
      <c r="H2300">
        <v>1</v>
      </c>
      <c r="I2300">
        <v>0.01</v>
      </c>
      <c r="J2300">
        <v>1000</v>
      </c>
      <c r="K2300">
        <v>0</v>
      </c>
      <c r="L2300">
        <v>0</v>
      </c>
      <c r="M2300">
        <v>92.8</v>
      </c>
      <c r="N2300">
        <v>91.72</v>
      </c>
      <c r="O2300">
        <v>92.8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92.21</v>
      </c>
      <c r="Y2300">
        <v>92.9</v>
      </c>
      <c r="Z2300">
        <v>0</v>
      </c>
      <c r="AA2300">
        <v>1057544</v>
      </c>
      <c r="AB2300">
        <v>0</v>
      </c>
      <c r="AC2300">
        <v>0</v>
      </c>
      <c r="AD2300" t="s">
        <v>94</v>
      </c>
      <c r="AE2300" t="s">
        <v>94</v>
      </c>
      <c r="AF2300" t="s">
        <v>226</v>
      </c>
      <c r="AG2300" t="s">
        <v>226</v>
      </c>
      <c r="AH2300">
        <v>800</v>
      </c>
      <c r="AI2300" t="s">
        <v>3537</v>
      </c>
      <c r="AJ2300" t="s">
        <v>1976</v>
      </c>
      <c r="AK2300" t="s">
        <v>2416</v>
      </c>
      <c r="AL2300" t="s">
        <v>272</v>
      </c>
    </row>
    <row r="2301" spans="1:38">
      <c r="A2301" t="s">
        <v>9797</v>
      </c>
      <c r="B2301" t="s">
        <v>9798</v>
      </c>
      <c r="C2301" t="s">
        <v>9799</v>
      </c>
      <c r="D2301" t="s">
        <v>9799</v>
      </c>
      <c r="E2301" t="s">
        <v>9800</v>
      </c>
      <c r="F2301" t="s">
        <v>2413</v>
      </c>
      <c r="G2301">
        <v>3</v>
      </c>
      <c r="H2301">
        <v>1</v>
      </c>
      <c r="I2301">
        <v>0.01</v>
      </c>
      <c r="J2301">
        <v>1000</v>
      </c>
      <c r="K2301">
        <v>0</v>
      </c>
      <c r="L2301">
        <v>0</v>
      </c>
      <c r="M2301">
        <v>87.2</v>
      </c>
      <c r="N2301">
        <v>86.49</v>
      </c>
      <c r="O2301">
        <v>87.2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87.21</v>
      </c>
      <c r="Y2301">
        <v>122.36</v>
      </c>
      <c r="Z2301">
        <v>0</v>
      </c>
      <c r="AA2301">
        <v>1329585</v>
      </c>
      <c r="AB2301">
        <v>0</v>
      </c>
      <c r="AC2301">
        <v>0</v>
      </c>
      <c r="AD2301" t="s">
        <v>94</v>
      </c>
      <c r="AE2301" t="s">
        <v>94</v>
      </c>
      <c r="AF2301" t="s">
        <v>226</v>
      </c>
      <c r="AG2301" t="s">
        <v>226</v>
      </c>
      <c r="AH2301">
        <v>800</v>
      </c>
      <c r="AI2301" t="s">
        <v>3537</v>
      </c>
      <c r="AJ2301" t="s">
        <v>1976</v>
      </c>
      <c r="AK2301" t="s">
        <v>2416</v>
      </c>
      <c r="AL2301" t="s">
        <v>272</v>
      </c>
    </row>
    <row r="2302" spans="1:38">
      <c r="A2302" t="s">
        <v>9801</v>
      </c>
      <c r="B2302" t="s">
        <v>9802</v>
      </c>
      <c r="C2302" t="s">
        <v>9803</v>
      </c>
      <c r="D2302" t="s">
        <v>9803</v>
      </c>
      <c r="E2302" t="s">
        <v>9804</v>
      </c>
      <c r="F2302" t="s">
        <v>2413</v>
      </c>
      <c r="G2302">
        <v>3</v>
      </c>
      <c r="H2302">
        <v>1</v>
      </c>
      <c r="I2302">
        <v>0.01</v>
      </c>
      <c r="J2302">
        <v>1000</v>
      </c>
      <c r="K2302">
        <v>0</v>
      </c>
      <c r="L2302">
        <v>0</v>
      </c>
      <c r="M2302">
        <v>92.6</v>
      </c>
      <c r="N2302">
        <v>91.53</v>
      </c>
      <c r="O2302">
        <v>92.6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92.11</v>
      </c>
      <c r="Y2302">
        <v>92.6</v>
      </c>
      <c r="Z2302">
        <v>0</v>
      </c>
      <c r="AA2302">
        <v>817522</v>
      </c>
      <c r="AB2302">
        <v>0</v>
      </c>
      <c r="AC2302">
        <v>0</v>
      </c>
      <c r="AD2302" t="s">
        <v>94</v>
      </c>
      <c r="AE2302" t="s">
        <v>94</v>
      </c>
      <c r="AF2302" t="s">
        <v>226</v>
      </c>
      <c r="AG2302" t="s">
        <v>226</v>
      </c>
      <c r="AH2302">
        <v>800</v>
      </c>
      <c r="AI2302" t="s">
        <v>3537</v>
      </c>
      <c r="AJ2302" t="s">
        <v>1976</v>
      </c>
      <c r="AK2302" t="s">
        <v>2416</v>
      </c>
      <c r="AL2302" t="s">
        <v>272</v>
      </c>
    </row>
    <row r="2303" spans="1:38">
      <c r="A2303" t="s">
        <v>9805</v>
      </c>
      <c r="B2303" t="s">
        <v>9806</v>
      </c>
      <c r="C2303" t="s">
        <v>9807</v>
      </c>
      <c r="D2303" t="s">
        <v>9807</v>
      </c>
      <c r="E2303" t="s">
        <v>9808</v>
      </c>
      <c r="F2303" t="s">
        <v>2413</v>
      </c>
      <c r="G2303">
        <v>3</v>
      </c>
      <c r="H2303">
        <v>1</v>
      </c>
      <c r="I2303">
        <v>0.01</v>
      </c>
      <c r="J2303">
        <v>1000</v>
      </c>
      <c r="K2303">
        <v>0</v>
      </c>
      <c r="L2303">
        <v>0</v>
      </c>
      <c r="M2303">
        <v>89.95</v>
      </c>
      <c r="N2303">
        <v>86.04</v>
      </c>
      <c r="O2303">
        <v>89.95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85.05</v>
      </c>
      <c r="Y2303">
        <v>92.5</v>
      </c>
      <c r="Z2303">
        <v>0</v>
      </c>
      <c r="AA2303">
        <v>982068</v>
      </c>
      <c r="AB2303">
        <v>0</v>
      </c>
      <c r="AC2303">
        <v>0</v>
      </c>
      <c r="AD2303" t="s">
        <v>94</v>
      </c>
      <c r="AE2303" t="s">
        <v>94</v>
      </c>
      <c r="AF2303" t="s">
        <v>226</v>
      </c>
      <c r="AG2303" t="s">
        <v>226</v>
      </c>
      <c r="AH2303">
        <v>800</v>
      </c>
      <c r="AI2303" t="s">
        <v>3537</v>
      </c>
      <c r="AJ2303" t="s">
        <v>1976</v>
      </c>
      <c r="AK2303" t="s">
        <v>2416</v>
      </c>
      <c r="AL2303" t="s">
        <v>272</v>
      </c>
    </row>
    <row r="2304" spans="1:38">
      <c r="A2304" t="s">
        <v>9809</v>
      </c>
      <c r="B2304" t="s">
        <v>9810</v>
      </c>
      <c r="C2304" t="s">
        <v>9811</v>
      </c>
      <c r="D2304" t="s">
        <v>9811</v>
      </c>
      <c r="E2304" t="s">
        <v>9812</v>
      </c>
      <c r="F2304" t="s">
        <v>2413</v>
      </c>
      <c r="G2304">
        <v>3</v>
      </c>
      <c r="H2304">
        <v>1</v>
      </c>
      <c r="I2304">
        <v>0.01</v>
      </c>
      <c r="J2304">
        <v>1000</v>
      </c>
      <c r="K2304">
        <v>0</v>
      </c>
      <c r="L2304">
        <v>0</v>
      </c>
      <c r="M2304">
        <v>111.1</v>
      </c>
      <c r="N2304">
        <v>110.29</v>
      </c>
      <c r="O2304">
        <v>111.1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109.8</v>
      </c>
      <c r="Y2304">
        <v>0</v>
      </c>
      <c r="Z2304">
        <v>0</v>
      </c>
      <c r="AA2304">
        <v>585459</v>
      </c>
      <c r="AB2304">
        <v>0</v>
      </c>
      <c r="AC2304">
        <v>0</v>
      </c>
      <c r="AD2304" t="s">
        <v>94</v>
      </c>
      <c r="AE2304" t="s">
        <v>94</v>
      </c>
      <c r="AF2304" t="s">
        <v>226</v>
      </c>
      <c r="AG2304" t="s">
        <v>226</v>
      </c>
      <c r="AH2304">
        <v>800</v>
      </c>
      <c r="AI2304" t="s">
        <v>3537</v>
      </c>
      <c r="AJ2304" t="s">
        <v>1976</v>
      </c>
      <c r="AK2304" t="s">
        <v>2416</v>
      </c>
      <c r="AL2304" t="s">
        <v>272</v>
      </c>
    </row>
    <row r="2305" spans="1:38">
      <c r="A2305" t="s">
        <v>9813</v>
      </c>
      <c r="B2305" t="s">
        <v>9814</v>
      </c>
      <c r="C2305" t="s">
        <v>9815</v>
      </c>
      <c r="D2305" t="s">
        <v>9815</v>
      </c>
      <c r="E2305" t="s">
        <v>9816</v>
      </c>
      <c r="F2305" t="s">
        <v>2413</v>
      </c>
      <c r="G2305">
        <v>3</v>
      </c>
      <c r="H2305">
        <v>1</v>
      </c>
      <c r="I2305">
        <v>0.01</v>
      </c>
      <c r="J2305">
        <v>1000</v>
      </c>
      <c r="K2305">
        <v>0</v>
      </c>
      <c r="L2305">
        <v>0</v>
      </c>
      <c r="M2305">
        <v>98.4</v>
      </c>
      <c r="N2305">
        <v>99.53</v>
      </c>
      <c r="O2305">
        <v>98.4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99.4</v>
      </c>
      <c r="Y2305">
        <v>0</v>
      </c>
      <c r="Z2305">
        <v>0</v>
      </c>
      <c r="AA2305">
        <v>354714</v>
      </c>
      <c r="AB2305">
        <v>0</v>
      </c>
      <c r="AC2305">
        <v>0</v>
      </c>
      <c r="AD2305" t="s">
        <v>94</v>
      </c>
      <c r="AE2305" t="s">
        <v>94</v>
      </c>
      <c r="AF2305" t="s">
        <v>226</v>
      </c>
      <c r="AG2305" t="s">
        <v>226</v>
      </c>
      <c r="AH2305">
        <v>800</v>
      </c>
      <c r="AI2305" t="s">
        <v>3537</v>
      </c>
      <c r="AJ2305" t="s">
        <v>1976</v>
      </c>
      <c r="AK2305" t="s">
        <v>2416</v>
      </c>
      <c r="AL2305" t="s">
        <v>272</v>
      </c>
    </row>
    <row r="2306" spans="1:38">
      <c r="A2306" t="s">
        <v>9817</v>
      </c>
      <c r="B2306" t="s">
        <v>9818</v>
      </c>
      <c r="C2306" t="s">
        <v>9819</v>
      </c>
      <c r="D2306" t="s">
        <v>9819</v>
      </c>
      <c r="E2306" t="s">
        <v>9820</v>
      </c>
      <c r="F2306" t="s">
        <v>2413</v>
      </c>
      <c r="G2306">
        <v>3</v>
      </c>
      <c r="H2306">
        <v>1</v>
      </c>
      <c r="I2306">
        <v>0.01</v>
      </c>
      <c r="J2306">
        <v>1000</v>
      </c>
      <c r="K2306">
        <v>0.23</v>
      </c>
      <c r="L2306">
        <v>88.7</v>
      </c>
      <c r="M2306">
        <v>88.5</v>
      </c>
      <c r="N2306">
        <v>88.87</v>
      </c>
      <c r="O2306">
        <v>88.7</v>
      </c>
      <c r="P2306">
        <v>0</v>
      </c>
      <c r="Q2306">
        <v>0</v>
      </c>
      <c r="R2306">
        <v>0</v>
      </c>
      <c r="S2306">
        <v>88.7</v>
      </c>
      <c r="T2306">
        <v>88.71</v>
      </c>
      <c r="U2306">
        <v>88.7</v>
      </c>
      <c r="V2306">
        <v>88.71</v>
      </c>
      <c r="W2306">
        <v>266100</v>
      </c>
      <c r="X2306">
        <v>88.71</v>
      </c>
      <c r="Y2306">
        <v>92.86</v>
      </c>
      <c r="Z2306">
        <v>2</v>
      </c>
      <c r="AA2306">
        <v>545544</v>
      </c>
      <c r="AB2306">
        <v>265213</v>
      </c>
      <c r="AC2306">
        <v>0</v>
      </c>
      <c r="AD2306" t="s">
        <v>94</v>
      </c>
      <c r="AE2306" t="s">
        <v>94</v>
      </c>
      <c r="AF2306" t="s">
        <v>226</v>
      </c>
      <c r="AG2306" t="s">
        <v>226</v>
      </c>
      <c r="AH2306">
        <v>800</v>
      </c>
      <c r="AI2306" t="s">
        <v>3537</v>
      </c>
      <c r="AJ2306" t="s">
        <v>1976</v>
      </c>
      <c r="AK2306" t="s">
        <v>2416</v>
      </c>
      <c r="AL2306" t="s">
        <v>272</v>
      </c>
    </row>
    <row r="2307" spans="1:38">
      <c r="A2307" t="s">
        <v>9821</v>
      </c>
      <c r="B2307" t="s">
        <v>9822</v>
      </c>
      <c r="C2307" t="s">
        <v>9823</v>
      </c>
      <c r="D2307" t="s">
        <v>9823</v>
      </c>
      <c r="E2307" t="s">
        <v>9824</v>
      </c>
      <c r="F2307" t="s">
        <v>2413</v>
      </c>
      <c r="G2307">
        <v>3</v>
      </c>
      <c r="H2307">
        <v>1</v>
      </c>
      <c r="I2307">
        <v>0.01</v>
      </c>
      <c r="J2307">
        <v>1000</v>
      </c>
      <c r="K2307">
        <v>0</v>
      </c>
      <c r="L2307">
        <v>0</v>
      </c>
      <c r="M2307">
        <v>96.3</v>
      </c>
      <c r="N2307">
        <v>95.18</v>
      </c>
      <c r="O2307">
        <v>96.3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96.51</v>
      </c>
      <c r="Y2307">
        <v>0</v>
      </c>
      <c r="Z2307">
        <v>0</v>
      </c>
      <c r="AA2307">
        <v>768511</v>
      </c>
      <c r="AB2307">
        <v>0</v>
      </c>
      <c r="AC2307">
        <v>0</v>
      </c>
      <c r="AD2307" t="s">
        <v>94</v>
      </c>
      <c r="AE2307" t="s">
        <v>94</v>
      </c>
      <c r="AF2307" t="s">
        <v>226</v>
      </c>
      <c r="AG2307" t="s">
        <v>226</v>
      </c>
      <c r="AH2307">
        <v>800</v>
      </c>
      <c r="AI2307" t="s">
        <v>3537</v>
      </c>
      <c r="AJ2307" t="s">
        <v>1976</v>
      </c>
      <c r="AK2307" t="s">
        <v>2416</v>
      </c>
      <c r="AL2307" t="s">
        <v>272</v>
      </c>
    </row>
    <row r="2308" spans="1:38">
      <c r="A2308" t="s">
        <v>9825</v>
      </c>
      <c r="B2308" t="s">
        <v>9826</v>
      </c>
      <c r="C2308" t="s">
        <v>9827</v>
      </c>
      <c r="D2308" t="s">
        <v>9827</v>
      </c>
      <c r="E2308" t="s">
        <v>9828</v>
      </c>
      <c r="F2308" t="s">
        <v>2413</v>
      </c>
      <c r="G2308">
        <v>3</v>
      </c>
      <c r="H2308">
        <v>1</v>
      </c>
      <c r="I2308">
        <v>0.01</v>
      </c>
      <c r="J2308">
        <v>1000</v>
      </c>
      <c r="K2308">
        <v>0</v>
      </c>
      <c r="L2308">
        <v>0</v>
      </c>
      <c r="M2308">
        <v>136.4</v>
      </c>
      <c r="N2308">
        <v>134.66999999999999</v>
      </c>
      <c r="O2308">
        <v>136.4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136.19999999999999</v>
      </c>
      <c r="Y2308">
        <v>191.62</v>
      </c>
      <c r="Z2308">
        <v>0</v>
      </c>
      <c r="AA2308">
        <v>535545</v>
      </c>
      <c r="AB2308">
        <v>0</v>
      </c>
      <c r="AC2308">
        <v>0</v>
      </c>
      <c r="AD2308" t="s">
        <v>94</v>
      </c>
      <c r="AE2308" t="s">
        <v>94</v>
      </c>
      <c r="AF2308" t="s">
        <v>226</v>
      </c>
      <c r="AG2308" t="s">
        <v>226</v>
      </c>
      <c r="AH2308">
        <v>800</v>
      </c>
      <c r="AI2308" t="s">
        <v>3537</v>
      </c>
      <c r="AJ2308" t="s">
        <v>1976</v>
      </c>
      <c r="AK2308" t="s">
        <v>2416</v>
      </c>
      <c r="AL2308" t="s">
        <v>272</v>
      </c>
    </row>
    <row r="2309" spans="1:38">
      <c r="A2309" t="s">
        <v>9829</v>
      </c>
      <c r="B2309" t="s">
        <v>9830</v>
      </c>
      <c r="C2309" t="s">
        <v>9831</v>
      </c>
      <c r="D2309" t="s">
        <v>9831</v>
      </c>
      <c r="E2309" t="s">
        <v>9832</v>
      </c>
      <c r="F2309" t="s">
        <v>2413</v>
      </c>
      <c r="G2309">
        <v>3</v>
      </c>
      <c r="H2309">
        <v>1</v>
      </c>
      <c r="I2309">
        <v>0.01</v>
      </c>
      <c r="J2309">
        <v>1000</v>
      </c>
      <c r="K2309">
        <v>-0.1</v>
      </c>
      <c r="L2309">
        <v>102.8</v>
      </c>
      <c r="M2309">
        <v>102.9</v>
      </c>
      <c r="N2309">
        <v>101.58</v>
      </c>
      <c r="O2309">
        <v>102.8</v>
      </c>
      <c r="P2309">
        <v>0</v>
      </c>
      <c r="Q2309">
        <v>0</v>
      </c>
      <c r="R2309">
        <v>0</v>
      </c>
      <c r="S2309">
        <v>102.8</v>
      </c>
      <c r="T2309">
        <v>102.8</v>
      </c>
      <c r="U2309">
        <v>102.8</v>
      </c>
      <c r="V2309">
        <v>102.8</v>
      </c>
      <c r="W2309">
        <v>1373408</v>
      </c>
      <c r="X2309">
        <v>102.7</v>
      </c>
      <c r="Y2309">
        <v>0</v>
      </c>
      <c r="Z2309">
        <v>1</v>
      </c>
      <c r="AA2309">
        <v>442558</v>
      </c>
      <c r="AB2309">
        <v>1373408</v>
      </c>
      <c r="AC2309">
        <v>0</v>
      </c>
      <c r="AD2309" t="s">
        <v>94</v>
      </c>
      <c r="AE2309" t="s">
        <v>94</v>
      </c>
      <c r="AF2309" t="s">
        <v>226</v>
      </c>
      <c r="AG2309" t="s">
        <v>226</v>
      </c>
      <c r="AH2309">
        <v>800</v>
      </c>
      <c r="AI2309" t="s">
        <v>3537</v>
      </c>
      <c r="AJ2309" t="s">
        <v>1976</v>
      </c>
      <c r="AK2309" t="s">
        <v>2416</v>
      </c>
      <c r="AL2309" t="s">
        <v>272</v>
      </c>
    </row>
    <row r="2310" spans="1:38">
      <c r="A2310" t="s">
        <v>9833</v>
      </c>
      <c r="B2310" t="s">
        <v>9834</v>
      </c>
      <c r="C2310" t="s">
        <v>9835</v>
      </c>
      <c r="D2310" t="s">
        <v>9835</v>
      </c>
      <c r="E2310" t="s">
        <v>9836</v>
      </c>
      <c r="F2310" t="s">
        <v>2413</v>
      </c>
      <c r="G2310">
        <v>3</v>
      </c>
      <c r="H2310">
        <v>1</v>
      </c>
      <c r="I2310">
        <v>0.01</v>
      </c>
      <c r="J2310">
        <v>1000</v>
      </c>
      <c r="K2310">
        <v>0</v>
      </c>
      <c r="L2310">
        <v>0</v>
      </c>
      <c r="M2310">
        <v>88.5</v>
      </c>
      <c r="N2310">
        <v>88.46</v>
      </c>
      <c r="O2310">
        <v>88.5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88.91</v>
      </c>
      <c r="Y2310">
        <v>0</v>
      </c>
      <c r="Z2310">
        <v>0</v>
      </c>
      <c r="AA2310">
        <v>385559</v>
      </c>
      <c r="AB2310">
        <v>0</v>
      </c>
      <c r="AC2310">
        <v>0</v>
      </c>
      <c r="AD2310" t="s">
        <v>94</v>
      </c>
      <c r="AE2310" t="s">
        <v>94</v>
      </c>
      <c r="AF2310" t="s">
        <v>226</v>
      </c>
      <c r="AG2310" t="s">
        <v>226</v>
      </c>
      <c r="AH2310">
        <v>800</v>
      </c>
      <c r="AI2310" t="s">
        <v>3537</v>
      </c>
      <c r="AJ2310" t="s">
        <v>1976</v>
      </c>
      <c r="AK2310" t="s">
        <v>2416</v>
      </c>
      <c r="AL2310" t="s">
        <v>272</v>
      </c>
    </row>
    <row r="2311" spans="1:38">
      <c r="A2311" t="s">
        <v>9837</v>
      </c>
      <c r="B2311" t="s">
        <v>9838</v>
      </c>
      <c r="C2311" t="s">
        <v>9839</v>
      </c>
      <c r="D2311" t="s">
        <v>9839</v>
      </c>
      <c r="E2311" t="s">
        <v>9840</v>
      </c>
      <c r="F2311" t="s">
        <v>2413</v>
      </c>
      <c r="G2311">
        <v>3</v>
      </c>
      <c r="H2311">
        <v>1</v>
      </c>
      <c r="I2311">
        <v>0.01</v>
      </c>
      <c r="J2311">
        <v>1000</v>
      </c>
      <c r="K2311">
        <v>-0.44</v>
      </c>
      <c r="L2311">
        <v>91</v>
      </c>
      <c r="M2311">
        <v>91.4</v>
      </c>
      <c r="N2311">
        <v>90.96</v>
      </c>
      <c r="O2311">
        <v>91</v>
      </c>
      <c r="P2311">
        <v>0</v>
      </c>
      <c r="Q2311">
        <v>0</v>
      </c>
      <c r="R2311">
        <v>0</v>
      </c>
      <c r="S2311">
        <v>91</v>
      </c>
      <c r="T2311">
        <v>91.01</v>
      </c>
      <c r="U2311">
        <v>91</v>
      </c>
      <c r="V2311">
        <v>91.01</v>
      </c>
      <c r="W2311">
        <v>201110</v>
      </c>
      <c r="X2311">
        <v>91</v>
      </c>
      <c r="Y2311">
        <v>92.1</v>
      </c>
      <c r="Z2311">
        <v>2</v>
      </c>
      <c r="AA2311">
        <v>1991295</v>
      </c>
      <c r="AB2311">
        <v>200200</v>
      </c>
      <c r="AC2311">
        <v>0</v>
      </c>
      <c r="AD2311" t="s">
        <v>94</v>
      </c>
      <c r="AE2311" t="s">
        <v>94</v>
      </c>
      <c r="AF2311" t="s">
        <v>226</v>
      </c>
      <c r="AG2311" t="s">
        <v>226</v>
      </c>
      <c r="AH2311">
        <v>800</v>
      </c>
      <c r="AI2311" t="s">
        <v>3537</v>
      </c>
      <c r="AJ2311" t="s">
        <v>1976</v>
      </c>
      <c r="AK2311" t="s">
        <v>2416</v>
      </c>
      <c r="AL2311" t="s">
        <v>272</v>
      </c>
    </row>
    <row r="2312" spans="1:38">
      <c r="A2312" t="s">
        <v>9841</v>
      </c>
      <c r="B2312" t="s">
        <v>9842</v>
      </c>
      <c r="C2312" t="s">
        <v>9843</v>
      </c>
      <c r="D2312" t="s">
        <v>9843</v>
      </c>
      <c r="E2312" t="s">
        <v>9844</v>
      </c>
      <c r="F2312" t="s">
        <v>2413</v>
      </c>
      <c r="G2312">
        <v>3</v>
      </c>
      <c r="H2312">
        <v>1</v>
      </c>
      <c r="I2312">
        <v>0.01</v>
      </c>
      <c r="J2312">
        <v>1000</v>
      </c>
      <c r="K2312">
        <v>0</v>
      </c>
      <c r="L2312">
        <v>0</v>
      </c>
      <c r="M2312">
        <v>88.4</v>
      </c>
      <c r="N2312">
        <v>88.65</v>
      </c>
      <c r="O2312">
        <v>88.4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88.61</v>
      </c>
      <c r="Y2312">
        <v>94.56</v>
      </c>
      <c r="Z2312">
        <v>0</v>
      </c>
      <c r="AA2312">
        <v>1935872</v>
      </c>
      <c r="AB2312">
        <v>0</v>
      </c>
      <c r="AC2312">
        <v>0</v>
      </c>
      <c r="AD2312" t="s">
        <v>94</v>
      </c>
      <c r="AE2312" t="s">
        <v>94</v>
      </c>
      <c r="AF2312" t="s">
        <v>226</v>
      </c>
      <c r="AG2312" t="s">
        <v>226</v>
      </c>
      <c r="AH2312">
        <v>800</v>
      </c>
      <c r="AI2312" t="s">
        <v>3537</v>
      </c>
      <c r="AJ2312" t="s">
        <v>1976</v>
      </c>
      <c r="AK2312" t="s">
        <v>2416</v>
      </c>
      <c r="AL2312" t="s">
        <v>272</v>
      </c>
    </row>
    <row r="2313" spans="1:38">
      <c r="A2313" t="s">
        <v>9845</v>
      </c>
      <c r="B2313" t="s">
        <v>9846</v>
      </c>
      <c r="C2313" t="s">
        <v>9847</v>
      </c>
      <c r="D2313" t="s">
        <v>9847</v>
      </c>
      <c r="E2313" t="s">
        <v>9848</v>
      </c>
      <c r="F2313" t="s">
        <v>2413</v>
      </c>
      <c r="G2313">
        <v>3</v>
      </c>
      <c r="H2313">
        <v>1</v>
      </c>
      <c r="I2313">
        <v>0.01</v>
      </c>
      <c r="J2313">
        <v>1000</v>
      </c>
      <c r="K2313">
        <v>0</v>
      </c>
      <c r="L2313">
        <v>0</v>
      </c>
      <c r="M2313">
        <v>83</v>
      </c>
      <c r="N2313">
        <v>82.79</v>
      </c>
      <c r="O2313">
        <v>83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82.12</v>
      </c>
      <c r="Y2313">
        <v>85.99</v>
      </c>
      <c r="Z2313">
        <v>0</v>
      </c>
      <c r="AA2313">
        <v>976059</v>
      </c>
      <c r="AB2313">
        <v>0</v>
      </c>
      <c r="AC2313">
        <v>0</v>
      </c>
      <c r="AD2313" t="s">
        <v>94</v>
      </c>
      <c r="AE2313" t="s">
        <v>94</v>
      </c>
      <c r="AF2313" t="s">
        <v>226</v>
      </c>
      <c r="AG2313" t="s">
        <v>226</v>
      </c>
      <c r="AH2313">
        <v>800</v>
      </c>
      <c r="AI2313" t="s">
        <v>3537</v>
      </c>
      <c r="AJ2313" t="s">
        <v>1976</v>
      </c>
      <c r="AK2313" t="s">
        <v>2416</v>
      </c>
      <c r="AL2313" t="s">
        <v>272</v>
      </c>
    </row>
    <row r="2314" spans="1:38">
      <c r="A2314" t="s">
        <v>9849</v>
      </c>
      <c r="B2314" t="s">
        <v>9850</v>
      </c>
      <c r="C2314" t="s">
        <v>9851</v>
      </c>
      <c r="D2314" t="s">
        <v>9851</v>
      </c>
      <c r="E2314" t="s">
        <v>9852</v>
      </c>
      <c r="F2314" t="s">
        <v>2413</v>
      </c>
      <c r="G2314">
        <v>3</v>
      </c>
      <c r="H2314">
        <v>1</v>
      </c>
      <c r="I2314">
        <v>0.01</v>
      </c>
      <c r="J2314">
        <v>1000</v>
      </c>
      <c r="K2314">
        <v>0</v>
      </c>
      <c r="L2314">
        <v>0</v>
      </c>
      <c r="M2314">
        <v>85.6</v>
      </c>
      <c r="N2314">
        <v>84.77</v>
      </c>
      <c r="O2314">
        <v>85.6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85.41</v>
      </c>
      <c r="Y2314">
        <v>86.01</v>
      </c>
      <c r="Z2314">
        <v>0</v>
      </c>
      <c r="AA2314">
        <v>1291183</v>
      </c>
      <c r="AB2314">
        <v>0</v>
      </c>
      <c r="AC2314">
        <v>0</v>
      </c>
      <c r="AD2314" t="s">
        <v>94</v>
      </c>
      <c r="AE2314" t="s">
        <v>94</v>
      </c>
      <c r="AF2314" t="s">
        <v>226</v>
      </c>
      <c r="AG2314" t="s">
        <v>226</v>
      </c>
      <c r="AH2314">
        <v>800</v>
      </c>
      <c r="AI2314" t="s">
        <v>3537</v>
      </c>
      <c r="AJ2314" t="s">
        <v>1976</v>
      </c>
      <c r="AK2314" t="s">
        <v>2416</v>
      </c>
      <c r="AL2314" t="s">
        <v>272</v>
      </c>
    </row>
    <row r="2315" spans="1:38">
      <c r="A2315" t="s">
        <v>9853</v>
      </c>
      <c r="B2315" t="s">
        <v>9854</v>
      </c>
      <c r="C2315" t="s">
        <v>9855</v>
      </c>
      <c r="D2315" t="s">
        <v>9855</v>
      </c>
      <c r="E2315" t="s">
        <v>9856</v>
      </c>
      <c r="F2315" t="s">
        <v>2413</v>
      </c>
      <c r="G2315">
        <v>3</v>
      </c>
      <c r="H2315">
        <v>1</v>
      </c>
      <c r="I2315">
        <v>0.01</v>
      </c>
      <c r="J2315">
        <v>1000</v>
      </c>
      <c r="K2315">
        <v>-0.78</v>
      </c>
      <c r="L2315">
        <v>89.3</v>
      </c>
      <c r="M2315">
        <v>90</v>
      </c>
      <c r="N2315">
        <v>90.04</v>
      </c>
      <c r="O2315">
        <v>89.3</v>
      </c>
      <c r="P2315">
        <v>0</v>
      </c>
      <c r="Q2315">
        <v>0</v>
      </c>
      <c r="R2315">
        <v>0</v>
      </c>
      <c r="S2315">
        <v>89.3</v>
      </c>
      <c r="T2315">
        <v>89.31</v>
      </c>
      <c r="U2315">
        <v>89.3</v>
      </c>
      <c r="V2315">
        <v>89.31</v>
      </c>
      <c r="W2315">
        <v>495615</v>
      </c>
      <c r="X2315">
        <v>89.31</v>
      </c>
      <c r="Y2315">
        <v>90.98</v>
      </c>
      <c r="Z2315">
        <v>2</v>
      </c>
      <c r="AA2315">
        <v>1031980</v>
      </c>
      <c r="AB2315">
        <v>494722</v>
      </c>
      <c r="AC2315">
        <v>0</v>
      </c>
      <c r="AD2315" t="s">
        <v>94</v>
      </c>
      <c r="AE2315" t="s">
        <v>94</v>
      </c>
      <c r="AF2315" t="s">
        <v>226</v>
      </c>
      <c r="AG2315" t="s">
        <v>226</v>
      </c>
      <c r="AH2315">
        <v>800</v>
      </c>
      <c r="AI2315" t="s">
        <v>3537</v>
      </c>
      <c r="AJ2315" t="s">
        <v>1976</v>
      </c>
      <c r="AK2315" t="s">
        <v>2416</v>
      </c>
      <c r="AL2315" t="s">
        <v>272</v>
      </c>
    </row>
    <row r="2316" spans="1:38">
      <c r="A2316" t="s">
        <v>9857</v>
      </c>
      <c r="B2316" t="s">
        <v>9858</v>
      </c>
      <c r="C2316" t="s">
        <v>9859</v>
      </c>
      <c r="D2316" t="s">
        <v>9859</v>
      </c>
      <c r="E2316" t="s">
        <v>9860</v>
      </c>
      <c r="F2316" t="s">
        <v>2413</v>
      </c>
      <c r="G2316">
        <v>3</v>
      </c>
      <c r="H2316">
        <v>1</v>
      </c>
      <c r="I2316">
        <v>0.01</v>
      </c>
      <c r="J2316">
        <v>1000</v>
      </c>
      <c r="K2316">
        <v>0</v>
      </c>
      <c r="L2316">
        <v>0</v>
      </c>
      <c r="M2316">
        <v>85.4</v>
      </c>
      <c r="N2316">
        <v>84.96</v>
      </c>
      <c r="O2316">
        <v>85.4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85.41</v>
      </c>
      <c r="Y2316">
        <v>93.12</v>
      </c>
      <c r="Z2316">
        <v>0</v>
      </c>
      <c r="AA2316">
        <v>787125</v>
      </c>
      <c r="AB2316">
        <v>0</v>
      </c>
      <c r="AC2316">
        <v>0</v>
      </c>
      <c r="AD2316" t="s">
        <v>94</v>
      </c>
      <c r="AE2316" t="s">
        <v>94</v>
      </c>
      <c r="AF2316" t="s">
        <v>226</v>
      </c>
      <c r="AG2316" t="s">
        <v>226</v>
      </c>
      <c r="AH2316">
        <v>800</v>
      </c>
      <c r="AI2316" t="s">
        <v>3537</v>
      </c>
      <c r="AJ2316" t="s">
        <v>1976</v>
      </c>
      <c r="AK2316" t="s">
        <v>2416</v>
      </c>
      <c r="AL2316" t="s">
        <v>272</v>
      </c>
    </row>
    <row r="2317" spans="1:38">
      <c r="A2317" t="s">
        <v>9861</v>
      </c>
      <c r="B2317" t="s">
        <v>9862</v>
      </c>
      <c r="C2317" t="s">
        <v>9863</v>
      </c>
      <c r="D2317" t="s">
        <v>9863</v>
      </c>
      <c r="E2317" t="s">
        <v>9864</v>
      </c>
      <c r="F2317" t="s">
        <v>2413</v>
      </c>
      <c r="G2317">
        <v>3</v>
      </c>
      <c r="H2317">
        <v>1</v>
      </c>
      <c r="I2317">
        <v>0.01</v>
      </c>
      <c r="J2317">
        <v>1000</v>
      </c>
      <c r="K2317">
        <v>-0.64</v>
      </c>
      <c r="L2317">
        <v>122.71</v>
      </c>
      <c r="M2317">
        <v>123.5</v>
      </c>
      <c r="N2317">
        <v>122.42</v>
      </c>
      <c r="O2317">
        <v>122.71</v>
      </c>
      <c r="P2317">
        <v>0</v>
      </c>
      <c r="Q2317">
        <v>0</v>
      </c>
      <c r="R2317">
        <v>0</v>
      </c>
      <c r="S2317">
        <v>122.71</v>
      </c>
      <c r="T2317">
        <v>122.71</v>
      </c>
      <c r="U2317">
        <v>122.71</v>
      </c>
      <c r="V2317">
        <v>122.71</v>
      </c>
      <c r="W2317">
        <v>184065</v>
      </c>
      <c r="X2317">
        <v>122.71</v>
      </c>
      <c r="Y2317">
        <v>172.9</v>
      </c>
      <c r="Z2317">
        <v>1</v>
      </c>
      <c r="AA2317">
        <v>811124</v>
      </c>
      <c r="AB2317">
        <v>184065</v>
      </c>
      <c r="AC2317">
        <v>0</v>
      </c>
      <c r="AD2317" t="s">
        <v>94</v>
      </c>
      <c r="AE2317" t="s">
        <v>94</v>
      </c>
      <c r="AF2317" t="s">
        <v>226</v>
      </c>
      <c r="AG2317" t="s">
        <v>226</v>
      </c>
      <c r="AH2317">
        <v>800</v>
      </c>
      <c r="AI2317" t="s">
        <v>3537</v>
      </c>
      <c r="AJ2317" t="s">
        <v>1976</v>
      </c>
      <c r="AK2317" t="s">
        <v>2416</v>
      </c>
      <c r="AL2317" t="s">
        <v>272</v>
      </c>
    </row>
    <row r="2318" spans="1:38">
      <c r="A2318" t="s">
        <v>9865</v>
      </c>
      <c r="B2318" t="s">
        <v>9866</v>
      </c>
      <c r="C2318" t="s">
        <v>9867</v>
      </c>
      <c r="D2318" t="s">
        <v>9867</v>
      </c>
      <c r="E2318" t="s">
        <v>9868</v>
      </c>
      <c r="F2318" t="s">
        <v>2413</v>
      </c>
      <c r="G2318">
        <v>3</v>
      </c>
      <c r="H2318">
        <v>1</v>
      </c>
      <c r="I2318">
        <v>0.01</v>
      </c>
      <c r="J2318">
        <v>1000</v>
      </c>
      <c r="K2318">
        <v>0.09</v>
      </c>
      <c r="L2318">
        <v>119.41</v>
      </c>
      <c r="M2318">
        <v>119.3</v>
      </c>
      <c r="N2318">
        <v>118.12</v>
      </c>
      <c r="O2318">
        <v>119.41</v>
      </c>
      <c r="P2318">
        <v>0</v>
      </c>
      <c r="Q2318">
        <v>0</v>
      </c>
      <c r="R2318">
        <v>0</v>
      </c>
      <c r="S2318">
        <v>119.41</v>
      </c>
      <c r="T2318">
        <v>119.41</v>
      </c>
      <c r="U2318">
        <v>119.41</v>
      </c>
      <c r="V2318">
        <v>119.41</v>
      </c>
      <c r="W2318">
        <v>10747</v>
      </c>
      <c r="X2318">
        <v>119.41</v>
      </c>
      <c r="Y2318">
        <v>132.99</v>
      </c>
      <c r="Z2318">
        <v>1</v>
      </c>
      <c r="AA2318">
        <v>631038</v>
      </c>
      <c r="AB2318">
        <v>10746.9</v>
      </c>
      <c r="AC2318">
        <v>0</v>
      </c>
      <c r="AD2318" t="s">
        <v>94</v>
      </c>
      <c r="AE2318" t="s">
        <v>94</v>
      </c>
      <c r="AF2318" t="s">
        <v>226</v>
      </c>
      <c r="AG2318" t="s">
        <v>226</v>
      </c>
      <c r="AH2318">
        <v>800</v>
      </c>
      <c r="AI2318" t="s">
        <v>3537</v>
      </c>
      <c r="AJ2318" t="s">
        <v>1976</v>
      </c>
      <c r="AK2318" t="s">
        <v>2416</v>
      </c>
      <c r="AL2318" t="s">
        <v>272</v>
      </c>
    </row>
    <row r="2319" spans="1:38">
      <c r="A2319" t="s">
        <v>9869</v>
      </c>
      <c r="B2319" t="s">
        <v>9870</v>
      </c>
      <c r="C2319" t="s">
        <v>9871</v>
      </c>
      <c r="D2319" t="s">
        <v>9871</v>
      </c>
      <c r="E2319" t="s">
        <v>9872</v>
      </c>
      <c r="F2319" t="s">
        <v>2413</v>
      </c>
      <c r="G2319">
        <v>3</v>
      </c>
      <c r="H2319">
        <v>1</v>
      </c>
      <c r="I2319">
        <v>0.01</v>
      </c>
      <c r="J2319">
        <v>1000</v>
      </c>
      <c r="K2319">
        <v>0</v>
      </c>
      <c r="L2319">
        <v>0</v>
      </c>
      <c r="M2319">
        <v>84</v>
      </c>
      <c r="N2319">
        <v>84.56</v>
      </c>
      <c r="O2319">
        <v>84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84.01</v>
      </c>
      <c r="Y2319">
        <v>85.01</v>
      </c>
      <c r="Z2319">
        <v>0</v>
      </c>
      <c r="AA2319">
        <v>380307</v>
      </c>
      <c r="AB2319">
        <v>0</v>
      </c>
      <c r="AC2319">
        <v>0</v>
      </c>
      <c r="AD2319" t="s">
        <v>94</v>
      </c>
      <c r="AE2319" t="s">
        <v>94</v>
      </c>
      <c r="AF2319" t="s">
        <v>226</v>
      </c>
      <c r="AG2319" t="s">
        <v>226</v>
      </c>
      <c r="AH2319">
        <v>800</v>
      </c>
      <c r="AI2319" t="s">
        <v>3537</v>
      </c>
      <c r="AJ2319" t="s">
        <v>1976</v>
      </c>
      <c r="AK2319" t="s">
        <v>2416</v>
      </c>
      <c r="AL2319" t="s">
        <v>272</v>
      </c>
    </row>
    <row r="2320" spans="1:38">
      <c r="A2320" t="s">
        <v>9873</v>
      </c>
      <c r="B2320" t="s">
        <v>9874</v>
      </c>
      <c r="C2320" t="s">
        <v>9875</v>
      </c>
      <c r="D2320" t="s">
        <v>9875</v>
      </c>
      <c r="E2320" t="s">
        <v>9876</v>
      </c>
      <c r="F2320" t="s">
        <v>2413</v>
      </c>
      <c r="G2320">
        <v>3</v>
      </c>
      <c r="H2320">
        <v>1</v>
      </c>
      <c r="I2320">
        <v>0.01</v>
      </c>
      <c r="J2320">
        <v>1000</v>
      </c>
      <c r="K2320">
        <v>0</v>
      </c>
      <c r="L2320">
        <v>0</v>
      </c>
      <c r="M2320">
        <v>90.2</v>
      </c>
      <c r="N2320">
        <v>90.11</v>
      </c>
      <c r="O2320">
        <v>90.2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90.61</v>
      </c>
      <c r="Y2320">
        <v>0</v>
      </c>
      <c r="Z2320">
        <v>0</v>
      </c>
      <c r="AA2320">
        <v>1999878</v>
      </c>
      <c r="AB2320">
        <v>0</v>
      </c>
      <c r="AC2320">
        <v>0</v>
      </c>
      <c r="AD2320" t="s">
        <v>94</v>
      </c>
      <c r="AE2320" t="s">
        <v>94</v>
      </c>
      <c r="AF2320" t="s">
        <v>226</v>
      </c>
      <c r="AG2320" t="s">
        <v>226</v>
      </c>
      <c r="AH2320">
        <v>800</v>
      </c>
      <c r="AI2320" t="s">
        <v>3537</v>
      </c>
      <c r="AJ2320" t="s">
        <v>1976</v>
      </c>
      <c r="AK2320" t="s">
        <v>2416</v>
      </c>
      <c r="AL2320" t="s">
        <v>272</v>
      </c>
    </row>
    <row r="2321" spans="1:38">
      <c r="A2321" t="s">
        <v>9877</v>
      </c>
      <c r="B2321" t="s">
        <v>9878</v>
      </c>
      <c r="C2321" t="s">
        <v>9879</v>
      </c>
      <c r="D2321" t="s">
        <v>9879</v>
      </c>
      <c r="E2321" t="s">
        <v>9880</v>
      </c>
      <c r="F2321" t="s">
        <v>2413</v>
      </c>
      <c r="G2321">
        <v>3</v>
      </c>
      <c r="H2321">
        <v>1</v>
      </c>
      <c r="I2321">
        <v>0.01</v>
      </c>
      <c r="J2321">
        <v>1000</v>
      </c>
      <c r="K2321">
        <v>0</v>
      </c>
      <c r="L2321">
        <v>0</v>
      </c>
      <c r="M2321">
        <v>87.2</v>
      </c>
      <c r="N2321">
        <v>87.72</v>
      </c>
      <c r="O2321">
        <v>87.2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87.51</v>
      </c>
      <c r="Y2321">
        <v>0</v>
      </c>
      <c r="Z2321">
        <v>0</v>
      </c>
      <c r="AA2321">
        <v>735372</v>
      </c>
      <c r="AB2321">
        <v>0</v>
      </c>
      <c r="AC2321">
        <v>0</v>
      </c>
      <c r="AD2321" t="s">
        <v>94</v>
      </c>
      <c r="AE2321" t="s">
        <v>94</v>
      </c>
      <c r="AF2321" t="s">
        <v>226</v>
      </c>
      <c r="AG2321" t="s">
        <v>226</v>
      </c>
      <c r="AH2321">
        <v>800</v>
      </c>
      <c r="AI2321" t="s">
        <v>3537</v>
      </c>
      <c r="AJ2321" t="s">
        <v>1976</v>
      </c>
      <c r="AK2321" t="s">
        <v>2416</v>
      </c>
      <c r="AL2321" t="s">
        <v>272</v>
      </c>
    </row>
    <row r="2322" spans="1:38">
      <c r="A2322" t="s">
        <v>9881</v>
      </c>
      <c r="B2322" t="s">
        <v>9882</v>
      </c>
      <c r="C2322" t="s">
        <v>9883</v>
      </c>
      <c r="D2322" t="s">
        <v>9883</v>
      </c>
      <c r="E2322" t="s">
        <v>9884</v>
      </c>
      <c r="F2322" t="s">
        <v>2413</v>
      </c>
      <c r="G2322">
        <v>3</v>
      </c>
      <c r="H2322">
        <v>1</v>
      </c>
      <c r="I2322">
        <v>0.01</v>
      </c>
      <c r="J2322">
        <v>1000</v>
      </c>
      <c r="K2322">
        <v>0</v>
      </c>
      <c r="L2322">
        <v>0</v>
      </c>
      <c r="M2322">
        <v>91.9</v>
      </c>
      <c r="N2322">
        <v>90.89</v>
      </c>
      <c r="O2322">
        <v>91.9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91.5</v>
      </c>
      <c r="Y2322">
        <v>0</v>
      </c>
      <c r="Z2322">
        <v>0</v>
      </c>
      <c r="AA2322">
        <v>505776</v>
      </c>
      <c r="AB2322">
        <v>0</v>
      </c>
      <c r="AC2322">
        <v>0</v>
      </c>
      <c r="AD2322" t="s">
        <v>94</v>
      </c>
      <c r="AE2322" t="s">
        <v>94</v>
      </c>
      <c r="AF2322" t="s">
        <v>226</v>
      </c>
      <c r="AG2322" t="s">
        <v>226</v>
      </c>
      <c r="AH2322">
        <v>800</v>
      </c>
      <c r="AI2322" t="s">
        <v>3537</v>
      </c>
      <c r="AJ2322" t="s">
        <v>1976</v>
      </c>
      <c r="AK2322" t="s">
        <v>2416</v>
      </c>
      <c r="AL2322" t="s">
        <v>272</v>
      </c>
    </row>
    <row r="2323" spans="1:38">
      <c r="A2323" t="s">
        <v>9885</v>
      </c>
      <c r="B2323" t="s">
        <v>9886</v>
      </c>
      <c r="C2323" t="s">
        <v>9887</v>
      </c>
      <c r="D2323" t="s">
        <v>9887</v>
      </c>
      <c r="E2323" t="s">
        <v>9888</v>
      </c>
      <c r="F2323" t="s">
        <v>2413</v>
      </c>
      <c r="G2323">
        <v>3</v>
      </c>
      <c r="H2323">
        <v>1</v>
      </c>
      <c r="I2323">
        <v>0.01</v>
      </c>
      <c r="J2323">
        <v>1000</v>
      </c>
      <c r="K2323">
        <v>0</v>
      </c>
      <c r="L2323">
        <v>0</v>
      </c>
      <c r="M2323">
        <v>88.9</v>
      </c>
      <c r="N2323">
        <v>0</v>
      </c>
      <c r="O2323">
        <v>88.9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88.51</v>
      </c>
      <c r="Y2323">
        <v>0</v>
      </c>
      <c r="Z2323">
        <v>0</v>
      </c>
      <c r="AA2323">
        <v>734860</v>
      </c>
      <c r="AB2323">
        <v>0</v>
      </c>
      <c r="AC2323">
        <v>0</v>
      </c>
      <c r="AD2323" t="s">
        <v>94</v>
      </c>
      <c r="AE2323" t="s">
        <v>94</v>
      </c>
      <c r="AF2323" t="s">
        <v>226</v>
      </c>
      <c r="AG2323" t="s">
        <v>226</v>
      </c>
      <c r="AH2323">
        <v>800</v>
      </c>
      <c r="AI2323" t="s">
        <v>3537</v>
      </c>
      <c r="AJ2323" t="s">
        <v>1976</v>
      </c>
      <c r="AK2323" t="s">
        <v>2416</v>
      </c>
      <c r="AL2323" t="s">
        <v>272</v>
      </c>
    </row>
    <row r="2324" spans="1:38">
      <c r="A2324" t="s">
        <v>9889</v>
      </c>
      <c r="B2324" t="s">
        <v>9890</v>
      </c>
      <c r="C2324" t="s">
        <v>9891</v>
      </c>
      <c r="D2324" t="s">
        <v>9891</v>
      </c>
      <c r="E2324" t="s">
        <v>9892</v>
      </c>
      <c r="F2324" t="s">
        <v>2413</v>
      </c>
      <c r="G2324">
        <v>3</v>
      </c>
      <c r="H2324">
        <v>1</v>
      </c>
      <c r="I2324">
        <v>0.01</v>
      </c>
      <c r="J2324">
        <v>1000</v>
      </c>
      <c r="K2324">
        <v>0</v>
      </c>
      <c r="L2324">
        <v>0</v>
      </c>
      <c r="M2324">
        <v>91.7</v>
      </c>
      <c r="N2324">
        <v>91.75</v>
      </c>
      <c r="O2324">
        <v>91.7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91.01</v>
      </c>
      <c r="Y2324">
        <v>94.97</v>
      </c>
      <c r="Z2324">
        <v>0</v>
      </c>
      <c r="AA2324">
        <v>852357</v>
      </c>
      <c r="AB2324">
        <v>0</v>
      </c>
      <c r="AC2324">
        <v>0</v>
      </c>
      <c r="AD2324" t="s">
        <v>94</v>
      </c>
      <c r="AE2324" t="s">
        <v>94</v>
      </c>
      <c r="AF2324" t="s">
        <v>226</v>
      </c>
      <c r="AG2324" t="s">
        <v>226</v>
      </c>
      <c r="AH2324">
        <v>800</v>
      </c>
      <c r="AI2324" t="s">
        <v>3537</v>
      </c>
      <c r="AJ2324" t="s">
        <v>1976</v>
      </c>
      <c r="AK2324" t="s">
        <v>2416</v>
      </c>
      <c r="AL2324" t="s">
        <v>272</v>
      </c>
    </row>
    <row r="2325" spans="1:38">
      <c r="A2325" t="s">
        <v>9893</v>
      </c>
      <c r="B2325" t="s">
        <v>9894</v>
      </c>
      <c r="C2325" t="s">
        <v>9895</v>
      </c>
      <c r="D2325" t="s">
        <v>9895</v>
      </c>
      <c r="E2325" t="s">
        <v>9896</v>
      </c>
      <c r="F2325" t="s">
        <v>2413</v>
      </c>
      <c r="G2325">
        <v>3</v>
      </c>
      <c r="H2325">
        <v>1</v>
      </c>
      <c r="I2325">
        <v>0.01</v>
      </c>
      <c r="J2325">
        <v>1000</v>
      </c>
      <c r="K2325">
        <v>0</v>
      </c>
      <c r="L2325">
        <v>0</v>
      </c>
      <c r="M2325">
        <v>84.6</v>
      </c>
      <c r="N2325">
        <v>84.6</v>
      </c>
      <c r="O2325">
        <v>84.6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85.01</v>
      </c>
      <c r="Y2325">
        <v>93.05</v>
      </c>
      <c r="Z2325">
        <v>0</v>
      </c>
      <c r="AA2325">
        <v>350835</v>
      </c>
      <c r="AB2325">
        <v>0</v>
      </c>
      <c r="AC2325">
        <v>0</v>
      </c>
      <c r="AD2325" t="s">
        <v>94</v>
      </c>
      <c r="AE2325" t="s">
        <v>94</v>
      </c>
      <c r="AF2325" t="s">
        <v>226</v>
      </c>
      <c r="AG2325" t="s">
        <v>226</v>
      </c>
      <c r="AH2325">
        <v>800</v>
      </c>
      <c r="AI2325" t="s">
        <v>3537</v>
      </c>
      <c r="AJ2325" t="s">
        <v>1976</v>
      </c>
      <c r="AK2325" t="s">
        <v>2416</v>
      </c>
      <c r="AL2325" t="s">
        <v>272</v>
      </c>
    </row>
    <row r="2326" spans="1:38">
      <c r="A2326" t="s">
        <v>9897</v>
      </c>
      <c r="B2326" t="s">
        <v>9898</v>
      </c>
      <c r="C2326" t="s">
        <v>9899</v>
      </c>
      <c r="D2326" t="s">
        <v>9899</v>
      </c>
      <c r="E2326" t="s">
        <v>9900</v>
      </c>
      <c r="F2326" t="s">
        <v>2413</v>
      </c>
      <c r="G2326">
        <v>3</v>
      </c>
      <c r="H2326">
        <v>1</v>
      </c>
      <c r="I2326">
        <v>0.01</v>
      </c>
      <c r="J2326">
        <v>1000</v>
      </c>
      <c r="K2326">
        <v>0</v>
      </c>
      <c r="L2326">
        <v>0</v>
      </c>
      <c r="M2326">
        <v>96.8</v>
      </c>
      <c r="N2326">
        <v>0</v>
      </c>
      <c r="O2326">
        <v>96.8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96.71</v>
      </c>
      <c r="Y2326">
        <v>0</v>
      </c>
      <c r="Z2326">
        <v>0</v>
      </c>
      <c r="AA2326">
        <v>434236</v>
      </c>
      <c r="AB2326">
        <v>0</v>
      </c>
      <c r="AC2326">
        <v>0</v>
      </c>
      <c r="AD2326" t="s">
        <v>94</v>
      </c>
      <c r="AE2326" t="s">
        <v>94</v>
      </c>
      <c r="AF2326" t="s">
        <v>226</v>
      </c>
      <c r="AG2326" t="s">
        <v>226</v>
      </c>
      <c r="AH2326">
        <v>800</v>
      </c>
      <c r="AI2326" t="s">
        <v>3537</v>
      </c>
      <c r="AJ2326" t="s">
        <v>1976</v>
      </c>
      <c r="AK2326" t="s">
        <v>2416</v>
      </c>
      <c r="AL2326" t="s">
        <v>272</v>
      </c>
    </row>
    <row r="2327" spans="1:38">
      <c r="A2327" t="s">
        <v>9901</v>
      </c>
      <c r="B2327" t="s">
        <v>9902</v>
      </c>
      <c r="C2327" t="s">
        <v>9903</v>
      </c>
      <c r="D2327" t="s">
        <v>9903</v>
      </c>
      <c r="E2327" t="s">
        <v>9904</v>
      </c>
      <c r="F2327" t="s">
        <v>2413</v>
      </c>
      <c r="G2327">
        <v>3</v>
      </c>
      <c r="H2327">
        <v>1</v>
      </c>
      <c r="I2327">
        <v>0.01</v>
      </c>
      <c r="J2327">
        <v>1000</v>
      </c>
      <c r="K2327">
        <v>-0.24</v>
      </c>
      <c r="L2327">
        <v>84.7</v>
      </c>
      <c r="M2327">
        <v>84.9</v>
      </c>
      <c r="N2327">
        <v>85.2</v>
      </c>
      <c r="O2327">
        <v>84.7</v>
      </c>
      <c r="P2327">
        <v>0</v>
      </c>
      <c r="Q2327">
        <v>0</v>
      </c>
      <c r="R2327">
        <v>0</v>
      </c>
      <c r="S2327">
        <v>84.7</v>
      </c>
      <c r="T2327">
        <v>84.71</v>
      </c>
      <c r="U2327">
        <v>84.7</v>
      </c>
      <c r="V2327">
        <v>84.71</v>
      </c>
      <c r="W2327">
        <v>169400</v>
      </c>
      <c r="X2327">
        <v>84.7</v>
      </c>
      <c r="Y2327">
        <v>89.96</v>
      </c>
      <c r="Z2327">
        <v>2</v>
      </c>
      <c r="AA2327">
        <v>1886147</v>
      </c>
      <c r="AB2327">
        <v>168553</v>
      </c>
      <c r="AC2327">
        <v>0</v>
      </c>
      <c r="AD2327" t="s">
        <v>94</v>
      </c>
      <c r="AE2327" t="s">
        <v>94</v>
      </c>
      <c r="AF2327" t="s">
        <v>226</v>
      </c>
      <c r="AG2327" t="s">
        <v>226</v>
      </c>
      <c r="AH2327">
        <v>800</v>
      </c>
      <c r="AI2327" t="s">
        <v>3537</v>
      </c>
      <c r="AJ2327" t="s">
        <v>1976</v>
      </c>
      <c r="AK2327" t="s">
        <v>2416</v>
      </c>
      <c r="AL2327" t="s">
        <v>272</v>
      </c>
    </row>
    <row r="2328" spans="1:38">
      <c r="A2328" t="s">
        <v>9905</v>
      </c>
      <c r="B2328" t="s">
        <v>9906</v>
      </c>
      <c r="C2328" t="s">
        <v>9907</v>
      </c>
      <c r="D2328" t="s">
        <v>9907</v>
      </c>
      <c r="E2328" t="s">
        <v>9908</v>
      </c>
      <c r="F2328" t="s">
        <v>2413</v>
      </c>
      <c r="G2328">
        <v>3</v>
      </c>
      <c r="H2328">
        <v>1</v>
      </c>
      <c r="I2328">
        <v>0.01</v>
      </c>
      <c r="J2328">
        <v>1000</v>
      </c>
      <c r="K2328">
        <v>0</v>
      </c>
      <c r="L2328">
        <v>0</v>
      </c>
      <c r="M2328">
        <v>84.5</v>
      </c>
      <c r="N2328">
        <v>85.46</v>
      </c>
      <c r="O2328">
        <v>84.5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84.51</v>
      </c>
      <c r="Y2328">
        <v>89</v>
      </c>
      <c r="Z2328">
        <v>0</v>
      </c>
      <c r="AA2328">
        <v>183460</v>
      </c>
      <c r="AB2328">
        <v>0</v>
      </c>
      <c r="AC2328">
        <v>0</v>
      </c>
      <c r="AD2328" t="s">
        <v>94</v>
      </c>
      <c r="AE2328" t="s">
        <v>94</v>
      </c>
      <c r="AF2328" t="s">
        <v>226</v>
      </c>
      <c r="AG2328" t="s">
        <v>226</v>
      </c>
      <c r="AH2328">
        <v>800</v>
      </c>
      <c r="AI2328" t="s">
        <v>3537</v>
      </c>
      <c r="AJ2328" t="s">
        <v>1976</v>
      </c>
      <c r="AK2328" t="s">
        <v>2416</v>
      </c>
      <c r="AL2328" t="s">
        <v>272</v>
      </c>
    </row>
    <row r="2329" spans="1:38">
      <c r="A2329" t="s">
        <v>9909</v>
      </c>
      <c r="B2329" t="s">
        <v>9910</v>
      </c>
      <c r="C2329" t="s">
        <v>9911</v>
      </c>
      <c r="D2329" t="s">
        <v>9911</v>
      </c>
      <c r="E2329" t="s">
        <v>9912</v>
      </c>
      <c r="F2329" t="s">
        <v>2413</v>
      </c>
      <c r="G2329">
        <v>3</v>
      </c>
      <c r="H2329">
        <v>1</v>
      </c>
      <c r="I2329">
        <v>0.01</v>
      </c>
      <c r="J2329">
        <v>1000</v>
      </c>
      <c r="K2329">
        <v>0</v>
      </c>
      <c r="L2329">
        <v>0</v>
      </c>
      <c r="M2329">
        <v>121.4</v>
      </c>
      <c r="N2329">
        <v>120.53</v>
      </c>
      <c r="O2329">
        <v>121.4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121.41</v>
      </c>
      <c r="Y2329">
        <v>170.76</v>
      </c>
      <c r="Z2329">
        <v>0</v>
      </c>
      <c r="AA2329">
        <v>620174</v>
      </c>
      <c r="AB2329">
        <v>0</v>
      </c>
      <c r="AC2329">
        <v>0</v>
      </c>
      <c r="AD2329" t="s">
        <v>94</v>
      </c>
      <c r="AE2329" t="s">
        <v>94</v>
      </c>
      <c r="AF2329" t="s">
        <v>226</v>
      </c>
      <c r="AG2329" t="s">
        <v>226</v>
      </c>
      <c r="AH2329">
        <v>800</v>
      </c>
      <c r="AI2329" t="s">
        <v>3537</v>
      </c>
      <c r="AJ2329" t="s">
        <v>1976</v>
      </c>
      <c r="AK2329" t="s">
        <v>2416</v>
      </c>
      <c r="AL2329" t="s">
        <v>272</v>
      </c>
    </row>
    <row r="2330" spans="1:38">
      <c r="A2330" t="s">
        <v>9913</v>
      </c>
      <c r="B2330" t="s">
        <v>9914</v>
      </c>
      <c r="C2330" t="s">
        <v>9915</v>
      </c>
      <c r="D2330" t="s">
        <v>9915</v>
      </c>
      <c r="E2330" t="s">
        <v>9916</v>
      </c>
      <c r="F2330" t="s">
        <v>2413</v>
      </c>
      <c r="G2330">
        <v>3</v>
      </c>
      <c r="H2330">
        <v>1</v>
      </c>
      <c r="I2330">
        <v>0.01</v>
      </c>
      <c r="J2330">
        <v>1000</v>
      </c>
      <c r="K2330">
        <v>0</v>
      </c>
      <c r="L2330">
        <v>0</v>
      </c>
      <c r="M2330">
        <v>118</v>
      </c>
      <c r="N2330">
        <v>117.5</v>
      </c>
      <c r="O2330">
        <v>118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118</v>
      </c>
      <c r="Y2330">
        <v>138.78</v>
      </c>
      <c r="Z2330">
        <v>0</v>
      </c>
      <c r="AA2330">
        <v>563148</v>
      </c>
      <c r="AB2330">
        <v>0</v>
      </c>
      <c r="AC2330">
        <v>0</v>
      </c>
      <c r="AD2330" t="s">
        <v>94</v>
      </c>
      <c r="AE2330" t="s">
        <v>94</v>
      </c>
      <c r="AF2330" t="s">
        <v>226</v>
      </c>
      <c r="AG2330" t="s">
        <v>226</v>
      </c>
      <c r="AH2330">
        <v>800</v>
      </c>
      <c r="AI2330" t="s">
        <v>3537</v>
      </c>
      <c r="AJ2330" t="s">
        <v>1976</v>
      </c>
      <c r="AK2330" t="s">
        <v>2416</v>
      </c>
      <c r="AL2330" t="s">
        <v>272</v>
      </c>
    </row>
    <row r="2331" spans="1:38">
      <c r="A2331" t="s">
        <v>9917</v>
      </c>
      <c r="B2331" t="s">
        <v>9918</v>
      </c>
      <c r="C2331" t="s">
        <v>9919</v>
      </c>
      <c r="D2331" t="s">
        <v>9919</v>
      </c>
      <c r="E2331" t="s">
        <v>9920</v>
      </c>
      <c r="F2331" t="s">
        <v>2413</v>
      </c>
      <c r="G2331">
        <v>3</v>
      </c>
      <c r="H2331">
        <v>1</v>
      </c>
      <c r="I2331">
        <v>0.01</v>
      </c>
      <c r="J2331">
        <v>1000</v>
      </c>
      <c r="K2331">
        <v>0</v>
      </c>
      <c r="L2331">
        <v>0</v>
      </c>
      <c r="M2331">
        <v>97.7</v>
      </c>
      <c r="N2331">
        <v>0</v>
      </c>
      <c r="O2331">
        <v>97.7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96.91</v>
      </c>
      <c r="Y2331">
        <v>0</v>
      </c>
      <c r="Z2331">
        <v>0</v>
      </c>
      <c r="AA2331">
        <v>63440</v>
      </c>
      <c r="AB2331">
        <v>0</v>
      </c>
      <c r="AC2331">
        <v>0</v>
      </c>
      <c r="AD2331" t="s">
        <v>94</v>
      </c>
      <c r="AE2331" t="s">
        <v>94</v>
      </c>
      <c r="AF2331" t="s">
        <v>226</v>
      </c>
      <c r="AG2331" t="s">
        <v>226</v>
      </c>
      <c r="AH2331">
        <v>800</v>
      </c>
      <c r="AI2331" t="s">
        <v>3537</v>
      </c>
      <c r="AJ2331" t="s">
        <v>1976</v>
      </c>
      <c r="AK2331" t="s">
        <v>2416</v>
      </c>
      <c r="AL2331" t="s">
        <v>272</v>
      </c>
    </row>
    <row r="2332" spans="1:38">
      <c r="A2332" t="s">
        <v>9921</v>
      </c>
      <c r="B2332" t="s">
        <v>9922</v>
      </c>
      <c r="C2332" t="s">
        <v>9923</v>
      </c>
      <c r="D2332" t="s">
        <v>9923</v>
      </c>
      <c r="E2332" t="s">
        <v>9924</v>
      </c>
      <c r="F2332" t="s">
        <v>2413</v>
      </c>
      <c r="G2332">
        <v>3</v>
      </c>
      <c r="H2332">
        <v>1</v>
      </c>
      <c r="I2332">
        <v>0.01</v>
      </c>
      <c r="J2332">
        <v>1000</v>
      </c>
      <c r="K2332">
        <v>0</v>
      </c>
      <c r="L2332">
        <v>0</v>
      </c>
      <c r="M2332">
        <v>88.5</v>
      </c>
      <c r="N2332">
        <v>0</v>
      </c>
      <c r="O2332">
        <v>88.5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95.31</v>
      </c>
      <c r="Y2332">
        <v>0</v>
      </c>
      <c r="Z2332">
        <v>0</v>
      </c>
      <c r="AA2332">
        <v>62780</v>
      </c>
      <c r="AB2332">
        <v>0</v>
      </c>
      <c r="AC2332">
        <v>0</v>
      </c>
      <c r="AD2332" t="s">
        <v>94</v>
      </c>
      <c r="AE2332" t="s">
        <v>94</v>
      </c>
      <c r="AF2332" t="s">
        <v>226</v>
      </c>
      <c r="AG2332" t="s">
        <v>226</v>
      </c>
      <c r="AH2332">
        <v>800</v>
      </c>
      <c r="AI2332" t="s">
        <v>3537</v>
      </c>
      <c r="AJ2332" t="s">
        <v>1976</v>
      </c>
      <c r="AK2332" t="s">
        <v>2416</v>
      </c>
      <c r="AL2332" t="s">
        <v>272</v>
      </c>
    </row>
    <row r="2333" spans="1:38">
      <c r="A2333" t="s">
        <v>9925</v>
      </c>
      <c r="B2333" t="s">
        <v>9926</v>
      </c>
      <c r="C2333" t="s">
        <v>9927</v>
      </c>
      <c r="D2333" t="s">
        <v>9927</v>
      </c>
      <c r="E2333" t="s">
        <v>9928</v>
      </c>
      <c r="F2333" t="s">
        <v>2413</v>
      </c>
      <c r="G2333">
        <v>3</v>
      </c>
      <c r="H2333">
        <v>1</v>
      </c>
      <c r="I2333">
        <v>0.01</v>
      </c>
      <c r="J2333">
        <v>1000</v>
      </c>
      <c r="K2333">
        <v>0</v>
      </c>
      <c r="L2333">
        <v>0</v>
      </c>
      <c r="M2333">
        <v>89.6</v>
      </c>
      <c r="N2333">
        <v>89.56</v>
      </c>
      <c r="O2333">
        <v>89.6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89.01</v>
      </c>
      <c r="Y2333">
        <v>90.81</v>
      </c>
      <c r="Z2333">
        <v>0</v>
      </c>
      <c r="AA2333">
        <v>835099</v>
      </c>
      <c r="AB2333">
        <v>0</v>
      </c>
      <c r="AC2333">
        <v>0</v>
      </c>
      <c r="AD2333" t="s">
        <v>94</v>
      </c>
      <c r="AE2333" t="s">
        <v>94</v>
      </c>
      <c r="AF2333" t="s">
        <v>226</v>
      </c>
      <c r="AG2333" t="s">
        <v>226</v>
      </c>
      <c r="AH2333">
        <v>800</v>
      </c>
      <c r="AI2333" t="s">
        <v>3537</v>
      </c>
      <c r="AJ2333" t="s">
        <v>1976</v>
      </c>
      <c r="AK2333" t="s">
        <v>2416</v>
      </c>
      <c r="AL2333" t="s">
        <v>272</v>
      </c>
    </row>
    <row r="2334" spans="1:38">
      <c r="A2334" t="s">
        <v>9929</v>
      </c>
      <c r="B2334" t="s">
        <v>9930</v>
      </c>
      <c r="C2334" t="s">
        <v>9931</v>
      </c>
      <c r="D2334" t="s">
        <v>9931</v>
      </c>
      <c r="E2334" t="s">
        <v>9932</v>
      </c>
      <c r="F2334" t="s">
        <v>2413</v>
      </c>
      <c r="G2334">
        <v>3</v>
      </c>
      <c r="H2334">
        <v>1</v>
      </c>
      <c r="I2334">
        <v>0.01</v>
      </c>
      <c r="J2334">
        <v>1000</v>
      </c>
      <c r="K2334">
        <v>0</v>
      </c>
      <c r="L2334">
        <v>0</v>
      </c>
      <c r="M2334">
        <v>83.2</v>
      </c>
      <c r="N2334">
        <v>85.99</v>
      </c>
      <c r="O2334">
        <v>83.2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83.81</v>
      </c>
      <c r="Y2334">
        <v>89.41</v>
      </c>
      <c r="Z2334">
        <v>0</v>
      </c>
      <c r="AA2334">
        <v>345424</v>
      </c>
      <c r="AB2334">
        <v>0</v>
      </c>
      <c r="AC2334">
        <v>0</v>
      </c>
      <c r="AD2334" t="s">
        <v>94</v>
      </c>
      <c r="AE2334" t="s">
        <v>94</v>
      </c>
      <c r="AF2334" t="s">
        <v>226</v>
      </c>
      <c r="AG2334" t="s">
        <v>226</v>
      </c>
      <c r="AH2334">
        <v>800</v>
      </c>
      <c r="AI2334" t="s">
        <v>3537</v>
      </c>
      <c r="AJ2334" t="s">
        <v>1976</v>
      </c>
      <c r="AK2334" t="s">
        <v>2416</v>
      </c>
      <c r="AL2334" t="s">
        <v>272</v>
      </c>
    </row>
    <row r="2335" spans="1:38">
      <c r="A2335" t="s">
        <v>9933</v>
      </c>
      <c r="B2335" t="s">
        <v>9934</v>
      </c>
      <c r="C2335" t="s">
        <v>9935</v>
      </c>
      <c r="D2335" t="s">
        <v>9935</v>
      </c>
      <c r="E2335" t="s">
        <v>9936</v>
      </c>
      <c r="F2335" t="s">
        <v>2413</v>
      </c>
      <c r="G2335">
        <v>3</v>
      </c>
      <c r="H2335">
        <v>1</v>
      </c>
      <c r="I2335">
        <v>0.01</v>
      </c>
      <c r="J2335">
        <v>1000</v>
      </c>
      <c r="K2335">
        <v>0</v>
      </c>
      <c r="L2335">
        <v>0</v>
      </c>
      <c r="M2335">
        <v>81.34</v>
      </c>
      <c r="N2335">
        <v>82.01</v>
      </c>
      <c r="O2335">
        <v>81.34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81.13</v>
      </c>
      <c r="Y2335">
        <v>86</v>
      </c>
      <c r="Z2335">
        <v>0</v>
      </c>
      <c r="AA2335">
        <v>1945887</v>
      </c>
      <c r="AB2335">
        <v>0</v>
      </c>
      <c r="AC2335">
        <v>0</v>
      </c>
      <c r="AD2335" t="s">
        <v>94</v>
      </c>
      <c r="AE2335" t="s">
        <v>94</v>
      </c>
      <c r="AF2335" t="s">
        <v>226</v>
      </c>
      <c r="AG2335" t="s">
        <v>226</v>
      </c>
      <c r="AH2335">
        <v>800</v>
      </c>
      <c r="AI2335" t="s">
        <v>3537</v>
      </c>
      <c r="AJ2335" t="s">
        <v>1976</v>
      </c>
      <c r="AK2335" t="s">
        <v>2416</v>
      </c>
      <c r="AL2335" t="s">
        <v>272</v>
      </c>
    </row>
    <row r="2336" spans="1:38">
      <c r="A2336" t="s">
        <v>9937</v>
      </c>
      <c r="B2336" t="s">
        <v>9938</v>
      </c>
      <c r="C2336" t="s">
        <v>9939</v>
      </c>
      <c r="D2336" t="s">
        <v>9939</v>
      </c>
      <c r="E2336" t="s">
        <v>9940</v>
      </c>
      <c r="F2336" t="s">
        <v>2413</v>
      </c>
      <c r="G2336">
        <v>3</v>
      </c>
      <c r="H2336">
        <v>1</v>
      </c>
      <c r="I2336">
        <v>0.01</v>
      </c>
      <c r="J2336">
        <v>1000</v>
      </c>
      <c r="K2336">
        <v>0</v>
      </c>
      <c r="L2336">
        <v>0</v>
      </c>
      <c r="M2336">
        <v>86.2</v>
      </c>
      <c r="N2336">
        <v>0</v>
      </c>
      <c r="O2336">
        <v>86.2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87.31</v>
      </c>
      <c r="Y2336">
        <v>0</v>
      </c>
      <c r="Z2336">
        <v>0</v>
      </c>
      <c r="AA2336">
        <v>404938</v>
      </c>
      <c r="AB2336">
        <v>0</v>
      </c>
      <c r="AC2336">
        <v>0</v>
      </c>
      <c r="AD2336" t="s">
        <v>94</v>
      </c>
      <c r="AE2336" t="s">
        <v>94</v>
      </c>
      <c r="AF2336" t="s">
        <v>226</v>
      </c>
      <c r="AG2336" t="s">
        <v>226</v>
      </c>
      <c r="AH2336">
        <v>800</v>
      </c>
      <c r="AI2336" t="s">
        <v>3537</v>
      </c>
      <c r="AJ2336" t="s">
        <v>1976</v>
      </c>
      <c r="AK2336" t="s">
        <v>2416</v>
      </c>
      <c r="AL2336" t="s">
        <v>272</v>
      </c>
    </row>
    <row r="2337" spans="1:38">
      <c r="A2337" t="s">
        <v>9941</v>
      </c>
      <c r="B2337" t="s">
        <v>9942</v>
      </c>
      <c r="C2337" t="s">
        <v>9943</v>
      </c>
      <c r="D2337" t="s">
        <v>9943</v>
      </c>
      <c r="E2337" t="s">
        <v>9944</v>
      </c>
      <c r="F2337" t="s">
        <v>2413</v>
      </c>
      <c r="G2337">
        <v>3</v>
      </c>
      <c r="H2337">
        <v>1</v>
      </c>
      <c r="I2337">
        <v>0.01</v>
      </c>
      <c r="J2337">
        <v>1000</v>
      </c>
      <c r="K2337">
        <v>0</v>
      </c>
      <c r="L2337">
        <v>0</v>
      </c>
      <c r="M2337">
        <v>89.5</v>
      </c>
      <c r="N2337">
        <v>89.71</v>
      </c>
      <c r="O2337">
        <v>89.5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90.41</v>
      </c>
      <c r="Y2337">
        <v>98.44</v>
      </c>
      <c r="Z2337">
        <v>0</v>
      </c>
      <c r="AA2337">
        <v>440592</v>
      </c>
      <c r="AB2337">
        <v>0</v>
      </c>
      <c r="AC2337">
        <v>0</v>
      </c>
      <c r="AD2337" t="s">
        <v>94</v>
      </c>
      <c r="AE2337" t="s">
        <v>94</v>
      </c>
      <c r="AF2337" t="s">
        <v>226</v>
      </c>
      <c r="AG2337" t="s">
        <v>226</v>
      </c>
      <c r="AH2337">
        <v>800</v>
      </c>
      <c r="AI2337" t="s">
        <v>3537</v>
      </c>
      <c r="AJ2337" t="s">
        <v>1976</v>
      </c>
      <c r="AK2337" t="s">
        <v>2416</v>
      </c>
      <c r="AL2337" t="s">
        <v>272</v>
      </c>
    </row>
    <row r="2338" spans="1:38">
      <c r="A2338" t="s">
        <v>9945</v>
      </c>
      <c r="B2338" t="s">
        <v>9946</v>
      </c>
      <c r="C2338" t="s">
        <v>9947</v>
      </c>
      <c r="D2338" t="s">
        <v>9947</v>
      </c>
      <c r="E2338" t="s">
        <v>9948</v>
      </c>
      <c r="F2338" t="s">
        <v>2413</v>
      </c>
      <c r="G2338">
        <v>3</v>
      </c>
      <c r="H2338">
        <v>1</v>
      </c>
      <c r="I2338">
        <v>0.01</v>
      </c>
      <c r="J2338">
        <v>1000</v>
      </c>
      <c r="K2338">
        <v>0</v>
      </c>
      <c r="L2338">
        <v>0</v>
      </c>
      <c r="M2338">
        <v>86.3</v>
      </c>
      <c r="N2338">
        <v>86.77</v>
      </c>
      <c r="O2338">
        <v>86.3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86.61</v>
      </c>
      <c r="Y2338">
        <v>0</v>
      </c>
      <c r="Z2338">
        <v>0</v>
      </c>
      <c r="AA2338">
        <v>825421</v>
      </c>
      <c r="AB2338">
        <v>0</v>
      </c>
      <c r="AC2338">
        <v>0</v>
      </c>
      <c r="AD2338" t="s">
        <v>94</v>
      </c>
      <c r="AE2338" t="s">
        <v>94</v>
      </c>
      <c r="AF2338" t="s">
        <v>226</v>
      </c>
      <c r="AG2338" t="s">
        <v>226</v>
      </c>
      <c r="AH2338">
        <v>800</v>
      </c>
      <c r="AI2338" t="s">
        <v>3537</v>
      </c>
      <c r="AJ2338" t="s">
        <v>1976</v>
      </c>
      <c r="AK2338" t="s">
        <v>2416</v>
      </c>
      <c r="AL2338" t="s">
        <v>272</v>
      </c>
    </row>
    <row r="2339" spans="1:38">
      <c r="A2339" t="s">
        <v>9949</v>
      </c>
      <c r="B2339" t="s">
        <v>9950</v>
      </c>
      <c r="C2339" t="s">
        <v>9951</v>
      </c>
      <c r="D2339" t="s">
        <v>9951</v>
      </c>
      <c r="E2339" t="s">
        <v>9952</v>
      </c>
      <c r="F2339" t="s">
        <v>2413</v>
      </c>
      <c r="G2339">
        <v>3</v>
      </c>
      <c r="H2339">
        <v>1</v>
      </c>
      <c r="I2339">
        <v>0.01</v>
      </c>
      <c r="J2339">
        <v>1000</v>
      </c>
      <c r="K2339">
        <v>0</v>
      </c>
      <c r="L2339">
        <v>0</v>
      </c>
      <c r="M2339">
        <v>89.6</v>
      </c>
      <c r="N2339">
        <v>89</v>
      </c>
      <c r="O2339">
        <v>89.6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90.01</v>
      </c>
      <c r="Y2339">
        <v>0</v>
      </c>
      <c r="Z2339">
        <v>0</v>
      </c>
      <c r="AA2339">
        <v>2365597</v>
      </c>
      <c r="AB2339">
        <v>0</v>
      </c>
      <c r="AC2339">
        <v>0</v>
      </c>
      <c r="AD2339" t="s">
        <v>94</v>
      </c>
      <c r="AE2339" t="s">
        <v>94</v>
      </c>
      <c r="AF2339" t="s">
        <v>226</v>
      </c>
      <c r="AG2339" t="s">
        <v>226</v>
      </c>
      <c r="AH2339">
        <v>800</v>
      </c>
      <c r="AI2339" t="s">
        <v>3537</v>
      </c>
      <c r="AJ2339" t="s">
        <v>1976</v>
      </c>
      <c r="AK2339" t="s">
        <v>2416</v>
      </c>
      <c r="AL2339" t="s">
        <v>272</v>
      </c>
    </row>
    <row r="2340" spans="1:38">
      <c r="A2340" t="s">
        <v>9953</v>
      </c>
      <c r="B2340" t="s">
        <v>9954</v>
      </c>
      <c r="C2340" t="s">
        <v>9955</v>
      </c>
      <c r="D2340" t="s">
        <v>9955</v>
      </c>
      <c r="E2340" t="s">
        <v>9956</v>
      </c>
      <c r="F2340" t="s">
        <v>2413</v>
      </c>
      <c r="G2340">
        <v>3</v>
      </c>
      <c r="H2340">
        <v>1</v>
      </c>
      <c r="I2340">
        <v>0.01</v>
      </c>
      <c r="J2340">
        <v>1000</v>
      </c>
      <c r="K2340">
        <v>0</v>
      </c>
      <c r="L2340">
        <v>0</v>
      </c>
      <c r="M2340">
        <v>88.8</v>
      </c>
      <c r="N2340">
        <v>91.31</v>
      </c>
      <c r="O2340">
        <v>88.8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89.9</v>
      </c>
      <c r="Y2340">
        <v>0</v>
      </c>
      <c r="Z2340">
        <v>0</v>
      </c>
      <c r="AA2340">
        <v>535952</v>
      </c>
      <c r="AB2340">
        <v>0</v>
      </c>
      <c r="AC2340">
        <v>0</v>
      </c>
      <c r="AD2340" t="s">
        <v>94</v>
      </c>
      <c r="AE2340" t="s">
        <v>94</v>
      </c>
      <c r="AF2340" t="s">
        <v>226</v>
      </c>
      <c r="AG2340" t="s">
        <v>226</v>
      </c>
      <c r="AH2340">
        <v>800</v>
      </c>
      <c r="AI2340" t="s">
        <v>3537</v>
      </c>
      <c r="AJ2340" t="s">
        <v>1976</v>
      </c>
      <c r="AK2340" t="s">
        <v>2416</v>
      </c>
      <c r="AL2340" t="s">
        <v>272</v>
      </c>
    </row>
    <row r="2341" spans="1:38">
      <c r="A2341" t="s">
        <v>9957</v>
      </c>
      <c r="B2341" t="s">
        <v>9958</v>
      </c>
      <c r="C2341" t="s">
        <v>9959</v>
      </c>
      <c r="D2341" t="s">
        <v>9959</v>
      </c>
      <c r="E2341" t="s">
        <v>9960</v>
      </c>
      <c r="F2341" t="s">
        <v>2413</v>
      </c>
      <c r="G2341">
        <v>3</v>
      </c>
      <c r="H2341">
        <v>1</v>
      </c>
      <c r="I2341">
        <v>0.01</v>
      </c>
      <c r="J2341">
        <v>1000</v>
      </c>
      <c r="K2341">
        <v>0</v>
      </c>
      <c r="L2341">
        <v>0</v>
      </c>
      <c r="M2341">
        <v>80.010000000000005</v>
      </c>
      <c r="N2341">
        <v>80.84</v>
      </c>
      <c r="O2341">
        <v>80.010000000000005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79.650000000000006</v>
      </c>
      <c r="Y2341">
        <v>84.1</v>
      </c>
      <c r="Z2341">
        <v>0</v>
      </c>
      <c r="AA2341">
        <v>1496170</v>
      </c>
      <c r="AB2341">
        <v>0</v>
      </c>
      <c r="AC2341">
        <v>0</v>
      </c>
      <c r="AD2341" t="s">
        <v>94</v>
      </c>
      <c r="AE2341" t="s">
        <v>94</v>
      </c>
      <c r="AF2341" t="s">
        <v>226</v>
      </c>
      <c r="AG2341" t="s">
        <v>226</v>
      </c>
      <c r="AH2341">
        <v>800</v>
      </c>
      <c r="AI2341" t="s">
        <v>3537</v>
      </c>
      <c r="AJ2341" t="s">
        <v>1976</v>
      </c>
      <c r="AK2341" t="s">
        <v>2416</v>
      </c>
      <c r="AL2341" t="s">
        <v>272</v>
      </c>
    </row>
    <row r="2342" spans="1:38">
      <c r="A2342" t="s">
        <v>9961</v>
      </c>
      <c r="B2342" t="s">
        <v>9962</v>
      </c>
      <c r="C2342" t="s">
        <v>9963</v>
      </c>
      <c r="D2342" t="s">
        <v>9963</v>
      </c>
      <c r="E2342" t="s">
        <v>9964</v>
      </c>
      <c r="F2342" t="s">
        <v>2413</v>
      </c>
      <c r="G2342">
        <v>3</v>
      </c>
      <c r="H2342">
        <v>1</v>
      </c>
      <c r="I2342">
        <v>0.01</v>
      </c>
      <c r="J2342">
        <v>1000</v>
      </c>
      <c r="K2342">
        <v>0</v>
      </c>
      <c r="L2342">
        <v>0</v>
      </c>
      <c r="M2342">
        <v>116.2</v>
      </c>
      <c r="N2342">
        <v>114.89</v>
      </c>
      <c r="O2342">
        <v>116.2</v>
      </c>
      <c r="P2342">
        <v>0</v>
      </c>
      <c r="Q2342">
        <v>0</v>
      </c>
      <c r="R2342">
        <v>0</v>
      </c>
      <c r="S2342">
        <v>115.7</v>
      </c>
      <c r="T2342">
        <v>0</v>
      </c>
      <c r="U2342">
        <v>0</v>
      </c>
      <c r="V2342">
        <v>0</v>
      </c>
      <c r="W2342">
        <v>0</v>
      </c>
      <c r="X2342">
        <v>115.7</v>
      </c>
      <c r="Y2342">
        <v>162.66999999999999</v>
      </c>
      <c r="Z2342">
        <v>0</v>
      </c>
      <c r="AA2342">
        <v>585941</v>
      </c>
      <c r="AB2342">
        <v>0</v>
      </c>
      <c r="AC2342">
        <v>0</v>
      </c>
      <c r="AD2342" t="s">
        <v>94</v>
      </c>
      <c r="AE2342" t="s">
        <v>94</v>
      </c>
      <c r="AF2342" t="s">
        <v>226</v>
      </c>
      <c r="AG2342" t="s">
        <v>226</v>
      </c>
      <c r="AH2342">
        <v>800</v>
      </c>
      <c r="AI2342" t="s">
        <v>3537</v>
      </c>
      <c r="AJ2342" t="s">
        <v>1976</v>
      </c>
      <c r="AK2342" t="s">
        <v>2416</v>
      </c>
      <c r="AL2342" t="s">
        <v>272</v>
      </c>
    </row>
    <row r="2343" spans="1:38">
      <c r="A2343" t="s">
        <v>9965</v>
      </c>
      <c r="B2343" t="s">
        <v>9966</v>
      </c>
      <c r="C2343" t="s">
        <v>9967</v>
      </c>
      <c r="D2343" t="s">
        <v>9967</v>
      </c>
      <c r="E2343" t="s">
        <v>9968</v>
      </c>
      <c r="F2343" t="s">
        <v>2413</v>
      </c>
      <c r="G2343">
        <v>3</v>
      </c>
      <c r="H2343">
        <v>1</v>
      </c>
      <c r="I2343">
        <v>0.01</v>
      </c>
      <c r="J2343">
        <v>1000</v>
      </c>
      <c r="K2343">
        <v>0</v>
      </c>
      <c r="L2343">
        <v>0</v>
      </c>
      <c r="M2343">
        <v>101.2</v>
      </c>
      <c r="N2343">
        <v>100.66</v>
      </c>
      <c r="O2343">
        <v>101.2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99.5</v>
      </c>
      <c r="Y2343">
        <v>140.78</v>
      </c>
      <c r="Z2343">
        <v>0</v>
      </c>
      <c r="AA2343">
        <v>312060</v>
      </c>
      <c r="AB2343">
        <v>0</v>
      </c>
      <c r="AC2343">
        <v>0</v>
      </c>
      <c r="AD2343" t="s">
        <v>94</v>
      </c>
      <c r="AE2343" t="s">
        <v>94</v>
      </c>
      <c r="AF2343" t="s">
        <v>226</v>
      </c>
      <c r="AG2343" t="s">
        <v>226</v>
      </c>
      <c r="AH2343">
        <v>800</v>
      </c>
      <c r="AI2343" t="s">
        <v>3537</v>
      </c>
      <c r="AJ2343" t="s">
        <v>1976</v>
      </c>
      <c r="AK2343" t="s">
        <v>2416</v>
      </c>
      <c r="AL2343" t="s">
        <v>272</v>
      </c>
    </row>
    <row r="2344" spans="1:38">
      <c r="A2344" t="s">
        <v>9969</v>
      </c>
      <c r="B2344" t="s">
        <v>9970</v>
      </c>
      <c r="C2344" t="s">
        <v>9971</v>
      </c>
      <c r="D2344" t="s">
        <v>9971</v>
      </c>
      <c r="E2344" t="s">
        <v>9972</v>
      </c>
      <c r="F2344" t="s">
        <v>2413</v>
      </c>
      <c r="G2344">
        <v>3</v>
      </c>
      <c r="H2344">
        <v>1</v>
      </c>
      <c r="I2344">
        <v>0.01</v>
      </c>
      <c r="J2344">
        <v>1000</v>
      </c>
      <c r="K2344">
        <v>0.39</v>
      </c>
      <c r="L2344">
        <v>79.209999999999994</v>
      </c>
      <c r="M2344">
        <v>78.91</v>
      </c>
      <c r="N2344">
        <v>79.540000000000006</v>
      </c>
      <c r="O2344">
        <v>79.209999999999994</v>
      </c>
      <c r="P2344">
        <v>0</v>
      </c>
      <c r="Q2344">
        <v>0</v>
      </c>
      <c r="R2344">
        <v>0</v>
      </c>
      <c r="S2344">
        <v>79.209999999999994</v>
      </c>
      <c r="T2344">
        <v>79.209999999999994</v>
      </c>
      <c r="U2344">
        <v>79.209999999999994</v>
      </c>
      <c r="V2344">
        <v>79.209999999999994</v>
      </c>
      <c r="W2344">
        <v>3961</v>
      </c>
      <c r="X2344">
        <v>79.22</v>
      </c>
      <c r="Y2344">
        <v>83</v>
      </c>
      <c r="Z2344">
        <v>1</v>
      </c>
      <c r="AA2344">
        <v>1288225</v>
      </c>
      <c r="AB2344">
        <v>3960.5</v>
      </c>
      <c r="AC2344">
        <v>0</v>
      </c>
      <c r="AD2344" t="s">
        <v>94</v>
      </c>
      <c r="AE2344" t="s">
        <v>94</v>
      </c>
      <c r="AF2344" t="s">
        <v>226</v>
      </c>
      <c r="AG2344" t="s">
        <v>226</v>
      </c>
      <c r="AH2344">
        <v>800</v>
      </c>
      <c r="AI2344" t="s">
        <v>3537</v>
      </c>
      <c r="AJ2344" t="s">
        <v>1976</v>
      </c>
      <c r="AK2344" t="s">
        <v>2416</v>
      </c>
      <c r="AL2344" t="s">
        <v>272</v>
      </c>
    </row>
    <row r="2345" spans="1:38">
      <c r="A2345" t="s">
        <v>9973</v>
      </c>
      <c r="B2345" t="s">
        <v>9974</v>
      </c>
      <c r="C2345" t="s">
        <v>9975</v>
      </c>
      <c r="D2345" t="s">
        <v>9975</v>
      </c>
      <c r="E2345" t="s">
        <v>9976</v>
      </c>
      <c r="F2345" t="s">
        <v>2413</v>
      </c>
      <c r="G2345">
        <v>3</v>
      </c>
      <c r="H2345">
        <v>1</v>
      </c>
      <c r="I2345">
        <v>0.01</v>
      </c>
      <c r="J2345">
        <v>1000</v>
      </c>
      <c r="K2345">
        <v>1.2</v>
      </c>
      <c r="L2345">
        <v>117.6</v>
      </c>
      <c r="M2345">
        <v>116.2</v>
      </c>
      <c r="N2345">
        <v>116</v>
      </c>
      <c r="O2345">
        <v>117.6</v>
      </c>
      <c r="P2345">
        <v>0</v>
      </c>
      <c r="Q2345">
        <v>0</v>
      </c>
      <c r="R2345">
        <v>0</v>
      </c>
      <c r="S2345">
        <v>117.6</v>
      </c>
      <c r="T2345">
        <v>117.6</v>
      </c>
      <c r="U2345">
        <v>117.6</v>
      </c>
      <c r="V2345">
        <v>117.6</v>
      </c>
      <c r="W2345">
        <v>14112</v>
      </c>
      <c r="X2345">
        <v>117.6</v>
      </c>
      <c r="Y2345">
        <v>0</v>
      </c>
      <c r="Z2345">
        <v>1</v>
      </c>
      <c r="AA2345">
        <v>414753</v>
      </c>
      <c r="AB2345">
        <v>14112</v>
      </c>
      <c r="AC2345">
        <v>0</v>
      </c>
      <c r="AD2345" t="s">
        <v>94</v>
      </c>
      <c r="AE2345" t="s">
        <v>94</v>
      </c>
      <c r="AF2345" t="s">
        <v>226</v>
      </c>
      <c r="AG2345" t="s">
        <v>226</v>
      </c>
      <c r="AH2345">
        <v>800</v>
      </c>
      <c r="AI2345" t="s">
        <v>3537</v>
      </c>
      <c r="AJ2345" t="s">
        <v>1976</v>
      </c>
      <c r="AK2345" t="s">
        <v>2416</v>
      </c>
      <c r="AL2345" t="s">
        <v>272</v>
      </c>
    </row>
    <row r="2346" spans="1:38">
      <c r="A2346" t="s">
        <v>9977</v>
      </c>
      <c r="B2346" t="s">
        <v>9978</v>
      </c>
      <c r="C2346" t="s">
        <v>9979</v>
      </c>
      <c r="D2346" t="s">
        <v>9979</v>
      </c>
      <c r="E2346" t="s">
        <v>9980</v>
      </c>
      <c r="F2346" t="s">
        <v>2413</v>
      </c>
      <c r="G2346">
        <v>3</v>
      </c>
      <c r="H2346">
        <v>1</v>
      </c>
      <c r="I2346">
        <v>0.01</v>
      </c>
      <c r="J2346">
        <v>1000</v>
      </c>
      <c r="K2346">
        <v>0</v>
      </c>
      <c r="L2346">
        <v>0</v>
      </c>
      <c r="M2346">
        <v>99.1</v>
      </c>
      <c r="N2346">
        <v>98.95</v>
      </c>
      <c r="O2346">
        <v>99.1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100.3</v>
      </c>
      <c r="Y2346">
        <v>142.93</v>
      </c>
      <c r="Z2346">
        <v>0</v>
      </c>
      <c r="AA2346">
        <v>215013</v>
      </c>
      <c r="AB2346">
        <v>0</v>
      </c>
      <c r="AC2346">
        <v>0</v>
      </c>
      <c r="AD2346" t="s">
        <v>94</v>
      </c>
      <c r="AE2346" t="s">
        <v>94</v>
      </c>
      <c r="AF2346" t="s">
        <v>226</v>
      </c>
      <c r="AG2346" t="s">
        <v>226</v>
      </c>
      <c r="AH2346">
        <v>800</v>
      </c>
      <c r="AI2346" t="s">
        <v>3537</v>
      </c>
      <c r="AJ2346" t="s">
        <v>1976</v>
      </c>
      <c r="AK2346" t="s">
        <v>2416</v>
      </c>
      <c r="AL2346" t="s">
        <v>272</v>
      </c>
    </row>
    <row r="2347" spans="1:38">
      <c r="A2347" t="s">
        <v>9981</v>
      </c>
      <c r="B2347" t="s">
        <v>9982</v>
      </c>
      <c r="C2347" t="s">
        <v>9983</v>
      </c>
      <c r="D2347" t="s">
        <v>9983</v>
      </c>
      <c r="E2347" t="s">
        <v>9984</v>
      </c>
      <c r="F2347" t="s">
        <v>2413</v>
      </c>
      <c r="G2347">
        <v>3</v>
      </c>
      <c r="H2347">
        <v>1</v>
      </c>
      <c r="I2347">
        <v>0.01</v>
      </c>
      <c r="J2347">
        <v>1000</v>
      </c>
      <c r="K2347">
        <v>-0.67</v>
      </c>
      <c r="L2347">
        <v>88.9</v>
      </c>
      <c r="M2347">
        <v>89.5</v>
      </c>
      <c r="N2347">
        <v>89.78</v>
      </c>
      <c r="O2347">
        <v>88.9</v>
      </c>
      <c r="P2347">
        <v>0</v>
      </c>
      <c r="Q2347">
        <v>0</v>
      </c>
      <c r="R2347">
        <v>0</v>
      </c>
      <c r="S2347">
        <v>88.9</v>
      </c>
      <c r="T2347">
        <v>88.9</v>
      </c>
      <c r="U2347">
        <v>88.9</v>
      </c>
      <c r="V2347">
        <v>88.91</v>
      </c>
      <c r="W2347">
        <v>218694</v>
      </c>
      <c r="X2347">
        <v>88.9</v>
      </c>
      <c r="Y2347">
        <v>90</v>
      </c>
      <c r="Z2347">
        <v>5</v>
      </c>
      <c r="AA2347">
        <v>1006456</v>
      </c>
      <c r="AB2347">
        <v>207137</v>
      </c>
      <c r="AC2347">
        <v>0</v>
      </c>
      <c r="AD2347" t="s">
        <v>94</v>
      </c>
      <c r="AE2347" t="s">
        <v>94</v>
      </c>
      <c r="AF2347" t="s">
        <v>226</v>
      </c>
      <c r="AG2347" t="s">
        <v>226</v>
      </c>
      <c r="AH2347">
        <v>800</v>
      </c>
      <c r="AI2347" t="s">
        <v>3537</v>
      </c>
      <c r="AJ2347" t="s">
        <v>1976</v>
      </c>
      <c r="AK2347" t="s">
        <v>2416</v>
      </c>
      <c r="AL2347" t="s">
        <v>272</v>
      </c>
    </row>
    <row r="2348" spans="1:38">
      <c r="A2348" t="s">
        <v>9985</v>
      </c>
      <c r="B2348" t="s">
        <v>9986</v>
      </c>
      <c r="C2348" t="s">
        <v>9987</v>
      </c>
      <c r="D2348" t="s">
        <v>9987</v>
      </c>
      <c r="E2348" t="s">
        <v>9988</v>
      </c>
      <c r="F2348" t="s">
        <v>2413</v>
      </c>
      <c r="G2348">
        <v>3</v>
      </c>
      <c r="H2348">
        <v>1</v>
      </c>
      <c r="I2348">
        <v>0.01</v>
      </c>
      <c r="J2348">
        <v>1000</v>
      </c>
      <c r="K2348">
        <v>0</v>
      </c>
      <c r="L2348">
        <v>0</v>
      </c>
      <c r="M2348">
        <v>80.31</v>
      </c>
      <c r="N2348">
        <v>80.260000000000005</v>
      </c>
      <c r="O2348">
        <v>80.31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80.41</v>
      </c>
      <c r="Y2348">
        <v>91.99</v>
      </c>
      <c r="Z2348">
        <v>0</v>
      </c>
      <c r="AA2348">
        <v>728204</v>
      </c>
      <c r="AB2348">
        <v>0</v>
      </c>
      <c r="AC2348">
        <v>0</v>
      </c>
      <c r="AD2348" t="s">
        <v>94</v>
      </c>
      <c r="AE2348" t="s">
        <v>94</v>
      </c>
      <c r="AF2348" t="s">
        <v>226</v>
      </c>
      <c r="AG2348" t="s">
        <v>226</v>
      </c>
      <c r="AH2348">
        <v>800</v>
      </c>
      <c r="AI2348" t="s">
        <v>3537</v>
      </c>
      <c r="AJ2348" t="s">
        <v>1976</v>
      </c>
      <c r="AK2348" t="s">
        <v>2416</v>
      </c>
      <c r="AL2348" t="s">
        <v>272</v>
      </c>
    </row>
    <row r="2349" spans="1:38">
      <c r="A2349" t="s">
        <v>9989</v>
      </c>
      <c r="B2349" t="s">
        <v>9990</v>
      </c>
      <c r="C2349" t="s">
        <v>9991</v>
      </c>
      <c r="D2349" t="s">
        <v>9991</v>
      </c>
      <c r="E2349" t="s">
        <v>9992</v>
      </c>
      <c r="F2349" t="s">
        <v>2413</v>
      </c>
      <c r="G2349">
        <v>3</v>
      </c>
      <c r="H2349">
        <v>1</v>
      </c>
      <c r="I2349">
        <v>0.01</v>
      </c>
      <c r="J2349">
        <v>1000</v>
      </c>
      <c r="K2349">
        <v>0</v>
      </c>
      <c r="L2349">
        <v>0</v>
      </c>
      <c r="M2349">
        <v>84.5</v>
      </c>
      <c r="N2349">
        <v>0</v>
      </c>
      <c r="O2349">
        <v>84.5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84.31</v>
      </c>
      <c r="Y2349">
        <v>0</v>
      </c>
      <c r="Z2349">
        <v>0</v>
      </c>
      <c r="AA2349">
        <v>184265</v>
      </c>
      <c r="AB2349">
        <v>0</v>
      </c>
      <c r="AC2349">
        <v>0</v>
      </c>
      <c r="AD2349" t="s">
        <v>94</v>
      </c>
      <c r="AE2349" t="s">
        <v>94</v>
      </c>
      <c r="AF2349" t="s">
        <v>226</v>
      </c>
      <c r="AG2349" t="s">
        <v>226</v>
      </c>
      <c r="AH2349">
        <v>800</v>
      </c>
      <c r="AI2349" t="s">
        <v>3537</v>
      </c>
      <c r="AJ2349" t="s">
        <v>1976</v>
      </c>
      <c r="AK2349" t="s">
        <v>2416</v>
      </c>
      <c r="AL2349" t="s">
        <v>272</v>
      </c>
    </row>
    <row r="2350" spans="1:38">
      <c r="A2350" t="s">
        <v>9993</v>
      </c>
      <c r="B2350" t="s">
        <v>9994</v>
      </c>
      <c r="C2350" t="s">
        <v>9995</v>
      </c>
      <c r="D2350" t="s">
        <v>9995</v>
      </c>
      <c r="E2350" t="s">
        <v>9996</v>
      </c>
      <c r="F2350" t="s">
        <v>2413</v>
      </c>
      <c r="G2350">
        <v>3</v>
      </c>
      <c r="H2350">
        <v>1</v>
      </c>
      <c r="I2350">
        <v>0.01</v>
      </c>
      <c r="J2350">
        <v>1000</v>
      </c>
      <c r="K2350">
        <v>0</v>
      </c>
      <c r="L2350">
        <v>0</v>
      </c>
      <c r="M2350">
        <v>85.2</v>
      </c>
      <c r="N2350">
        <v>85.43</v>
      </c>
      <c r="O2350">
        <v>85.2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83.71</v>
      </c>
      <c r="Y2350">
        <v>93.71</v>
      </c>
      <c r="Z2350">
        <v>0</v>
      </c>
      <c r="AA2350">
        <v>339532</v>
      </c>
      <c r="AB2350">
        <v>0</v>
      </c>
      <c r="AC2350">
        <v>0</v>
      </c>
      <c r="AD2350" t="s">
        <v>94</v>
      </c>
      <c r="AE2350" t="s">
        <v>94</v>
      </c>
      <c r="AF2350" t="s">
        <v>304</v>
      </c>
      <c r="AG2350" t="s">
        <v>226</v>
      </c>
      <c r="AH2350">
        <v>800</v>
      </c>
      <c r="AI2350" t="s">
        <v>3537</v>
      </c>
      <c r="AJ2350" t="s">
        <v>1976</v>
      </c>
      <c r="AK2350" t="s">
        <v>2416</v>
      </c>
      <c r="AL2350" t="s">
        <v>272</v>
      </c>
    </row>
    <row r="2351" spans="1:38">
      <c r="A2351" t="s">
        <v>9997</v>
      </c>
      <c r="B2351" t="s">
        <v>9998</v>
      </c>
      <c r="C2351" t="s">
        <v>9999</v>
      </c>
      <c r="D2351" t="s">
        <v>9999</v>
      </c>
      <c r="E2351" t="s">
        <v>10000</v>
      </c>
      <c r="F2351" t="s">
        <v>2413</v>
      </c>
      <c r="G2351">
        <v>3</v>
      </c>
      <c r="H2351">
        <v>1</v>
      </c>
      <c r="I2351">
        <v>0.01</v>
      </c>
      <c r="J2351">
        <v>1000</v>
      </c>
      <c r="K2351">
        <v>0</v>
      </c>
      <c r="L2351">
        <v>0</v>
      </c>
      <c r="M2351">
        <v>86.6</v>
      </c>
      <c r="N2351">
        <v>86.45</v>
      </c>
      <c r="O2351">
        <v>86.6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86.31</v>
      </c>
      <c r="Y2351">
        <v>0</v>
      </c>
      <c r="Z2351">
        <v>0</v>
      </c>
      <c r="AA2351">
        <v>598698</v>
      </c>
      <c r="AB2351">
        <v>0</v>
      </c>
      <c r="AC2351">
        <v>0</v>
      </c>
      <c r="AD2351" t="s">
        <v>94</v>
      </c>
      <c r="AE2351" t="s">
        <v>94</v>
      </c>
      <c r="AF2351" t="s">
        <v>226</v>
      </c>
      <c r="AG2351" t="s">
        <v>226</v>
      </c>
      <c r="AH2351">
        <v>800</v>
      </c>
      <c r="AI2351" t="s">
        <v>3537</v>
      </c>
      <c r="AJ2351" t="s">
        <v>1976</v>
      </c>
      <c r="AK2351" t="s">
        <v>2416</v>
      </c>
      <c r="AL2351" t="s">
        <v>272</v>
      </c>
    </row>
    <row r="2352" spans="1:38">
      <c r="A2352" t="s">
        <v>10001</v>
      </c>
      <c r="B2352" t="s">
        <v>10002</v>
      </c>
      <c r="C2352" t="s">
        <v>10003</v>
      </c>
      <c r="D2352" t="s">
        <v>10003</v>
      </c>
      <c r="E2352" t="s">
        <v>10004</v>
      </c>
      <c r="F2352" t="s">
        <v>2413</v>
      </c>
      <c r="G2352">
        <v>3</v>
      </c>
      <c r="H2352">
        <v>1</v>
      </c>
      <c r="I2352">
        <v>0.01</v>
      </c>
      <c r="J2352">
        <v>1000</v>
      </c>
      <c r="K2352">
        <v>0</v>
      </c>
      <c r="L2352">
        <v>0</v>
      </c>
      <c r="M2352">
        <v>90.1</v>
      </c>
      <c r="N2352">
        <v>89.62</v>
      </c>
      <c r="O2352">
        <v>90.1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90.51</v>
      </c>
      <c r="Y2352">
        <v>0</v>
      </c>
      <c r="Z2352">
        <v>0</v>
      </c>
      <c r="AA2352">
        <v>1980662</v>
      </c>
      <c r="AB2352">
        <v>0</v>
      </c>
      <c r="AC2352">
        <v>0</v>
      </c>
      <c r="AD2352" t="s">
        <v>94</v>
      </c>
      <c r="AE2352" t="s">
        <v>94</v>
      </c>
      <c r="AF2352" t="s">
        <v>226</v>
      </c>
      <c r="AG2352" t="s">
        <v>226</v>
      </c>
      <c r="AH2352">
        <v>800</v>
      </c>
      <c r="AI2352" t="s">
        <v>3537</v>
      </c>
      <c r="AJ2352" t="s">
        <v>1976</v>
      </c>
      <c r="AK2352" t="s">
        <v>2416</v>
      </c>
      <c r="AL2352" t="s">
        <v>272</v>
      </c>
    </row>
    <row r="2353" spans="1:38">
      <c r="A2353" t="s">
        <v>10005</v>
      </c>
      <c r="B2353" t="s">
        <v>10006</v>
      </c>
      <c r="C2353" t="s">
        <v>10007</v>
      </c>
      <c r="D2353" t="s">
        <v>10007</v>
      </c>
      <c r="E2353" t="s">
        <v>10008</v>
      </c>
      <c r="F2353" t="s">
        <v>2413</v>
      </c>
      <c r="G2353">
        <v>3</v>
      </c>
      <c r="H2353">
        <v>1</v>
      </c>
      <c r="I2353">
        <v>0.01</v>
      </c>
      <c r="J2353">
        <v>1000</v>
      </c>
      <c r="K2353">
        <v>0</v>
      </c>
      <c r="L2353">
        <v>0</v>
      </c>
      <c r="M2353">
        <v>86.19</v>
      </c>
      <c r="N2353">
        <v>86.77</v>
      </c>
      <c r="O2353">
        <v>86.19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86.31</v>
      </c>
      <c r="Y2353">
        <v>0</v>
      </c>
      <c r="Z2353">
        <v>0</v>
      </c>
      <c r="AA2353">
        <v>1061783</v>
      </c>
      <c r="AB2353">
        <v>0</v>
      </c>
      <c r="AC2353">
        <v>0</v>
      </c>
      <c r="AD2353" t="s">
        <v>94</v>
      </c>
      <c r="AE2353" t="s">
        <v>94</v>
      </c>
      <c r="AF2353" t="s">
        <v>226</v>
      </c>
      <c r="AG2353" t="s">
        <v>226</v>
      </c>
      <c r="AH2353">
        <v>800</v>
      </c>
      <c r="AI2353" t="s">
        <v>3537</v>
      </c>
      <c r="AJ2353" t="s">
        <v>1976</v>
      </c>
      <c r="AK2353" t="s">
        <v>2416</v>
      </c>
      <c r="AL2353" t="s">
        <v>272</v>
      </c>
    </row>
    <row r="2354" spans="1:38">
      <c r="A2354" t="s">
        <v>10009</v>
      </c>
      <c r="B2354" t="s">
        <v>10010</v>
      </c>
      <c r="C2354" t="s">
        <v>10011</v>
      </c>
      <c r="D2354" t="s">
        <v>10011</v>
      </c>
      <c r="E2354" t="s">
        <v>10012</v>
      </c>
      <c r="F2354" t="s">
        <v>2413</v>
      </c>
      <c r="G2354">
        <v>3</v>
      </c>
      <c r="H2354">
        <v>1</v>
      </c>
      <c r="I2354">
        <v>0.01</v>
      </c>
      <c r="J2354">
        <v>1000</v>
      </c>
      <c r="K2354">
        <v>0.46</v>
      </c>
      <c r="L2354">
        <v>88.1</v>
      </c>
      <c r="M2354">
        <v>87.7</v>
      </c>
      <c r="N2354">
        <v>90.66</v>
      </c>
      <c r="O2354">
        <v>88.1</v>
      </c>
      <c r="P2354">
        <v>0</v>
      </c>
      <c r="Q2354">
        <v>0</v>
      </c>
      <c r="R2354">
        <v>0</v>
      </c>
      <c r="S2354">
        <v>88.1</v>
      </c>
      <c r="T2354">
        <v>88.1</v>
      </c>
      <c r="U2354">
        <v>88.1</v>
      </c>
      <c r="V2354">
        <v>88.1</v>
      </c>
      <c r="W2354">
        <v>4405</v>
      </c>
      <c r="X2354">
        <v>88.11</v>
      </c>
      <c r="Y2354">
        <v>0</v>
      </c>
      <c r="Z2354">
        <v>1</v>
      </c>
      <c r="AA2354">
        <v>392997</v>
      </c>
      <c r="AB2354">
        <v>4405</v>
      </c>
      <c r="AC2354">
        <v>0</v>
      </c>
      <c r="AD2354" t="s">
        <v>94</v>
      </c>
      <c r="AE2354" t="s">
        <v>94</v>
      </c>
      <c r="AF2354" t="s">
        <v>226</v>
      </c>
      <c r="AG2354" t="s">
        <v>226</v>
      </c>
      <c r="AH2354">
        <v>800</v>
      </c>
      <c r="AI2354" t="s">
        <v>3537</v>
      </c>
      <c r="AJ2354" t="s">
        <v>1976</v>
      </c>
      <c r="AK2354" t="s">
        <v>2416</v>
      </c>
      <c r="AL2354" t="s">
        <v>272</v>
      </c>
    </row>
    <row r="2355" spans="1:38">
      <c r="A2355" t="s">
        <v>10013</v>
      </c>
      <c r="B2355" t="s">
        <v>10014</v>
      </c>
      <c r="C2355" t="s">
        <v>10015</v>
      </c>
      <c r="D2355" t="s">
        <v>10015</v>
      </c>
      <c r="E2355" t="s">
        <v>10016</v>
      </c>
      <c r="F2355" t="s">
        <v>2413</v>
      </c>
      <c r="G2355">
        <v>3</v>
      </c>
      <c r="H2355">
        <v>1</v>
      </c>
      <c r="I2355">
        <v>0.01</v>
      </c>
      <c r="J2355">
        <v>1000</v>
      </c>
      <c r="K2355">
        <v>-1.6</v>
      </c>
      <c r="L2355">
        <v>80.2</v>
      </c>
      <c r="M2355">
        <v>81.5</v>
      </c>
      <c r="N2355">
        <v>83.86</v>
      </c>
      <c r="O2355">
        <v>80.2</v>
      </c>
      <c r="P2355">
        <v>0</v>
      </c>
      <c r="Q2355">
        <v>0</v>
      </c>
      <c r="R2355">
        <v>0</v>
      </c>
      <c r="S2355">
        <v>80.2</v>
      </c>
      <c r="T2355">
        <v>80.2</v>
      </c>
      <c r="U2355">
        <v>80.2</v>
      </c>
      <c r="V2355">
        <v>80.2</v>
      </c>
      <c r="W2355">
        <v>120300</v>
      </c>
      <c r="X2355">
        <v>80.209999999999994</v>
      </c>
      <c r="Y2355">
        <v>84.99</v>
      </c>
      <c r="Z2355">
        <v>1</v>
      </c>
      <c r="AA2355">
        <v>715550</v>
      </c>
      <c r="AB2355">
        <v>120300</v>
      </c>
      <c r="AC2355">
        <v>0</v>
      </c>
      <c r="AD2355" t="s">
        <v>94</v>
      </c>
      <c r="AE2355" t="s">
        <v>94</v>
      </c>
      <c r="AF2355" t="s">
        <v>226</v>
      </c>
      <c r="AG2355" t="s">
        <v>226</v>
      </c>
      <c r="AH2355">
        <v>800</v>
      </c>
      <c r="AI2355" t="s">
        <v>3537</v>
      </c>
      <c r="AJ2355" t="s">
        <v>1976</v>
      </c>
      <c r="AK2355" t="s">
        <v>2416</v>
      </c>
      <c r="AL2355" t="s">
        <v>272</v>
      </c>
    </row>
    <row r="2356" spans="1:38">
      <c r="A2356" t="s">
        <v>10017</v>
      </c>
      <c r="B2356" t="s">
        <v>10018</v>
      </c>
      <c r="C2356" t="s">
        <v>10019</v>
      </c>
      <c r="D2356" t="s">
        <v>10019</v>
      </c>
      <c r="E2356" t="s">
        <v>10020</v>
      </c>
      <c r="F2356" t="s">
        <v>2413</v>
      </c>
      <c r="G2356">
        <v>3</v>
      </c>
      <c r="H2356">
        <v>1</v>
      </c>
      <c r="I2356">
        <v>0.01</v>
      </c>
      <c r="J2356">
        <v>1000</v>
      </c>
      <c r="K2356">
        <v>0</v>
      </c>
      <c r="L2356">
        <v>0</v>
      </c>
      <c r="M2356">
        <v>86.6</v>
      </c>
      <c r="N2356">
        <v>87.79</v>
      </c>
      <c r="O2356">
        <v>86.6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87.51</v>
      </c>
      <c r="Y2356">
        <v>0</v>
      </c>
      <c r="Z2356">
        <v>0</v>
      </c>
      <c r="AA2356">
        <v>435818</v>
      </c>
      <c r="AB2356">
        <v>0</v>
      </c>
      <c r="AC2356">
        <v>0</v>
      </c>
      <c r="AD2356" t="s">
        <v>94</v>
      </c>
      <c r="AE2356" t="s">
        <v>94</v>
      </c>
      <c r="AF2356" t="s">
        <v>226</v>
      </c>
      <c r="AG2356" t="s">
        <v>226</v>
      </c>
      <c r="AH2356">
        <v>800</v>
      </c>
      <c r="AI2356" t="s">
        <v>3537</v>
      </c>
      <c r="AJ2356" t="s">
        <v>1976</v>
      </c>
      <c r="AK2356" t="s">
        <v>2416</v>
      </c>
      <c r="AL2356" t="s">
        <v>272</v>
      </c>
    </row>
    <row r="2357" spans="1:38">
      <c r="A2357" t="s">
        <v>10021</v>
      </c>
      <c r="B2357" t="s">
        <v>10022</v>
      </c>
      <c r="C2357" t="s">
        <v>10023</v>
      </c>
      <c r="D2357" t="s">
        <v>10023</v>
      </c>
      <c r="E2357" t="s">
        <v>10024</v>
      </c>
      <c r="F2357" t="s">
        <v>2413</v>
      </c>
      <c r="G2357">
        <v>3</v>
      </c>
      <c r="H2357">
        <v>1</v>
      </c>
      <c r="I2357">
        <v>0.01</v>
      </c>
      <c r="J2357">
        <v>1000</v>
      </c>
      <c r="K2357">
        <v>0</v>
      </c>
      <c r="L2357">
        <v>0</v>
      </c>
      <c r="M2357">
        <v>78</v>
      </c>
      <c r="N2357">
        <v>77.41</v>
      </c>
      <c r="O2357">
        <v>78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77.48</v>
      </c>
      <c r="Y2357">
        <v>84.01</v>
      </c>
      <c r="Z2357">
        <v>0</v>
      </c>
      <c r="AA2357">
        <v>1499968</v>
      </c>
      <c r="AB2357">
        <v>0</v>
      </c>
      <c r="AC2357">
        <v>0</v>
      </c>
      <c r="AD2357" t="s">
        <v>94</v>
      </c>
      <c r="AE2357" t="s">
        <v>94</v>
      </c>
      <c r="AF2357" t="s">
        <v>226</v>
      </c>
      <c r="AG2357" t="s">
        <v>226</v>
      </c>
      <c r="AH2357">
        <v>800</v>
      </c>
      <c r="AI2357" t="s">
        <v>3537</v>
      </c>
      <c r="AJ2357" t="s">
        <v>1976</v>
      </c>
      <c r="AK2357" t="s">
        <v>2416</v>
      </c>
      <c r="AL2357" t="s">
        <v>272</v>
      </c>
    </row>
    <row r="2358" spans="1:38">
      <c r="A2358" t="s">
        <v>10025</v>
      </c>
      <c r="B2358" t="s">
        <v>10026</v>
      </c>
      <c r="C2358" t="s">
        <v>10027</v>
      </c>
      <c r="D2358" t="s">
        <v>10027</v>
      </c>
      <c r="E2358" t="s">
        <v>10028</v>
      </c>
      <c r="F2358" t="s">
        <v>2413</v>
      </c>
      <c r="G2358">
        <v>3</v>
      </c>
      <c r="H2358">
        <v>1</v>
      </c>
      <c r="I2358">
        <v>0.01</v>
      </c>
      <c r="J2358">
        <v>1000</v>
      </c>
      <c r="K2358">
        <v>0</v>
      </c>
      <c r="L2358">
        <v>0</v>
      </c>
      <c r="M2358">
        <v>78.03</v>
      </c>
      <c r="N2358">
        <v>77.58</v>
      </c>
      <c r="O2358">
        <v>78.03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76.97</v>
      </c>
      <c r="Y2358">
        <v>84.01</v>
      </c>
      <c r="Z2358">
        <v>0</v>
      </c>
      <c r="AA2358">
        <v>1499449</v>
      </c>
      <c r="AB2358">
        <v>0</v>
      </c>
      <c r="AC2358">
        <v>0</v>
      </c>
      <c r="AD2358" t="s">
        <v>94</v>
      </c>
      <c r="AE2358" t="s">
        <v>94</v>
      </c>
      <c r="AF2358" t="s">
        <v>226</v>
      </c>
      <c r="AG2358" t="s">
        <v>226</v>
      </c>
      <c r="AH2358">
        <v>800</v>
      </c>
      <c r="AI2358" t="s">
        <v>3537</v>
      </c>
      <c r="AJ2358" t="s">
        <v>1976</v>
      </c>
      <c r="AK2358" t="s">
        <v>2416</v>
      </c>
      <c r="AL2358" t="s">
        <v>272</v>
      </c>
    </row>
    <row r="2359" spans="1:38">
      <c r="A2359" t="s">
        <v>10029</v>
      </c>
      <c r="B2359" t="s">
        <v>10030</v>
      </c>
      <c r="C2359" t="s">
        <v>10031</v>
      </c>
      <c r="D2359" t="s">
        <v>10031</v>
      </c>
      <c r="E2359" t="s">
        <v>10032</v>
      </c>
      <c r="F2359" t="s">
        <v>2413</v>
      </c>
      <c r="G2359">
        <v>3</v>
      </c>
      <c r="H2359">
        <v>1</v>
      </c>
      <c r="I2359">
        <v>0.01</v>
      </c>
      <c r="J2359">
        <v>1000</v>
      </c>
      <c r="K2359">
        <v>0</v>
      </c>
      <c r="L2359">
        <v>0</v>
      </c>
      <c r="M2359">
        <v>96.3</v>
      </c>
      <c r="N2359">
        <v>95.93</v>
      </c>
      <c r="O2359">
        <v>96.3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94.71</v>
      </c>
      <c r="Y2359">
        <v>96.91</v>
      </c>
      <c r="Z2359">
        <v>0</v>
      </c>
      <c r="AA2359">
        <v>305834</v>
      </c>
      <c r="AB2359">
        <v>0</v>
      </c>
      <c r="AC2359">
        <v>0</v>
      </c>
      <c r="AD2359" t="s">
        <v>94</v>
      </c>
      <c r="AE2359" t="s">
        <v>94</v>
      </c>
      <c r="AF2359" t="s">
        <v>226</v>
      </c>
      <c r="AG2359" t="s">
        <v>226</v>
      </c>
      <c r="AH2359">
        <v>800</v>
      </c>
      <c r="AI2359" t="s">
        <v>3537</v>
      </c>
      <c r="AJ2359" t="s">
        <v>1976</v>
      </c>
      <c r="AK2359" t="s">
        <v>2416</v>
      </c>
      <c r="AL2359" t="s">
        <v>272</v>
      </c>
    </row>
    <row r="2360" spans="1:38">
      <c r="A2360" t="s">
        <v>10033</v>
      </c>
      <c r="B2360" t="s">
        <v>10034</v>
      </c>
      <c r="C2360" t="s">
        <v>10035</v>
      </c>
      <c r="D2360" t="s">
        <v>10035</v>
      </c>
      <c r="E2360" t="s">
        <v>10036</v>
      </c>
      <c r="F2360" t="s">
        <v>2413</v>
      </c>
      <c r="G2360">
        <v>3</v>
      </c>
      <c r="H2360">
        <v>1</v>
      </c>
      <c r="I2360">
        <v>0.01</v>
      </c>
      <c r="J2360">
        <v>1000</v>
      </c>
      <c r="K2360">
        <v>0</v>
      </c>
      <c r="L2360">
        <v>0</v>
      </c>
      <c r="M2360">
        <v>84.61</v>
      </c>
      <c r="N2360">
        <v>0</v>
      </c>
      <c r="O2360">
        <v>84.61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82.01</v>
      </c>
      <c r="Y2360">
        <v>84.61</v>
      </c>
      <c r="Z2360">
        <v>0</v>
      </c>
      <c r="AA2360">
        <v>307077</v>
      </c>
      <c r="AB2360">
        <v>0</v>
      </c>
      <c r="AC2360">
        <v>0</v>
      </c>
      <c r="AD2360" t="s">
        <v>94</v>
      </c>
      <c r="AE2360" t="s">
        <v>94</v>
      </c>
      <c r="AF2360" t="s">
        <v>226</v>
      </c>
      <c r="AG2360" t="s">
        <v>226</v>
      </c>
      <c r="AH2360">
        <v>800</v>
      </c>
      <c r="AI2360" t="s">
        <v>3537</v>
      </c>
      <c r="AJ2360" t="s">
        <v>1976</v>
      </c>
      <c r="AK2360" t="s">
        <v>2416</v>
      </c>
      <c r="AL2360" t="s">
        <v>272</v>
      </c>
    </row>
    <row r="2361" spans="1:38">
      <c r="A2361" t="s">
        <v>10037</v>
      </c>
      <c r="B2361" t="s">
        <v>10038</v>
      </c>
      <c r="C2361" t="s">
        <v>10039</v>
      </c>
      <c r="D2361" t="s">
        <v>10039</v>
      </c>
      <c r="E2361" t="s">
        <v>10040</v>
      </c>
      <c r="F2361" t="s">
        <v>2413</v>
      </c>
      <c r="G2361">
        <v>3</v>
      </c>
      <c r="H2361">
        <v>1</v>
      </c>
      <c r="I2361">
        <v>0.01</v>
      </c>
      <c r="J2361">
        <v>1000</v>
      </c>
      <c r="K2361">
        <v>0</v>
      </c>
      <c r="L2361">
        <v>0</v>
      </c>
      <c r="M2361">
        <v>81.510000000000005</v>
      </c>
      <c r="N2361">
        <v>80.06</v>
      </c>
      <c r="O2361">
        <v>81.510000000000005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81.209999999999994</v>
      </c>
      <c r="Y2361">
        <v>82.6</v>
      </c>
      <c r="Z2361">
        <v>0</v>
      </c>
      <c r="AA2361">
        <v>633559</v>
      </c>
      <c r="AB2361">
        <v>0</v>
      </c>
      <c r="AC2361">
        <v>0</v>
      </c>
      <c r="AD2361" t="s">
        <v>94</v>
      </c>
      <c r="AE2361" t="s">
        <v>94</v>
      </c>
      <c r="AF2361" t="s">
        <v>226</v>
      </c>
      <c r="AG2361" t="s">
        <v>226</v>
      </c>
      <c r="AH2361">
        <v>800</v>
      </c>
      <c r="AI2361" t="s">
        <v>3537</v>
      </c>
      <c r="AJ2361" t="s">
        <v>1976</v>
      </c>
      <c r="AK2361" t="s">
        <v>2416</v>
      </c>
      <c r="AL2361" t="s">
        <v>272</v>
      </c>
    </row>
    <row r="2362" spans="1:38">
      <c r="A2362" t="s">
        <v>10041</v>
      </c>
      <c r="B2362" t="s">
        <v>10042</v>
      </c>
      <c r="C2362" t="s">
        <v>10043</v>
      </c>
      <c r="D2362" t="s">
        <v>10043</v>
      </c>
      <c r="E2362" t="s">
        <v>10044</v>
      </c>
      <c r="F2362" t="s">
        <v>2413</v>
      </c>
      <c r="G2362">
        <v>3</v>
      </c>
      <c r="H2362">
        <v>1</v>
      </c>
      <c r="I2362">
        <v>0.01</v>
      </c>
      <c r="J2362">
        <v>1000</v>
      </c>
      <c r="K2362">
        <v>0</v>
      </c>
      <c r="L2362">
        <v>0</v>
      </c>
      <c r="M2362">
        <v>94.21</v>
      </c>
      <c r="N2362">
        <v>92.84</v>
      </c>
      <c r="O2362">
        <v>94.21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93.91</v>
      </c>
      <c r="Y2362">
        <v>133.69999999999999</v>
      </c>
      <c r="Z2362">
        <v>0</v>
      </c>
      <c r="AA2362">
        <v>277691</v>
      </c>
      <c r="AB2362">
        <v>0</v>
      </c>
      <c r="AC2362">
        <v>0</v>
      </c>
      <c r="AD2362" t="s">
        <v>94</v>
      </c>
      <c r="AE2362" t="s">
        <v>94</v>
      </c>
      <c r="AF2362" t="s">
        <v>226</v>
      </c>
      <c r="AG2362" t="s">
        <v>226</v>
      </c>
      <c r="AH2362">
        <v>800</v>
      </c>
      <c r="AI2362" t="s">
        <v>3537</v>
      </c>
      <c r="AJ2362" t="s">
        <v>1976</v>
      </c>
      <c r="AK2362" t="s">
        <v>2416</v>
      </c>
      <c r="AL2362" t="s">
        <v>272</v>
      </c>
    </row>
    <row r="2363" spans="1:38">
      <c r="A2363" t="s">
        <v>10045</v>
      </c>
      <c r="B2363" t="s">
        <v>10046</v>
      </c>
      <c r="C2363" t="s">
        <v>10047</v>
      </c>
      <c r="D2363" t="s">
        <v>10047</v>
      </c>
      <c r="E2363" t="s">
        <v>10048</v>
      </c>
      <c r="F2363" t="s">
        <v>2413</v>
      </c>
      <c r="G2363">
        <v>3</v>
      </c>
      <c r="H2363">
        <v>1</v>
      </c>
      <c r="I2363">
        <v>0.01</v>
      </c>
      <c r="J2363">
        <v>1000</v>
      </c>
      <c r="K2363">
        <v>0</v>
      </c>
      <c r="L2363">
        <v>0</v>
      </c>
      <c r="M2363">
        <v>85.72</v>
      </c>
      <c r="N2363">
        <v>78.930000000000007</v>
      </c>
      <c r="O2363">
        <v>85.72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78.91</v>
      </c>
      <c r="Y2363">
        <v>86.73</v>
      </c>
      <c r="Z2363">
        <v>0</v>
      </c>
      <c r="AA2363">
        <v>591493</v>
      </c>
      <c r="AB2363">
        <v>0</v>
      </c>
      <c r="AC2363">
        <v>0</v>
      </c>
      <c r="AD2363" t="s">
        <v>94</v>
      </c>
      <c r="AE2363" t="s">
        <v>94</v>
      </c>
      <c r="AF2363" t="s">
        <v>226</v>
      </c>
      <c r="AG2363" t="s">
        <v>226</v>
      </c>
      <c r="AH2363">
        <v>800</v>
      </c>
      <c r="AI2363" t="s">
        <v>3537</v>
      </c>
      <c r="AJ2363" t="s">
        <v>1976</v>
      </c>
      <c r="AK2363" t="s">
        <v>2416</v>
      </c>
      <c r="AL2363" t="s">
        <v>272</v>
      </c>
    </row>
    <row r="2364" spans="1:38">
      <c r="A2364" t="s">
        <v>10049</v>
      </c>
      <c r="B2364" t="s">
        <v>10050</v>
      </c>
      <c r="C2364" t="s">
        <v>10051</v>
      </c>
      <c r="D2364" t="s">
        <v>10051</v>
      </c>
      <c r="E2364" t="s">
        <v>10052</v>
      </c>
      <c r="F2364" t="s">
        <v>2413</v>
      </c>
      <c r="G2364">
        <v>3</v>
      </c>
      <c r="H2364">
        <v>1</v>
      </c>
      <c r="I2364">
        <v>0.01</v>
      </c>
      <c r="J2364">
        <v>1000</v>
      </c>
      <c r="K2364">
        <v>0</v>
      </c>
      <c r="L2364">
        <v>0</v>
      </c>
      <c r="M2364">
        <v>81.3</v>
      </c>
      <c r="N2364">
        <v>82.44</v>
      </c>
      <c r="O2364">
        <v>81.3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82.61</v>
      </c>
      <c r="Y2364">
        <v>86.12</v>
      </c>
      <c r="Z2364">
        <v>0</v>
      </c>
      <c r="AA2364">
        <v>639128</v>
      </c>
      <c r="AB2364">
        <v>0</v>
      </c>
      <c r="AC2364">
        <v>0</v>
      </c>
      <c r="AD2364" t="s">
        <v>94</v>
      </c>
      <c r="AE2364" t="s">
        <v>94</v>
      </c>
      <c r="AF2364" t="s">
        <v>226</v>
      </c>
      <c r="AG2364" t="s">
        <v>226</v>
      </c>
      <c r="AH2364">
        <v>800</v>
      </c>
      <c r="AI2364" t="s">
        <v>3537</v>
      </c>
      <c r="AJ2364" t="s">
        <v>1976</v>
      </c>
      <c r="AK2364" t="s">
        <v>2416</v>
      </c>
      <c r="AL2364" t="s">
        <v>272</v>
      </c>
    </row>
    <row r="2365" spans="1:38">
      <c r="A2365" t="s">
        <v>10053</v>
      </c>
      <c r="B2365" t="s">
        <v>10054</v>
      </c>
      <c r="C2365" t="s">
        <v>10055</v>
      </c>
      <c r="D2365" t="s">
        <v>10055</v>
      </c>
      <c r="E2365" t="s">
        <v>10056</v>
      </c>
      <c r="F2365" t="s">
        <v>2413</v>
      </c>
      <c r="G2365">
        <v>3</v>
      </c>
      <c r="H2365">
        <v>1</v>
      </c>
      <c r="I2365">
        <v>0.01</v>
      </c>
      <c r="J2365">
        <v>1000</v>
      </c>
      <c r="K2365">
        <v>0</v>
      </c>
      <c r="L2365">
        <v>0</v>
      </c>
      <c r="M2365">
        <v>89.8</v>
      </c>
      <c r="N2365">
        <v>90.43</v>
      </c>
      <c r="O2365">
        <v>89.8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90.21</v>
      </c>
      <c r="Y2365">
        <v>0</v>
      </c>
      <c r="Z2365">
        <v>0</v>
      </c>
      <c r="AA2365">
        <v>178503</v>
      </c>
      <c r="AB2365">
        <v>0</v>
      </c>
      <c r="AC2365">
        <v>0</v>
      </c>
      <c r="AD2365" t="s">
        <v>94</v>
      </c>
      <c r="AE2365" t="s">
        <v>94</v>
      </c>
      <c r="AF2365" t="s">
        <v>226</v>
      </c>
      <c r="AG2365" t="s">
        <v>226</v>
      </c>
      <c r="AH2365">
        <v>800</v>
      </c>
      <c r="AI2365" t="s">
        <v>3537</v>
      </c>
      <c r="AJ2365" t="s">
        <v>1976</v>
      </c>
      <c r="AK2365" t="s">
        <v>2416</v>
      </c>
      <c r="AL2365" t="s">
        <v>272</v>
      </c>
    </row>
    <row r="2366" spans="1:38">
      <c r="A2366" t="s">
        <v>10057</v>
      </c>
      <c r="B2366" t="s">
        <v>10058</v>
      </c>
      <c r="C2366" t="s">
        <v>10059</v>
      </c>
      <c r="D2366" t="s">
        <v>10059</v>
      </c>
      <c r="E2366" t="s">
        <v>10060</v>
      </c>
      <c r="F2366" t="s">
        <v>2413</v>
      </c>
      <c r="G2366">
        <v>3</v>
      </c>
      <c r="H2366">
        <v>1</v>
      </c>
      <c r="I2366">
        <v>0.01</v>
      </c>
      <c r="J2366">
        <v>1000</v>
      </c>
      <c r="K2366">
        <v>0</v>
      </c>
      <c r="L2366">
        <v>0</v>
      </c>
      <c r="M2366">
        <v>83.8</v>
      </c>
      <c r="N2366">
        <v>85.07</v>
      </c>
      <c r="O2366">
        <v>83.8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84.01</v>
      </c>
      <c r="Y2366">
        <v>0</v>
      </c>
      <c r="Z2366">
        <v>0</v>
      </c>
      <c r="AA2366">
        <v>259088</v>
      </c>
      <c r="AB2366">
        <v>0</v>
      </c>
      <c r="AC2366">
        <v>0</v>
      </c>
      <c r="AD2366" t="s">
        <v>94</v>
      </c>
      <c r="AE2366" t="s">
        <v>94</v>
      </c>
      <c r="AF2366" t="s">
        <v>226</v>
      </c>
      <c r="AG2366" t="s">
        <v>226</v>
      </c>
      <c r="AH2366">
        <v>800</v>
      </c>
      <c r="AI2366" t="s">
        <v>3537</v>
      </c>
      <c r="AJ2366" t="s">
        <v>1976</v>
      </c>
      <c r="AK2366" t="s">
        <v>2416</v>
      </c>
      <c r="AL2366" t="s">
        <v>272</v>
      </c>
    </row>
    <row r="2367" spans="1:38">
      <c r="A2367" t="s">
        <v>10061</v>
      </c>
      <c r="B2367" t="s">
        <v>10062</v>
      </c>
      <c r="C2367" t="s">
        <v>10063</v>
      </c>
      <c r="D2367" t="s">
        <v>10063</v>
      </c>
      <c r="E2367" t="s">
        <v>10064</v>
      </c>
      <c r="F2367" t="s">
        <v>2413</v>
      </c>
      <c r="G2367">
        <v>3</v>
      </c>
      <c r="H2367">
        <v>1</v>
      </c>
      <c r="I2367">
        <v>0.01</v>
      </c>
      <c r="J2367">
        <v>1000</v>
      </c>
      <c r="K2367">
        <v>0</v>
      </c>
      <c r="L2367">
        <v>0</v>
      </c>
      <c r="M2367">
        <v>87.5</v>
      </c>
      <c r="N2367">
        <v>88.01</v>
      </c>
      <c r="O2367">
        <v>87.5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87.71</v>
      </c>
      <c r="Y2367">
        <v>88.71</v>
      </c>
      <c r="Z2367">
        <v>0</v>
      </c>
      <c r="AA2367">
        <v>572651</v>
      </c>
      <c r="AB2367">
        <v>0</v>
      </c>
      <c r="AC2367">
        <v>0</v>
      </c>
      <c r="AD2367" t="s">
        <v>94</v>
      </c>
      <c r="AE2367" t="s">
        <v>94</v>
      </c>
      <c r="AF2367" t="s">
        <v>226</v>
      </c>
      <c r="AG2367" t="s">
        <v>226</v>
      </c>
      <c r="AH2367">
        <v>800</v>
      </c>
      <c r="AI2367" t="s">
        <v>3537</v>
      </c>
      <c r="AJ2367" t="s">
        <v>1976</v>
      </c>
      <c r="AK2367" t="s">
        <v>2416</v>
      </c>
      <c r="AL2367" t="s">
        <v>272</v>
      </c>
    </row>
    <row r="2368" spans="1:38">
      <c r="A2368" t="s">
        <v>10065</v>
      </c>
      <c r="B2368" t="s">
        <v>10066</v>
      </c>
      <c r="C2368" t="s">
        <v>10067</v>
      </c>
      <c r="D2368" t="s">
        <v>10067</v>
      </c>
      <c r="E2368" t="s">
        <v>10068</v>
      </c>
      <c r="F2368" t="s">
        <v>2413</v>
      </c>
      <c r="G2368">
        <v>3</v>
      </c>
      <c r="H2368">
        <v>1</v>
      </c>
      <c r="I2368">
        <v>0.01</v>
      </c>
      <c r="J2368">
        <v>1000</v>
      </c>
      <c r="K2368">
        <v>0</v>
      </c>
      <c r="L2368">
        <v>0</v>
      </c>
      <c r="M2368">
        <v>86.4</v>
      </c>
      <c r="N2368">
        <v>0</v>
      </c>
      <c r="O2368">
        <v>86.4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85.01</v>
      </c>
      <c r="Y2368">
        <v>87.78</v>
      </c>
      <c r="Z2368">
        <v>0</v>
      </c>
      <c r="AA2368">
        <v>260611</v>
      </c>
      <c r="AB2368">
        <v>0</v>
      </c>
      <c r="AC2368">
        <v>0</v>
      </c>
      <c r="AD2368" t="s">
        <v>94</v>
      </c>
      <c r="AE2368" t="s">
        <v>94</v>
      </c>
      <c r="AF2368" t="s">
        <v>226</v>
      </c>
      <c r="AG2368" t="s">
        <v>226</v>
      </c>
      <c r="AH2368">
        <v>800</v>
      </c>
      <c r="AI2368" t="s">
        <v>3537</v>
      </c>
      <c r="AJ2368" t="s">
        <v>1976</v>
      </c>
      <c r="AK2368" t="s">
        <v>2416</v>
      </c>
      <c r="AL2368" t="s">
        <v>272</v>
      </c>
    </row>
    <row r="2369" spans="1:38">
      <c r="A2369" t="s">
        <v>10069</v>
      </c>
      <c r="B2369" t="s">
        <v>10070</v>
      </c>
      <c r="C2369" t="s">
        <v>10071</v>
      </c>
      <c r="D2369" t="s">
        <v>10071</v>
      </c>
      <c r="E2369" t="s">
        <v>10072</v>
      </c>
      <c r="F2369" t="s">
        <v>2413</v>
      </c>
      <c r="G2369">
        <v>3</v>
      </c>
      <c r="H2369">
        <v>1</v>
      </c>
      <c r="I2369">
        <v>0.01</v>
      </c>
      <c r="J2369">
        <v>1000</v>
      </c>
      <c r="K2369">
        <v>0</v>
      </c>
      <c r="L2369">
        <v>0</v>
      </c>
      <c r="M2369">
        <v>86.8</v>
      </c>
      <c r="N2369">
        <v>86.67</v>
      </c>
      <c r="O2369">
        <v>86.8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88.5</v>
      </c>
      <c r="Y2369">
        <v>0</v>
      </c>
      <c r="Z2369">
        <v>0</v>
      </c>
      <c r="AA2369">
        <v>329010</v>
      </c>
      <c r="AB2369">
        <v>0</v>
      </c>
      <c r="AC2369">
        <v>0</v>
      </c>
      <c r="AD2369" t="s">
        <v>94</v>
      </c>
      <c r="AE2369" t="s">
        <v>94</v>
      </c>
      <c r="AF2369" t="s">
        <v>226</v>
      </c>
      <c r="AG2369" t="s">
        <v>226</v>
      </c>
      <c r="AH2369">
        <v>800</v>
      </c>
      <c r="AI2369" t="s">
        <v>3537</v>
      </c>
      <c r="AJ2369" t="s">
        <v>1976</v>
      </c>
      <c r="AK2369" t="s">
        <v>2416</v>
      </c>
      <c r="AL2369" t="s">
        <v>272</v>
      </c>
    </row>
    <row r="2370" spans="1:38">
      <c r="A2370" t="s">
        <v>10073</v>
      </c>
      <c r="B2370" t="s">
        <v>10074</v>
      </c>
      <c r="C2370" t="s">
        <v>10075</v>
      </c>
      <c r="D2370" t="s">
        <v>10075</v>
      </c>
      <c r="E2370" t="s">
        <v>10076</v>
      </c>
      <c r="F2370" t="s">
        <v>2413</v>
      </c>
      <c r="G2370">
        <v>3</v>
      </c>
      <c r="H2370">
        <v>1</v>
      </c>
      <c r="I2370">
        <v>0.01</v>
      </c>
      <c r="J2370">
        <v>1000</v>
      </c>
      <c r="K2370">
        <v>0</v>
      </c>
      <c r="L2370">
        <v>0</v>
      </c>
      <c r="M2370">
        <v>78.23</v>
      </c>
      <c r="N2370">
        <v>78.5</v>
      </c>
      <c r="O2370">
        <v>78.23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78.31</v>
      </c>
      <c r="Y2370">
        <v>86.04</v>
      </c>
      <c r="Z2370">
        <v>0</v>
      </c>
      <c r="AA2370">
        <v>517127</v>
      </c>
      <c r="AB2370">
        <v>0</v>
      </c>
      <c r="AC2370">
        <v>0</v>
      </c>
      <c r="AD2370" t="s">
        <v>94</v>
      </c>
      <c r="AE2370" t="s">
        <v>94</v>
      </c>
      <c r="AF2370" t="s">
        <v>226</v>
      </c>
      <c r="AG2370" t="s">
        <v>226</v>
      </c>
      <c r="AH2370">
        <v>800</v>
      </c>
      <c r="AI2370" t="s">
        <v>3537</v>
      </c>
      <c r="AJ2370" t="s">
        <v>1976</v>
      </c>
      <c r="AK2370" t="s">
        <v>2416</v>
      </c>
      <c r="AL2370" t="s">
        <v>272</v>
      </c>
    </row>
    <row r="2371" spans="1:38">
      <c r="A2371" t="s">
        <v>10077</v>
      </c>
      <c r="B2371" t="s">
        <v>10078</v>
      </c>
      <c r="C2371" t="s">
        <v>10079</v>
      </c>
      <c r="D2371" t="s">
        <v>10079</v>
      </c>
      <c r="E2371" t="s">
        <v>10080</v>
      </c>
      <c r="F2371" t="s">
        <v>2413</v>
      </c>
      <c r="G2371">
        <v>3</v>
      </c>
      <c r="H2371">
        <v>1</v>
      </c>
      <c r="I2371">
        <v>0.01</v>
      </c>
      <c r="J2371">
        <v>1000</v>
      </c>
      <c r="K2371">
        <v>0</v>
      </c>
      <c r="L2371">
        <v>0</v>
      </c>
      <c r="M2371">
        <v>82.1</v>
      </c>
      <c r="N2371">
        <v>82.23</v>
      </c>
      <c r="O2371">
        <v>82.1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82.11</v>
      </c>
      <c r="Y2371">
        <v>87.01</v>
      </c>
      <c r="Z2371">
        <v>0</v>
      </c>
      <c r="AA2371">
        <v>601853</v>
      </c>
      <c r="AB2371">
        <v>0</v>
      </c>
      <c r="AC2371">
        <v>0</v>
      </c>
      <c r="AD2371" t="s">
        <v>94</v>
      </c>
      <c r="AE2371" t="s">
        <v>94</v>
      </c>
      <c r="AF2371" t="s">
        <v>226</v>
      </c>
      <c r="AG2371" t="s">
        <v>226</v>
      </c>
      <c r="AH2371">
        <v>800</v>
      </c>
      <c r="AI2371" t="s">
        <v>3537</v>
      </c>
      <c r="AJ2371" t="s">
        <v>1976</v>
      </c>
      <c r="AK2371" t="s">
        <v>2416</v>
      </c>
      <c r="AL2371" t="s">
        <v>272</v>
      </c>
    </row>
    <row r="2372" spans="1:38">
      <c r="A2372" t="s">
        <v>10081</v>
      </c>
      <c r="B2372" t="s">
        <v>10082</v>
      </c>
      <c r="C2372" t="s">
        <v>10083</v>
      </c>
      <c r="D2372" t="s">
        <v>10083</v>
      </c>
      <c r="E2372" t="s">
        <v>10084</v>
      </c>
      <c r="F2372" t="s">
        <v>2413</v>
      </c>
      <c r="G2372">
        <v>3</v>
      </c>
      <c r="H2372">
        <v>1</v>
      </c>
      <c r="I2372">
        <v>0.01</v>
      </c>
      <c r="J2372">
        <v>1000</v>
      </c>
      <c r="K2372">
        <v>0</v>
      </c>
      <c r="L2372">
        <v>0</v>
      </c>
      <c r="M2372">
        <v>85.2</v>
      </c>
      <c r="N2372">
        <v>0</v>
      </c>
      <c r="O2372">
        <v>85.2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85.41</v>
      </c>
      <c r="Y2372">
        <v>0</v>
      </c>
      <c r="Z2372">
        <v>0</v>
      </c>
      <c r="AA2372">
        <v>286626</v>
      </c>
      <c r="AB2372">
        <v>0</v>
      </c>
      <c r="AC2372">
        <v>0</v>
      </c>
      <c r="AD2372" t="s">
        <v>94</v>
      </c>
      <c r="AE2372" t="s">
        <v>94</v>
      </c>
      <c r="AF2372" t="s">
        <v>226</v>
      </c>
      <c r="AG2372" t="s">
        <v>226</v>
      </c>
      <c r="AH2372">
        <v>800</v>
      </c>
      <c r="AI2372" t="s">
        <v>3537</v>
      </c>
      <c r="AJ2372" t="s">
        <v>1976</v>
      </c>
      <c r="AK2372" t="s">
        <v>2416</v>
      </c>
      <c r="AL2372" t="s">
        <v>272</v>
      </c>
    </row>
    <row r="2373" spans="1:38">
      <c r="A2373" t="s">
        <v>10085</v>
      </c>
      <c r="B2373" t="s">
        <v>10086</v>
      </c>
      <c r="C2373" t="s">
        <v>10087</v>
      </c>
      <c r="D2373" t="s">
        <v>10087</v>
      </c>
      <c r="E2373" t="s">
        <v>10088</v>
      </c>
      <c r="F2373" t="s">
        <v>2413</v>
      </c>
      <c r="G2373">
        <v>3</v>
      </c>
      <c r="H2373">
        <v>1</v>
      </c>
      <c r="I2373">
        <v>0.01</v>
      </c>
      <c r="J2373">
        <v>1000</v>
      </c>
      <c r="K2373">
        <v>0</v>
      </c>
      <c r="L2373">
        <v>0</v>
      </c>
      <c r="M2373">
        <v>88.8</v>
      </c>
      <c r="N2373">
        <v>0</v>
      </c>
      <c r="O2373">
        <v>88.8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82.6</v>
      </c>
      <c r="Y2373">
        <v>91.21</v>
      </c>
      <c r="Z2373">
        <v>0</v>
      </c>
      <c r="AA2373">
        <v>331753</v>
      </c>
      <c r="AB2373">
        <v>0</v>
      </c>
      <c r="AC2373">
        <v>0</v>
      </c>
      <c r="AD2373" t="s">
        <v>94</v>
      </c>
      <c r="AE2373" t="s">
        <v>94</v>
      </c>
      <c r="AF2373" t="s">
        <v>226</v>
      </c>
      <c r="AG2373" t="s">
        <v>226</v>
      </c>
      <c r="AH2373">
        <v>800</v>
      </c>
      <c r="AI2373" t="s">
        <v>3537</v>
      </c>
      <c r="AJ2373" t="s">
        <v>1976</v>
      </c>
      <c r="AK2373" t="s">
        <v>2416</v>
      </c>
      <c r="AL2373" t="s">
        <v>272</v>
      </c>
    </row>
    <row r="2374" spans="1:38">
      <c r="A2374" t="s">
        <v>10089</v>
      </c>
      <c r="B2374" t="s">
        <v>10090</v>
      </c>
      <c r="C2374" t="s">
        <v>10091</v>
      </c>
      <c r="D2374" t="s">
        <v>10091</v>
      </c>
      <c r="E2374" t="s">
        <v>10092</v>
      </c>
      <c r="F2374" t="s">
        <v>2413</v>
      </c>
      <c r="G2374">
        <v>3</v>
      </c>
      <c r="H2374">
        <v>1</v>
      </c>
      <c r="I2374">
        <v>0.01</v>
      </c>
      <c r="J2374">
        <v>1000</v>
      </c>
      <c r="K2374">
        <v>0</v>
      </c>
      <c r="L2374">
        <v>0</v>
      </c>
      <c r="M2374">
        <v>109.01</v>
      </c>
      <c r="N2374">
        <v>108.42</v>
      </c>
      <c r="O2374">
        <v>109.01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109.34</v>
      </c>
      <c r="Y2374">
        <v>119.29</v>
      </c>
      <c r="Z2374">
        <v>0</v>
      </c>
      <c r="AA2374">
        <v>76522</v>
      </c>
      <c r="AB2374">
        <v>0</v>
      </c>
      <c r="AC2374">
        <v>0</v>
      </c>
      <c r="AD2374" t="s">
        <v>94</v>
      </c>
      <c r="AE2374" t="s">
        <v>94</v>
      </c>
      <c r="AF2374" t="s">
        <v>226</v>
      </c>
      <c r="AG2374" t="s">
        <v>226</v>
      </c>
      <c r="AH2374">
        <v>800</v>
      </c>
      <c r="AI2374" t="s">
        <v>3537</v>
      </c>
      <c r="AJ2374" t="s">
        <v>1976</v>
      </c>
      <c r="AK2374" t="s">
        <v>2416</v>
      </c>
      <c r="AL2374" t="s">
        <v>272</v>
      </c>
    </row>
    <row r="2375" spans="1:38">
      <c r="A2375" t="s">
        <v>10093</v>
      </c>
      <c r="B2375" t="s">
        <v>10094</v>
      </c>
      <c r="C2375" t="s">
        <v>10095</v>
      </c>
      <c r="D2375" t="s">
        <v>10095</v>
      </c>
      <c r="E2375" t="s">
        <v>10096</v>
      </c>
      <c r="F2375" t="s">
        <v>2413</v>
      </c>
      <c r="G2375">
        <v>3</v>
      </c>
      <c r="H2375">
        <v>1</v>
      </c>
      <c r="I2375">
        <v>0.01</v>
      </c>
      <c r="J2375">
        <v>1000</v>
      </c>
      <c r="K2375">
        <v>-0.31</v>
      </c>
      <c r="L2375">
        <v>97.6</v>
      </c>
      <c r="M2375">
        <v>97.9</v>
      </c>
      <c r="N2375">
        <v>97.79</v>
      </c>
      <c r="O2375">
        <v>97.6</v>
      </c>
      <c r="P2375">
        <v>0</v>
      </c>
      <c r="Q2375">
        <v>0</v>
      </c>
      <c r="R2375">
        <v>0</v>
      </c>
      <c r="S2375">
        <v>97.6</v>
      </c>
      <c r="T2375">
        <v>97.6</v>
      </c>
      <c r="U2375">
        <v>97.6</v>
      </c>
      <c r="V2375">
        <v>97.61</v>
      </c>
      <c r="W2375">
        <v>832528</v>
      </c>
      <c r="X2375">
        <v>97.6</v>
      </c>
      <c r="Y2375">
        <v>98.76</v>
      </c>
      <c r="Z2375">
        <v>4</v>
      </c>
      <c r="AA2375">
        <v>572972</v>
      </c>
      <c r="AB2375">
        <v>389424</v>
      </c>
      <c r="AC2375">
        <v>0</v>
      </c>
      <c r="AD2375" t="s">
        <v>94</v>
      </c>
      <c r="AE2375" t="s">
        <v>94</v>
      </c>
      <c r="AF2375" t="s">
        <v>226</v>
      </c>
      <c r="AG2375" t="s">
        <v>226</v>
      </c>
      <c r="AH2375">
        <v>800</v>
      </c>
      <c r="AI2375" t="s">
        <v>3537</v>
      </c>
      <c r="AJ2375" t="s">
        <v>1976</v>
      </c>
      <c r="AK2375" t="s">
        <v>2416</v>
      </c>
      <c r="AL2375" t="s">
        <v>272</v>
      </c>
    </row>
    <row r="2376" spans="1:38">
      <c r="A2376" t="s">
        <v>10097</v>
      </c>
      <c r="B2376" t="s">
        <v>10098</v>
      </c>
      <c r="C2376" t="s">
        <v>10099</v>
      </c>
      <c r="D2376" t="s">
        <v>10099</v>
      </c>
      <c r="E2376" t="s">
        <v>10100</v>
      </c>
      <c r="F2376" t="s">
        <v>2413</v>
      </c>
      <c r="G2376">
        <v>3</v>
      </c>
      <c r="H2376">
        <v>1</v>
      </c>
      <c r="I2376">
        <v>0.01</v>
      </c>
      <c r="J2376">
        <v>1000</v>
      </c>
      <c r="K2376">
        <v>-0.11</v>
      </c>
      <c r="L2376">
        <v>98</v>
      </c>
      <c r="M2376">
        <v>98.11</v>
      </c>
      <c r="N2376">
        <v>95.78</v>
      </c>
      <c r="O2376">
        <v>98</v>
      </c>
      <c r="P2376">
        <v>0</v>
      </c>
      <c r="Q2376">
        <v>0</v>
      </c>
      <c r="R2376">
        <v>0</v>
      </c>
      <c r="S2376">
        <v>98</v>
      </c>
      <c r="T2376">
        <v>98</v>
      </c>
      <c r="U2376">
        <v>98</v>
      </c>
      <c r="V2376">
        <v>98</v>
      </c>
      <c r="W2376">
        <v>98000</v>
      </c>
      <c r="X2376">
        <v>90.62</v>
      </c>
      <c r="Y2376">
        <v>99.01</v>
      </c>
      <c r="Z2376">
        <v>1</v>
      </c>
      <c r="AA2376">
        <v>222377</v>
      </c>
      <c r="AB2376">
        <v>98000</v>
      </c>
      <c r="AC2376">
        <v>0</v>
      </c>
      <c r="AD2376" t="s">
        <v>94</v>
      </c>
      <c r="AE2376" t="s">
        <v>94</v>
      </c>
      <c r="AF2376" t="s">
        <v>226</v>
      </c>
      <c r="AG2376" t="s">
        <v>226</v>
      </c>
      <c r="AH2376">
        <v>800</v>
      </c>
      <c r="AI2376" t="s">
        <v>3537</v>
      </c>
      <c r="AJ2376" t="s">
        <v>1976</v>
      </c>
      <c r="AK2376" t="s">
        <v>2416</v>
      </c>
      <c r="AL2376" t="s">
        <v>272</v>
      </c>
    </row>
    <row r="2377" spans="1:38">
      <c r="A2377" t="s">
        <v>10101</v>
      </c>
      <c r="B2377" t="s">
        <v>10102</v>
      </c>
      <c r="C2377" t="s">
        <v>10103</v>
      </c>
      <c r="D2377" t="s">
        <v>10103</v>
      </c>
      <c r="E2377" t="s">
        <v>10104</v>
      </c>
      <c r="F2377" t="s">
        <v>2413</v>
      </c>
      <c r="G2377">
        <v>3</v>
      </c>
      <c r="H2377">
        <v>1</v>
      </c>
      <c r="I2377">
        <v>0.01</v>
      </c>
      <c r="J2377">
        <v>1000</v>
      </c>
      <c r="K2377">
        <v>0</v>
      </c>
      <c r="L2377">
        <v>0</v>
      </c>
      <c r="M2377">
        <v>88.1</v>
      </c>
      <c r="N2377">
        <v>90.93</v>
      </c>
      <c r="O2377">
        <v>88.1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89.31</v>
      </c>
      <c r="Y2377">
        <v>0</v>
      </c>
      <c r="Z2377">
        <v>0</v>
      </c>
      <c r="AA2377">
        <v>240520</v>
      </c>
      <c r="AB2377">
        <v>0</v>
      </c>
      <c r="AC2377">
        <v>0</v>
      </c>
      <c r="AD2377" t="s">
        <v>94</v>
      </c>
      <c r="AE2377" t="s">
        <v>94</v>
      </c>
      <c r="AF2377" t="s">
        <v>226</v>
      </c>
      <c r="AG2377" t="s">
        <v>226</v>
      </c>
      <c r="AH2377">
        <v>800</v>
      </c>
      <c r="AI2377" t="s">
        <v>3537</v>
      </c>
      <c r="AJ2377" t="s">
        <v>1976</v>
      </c>
      <c r="AK2377" t="s">
        <v>2416</v>
      </c>
      <c r="AL2377" t="s">
        <v>272</v>
      </c>
    </row>
    <row r="2378" spans="1:38">
      <c r="A2378" t="s">
        <v>10105</v>
      </c>
      <c r="B2378" t="s">
        <v>10106</v>
      </c>
      <c r="C2378" t="s">
        <v>10107</v>
      </c>
      <c r="D2378" t="s">
        <v>10107</v>
      </c>
      <c r="E2378" t="s">
        <v>10108</v>
      </c>
      <c r="F2378" t="s">
        <v>2413</v>
      </c>
      <c r="G2378">
        <v>3</v>
      </c>
      <c r="H2378">
        <v>1</v>
      </c>
      <c r="I2378">
        <v>0.01</v>
      </c>
      <c r="J2378">
        <v>1000</v>
      </c>
      <c r="K2378">
        <v>0</v>
      </c>
      <c r="L2378">
        <v>0</v>
      </c>
      <c r="M2378">
        <v>82.5</v>
      </c>
      <c r="N2378">
        <v>83.54</v>
      </c>
      <c r="O2378">
        <v>82.5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83.01</v>
      </c>
      <c r="Y2378">
        <v>0</v>
      </c>
      <c r="Z2378">
        <v>0</v>
      </c>
      <c r="AA2378">
        <v>489257</v>
      </c>
      <c r="AB2378">
        <v>0</v>
      </c>
      <c r="AC2378">
        <v>0</v>
      </c>
      <c r="AD2378" t="s">
        <v>94</v>
      </c>
      <c r="AE2378" t="s">
        <v>94</v>
      </c>
      <c r="AF2378" t="s">
        <v>226</v>
      </c>
      <c r="AG2378" t="s">
        <v>226</v>
      </c>
      <c r="AH2378">
        <v>800</v>
      </c>
      <c r="AI2378" t="s">
        <v>3537</v>
      </c>
      <c r="AJ2378" t="s">
        <v>1976</v>
      </c>
      <c r="AK2378" t="s">
        <v>2416</v>
      </c>
      <c r="AL2378" t="s">
        <v>272</v>
      </c>
    </row>
    <row r="2379" spans="1:38">
      <c r="A2379" t="s">
        <v>10109</v>
      </c>
      <c r="B2379" t="s">
        <v>10110</v>
      </c>
      <c r="C2379" t="s">
        <v>10111</v>
      </c>
      <c r="D2379" t="s">
        <v>10111</v>
      </c>
      <c r="E2379" t="s">
        <v>10112</v>
      </c>
      <c r="F2379" t="s">
        <v>2413</v>
      </c>
      <c r="G2379">
        <v>3</v>
      </c>
      <c r="H2379">
        <v>1</v>
      </c>
      <c r="I2379">
        <v>0.01</v>
      </c>
      <c r="J2379">
        <v>1000</v>
      </c>
      <c r="K2379">
        <v>0</v>
      </c>
      <c r="L2379">
        <v>0</v>
      </c>
      <c r="M2379">
        <v>86.1</v>
      </c>
      <c r="N2379">
        <v>86.65</v>
      </c>
      <c r="O2379">
        <v>86.1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86.51</v>
      </c>
      <c r="Y2379">
        <v>0</v>
      </c>
      <c r="Z2379">
        <v>0</v>
      </c>
      <c r="AA2379">
        <v>882669</v>
      </c>
      <c r="AB2379">
        <v>0</v>
      </c>
      <c r="AC2379">
        <v>0</v>
      </c>
      <c r="AD2379" t="s">
        <v>94</v>
      </c>
      <c r="AE2379" t="s">
        <v>94</v>
      </c>
      <c r="AF2379" t="s">
        <v>226</v>
      </c>
      <c r="AG2379" t="s">
        <v>226</v>
      </c>
      <c r="AH2379">
        <v>800</v>
      </c>
      <c r="AI2379" t="s">
        <v>3537</v>
      </c>
      <c r="AJ2379" t="s">
        <v>1976</v>
      </c>
      <c r="AK2379" t="s">
        <v>2416</v>
      </c>
      <c r="AL2379" t="s">
        <v>272</v>
      </c>
    </row>
    <row r="2380" spans="1:38">
      <c r="A2380" t="s">
        <v>10113</v>
      </c>
      <c r="B2380" t="s">
        <v>10114</v>
      </c>
      <c r="C2380" t="s">
        <v>10115</v>
      </c>
      <c r="D2380" t="s">
        <v>10115</v>
      </c>
      <c r="E2380" t="s">
        <v>10116</v>
      </c>
      <c r="F2380" t="s">
        <v>2413</v>
      </c>
      <c r="G2380">
        <v>3</v>
      </c>
      <c r="H2380">
        <v>1</v>
      </c>
      <c r="I2380">
        <v>0.01</v>
      </c>
      <c r="J2380">
        <v>1000</v>
      </c>
      <c r="K2380">
        <v>0</v>
      </c>
      <c r="L2380">
        <v>0</v>
      </c>
      <c r="M2380">
        <v>86.6</v>
      </c>
      <c r="N2380">
        <v>86.54</v>
      </c>
      <c r="O2380">
        <v>86.6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86.1</v>
      </c>
      <c r="Y2380">
        <v>0</v>
      </c>
      <c r="Z2380">
        <v>0</v>
      </c>
      <c r="AA2380">
        <v>708398</v>
      </c>
      <c r="AB2380">
        <v>0</v>
      </c>
      <c r="AC2380">
        <v>0</v>
      </c>
      <c r="AD2380" t="s">
        <v>94</v>
      </c>
      <c r="AE2380" t="s">
        <v>94</v>
      </c>
      <c r="AF2380" t="s">
        <v>226</v>
      </c>
      <c r="AG2380" t="s">
        <v>226</v>
      </c>
      <c r="AH2380">
        <v>800</v>
      </c>
      <c r="AI2380" t="s">
        <v>3537</v>
      </c>
      <c r="AJ2380" t="s">
        <v>1976</v>
      </c>
      <c r="AK2380" t="s">
        <v>2416</v>
      </c>
      <c r="AL2380" t="s">
        <v>272</v>
      </c>
    </row>
    <row r="2381" spans="1:38">
      <c r="A2381" t="s">
        <v>10117</v>
      </c>
      <c r="B2381" t="s">
        <v>10118</v>
      </c>
      <c r="C2381" t="s">
        <v>10119</v>
      </c>
      <c r="D2381" t="s">
        <v>10119</v>
      </c>
      <c r="E2381" t="s">
        <v>10120</v>
      </c>
      <c r="F2381" t="s">
        <v>2413</v>
      </c>
      <c r="G2381">
        <v>3</v>
      </c>
      <c r="H2381">
        <v>1</v>
      </c>
      <c r="I2381">
        <v>0.01</v>
      </c>
      <c r="J2381">
        <v>1000</v>
      </c>
      <c r="K2381">
        <v>0</v>
      </c>
      <c r="L2381">
        <v>0</v>
      </c>
      <c r="M2381">
        <v>83.4</v>
      </c>
      <c r="N2381">
        <v>82.7</v>
      </c>
      <c r="O2381">
        <v>83.4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83.11</v>
      </c>
      <c r="Y2381">
        <v>0</v>
      </c>
      <c r="Z2381">
        <v>0</v>
      </c>
      <c r="AA2381">
        <v>502467</v>
      </c>
      <c r="AB2381">
        <v>0</v>
      </c>
      <c r="AC2381">
        <v>0</v>
      </c>
      <c r="AD2381" t="s">
        <v>94</v>
      </c>
      <c r="AE2381" t="s">
        <v>94</v>
      </c>
      <c r="AF2381" t="s">
        <v>226</v>
      </c>
      <c r="AG2381" t="s">
        <v>226</v>
      </c>
      <c r="AH2381">
        <v>800</v>
      </c>
      <c r="AI2381" t="s">
        <v>3537</v>
      </c>
      <c r="AJ2381" t="s">
        <v>1976</v>
      </c>
      <c r="AK2381" t="s">
        <v>2416</v>
      </c>
      <c r="AL2381" t="s">
        <v>272</v>
      </c>
    </row>
    <row r="2382" spans="1:38">
      <c r="A2382" t="s">
        <v>10121</v>
      </c>
      <c r="B2382" t="s">
        <v>10122</v>
      </c>
      <c r="C2382" t="s">
        <v>10123</v>
      </c>
      <c r="D2382" t="s">
        <v>10123</v>
      </c>
      <c r="E2382" t="s">
        <v>10124</v>
      </c>
      <c r="F2382" t="s">
        <v>2413</v>
      </c>
      <c r="G2382">
        <v>3</v>
      </c>
      <c r="H2382">
        <v>1</v>
      </c>
      <c r="I2382">
        <v>0.01</v>
      </c>
      <c r="J2382">
        <v>1000</v>
      </c>
      <c r="K2382">
        <v>0</v>
      </c>
      <c r="L2382">
        <v>0</v>
      </c>
      <c r="M2382">
        <v>81.099999999999994</v>
      </c>
      <c r="N2382">
        <v>0</v>
      </c>
      <c r="O2382">
        <v>81.099999999999994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78.81</v>
      </c>
      <c r="Y2382">
        <v>0</v>
      </c>
      <c r="Z2382">
        <v>0</v>
      </c>
      <c r="AA2382">
        <v>419949</v>
      </c>
      <c r="AB2382">
        <v>0</v>
      </c>
      <c r="AC2382">
        <v>0</v>
      </c>
      <c r="AD2382" t="s">
        <v>94</v>
      </c>
      <c r="AE2382" t="s">
        <v>94</v>
      </c>
      <c r="AF2382" t="s">
        <v>226</v>
      </c>
      <c r="AG2382" t="s">
        <v>226</v>
      </c>
      <c r="AH2382">
        <v>800</v>
      </c>
      <c r="AI2382" t="s">
        <v>3537</v>
      </c>
      <c r="AJ2382" t="s">
        <v>1976</v>
      </c>
      <c r="AK2382" t="s">
        <v>2416</v>
      </c>
      <c r="AL2382" t="s">
        <v>272</v>
      </c>
    </row>
    <row r="2383" spans="1:38">
      <c r="A2383" t="s">
        <v>10125</v>
      </c>
      <c r="B2383" t="s">
        <v>10126</v>
      </c>
      <c r="C2383" t="s">
        <v>10127</v>
      </c>
      <c r="D2383" t="s">
        <v>10127</v>
      </c>
      <c r="E2383" t="s">
        <v>10128</v>
      </c>
      <c r="F2383" t="s">
        <v>2413</v>
      </c>
      <c r="G2383">
        <v>3</v>
      </c>
      <c r="H2383">
        <v>1</v>
      </c>
      <c r="I2383">
        <v>0.01</v>
      </c>
      <c r="J2383">
        <v>1000</v>
      </c>
      <c r="K2383">
        <v>0</v>
      </c>
      <c r="L2383">
        <v>0</v>
      </c>
      <c r="M2383">
        <v>81.900000000000006</v>
      </c>
      <c r="N2383">
        <v>0</v>
      </c>
      <c r="O2383">
        <v>81.900000000000006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80.61</v>
      </c>
      <c r="Y2383">
        <v>0</v>
      </c>
      <c r="Z2383">
        <v>0</v>
      </c>
      <c r="AA2383">
        <v>41442</v>
      </c>
      <c r="AB2383">
        <v>0</v>
      </c>
      <c r="AC2383">
        <v>0</v>
      </c>
      <c r="AD2383" t="s">
        <v>94</v>
      </c>
      <c r="AE2383" t="s">
        <v>94</v>
      </c>
      <c r="AF2383" t="s">
        <v>226</v>
      </c>
      <c r="AG2383" t="s">
        <v>226</v>
      </c>
      <c r="AH2383">
        <v>800</v>
      </c>
      <c r="AI2383" t="s">
        <v>3537</v>
      </c>
      <c r="AJ2383" t="s">
        <v>1976</v>
      </c>
      <c r="AK2383" t="s">
        <v>2416</v>
      </c>
      <c r="AL2383" t="s">
        <v>272</v>
      </c>
    </row>
    <row r="2384" spans="1:38">
      <c r="A2384" t="s">
        <v>10129</v>
      </c>
      <c r="B2384" t="s">
        <v>10130</v>
      </c>
      <c r="C2384" t="s">
        <v>10131</v>
      </c>
      <c r="D2384" t="s">
        <v>10131</v>
      </c>
      <c r="E2384" t="s">
        <v>10132</v>
      </c>
      <c r="F2384" t="s">
        <v>2413</v>
      </c>
      <c r="G2384">
        <v>3</v>
      </c>
      <c r="H2384">
        <v>1</v>
      </c>
      <c r="I2384">
        <v>0.01</v>
      </c>
      <c r="J2384">
        <v>1000</v>
      </c>
      <c r="K2384">
        <v>0</v>
      </c>
      <c r="L2384">
        <v>0</v>
      </c>
      <c r="M2384">
        <v>78.760000000000005</v>
      </c>
      <c r="N2384">
        <v>0</v>
      </c>
      <c r="O2384">
        <v>78.760000000000005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74.25</v>
      </c>
      <c r="Y2384">
        <v>84.01</v>
      </c>
      <c r="Z2384">
        <v>0</v>
      </c>
      <c r="AA2384">
        <v>274584</v>
      </c>
      <c r="AB2384">
        <v>0</v>
      </c>
      <c r="AC2384">
        <v>0</v>
      </c>
      <c r="AD2384" t="s">
        <v>94</v>
      </c>
      <c r="AE2384" t="s">
        <v>94</v>
      </c>
      <c r="AF2384" t="s">
        <v>226</v>
      </c>
      <c r="AG2384" t="s">
        <v>226</v>
      </c>
      <c r="AH2384">
        <v>800</v>
      </c>
      <c r="AI2384" t="s">
        <v>3537</v>
      </c>
      <c r="AJ2384" t="s">
        <v>1976</v>
      </c>
      <c r="AK2384" t="s">
        <v>2416</v>
      </c>
      <c r="AL2384" t="s">
        <v>272</v>
      </c>
    </row>
    <row r="2385" spans="1:38">
      <c r="A2385" t="s">
        <v>10133</v>
      </c>
      <c r="B2385" t="s">
        <v>10134</v>
      </c>
      <c r="C2385" t="s">
        <v>10135</v>
      </c>
      <c r="D2385" t="s">
        <v>10135</v>
      </c>
      <c r="E2385" t="s">
        <v>10136</v>
      </c>
      <c r="F2385" t="s">
        <v>2413</v>
      </c>
      <c r="G2385">
        <v>3</v>
      </c>
      <c r="H2385">
        <v>1</v>
      </c>
      <c r="I2385">
        <v>0.01</v>
      </c>
      <c r="J2385">
        <v>1000</v>
      </c>
      <c r="K2385">
        <v>0</v>
      </c>
      <c r="L2385">
        <v>0</v>
      </c>
      <c r="M2385">
        <v>77.63</v>
      </c>
      <c r="N2385">
        <v>0</v>
      </c>
      <c r="O2385">
        <v>77.63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74.38</v>
      </c>
      <c r="Y2385">
        <v>100.99</v>
      </c>
      <c r="Z2385">
        <v>0</v>
      </c>
      <c r="AA2385">
        <v>39984</v>
      </c>
      <c r="AB2385">
        <v>0</v>
      </c>
      <c r="AC2385">
        <v>0</v>
      </c>
      <c r="AD2385" t="s">
        <v>94</v>
      </c>
      <c r="AE2385" t="s">
        <v>94</v>
      </c>
      <c r="AF2385" t="s">
        <v>226</v>
      </c>
      <c r="AG2385" t="s">
        <v>226</v>
      </c>
      <c r="AH2385">
        <v>800</v>
      </c>
      <c r="AI2385" t="s">
        <v>3537</v>
      </c>
      <c r="AJ2385" t="s">
        <v>1976</v>
      </c>
      <c r="AK2385" t="s">
        <v>2416</v>
      </c>
      <c r="AL2385" t="s">
        <v>272</v>
      </c>
    </row>
    <row r="2386" spans="1:38">
      <c r="A2386" t="s">
        <v>10137</v>
      </c>
      <c r="B2386" t="s">
        <v>10138</v>
      </c>
      <c r="C2386" t="s">
        <v>10139</v>
      </c>
      <c r="D2386" t="s">
        <v>10139</v>
      </c>
      <c r="E2386" t="s">
        <v>10140</v>
      </c>
      <c r="F2386" t="s">
        <v>2413</v>
      </c>
      <c r="G2386">
        <v>3</v>
      </c>
      <c r="H2386">
        <v>1</v>
      </c>
      <c r="I2386">
        <v>0.01</v>
      </c>
      <c r="J2386">
        <v>1000</v>
      </c>
      <c r="K2386">
        <v>0</v>
      </c>
      <c r="L2386">
        <v>0</v>
      </c>
      <c r="M2386">
        <v>103.9</v>
      </c>
      <c r="N2386">
        <v>0</v>
      </c>
      <c r="O2386">
        <v>103.9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104.2</v>
      </c>
      <c r="Y2386">
        <v>0</v>
      </c>
      <c r="Z2386">
        <v>0</v>
      </c>
      <c r="AA2386">
        <v>131808</v>
      </c>
      <c r="AB2386">
        <v>0</v>
      </c>
      <c r="AC2386">
        <v>0</v>
      </c>
      <c r="AD2386" t="s">
        <v>94</v>
      </c>
      <c r="AE2386" t="s">
        <v>94</v>
      </c>
      <c r="AF2386" t="s">
        <v>226</v>
      </c>
      <c r="AG2386" t="s">
        <v>226</v>
      </c>
      <c r="AH2386">
        <v>800</v>
      </c>
      <c r="AI2386" t="s">
        <v>3537</v>
      </c>
      <c r="AJ2386" t="s">
        <v>1976</v>
      </c>
      <c r="AK2386" t="s">
        <v>2416</v>
      </c>
      <c r="AL2386" t="s">
        <v>272</v>
      </c>
    </row>
    <row r="2387" spans="1:38">
      <c r="A2387" t="s">
        <v>10141</v>
      </c>
      <c r="B2387" t="s">
        <v>10142</v>
      </c>
      <c r="C2387" t="s">
        <v>10143</v>
      </c>
      <c r="D2387" t="s">
        <v>10143</v>
      </c>
      <c r="E2387" t="s">
        <v>10144</v>
      </c>
      <c r="F2387" t="s">
        <v>2413</v>
      </c>
      <c r="G2387">
        <v>3</v>
      </c>
      <c r="H2387">
        <v>1</v>
      </c>
      <c r="I2387">
        <v>0.01</v>
      </c>
      <c r="J2387">
        <v>1000</v>
      </c>
      <c r="K2387">
        <v>0</v>
      </c>
      <c r="L2387">
        <v>0</v>
      </c>
      <c r="M2387">
        <v>116.8</v>
      </c>
      <c r="N2387">
        <v>0</v>
      </c>
      <c r="O2387">
        <v>116.8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116</v>
      </c>
      <c r="Y2387">
        <v>0</v>
      </c>
      <c r="Z2387">
        <v>0</v>
      </c>
      <c r="AA2387">
        <v>5571</v>
      </c>
      <c r="AB2387">
        <v>0</v>
      </c>
      <c r="AC2387">
        <v>0</v>
      </c>
      <c r="AD2387" t="s">
        <v>94</v>
      </c>
      <c r="AE2387" t="s">
        <v>94</v>
      </c>
      <c r="AF2387" t="s">
        <v>226</v>
      </c>
      <c r="AG2387" t="s">
        <v>226</v>
      </c>
      <c r="AH2387">
        <v>800</v>
      </c>
      <c r="AI2387" t="s">
        <v>3537</v>
      </c>
      <c r="AJ2387" t="s">
        <v>1976</v>
      </c>
      <c r="AK2387" t="s">
        <v>2416</v>
      </c>
      <c r="AL2387" t="s">
        <v>272</v>
      </c>
    </row>
    <row r="2388" spans="1:38">
      <c r="A2388" t="s">
        <v>10145</v>
      </c>
      <c r="B2388" t="s">
        <v>10146</v>
      </c>
      <c r="C2388" t="s">
        <v>10147</v>
      </c>
      <c r="D2388" t="s">
        <v>10147</v>
      </c>
      <c r="E2388" t="s">
        <v>10148</v>
      </c>
      <c r="F2388" t="s">
        <v>2413</v>
      </c>
      <c r="G2388">
        <v>3</v>
      </c>
      <c r="H2388">
        <v>1</v>
      </c>
      <c r="I2388">
        <v>0.01</v>
      </c>
      <c r="J2388">
        <v>1000</v>
      </c>
      <c r="K2388">
        <v>0</v>
      </c>
      <c r="L2388">
        <v>0</v>
      </c>
      <c r="M2388">
        <v>90.2</v>
      </c>
      <c r="N2388">
        <v>94.9</v>
      </c>
      <c r="O2388">
        <v>90.2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88.12</v>
      </c>
      <c r="Y2388">
        <v>90.2</v>
      </c>
      <c r="Z2388">
        <v>0</v>
      </c>
      <c r="AA2388">
        <v>296948</v>
      </c>
      <c r="AB2388">
        <v>0</v>
      </c>
      <c r="AC2388">
        <v>0</v>
      </c>
      <c r="AD2388" t="s">
        <v>94</v>
      </c>
      <c r="AE2388" t="s">
        <v>94</v>
      </c>
      <c r="AF2388" t="s">
        <v>226</v>
      </c>
      <c r="AG2388" t="s">
        <v>226</v>
      </c>
      <c r="AH2388">
        <v>800</v>
      </c>
      <c r="AI2388" t="s">
        <v>3537</v>
      </c>
      <c r="AJ2388" t="s">
        <v>1976</v>
      </c>
      <c r="AK2388" t="s">
        <v>2416</v>
      </c>
      <c r="AL2388" t="s">
        <v>272</v>
      </c>
    </row>
    <row r="2389" spans="1:38">
      <c r="A2389" t="s">
        <v>10149</v>
      </c>
      <c r="B2389" t="s">
        <v>10150</v>
      </c>
      <c r="C2389" t="s">
        <v>10151</v>
      </c>
      <c r="D2389" t="s">
        <v>10151</v>
      </c>
      <c r="E2389" t="s">
        <v>10152</v>
      </c>
      <c r="F2389" t="s">
        <v>2413</v>
      </c>
      <c r="G2389">
        <v>3</v>
      </c>
      <c r="H2389">
        <v>1</v>
      </c>
      <c r="I2389">
        <v>0.01</v>
      </c>
      <c r="J2389">
        <v>1000</v>
      </c>
      <c r="K2389">
        <v>0</v>
      </c>
      <c r="L2389">
        <v>0</v>
      </c>
      <c r="M2389">
        <v>85.81</v>
      </c>
      <c r="N2389">
        <v>0</v>
      </c>
      <c r="O2389">
        <v>85.81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90.21</v>
      </c>
      <c r="Y2389">
        <v>0</v>
      </c>
      <c r="Z2389">
        <v>0</v>
      </c>
      <c r="AA2389">
        <v>129362</v>
      </c>
      <c r="AB2389">
        <v>0</v>
      </c>
      <c r="AC2389">
        <v>0</v>
      </c>
      <c r="AD2389" t="s">
        <v>94</v>
      </c>
      <c r="AE2389" t="s">
        <v>94</v>
      </c>
      <c r="AF2389" t="s">
        <v>226</v>
      </c>
      <c r="AG2389" t="s">
        <v>226</v>
      </c>
      <c r="AH2389">
        <v>800</v>
      </c>
      <c r="AI2389" t="s">
        <v>3537</v>
      </c>
      <c r="AJ2389" t="s">
        <v>1976</v>
      </c>
      <c r="AK2389" t="s">
        <v>2416</v>
      </c>
      <c r="AL2389" t="s">
        <v>272</v>
      </c>
    </row>
    <row r="2390" spans="1:38">
      <c r="A2390" t="s">
        <v>10153</v>
      </c>
      <c r="B2390" t="s">
        <v>10154</v>
      </c>
      <c r="C2390" t="s">
        <v>10155</v>
      </c>
      <c r="D2390" t="s">
        <v>10155</v>
      </c>
      <c r="E2390" t="s">
        <v>10156</v>
      </c>
      <c r="F2390" t="s">
        <v>2413</v>
      </c>
      <c r="G2390">
        <v>3</v>
      </c>
      <c r="H2390">
        <v>1</v>
      </c>
      <c r="I2390">
        <v>0.01</v>
      </c>
      <c r="J2390">
        <v>1000</v>
      </c>
      <c r="K2390">
        <v>0</v>
      </c>
      <c r="L2390">
        <v>0</v>
      </c>
      <c r="M2390">
        <v>71.02</v>
      </c>
      <c r="N2390">
        <v>0</v>
      </c>
      <c r="O2390">
        <v>71.02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70.72</v>
      </c>
      <c r="Y2390">
        <v>78.209999999999994</v>
      </c>
      <c r="Z2390">
        <v>0</v>
      </c>
      <c r="AA2390">
        <v>216261</v>
      </c>
      <c r="AB2390">
        <v>0</v>
      </c>
      <c r="AC2390">
        <v>0</v>
      </c>
      <c r="AD2390" t="s">
        <v>94</v>
      </c>
      <c r="AE2390" t="s">
        <v>94</v>
      </c>
      <c r="AF2390" t="s">
        <v>304</v>
      </c>
      <c r="AG2390" t="s">
        <v>226</v>
      </c>
      <c r="AH2390">
        <v>800</v>
      </c>
      <c r="AI2390" t="s">
        <v>3537</v>
      </c>
      <c r="AJ2390" t="s">
        <v>1976</v>
      </c>
      <c r="AK2390" t="s">
        <v>2416</v>
      </c>
      <c r="AL2390" t="s">
        <v>272</v>
      </c>
    </row>
    <row r="2391" spans="1:38">
      <c r="A2391" t="s">
        <v>10157</v>
      </c>
      <c r="B2391" t="s">
        <v>10158</v>
      </c>
      <c r="C2391" t="s">
        <v>10159</v>
      </c>
      <c r="D2391" t="s">
        <v>10159</v>
      </c>
      <c r="E2391" t="s">
        <v>10160</v>
      </c>
      <c r="F2391" t="s">
        <v>2413</v>
      </c>
      <c r="G2391">
        <v>3</v>
      </c>
      <c r="H2391">
        <v>1</v>
      </c>
      <c r="I2391">
        <v>0.01</v>
      </c>
      <c r="J2391">
        <v>1000</v>
      </c>
      <c r="K2391">
        <v>0</v>
      </c>
      <c r="L2391">
        <v>0</v>
      </c>
      <c r="M2391">
        <v>82.1</v>
      </c>
      <c r="N2391">
        <v>81.09</v>
      </c>
      <c r="O2391">
        <v>82.1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85.11</v>
      </c>
      <c r="Y2391">
        <v>0</v>
      </c>
      <c r="Z2391">
        <v>0</v>
      </c>
      <c r="AA2391">
        <v>218178</v>
      </c>
      <c r="AB2391">
        <v>0</v>
      </c>
      <c r="AC2391">
        <v>0</v>
      </c>
      <c r="AD2391" t="s">
        <v>94</v>
      </c>
      <c r="AE2391" t="s">
        <v>94</v>
      </c>
      <c r="AF2391" t="s">
        <v>304</v>
      </c>
      <c r="AG2391" t="s">
        <v>226</v>
      </c>
      <c r="AH2391">
        <v>800</v>
      </c>
      <c r="AI2391" t="s">
        <v>3537</v>
      </c>
      <c r="AJ2391" t="s">
        <v>1976</v>
      </c>
      <c r="AK2391" t="s">
        <v>2416</v>
      </c>
      <c r="AL2391" t="s">
        <v>272</v>
      </c>
    </row>
    <row r="2392" spans="1:38">
      <c r="A2392" t="s">
        <v>10161</v>
      </c>
      <c r="B2392" t="s">
        <v>10162</v>
      </c>
      <c r="C2392" t="s">
        <v>10163</v>
      </c>
      <c r="D2392" t="s">
        <v>10163</v>
      </c>
      <c r="E2392" t="s">
        <v>10164</v>
      </c>
      <c r="F2392" t="s">
        <v>2413</v>
      </c>
      <c r="G2392">
        <v>3</v>
      </c>
      <c r="H2392">
        <v>1</v>
      </c>
      <c r="I2392">
        <v>0.01</v>
      </c>
      <c r="J2392">
        <v>1000</v>
      </c>
      <c r="K2392">
        <v>0</v>
      </c>
      <c r="L2392">
        <v>0</v>
      </c>
      <c r="M2392">
        <v>93.6</v>
      </c>
      <c r="N2392">
        <v>93.7</v>
      </c>
      <c r="O2392">
        <v>93.6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92.7</v>
      </c>
      <c r="Y2392">
        <v>0</v>
      </c>
      <c r="Z2392">
        <v>0</v>
      </c>
      <c r="AA2392">
        <v>1104920</v>
      </c>
      <c r="AB2392">
        <v>0</v>
      </c>
      <c r="AC2392">
        <v>0</v>
      </c>
      <c r="AD2392" t="s">
        <v>94</v>
      </c>
      <c r="AE2392" t="s">
        <v>94</v>
      </c>
      <c r="AF2392" t="s">
        <v>304</v>
      </c>
      <c r="AG2392" t="s">
        <v>226</v>
      </c>
      <c r="AH2392">
        <v>800</v>
      </c>
      <c r="AI2392" t="s">
        <v>3537</v>
      </c>
      <c r="AJ2392" t="s">
        <v>1976</v>
      </c>
      <c r="AK2392" t="s">
        <v>2416</v>
      </c>
      <c r="AL2392" t="s">
        <v>272</v>
      </c>
    </row>
    <row r="2393" spans="1:38">
      <c r="A2393" t="s">
        <v>10165</v>
      </c>
      <c r="B2393" t="s">
        <v>10166</v>
      </c>
      <c r="C2393" t="s">
        <v>10167</v>
      </c>
      <c r="D2393" t="s">
        <v>10167</v>
      </c>
      <c r="E2393" t="s">
        <v>10168</v>
      </c>
      <c r="F2393" t="s">
        <v>2413</v>
      </c>
      <c r="G2393">
        <v>3</v>
      </c>
      <c r="H2393">
        <v>1</v>
      </c>
      <c r="I2393">
        <v>0.01</v>
      </c>
      <c r="J2393">
        <v>1000</v>
      </c>
      <c r="K2393">
        <v>0</v>
      </c>
      <c r="L2393">
        <v>0</v>
      </c>
      <c r="M2393">
        <v>84.6</v>
      </c>
      <c r="N2393">
        <v>85.5</v>
      </c>
      <c r="O2393">
        <v>84.6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87</v>
      </c>
      <c r="Y2393">
        <v>0</v>
      </c>
      <c r="Z2393">
        <v>0</v>
      </c>
      <c r="AA2393">
        <v>517968</v>
      </c>
      <c r="AB2393">
        <v>0</v>
      </c>
      <c r="AC2393">
        <v>0</v>
      </c>
      <c r="AD2393" t="s">
        <v>94</v>
      </c>
      <c r="AE2393" t="s">
        <v>94</v>
      </c>
      <c r="AF2393" t="s">
        <v>304</v>
      </c>
      <c r="AG2393" t="s">
        <v>226</v>
      </c>
      <c r="AH2393">
        <v>800</v>
      </c>
      <c r="AI2393" t="s">
        <v>3537</v>
      </c>
      <c r="AJ2393" t="s">
        <v>1976</v>
      </c>
      <c r="AK2393" t="s">
        <v>2416</v>
      </c>
      <c r="AL2393" t="s">
        <v>272</v>
      </c>
    </row>
    <row r="2394" spans="1:38">
      <c r="A2394" t="s">
        <v>10169</v>
      </c>
      <c r="B2394" t="s">
        <v>10170</v>
      </c>
      <c r="C2394" t="s">
        <v>10171</v>
      </c>
      <c r="D2394" t="s">
        <v>10171</v>
      </c>
      <c r="E2394" t="s">
        <v>10172</v>
      </c>
      <c r="F2394" t="s">
        <v>2413</v>
      </c>
      <c r="G2394">
        <v>3</v>
      </c>
      <c r="H2394">
        <v>1</v>
      </c>
      <c r="I2394">
        <v>0.01</v>
      </c>
      <c r="J2394">
        <v>1000</v>
      </c>
      <c r="K2394">
        <v>0</v>
      </c>
      <c r="L2394">
        <v>0</v>
      </c>
      <c r="M2394">
        <v>78.16</v>
      </c>
      <c r="N2394">
        <v>0</v>
      </c>
      <c r="O2394">
        <v>78.16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74.010000000000005</v>
      </c>
      <c r="Y2394">
        <v>84.01</v>
      </c>
      <c r="Z2394">
        <v>0</v>
      </c>
      <c r="AA2394">
        <v>164753</v>
      </c>
      <c r="AB2394">
        <v>0</v>
      </c>
      <c r="AC2394">
        <v>0</v>
      </c>
      <c r="AD2394" t="s">
        <v>94</v>
      </c>
      <c r="AE2394" t="s">
        <v>94</v>
      </c>
      <c r="AF2394" t="s">
        <v>304</v>
      </c>
      <c r="AG2394" t="s">
        <v>226</v>
      </c>
      <c r="AH2394">
        <v>800</v>
      </c>
      <c r="AI2394" t="s">
        <v>3537</v>
      </c>
      <c r="AJ2394" t="s">
        <v>1976</v>
      </c>
      <c r="AK2394" t="s">
        <v>2416</v>
      </c>
      <c r="AL2394" t="s">
        <v>272</v>
      </c>
    </row>
    <row r="2395" spans="1:38">
      <c r="A2395" t="s">
        <v>10173</v>
      </c>
      <c r="B2395" t="s">
        <v>10174</v>
      </c>
      <c r="C2395" t="s">
        <v>10175</v>
      </c>
      <c r="D2395" t="s">
        <v>10175</v>
      </c>
      <c r="E2395" t="s">
        <v>10176</v>
      </c>
      <c r="F2395" t="s">
        <v>2413</v>
      </c>
      <c r="G2395">
        <v>3</v>
      </c>
      <c r="H2395">
        <v>1</v>
      </c>
      <c r="I2395">
        <v>0.01</v>
      </c>
      <c r="J2395">
        <v>1000</v>
      </c>
      <c r="K2395">
        <v>1.3</v>
      </c>
      <c r="L2395">
        <v>77.989999999999995</v>
      </c>
      <c r="M2395">
        <v>76.989999999999995</v>
      </c>
      <c r="N2395">
        <v>66.42</v>
      </c>
      <c r="O2395">
        <v>65.569999999999993</v>
      </c>
      <c r="P2395">
        <v>0</v>
      </c>
      <c r="Q2395">
        <v>0</v>
      </c>
      <c r="R2395">
        <v>0</v>
      </c>
      <c r="S2395">
        <v>66.2</v>
      </c>
      <c r="T2395">
        <v>81.010000000000005</v>
      </c>
      <c r="U2395">
        <v>65</v>
      </c>
      <c r="V2395">
        <v>91</v>
      </c>
      <c r="W2395">
        <v>143002</v>
      </c>
      <c r="X2395">
        <v>71.02</v>
      </c>
      <c r="Y2395">
        <v>77.989999999999995</v>
      </c>
      <c r="Z2395">
        <v>32</v>
      </c>
      <c r="AA2395">
        <v>132889</v>
      </c>
      <c r="AB2395">
        <v>779.9</v>
      </c>
      <c r="AC2395">
        <v>0</v>
      </c>
      <c r="AD2395" t="s">
        <v>94</v>
      </c>
      <c r="AE2395" t="s">
        <v>94</v>
      </c>
      <c r="AF2395" t="s">
        <v>226</v>
      </c>
      <c r="AG2395" t="s">
        <v>226</v>
      </c>
      <c r="AH2395">
        <v>8</v>
      </c>
      <c r="AI2395" t="s">
        <v>3537</v>
      </c>
      <c r="AJ2395" t="s">
        <v>1976</v>
      </c>
      <c r="AK2395" t="s">
        <v>2416</v>
      </c>
      <c r="AL2395" t="s">
        <v>272</v>
      </c>
    </row>
    <row r="2396" spans="1:38">
      <c r="A2396" t="s">
        <v>10177</v>
      </c>
      <c r="B2396" t="s">
        <v>10178</v>
      </c>
      <c r="C2396" t="s">
        <v>10179</v>
      </c>
      <c r="D2396" t="s">
        <v>10179</v>
      </c>
      <c r="E2396" t="s">
        <v>10180</v>
      </c>
      <c r="F2396" t="s">
        <v>2413</v>
      </c>
      <c r="G2396">
        <v>3</v>
      </c>
      <c r="H2396">
        <v>1</v>
      </c>
      <c r="I2396">
        <v>0.01</v>
      </c>
      <c r="J2396">
        <v>1000</v>
      </c>
      <c r="K2396">
        <v>0.88</v>
      </c>
      <c r="L2396">
        <v>79.8</v>
      </c>
      <c r="M2396">
        <v>79.099999999999994</v>
      </c>
      <c r="N2396">
        <v>80.66</v>
      </c>
      <c r="O2396">
        <v>79.8</v>
      </c>
      <c r="P2396">
        <v>0</v>
      </c>
      <c r="Q2396">
        <v>0</v>
      </c>
      <c r="R2396">
        <v>0</v>
      </c>
      <c r="S2396">
        <v>79.8</v>
      </c>
      <c r="T2396">
        <v>79.8</v>
      </c>
      <c r="U2396">
        <v>79.8</v>
      </c>
      <c r="V2396">
        <v>79.8</v>
      </c>
      <c r="W2396">
        <v>47880</v>
      </c>
      <c r="X2396">
        <v>79.81</v>
      </c>
      <c r="Y2396">
        <v>85.01</v>
      </c>
      <c r="Z2396">
        <v>1</v>
      </c>
      <c r="AA2396">
        <v>338685</v>
      </c>
      <c r="AB2396">
        <v>47880</v>
      </c>
      <c r="AC2396">
        <v>0</v>
      </c>
      <c r="AD2396" t="s">
        <v>94</v>
      </c>
      <c r="AE2396" t="s">
        <v>94</v>
      </c>
      <c r="AF2396" t="s">
        <v>304</v>
      </c>
      <c r="AG2396" t="s">
        <v>226</v>
      </c>
      <c r="AH2396">
        <v>800</v>
      </c>
      <c r="AI2396" t="s">
        <v>3537</v>
      </c>
      <c r="AJ2396" t="s">
        <v>1976</v>
      </c>
      <c r="AK2396" t="s">
        <v>2416</v>
      </c>
      <c r="AL2396" t="s">
        <v>272</v>
      </c>
    </row>
    <row r="2397" spans="1:38">
      <c r="A2397" t="s">
        <v>10181</v>
      </c>
      <c r="B2397" t="s">
        <v>10182</v>
      </c>
      <c r="C2397" t="s">
        <v>10183</v>
      </c>
      <c r="D2397" t="s">
        <v>10183</v>
      </c>
      <c r="E2397" t="s">
        <v>10184</v>
      </c>
      <c r="F2397" t="s">
        <v>2413</v>
      </c>
      <c r="G2397">
        <v>3</v>
      </c>
      <c r="H2397">
        <v>1</v>
      </c>
      <c r="I2397">
        <v>0.01</v>
      </c>
      <c r="J2397">
        <v>1000</v>
      </c>
      <c r="K2397">
        <v>-0.8</v>
      </c>
      <c r="L2397">
        <v>99.3</v>
      </c>
      <c r="M2397">
        <v>100.1</v>
      </c>
      <c r="N2397">
        <v>102.04</v>
      </c>
      <c r="O2397">
        <v>99.3</v>
      </c>
      <c r="P2397">
        <v>0</v>
      </c>
      <c r="Q2397">
        <v>0</v>
      </c>
      <c r="R2397">
        <v>0</v>
      </c>
      <c r="S2397">
        <v>99.3</v>
      </c>
      <c r="T2397">
        <v>99.3</v>
      </c>
      <c r="U2397">
        <v>99.3</v>
      </c>
      <c r="V2397">
        <v>99.3</v>
      </c>
      <c r="W2397">
        <v>2979000</v>
      </c>
      <c r="X2397">
        <v>99.3</v>
      </c>
      <c r="Y2397">
        <v>0</v>
      </c>
      <c r="Z2397">
        <v>1</v>
      </c>
      <c r="AA2397">
        <v>574736</v>
      </c>
      <c r="AB2397">
        <v>2979000</v>
      </c>
      <c r="AC2397">
        <v>0</v>
      </c>
      <c r="AD2397" t="s">
        <v>94</v>
      </c>
      <c r="AE2397" t="s">
        <v>94</v>
      </c>
      <c r="AF2397" t="s">
        <v>304</v>
      </c>
      <c r="AG2397" t="s">
        <v>226</v>
      </c>
      <c r="AH2397">
        <v>800</v>
      </c>
      <c r="AI2397" t="s">
        <v>3537</v>
      </c>
      <c r="AJ2397" t="s">
        <v>1976</v>
      </c>
      <c r="AK2397" t="s">
        <v>2416</v>
      </c>
      <c r="AL2397" t="s">
        <v>272</v>
      </c>
    </row>
    <row r="2398" spans="1:38">
      <c r="A2398" t="s">
        <v>10185</v>
      </c>
      <c r="B2398" t="s">
        <v>10186</v>
      </c>
      <c r="C2398" t="s">
        <v>10187</v>
      </c>
      <c r="D2398" t="s">
        <v>10187</v>
      </c>
      <c r="E2398" t="s">
        <v>10188</v>
      </c>
      <c r="F2398" t="s">
        <v>2413</v>
      </c>
      <c r="G2398">
        <v>3</v>
      </c>
      <c r="H2398">
        <v>1</v>
      </c>
      <c r="I2398">
        <v>0.01</v>
      </c>
      <c r="J2398">
        <v>1000</v>
      </c>
      <c r="K2398">
        <v>0</v>
      </c>
      <c r="L2398">
        <v>0</v>
      </c>
      <c r="M2398">
        <v>75.010000000000005</v>
      </c>
      <c r="N2398">
        <v>74.180000000000007</v>
      </c>
      <c r="O2398">
        <v>75.010000000000005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72.11</v>
      </c>
      <c r="Y2398">
        <v>77.010000000000005</v>
      </c>
      <c r="Z2398">
        <v>0</v>
      </c>
      <c r="AA2398">
        <v>497539</v>
      </c>
      <c r="AB2398">
        <v>0</v>
      </c>
      <c r="AC2398">
        <v>0</v>
      </c>
      <c r="AD2398" t="s">
        <v>94</v>
      </c>
      <c r="AE2398" t="s">
        <v>94</v>
      </c>
      <c r="AF2398" t="s">
        <v>304</v>
      </c>
      <c r="AG2398" t="s">
        <v>226</v>
      </c>
      <c r="AH2398">
        <v>800</v>
      </c>
      <c r="AI2398" t="s">
        <v>3537</v>
      </c>
      <c r="AJ2398" t="s">
        <v>1976</v>
      </c>
      <c r="AK2398" t="s">
        <v>2416</v>
      </c>
      <c r="AL2398" t="s">
        <v>272</v>
      </c>
    </row>
    <row r="2399" spans="1:38">
      <c r="A2399" t="s">
        <v>10189</v>
      </c>
      <c r="B2399" t="s">
        <v>10190</v>
      </c>
      <c r="C2399" t="s">
        <v>10191</v>
      </c>
      <c r="D2399" t="s">
        <v>10191</v>
      </c>
      <c r="E2399" t="s">
        <v>10192</v>
      </c>
      <c r="F2399" t="s">
        <v>2413</v>
      </c>
      <c r="G2399">
        <v>3</v>
      </c>
      <c r="H2399">
        <v>1</v>
      </c>
      <c r="I2399">
        <v>0.01</v>
      </c>
      <c r="J2399">
        <v>1000</v>
      </c>
      <c r="K2399">
        <v>0</v>
      </c>
      <c r="L2399">
        <v>0</v>
      </c>
      <c r="M2399">
        <v>60.9</v>
      </c>
      <c r="N2399">
        <v>63.38</v>
      </c>
      <c r="O2399">
        <v>60.9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61.01</v>
      </c>
      <c r="Y2399">
        <v>69.81</v>
      </c>
      <c r="Z2399">
        <v>0</v>
      </c>
      <c r="AA2399">
        <v>3000000</v>
      </c>
      <c r="AB2399">
        <v>0</v>
      </c>
      <c r="AC2399">
        <v>0</v>
      </c>
      <c r="AD2399" t="s">
        <v>94</v>
      </c>
      <c r="AE2399" t="s">
        <v>94</v>
      </c>
      <c r="AF2399" t="s">
        <v>304</v>
      </c>
      <c r="AG2399" t="s">
        <v>226</v>
      </c>
      <c r="AH2399">
        <v>800</v>
      </c>
      <c r="AI2399" t="s">
        <v>3537</v>
      </c>
      <c r="AJ2399" t="s">
        <v>1976</v>
      </c>
      <c r="AK2399" t="s">
        <v>2416</v>
      </c>
      <c r="AL2399" t="s">
        <v>272</v>
      </c>
    </row>
    <row r="2400" spans="1:38">
      <c r="A2400" t="s">
        <v>10193</v>
      </c>
      <c r="B2400" t="s">
        <v>10194</v>
      </c>
      <c r="C2400" t="s">
        <v>10195</v>
      </c>
      <c r="D2400" t="s">
        <v>10195</v>
      </c>
      <c r="E2400" t="s">
        <v>10196</v>
      </c>
      <c r="F2400" t="s">
        <v>2413</v>
      </c>
      <c r="G2400">
        <v>3</v>
      </c>
      <c r="H2400">
        <v>1</v>
      </c>
      <c r="I2400">
        <v>0.01</v>
      </c>
      <c r="J2400">
        <v>1000</v>
      </c>
      <c r="K2400">
        <v>0</v>
      </c>
      <c r="L2400">
        <v>0</v>
      </c>
      <c r="M2400">
        <v>68.010000000000005</v>
      </c>
      <c r="N2400">
        <v>0</v>
      </c>
      <c r="O2400">
        <v>68.010000000000005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59.31</v>
      </c>
      <c r="Y2400">
        <v>69.010000000000005</v>
      </c>
      <c r="Z2400">
        <v>0</v>
      </c>
      <c r="AA2400">
        <v>71480</v>
      </c>
      <c r="AB2400">
        <v>0</v>
      </c>
      <c r="AC2400">
        <v>0</v>
      </c>
      <c r="AD2400" t="s">
        <v>94</v>
      </c>
      <c r="AE2400" t="s">
        <v>94</v>
      </c>
      <c r="AF2400" t="s">
        <v>304</v>
      </c>
      <c r="AG2400" t="s">
        <v>226</v>
      </c>
      <c r="AH2400">
        <v>800</v>
      </c>
      <c r="AI2400" t="s">
        <v>3537</v>
      </c>
      <c r="AJ2400" t="s">
        <v>1976</v>
      </c>
      <c r="AK2400" t="s">
        <v>2416</v>
      </c>
      <c r="AL2400" t="s">
        <v>272</v>
      </c>
    </row>
    <row r="2401" spans="1:38">
      <c r="A2401" t="s">
        <v>10197</v>
      </c>
      <c r="B2401" t="s">
        <v>10198</v>
      </c>
      <c r="C2401" t="s">
        <v>10199</v>
      </c>
      <c r="D2401" t="s">
        <v>10199</v>
      </c>
      <c r="E2401" t="s">
        <v>10200</v>
      </c>
      <c r="F2401" t="s">
        <v>2413</v>
      </c>
      <c r="G2401">
        <v>3</v>
      </c>
      <c r="H2401">
        <v>1</v>
      </c>
      <c r="I2401">
        <v>0.01</v>
      </c>
      <c r="J2401">
        <v>1000</v>
      </c>
      <c r="K2401">
        <v>0</v>
      </c>
      <c r="L2401">
        <v>0</v>
      </c>
      <c r="M2401">
        <v>83.6</v>
      </c>
      <c r="N2401">
        <v>88</v>
      </c>
      <c r="O2401">
        <v>83.6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83.21</v>
      </c>
      <c r="Y2401">
        <v>92.01</v>
      </c>
      <c r="Z2401">
        <v>0</v>
      </c>
      <c r="AA2401">
        <v>249810</v>
      </c>
      <c r="AB2401">
        <v>0</v>
      </c>
      <c r="AC2401">
        <v>0</v>
      </c>
      <c r="AD2401" t="s">
        <v>94</v>
      </c>
      <c r="AE2401" t="s">
        <v>94</v>
      </c>
      <c r="AF2401" t="s">
        <v>304</v>
      </c>
      <c r="AG2401" t="s">
        <v>226</v>
      </c>
      <c r="AH2401">
        <v>800</v>
      </c>
      <c r="AI2401" t="s">
        <v>3537</v>
      </c>
      <c r="AJ2401" t="s">
        <v>1976</v>
      </c>
      <c r="AK2401" t="s">
        <v>2416</v>
      </c>
      <c r="AL2401" t="s">
        <v>272</v>
      </c>
    </row>
    <row r="2402" spans="1:38">
      <c r="A2402" t="s">
        <v>10201</v>
      </c>
      <c r="B2402" t="s">
        <v>10202</v>
      </c>
      <c r="C2402" t="s">
        <v>10203</v>
      </c>
      <c r="D2402" t="s">
        <v>10203</v>
      </c>
      <c r="E2402" t="s">
        <v>10204</v>
      </c>
      <c r="F2402" t="s">
        <v>2413</v>
      </c>
      <c r="G2402">
        <v>3</v>
      </c>
      <c r="H2402">
        <v>1</v>
      </c>
      <c r="I2402">
        <v>0.01</v>
      </c>
      <c r="J2402">
        <v>1000</v>
      </c>
      <c r="K2402">
        <v>0.43</v>
      </c>
      <c r="L2402">
        <v>92.4</v>
      </c>
      <c r="M2402">
        <v>92</v>
      </c>
      <c r="N2402">
        <v>92.77</v>
      </c>
      <c r="O2402">
        <v>92.4</v>
      </c>
      <c r="P2402">
        <v>0</v>
      </c>
      <c r="Q2402">
        <v>0</v>
      </c>
      <c r="R2402">
        <v>0</v>
      </c>
      <c r="S2402">
        <v>92.4</v>
      </c>
      <c r="T2402">
        <v>92.4</v>
      </c>
      <c r="U2402">
        <v>92.4</v>
      </c>
      <c r="V2402">
        <v>92.4</v>
      </c>
      <c r="W2402">
        <v>277200</v>
      </c>
      <c r="X2402">
        <v>92.41</v>
      </c>
      <c r="Y2402">
        <v>0</v>
      </c>
      <c r="Z2402">
        <v>1</v>
      </c>
      <c r="AA2402">
        <v>79021</v>
      </c>
      <c r="AB2402">
        <v>277200</v>
      </c>
      <c r="AC2402">
        <v>0</v>
      </c>
      <c r="AD2402" t="s">
        <v>94</v>
      </c>
      <c r="AE2402" t="s">
        <v>94</v>
      </c>
      <c r="AF2402" t="s">
        <v>226</v>
      </c>
      <c r="AG2402" t="s">
        <v>226</v>
      </c>
      <c r="AH2402">
        <v>800</v>
      </c>
      <c r="AI2402" t="s">
        <v>3537</v>
      </c>
      <c r="AJ2402" t="s">
        <v>1976</v>
      </c>
      <c r="AK2402" t="s">
        <v>2416</v>
      </c>
      <c r="AL2402" t="s">
        <v>272</v>
      </c>
    </row>
    <row r="2403" spans="1:38">
      <c r="A2403" t="s">
        <v>10205</v>
      </c>
      <c r="B2403" t="s">
        <v>10206</v>
      </c>
      <c r="C2403" t="s">
        <v>10207</v>
      </c>
      <c r="D2403" t="s">
        <v>10207</v>
      </c>
      <c r="E2403" t="s">
        <v>10208</v>
      </c>
      <c r="F2403" t="s">
        <v>2413</v>
      </c>
      <c r="G2403">
        <v>3</v>
      </c>
      <c r="H2403">
        <v>1</v>
      </c>
      <c r="I2403">
        <v>0.01</v>
      </c>
      <c r="J2403">
        <v>1000</v>
      </c>
      <c r="K2403">
        <v>0</v>
      </c>
      <c r="L2403">
        <v>0</v>
      </c>
      <c r="M2403">
        <v>72.31</v>
      </c>
      <c r="N2403">
        <v>72.34</v>
      </c>
      <c r="O2403">
        <v>72.31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72.31</v>
      </c>
      <c r="Y2403">
        <v>87.7</v>
      </c>
      <c r="Z2403">
        <v>0</v>
      </c>
      <c r="AA2403">
        <v>3000000</v>
      </c>
      <c r="AB2403">
        <v>0</v>
      </c>
      <c r="AC2403">
        <v>0</v>
      </c>
      <c r="AD2403" t="s">
        <v>94</v>
      </c>
      <c r="AE2403" t="s">
        <v>94</v>
      </c>
      <c r="AF2403" t="s">
        <v>304</v>
      </c>
      <c r="AG2403" t="s">
        <v>226</v>
      </c>
      <c r="AH2403">
        <v>800</v>
      </c>
      <c r="AI2403" t="s">
        <v>3537</v>
      </c>
      <c r="AJ2403" t="s">
        <v>1976</v>
      </c>
      <c r="AK2403" t="s">
        <v>2416</v>
      </c>
      <c r="AL2403" t="s">
        <v>272</v>
      </c>
    </row>
    <row r="2404" spans="1:38">
      <c r="A2404" t="s">
        <v>10209</v>
      </c>
      <c r="B2404" t="s">
        <v>10210</v>
      </c>
      <c r="C2404" t="s">
        <v>10211</v>
      </c>
      <c r="D2404" t="s">
        <v>10211</v>
      </c>
      <c r="E2404" t="s">
        <v>10212</v>
      </c>
      <c r="F2404" t="s">
        <v>2413</v>
      </c>
      <c r="G2404">
        <v>3</v>
      </c>
      <c r="H2404">
        <v>1</v>
      </c>
      <c r="I2404">
        <v>0.01</v>
      </c>
      <c r="J2404">
        <v>1000</v>
      </c>
      <c r="K2404">
        <v>0</v>
      </c>
      <c r="L2404">
        <v>0</v>
      </c>
      <c r="M2404">
        <v>72.5</v>
      </c>
      <c r="N2404">
        <v>73.16</v>
      </c>
      <c r="O2404">
        <v>72.5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72.62</v>
      </c>
      <c r="Y2404">
        <v>75</v>
      </c>
      <c r="Z2404">
        <v>0</v>
      </c>
      <c r="AA2404">
        <v>2000000</v>
      </c>
      <c r="AB2404">
        <v>0</v>
      </c>
      <c r="AC2404">
        <v>0</v>
      </c>
      <c r="AD2404" t="s">
        <v>94</v>
      </c>
      <c r="AE2404" t="s">
        <v>94</v>
      </c>
      <c r="AF2404" t="s">
        <v>304</v>
      </c>
      <c r="AG2404" t="s">
        <v>226</v>
      </c>
      <c r="AH2404">
        <v>800</v>
      </c>
      <c r="AI2404" t="s">
        <v>3537</v>
      </c>
      <c r="AJ2404" t="s">
        <v>1976</v>
      </c>
      <c r="AK2404" t="s">
        <v>2416</v>
      </c>
      <c r="AL2404" t="s">
        <v>272</v>
      </c>
    </row>
    <row r="2405" spans="1:38">
      <c r="A2405" t="s">
        <v>10213</v>
      </c>
      <c r="B2405" t="s">
        <v>10214</v>
      </c>
      <c r="C2405" t="s">
        <v>10215</v>
      </c>
      <c r="D2405" t="s">
        <v>10215</v>
      </c>
      <c r="E2405" t="s">
        <v>10216</v>
      </c>
      <c r="F2405" t="s">
        <v>2413</v>
      </c>
      <c r="G2405">
        <v>3</v>
      </c>
      <c r="H2405">
        <v>1</v>
      </c>
      <c r="I2405">
        <v>0.01</v>
      </c>
      <c r="J2405">
        <v>1000</v>
      </c>
      <c r="K2405">
        <v>0</v>
      </c>
      <c r="L2405">
        <v>0</v>
      </c>
      <c r="M2405">
        <v>97.6</v>
      </c>
      <c r="N2405">
        <v>94.39</v>
      </c>
      <c r="O2405">
        <v>97.6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97.41</v>
      </c>
      <c r="Y2405">
        <v>137.05000000000001</v>
      </c>
      <c r="Z2405">
        <v>0</v>
      </c>
      <c r="AA2405">
        <v>225596</v>
      </c>
      <c r="AB2405">
        <v>0</v>
      </c>
      <c r="AC2405">
        <v>0</v>
      </c>
      <c r="AD2405" t="s">
        <v>94</v>
      </c>
      <c r="AE2405" t="s">
        <v>94</v>
      </c>
      <c r="AF2405" t="s">
        <v>304</v>
      </c>
      <c r="AG2405" t="s">
        <v>226</v>
      </c>
      <c r="AH2405">
        <v>800</v>
      </c>
      <c r="AI2405" t="s">
        <v>3537</v>
      </c>
      <c r="AJ2405" t="s">
        <v>1976</v>
      </c>
      <c r="AK2405" t="s">
        <v>2416</v>
      </c>
      <c r="AL2405" t="s">
        <v>272</v>
      </c>
    </row>
    <row r="2406" spans="1:38">
      <c r="A2406" t="s">
        <v>10217</v>
      </c>
      <c r="B2406" t="s">
        <v>10218</v>
      </c>
      <c r="C2406" t="s">
        <v>10219</v>
      </c>
      <c r="D2406" t="s">
        <v>10219</v>
      </c>
      <c r="E2406" t="s">
        <v>10220</v>
      </c>
      <c r="F2406" t="s">
        <v>2413</v>
      </c>
      <c r="G2406">
        <v>3</v>
      </c>
      <c r="H2406">
        <v>1</v>
      </c>
      <c r="I2406">
        <v>0.01</v>
      </c>
      <c r="J2406">
        <v>1000</v>
      </c>
      <c r="K2406">
        <v>0</v>
      </c>
      <c r="L2406">
        <v>0</v>
      </c>
      <c r="M2406">
        <v>82.7</v>
      </c>
      <c r="N2406">
        <v>0</v>
      </c>
      <c r="O2406">
        <v>82.7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82.02</v>
      </c>
      <c r="Y2406">
        <v>0</v>
      </c>
      <c r="Z2406">
        <v>0</v>
      </c>
      <c r="AA2406">
        <v>209360</v>
      </c>
      <c r="AB2406">
        <v>0</v>
      </c>
      <c r="AC2406">
        <v>0</v>
      </c>
      <c r="AD2406" t="s">
        <v>94</v>
      </c>
      <c r="AE2406" t="s">
        <v>94</v>
      </c>
      <c r="AF2406" t="s">
        <v>304</v>
      </c>
      <c r="AG2406" t="s">
        <v>226</v>
      </c>
      <c r="AH2406">
        <v>800</v>
      </c>
      <c r="AI2406" t="s">
        <v>3537</v>
      </c>
      <c r="AJ2406" t="s">
        <v>1976</v>
      </c>
      <c r="AK2406" t="s">
        <v>2416</v>
      </c>
      <c r="AL2406" t="s">
        <v>272</v>
      </c>
    </row>
    <row r="2407" spans="1:38">
      <c r="A2407" t="s">
        <v>10221</v>
      </c>
      <c r="B2407" t="s">
        <v>10222</v>
      </c>
      <c r="C2407" t="s">
        <v>10223</v>
      </c>
      <c r="D2407" t="s">
        <v>10223</v>
      </c>
      <c r="E2407" t="s">
        <v>10224</v>
      </c>
      <c r="F2407" t="s">
        <v>2413</v>
      </c>
      <c r="G2407">
        <v>3</v>
      </c>
      <c r="H2407">
        <v>1</v>
      </c>
      <c r="I2407">
        <v>0.01</v>
      </c>
      <c r="J2407">
        <v>1000</v>
      </c>
      <c r="K2407">
        <v>0</v>
      </c>
      <c r="L2407">
        <v>0</v>
      </c>
      <c r="M2407">
        <v>50.9</v>
      </c>
      <c r="N2407">
        <v>58.05</v>
      </c>
      <c r="O2407">
        <v>50.9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52.61</v>
      </c>
      <c r="Y2407">
        <v>62.61</v>
      </c>
      <c r="Z2407">
        <v>0</v>
      </c>
      <c r="AA2407">
        <v>993793</v>
      </c>
      <c r="AB2407">
        <v>0</v>
      </c>
      <c r="AC2407">
        <v>0</v>
      </c>
      <c r="AD2407" t="s">
        <v>94</v>
      </c>
      <c r="AE2407" t="s">
        <v>94</v>
      </c>
      <c r="AF2407" t="s">
        <v>304</v>
      </c>
      <c r="AG2407" t="s">
        <v>226</v>
      </c>
      <c r="AH2407">
        <v>800</v>
      </c>
      <c r="AI2407" t="s">
        <v>3537</v>
      </c>
      <c r="AJ2407" t="s">
        <v>1976</v>
      </c>
      <c r="AK2407" t="s">
        <v>2416</v>
      </c>
      <c r="AL2407" t="s">
        <v>272</v>
      </c>
    </row>
    <row r="2408" spans="1:38">
      <c r="A2408" t="s">
        <v>10225</v>
      </c>
      <c r="B2408" t="s">
        <v>10226</v>
      </c>
      <c r="C2408" t="s">
        <v>10227</v>
      </c>
      <c r="D2408" t="s">
        <v>10227</v>
      </c>
      <c r="E2408" t="s">
        <v>10228</v>
      </c>
      <c r="F2408" t="s">
        <v>2413</v>
      </c>
      <c r="G2408">
        <v>3</v>
      </c>
      <c r="H2408">
        <v>1</v>
      </c>
      <c r="I2408">
        <v>0.01</v>
      </c>
      <c r="J2408">
        <v>1000</v>
      </c>
      <c r="K2408">
        <v>0</v>
      </c>
      <c r="L2408">
        <v>0</v>
      </c>
      <c r="M2408">
        <v>76.900000000000006</v>
      </c>
      <c r="N2408">
        <v>0</v>
      </c>
      <c r="O2408">
        <v>76.900000000000006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80.41</v>
      </c>
      <c r="Y2408">
        <v>87.41</v>
      </c>
      <c r="Z2408">
        <v>0</v>
      </c>
      <c r="AA2408">
        <v>834650</v>
      </c>
      <c r="AB2408">
        <v>0</v>
      </c>
      <c r="AC2408">
        <v>0</v>
      </c>
      <c r="AD2408" t="s">
        <v>94</v>
      </c>
      <c r="AE2408" t="s">
        <v>94</v>
      </c>
      <c r="AF2408" t="s">
        <v>304</v>
      </c>
      <c r="AG2408" t="s">
        <v>226</v>
      </c>
      <c r="AH2408">
        <v>800</v>
      </c>
      <c r="AI2408" t="s">
        <v>3537</v>
      </c>
      <c r="AJ2408" t="s">
        <v>1976</v>
      </c>
      <c r="AK2408" t="s">
        <v>2416</v>
      </c>
      <c r="AL2408" t="s">
        <v>272</v>
      </c>
    </row>
    <row r="2409" spans="1:38">
      <c r="A2409" t="s">
        <v>10229</v>
      </c>
      <c r="B2409" t="s">
        <v>10230</v>
      </c>
      <c r="C2409" t="s">
        <v>10231</v>
      </c>
      <c r="D2409" t="s">
        <v>10231</v>
      </c>
      <c r="E2409" t="s">
        <v>10232</v>
      </c>
      <c r="F2409" t="s">
        <v>2413</v>
      </c>
      <c r="G2409">
        <v>3</v>
      </c>
      <c r="H2409">
        <v>1</v>
      </c>
      <c r="I2409">
        <v>0.01</v>
      </c>
      <c r="J2409">
        <v>1000</v>
      </c>
      <c r="K2409">
        <v>0</v>
      </c>
      <c r="L2409">
        <v>0</v>
      </c>
      <c r="M2409">
        <v>98.36</v>
      </c>
      <c r="N2409">
        <v>95.3</v>
      </c>
      <c r="O2409">
        <v>98.36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98.1</v>
      </c>
      <c r="Y2409">
        <v>138.87</v>
      </c>
      <c r="Z2409">
        <v>0</v>
      </c>
      <c r="AA2409">
        <v>148514</v>
      </c>
      <c r="AB2409">
        <v>0</v>
      </c>
      <c r="AC2409">
        <v>0</v>
      </c>
      <c r="AD2409" t="s">
        <v>94</v>
      </c>
      <c r="AE2409" t="s">
        <v>94</v>
      </c>
      <c r="AF2409" t="s">
        <v>304</v>
      </c>
      <c r="AG2409" t="s">
        <v>226</v>
      </c>
      <c r="AH2409">
        <v>800</v>
      </c>
      <c r="AI2409" t="s">
        <v>3537</v>
      </c>
      <c r="AJ2409" t="s">
        <v>1976</v>
      </c>
      <c r="AK2409" t="s">
        <v>2416</v>
      </c>
      <c r="AL2409" t="s">
        <v>272</v>
      </c>
    </row>
    <row r="2410" spans="1:38">
      <c r="A2410" t="s">
        <v>10233</v>
      </c>
      <c r="B2410" t="s">
        <v>10234</v>
      </c>
      <c r="C2410" t="s">
        <v>10235</v>
      </c>
      <c r="D2410" t="s">
        <v>10235</v>
      </c>
      <c r="E2410" t="s">
        <v>10236</v>
      </c>
      <c r="F2410" t="s">
        <v>2413</v>
      </c>
      <c r="G2410">
        <v>3</v>
      </c>
      <c r="H2410">
        <v>1</v>
      </c>
      <c r="I2410">
        <v>0.01</v>
      </c>
      <c r="J2410">
        <v>1000</v>
      </c>
      <c r="K2410">
        <v>0</v>
      </c>
      <c r="L2410">
        <v>0</v>
      </c>
      <c r="M2410">
        <v>75.8</v>
      </c>
      <c r="N2410">
        <v>74.52</v>
      </c>
      <c r="O2410">
        <v>75.8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75.91</v>
      </c>
      <c r="Y2410">
        <v>78.45</v>
      </c>
      <c r="Z2410">
        <v>0</v>
      </c>
      <c r="AA2410">
        <v>766098</v>
      </c>
      <c r="AB2410">
        <v>0</v>
      </c>
      <c r="AC2410">
        <v>0</v>
      </c>
      <c r="AD2410" t="s">
        <v>94</v>
      </c>
      <c r="AE2410" t="s">
        <v>94</v>
      </c>
      <c r="AF2410" t="s">
        <v>304</v>
      </c>
      <c r="AG2410" t="s">
        <v>226</v>
      </c>
      <c r="AH2410">
        <v>800</v>
      </c>
      <c r="AI2410" t="s">
        <v>3537</v>
      </c>
      <c r="AJ2410" t="s">
        <v>1976</v>
      </c>
      <c r="AK2410" t="s">
        <v>2416</v>
      </c>
      <c r="AL2410" t="s">
        <v>272</v>
      </c>
    </row>
    <row r="2411" spans="1:38">
      <c r="A2411" t="s">
        <v>10237</v>
      </c>
      <c r="B2411" t="s">
        <v>10238</v>
      </c>
      <c r="C2411" t="s">
        <v>10239</v>
      </c>
      <c r="D2411" t="s">
        <v>10239</v>
      </c>
      <c r="E2411" t="s">
        <v>10240</v>
      </c>
      <c r="F2411" t="s">
        <v>2413</v>
      </c>
      <c r="G2411">
        <v>3</v>
      </c>
      <c r="H2411">
        <v>1</v>
      </c>
      <c r="I2411">
        <v>0.01</v>
      </c>
      <c r="J2411">
        <v>1000</v>
      </c>
      <c r="K2411">
        <v>0</v>
      </c>
      <c r="L2411">
        <v>0</v>
      </c>
      <c r="M2411">
        <v>69.930000000000007</v>
      </c>
      <c r="N2411">
        <v>69.989999999999995</v>
      </c>
      <c r="O2411">
        <v>69.930000000000007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70.08</v>
      </c>
      <c r="Y2411">
        <v>77.349999999999994</v>
      </c>
      <c r="Z2411">
        <v>0</v>
      </c>
      <c r="AA2411">
        <v>722446</v>
      </c>
      <c r="AB2411">
        <v>0</v>
      </c>
      <c r="AC2411">
        <v>0</v>
      </c>
      <c r="AD2411" t="s">
        <v>94</v>
      </c>
      <c r="AE2411" t="s">
        <v>94</v>
      </c>
      <c r="AF2411" t="s">
        <v>304</v>
      </c>
      <c r="AG2411" t="s">
        <v>226</v>
      </c>
      <c r="AH2411">
        <v>800</v>
      </c>
      <c r="AI2411" t="s">
        <v>3537</v>
      </c>
      <c r="AJ2411" t="s">
        <v>1976</v>
      </c>
      <c r="AK2411" t="s">
        <v>2416</v>
      </c>
      <c r="AL2411" t="s">
        <v>272</v>
      </c>
    </row>
    <row r="2412" spans="1:38">
      <c r="A2412" t="s">
        <v>10241</v>
      </c>
      <c r="B2412" t="s">
        <v>10242</v>
      </c>
      <c r="C2412" t="s">
        <v>10243</v>
      </c>
      <c r="D2412" t="s">
        <v>10243</v>
      </c>
      <c r="E2412" t="s">
        <v>10244</v>
      </c>
      <c r="F2412" t="s">
        <v>2413</v>
      </c>
      <c r="G2412">
        <v>3</v>
      </c>
      <c r="H2412">
        <v>1</v>
      </c>
      <c r="I2412">
        <v>0.01</v>
      </c>
      <c r="J2412">
        <v>1000</v>
      </c>
      <c r="K2412">
        <v>0</v>
      </c>
      <c r="L2412">
        <v>0</v>
      </c>
      <c r="M2412">
        <v>90</v>
      </c>
      <c r="N2412">
        <v>0</v>
      </c>
      <c r="O2412">
        <v>90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88.21</v>
      </c>
      <c r="Y2412">
        <v>126</v>
      </c>
      <c r="Z2412">
        <v>0</v>
      </c>
      <c r="AA2412">
        <v>995714</v>
      </c>
      <c r="AB2412">
        <v>0</v>
      </c>
      <c r="AC2412">
        <v>0</v>
      </c>
      <c r="AD2412" t="s">
        <v>94</v>
      </c>
      <c r="AE2412" t="s">
        <v>94</v>
      </c>
      <c r="AF2412" t="s">
        <v>304</v>
      </c>
      <c r="AG2412" t="s">
        <v>226</v>
      </c>
      <c r="AH2412">
        <v>800</v>
      </c>
      <c r="AI2412" t="s">
        <v>3537</v>
      </c>
      <c r="AJ2412" t="s">
        <v>1976</v>
      </c>
      <c r="AK2412" t="s">
        <v>2416</v>
      </c>
      <c r="AL2412" t="s">
        <v>272</v>
      </c>
    </row>
    <row r="2413" spans="1:38">
      <c r="A2413" t="s">
        <v>10245</v>
      </c>
      <c r="B2413" t="s">
        <v>10246</v>
      </c>
      <c r="C2413" t="s">
        <v>10247</v>
      </c>
      <c r="D2413" t="s">
        <v>10247</v>
      </c>
      <c r="E2413" t="s">
        <v>10248</v>
      </c>
      <c r="F2413" t="s">
        <v>2413</v>
      </c>
      <c r="G2413">
        <v>3</v>
      </c>
      <c r="H2413">
        <v>1</v>
      </c>
      <c r="I2413">
        <v>0.01</v>
      </c>
      <c r="J2413">
        <v>1000</v>
      </c>
      <c r="K2413">
        <v>0</v>
      </c>
      <c r="L2413">
        <v>0</v>
      </c>
      <c r="M2413">
        <v>87.4</v>
      </c>
      <c r="N2413">
        <v>88.79</v>
      </c>
      <c r="O2413">
        <v>87.4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87.61</v>
      </c>
      <c r="Y2413">
        <v>92.01</v>
      </c>
      <c r="Z2413">
        <v>0</v>
      </c>
      <c r="AA2413">
        <v>950724</v>
      </c>
      <c r="AB2413">
        <v>0</v>
      </c>
      <c r="AC2413">
        <v>0</v>
      </c>
      <c r="AD2413" t="s">
        <v>94</v>
      </c>
      <c r="AE2413" t="s">
        <v>94</v>
      </c>
      <c r="AF2413" t="s">
        <v>304</v>
      </c>
      <c r="AG2413" t="s">
        <v>226</v>
      </c>
      <c r="AH2413">
        <v>800</v>
      </c>
      <c r="AI2413" t="s">
        <v>3537</v>
      </c>
      <c r="AJ2413" t="s">
        <v>1976</v>
      </c>
      <c r="AK2413" t="s">
        <v>2416</v>
      </c>
      <c r="AL2413" t="s">
        <v>272</v>
      </c>
    </row>
    <row r="2414" spans="1:38">
      <c r="A2414" t="s">
        <v>10249</v>
      </c>
      <c r="B2414" t="s">
        <v>10250</v>
      </c>
      <c r="C2414" t="s">
        <v>10251</v>
      </c>
      <c r="D2414" t="s">
        <v>10251</v>
      </c>
      <c r="E2414" t="s">
        <v>10252</v>
      </c>
      <c r="F2414" t="s">
        <v>2413</v>
      </c>
      <c r="G2414">
        <v>3</v>
      </c>
      <c r="H2414">
        <v>1</v>
      </c>
      <c r="I2414">
        <v>0.01</v>
      </c>
      <c r="J2414">
        <v>1000</v>
      </c>
      <c r="K2414">
        <v>0</v>
      </c>
      <c r="L2414">
        <v>0</v>
      </c>
      <c r="M2414">
        <v>67.2</v>
      </c>
      <c r="N2414">
        <v>0</v>
      </c>
      <c r="O2414">
        <v>67.2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67.12</v>
      </c>
      <c r="Y2414">
        <v>72.930000000000007</v>
      </c>
      <c r="Z2414">
        <v>0</v>
      </c>
      <c r="AA2414">
        <v>105362</v>
      </c>
      <c r="AB2414">
        <v>0</v>
      </c>
      <c r="AC2414">
        <v>0</v>
      </c>
      <c r="AD2414" t="s">
        <v>94</v>
      </c>
      <c r="AE2414" t="s">
        <v>94</v>
      </c>
      <c r="AF2414" t="s">
        <v>304</v>
      </c>
      <c r="AG2414" t="s">
        <v>226</v>
      </c>
      <c r="AH2414">
        <v>800</v>
      </c>
      <c r="AI2414" t="s">
        <v>3537</v>
      </c>
      <c r="AJ2414" t="s">
        <v>1976</v>
      </c>
      <c r="AK2414" t="s">
        <v>2416</v>
      </c>
      <c r="AL2414" t="s">
        <v>272</v>
      </c>
    </row>
    <row r="2415" spans="1:38">
      <c r="A2415" t="s">
        <v>10253</v>
      </c>
      <c r="B2415" t="s">
        <v>10254</v>
      </c>
      <c r="C2415" t="s">
        <v>10255</v>
      </c>
      <c r="D2415" t="s">
        <v>10255</v>
      </c>
      <c r="E2415" t="s">
        <v>10256</v>
      </c>
      <c r="F2415" t="s">
        <v>2413</v>
      </c>
      <c r="G2415">
        <v>3</v>
      </c>
      <c r="H2415">
        <v>1</v>
      </c>
      <c r="I2415">
        <v>0.01</v>
      </c>
      <c r="J2415">
        <v>1000</v>
      </c>
      <c r="K2415">
        <v>0</v>
      </c>
      <c r="L2415">
        <v>0</v>
      </c>
      <c r="M2415">
        <v>95.5</v>
      </c>
      <c r="N2415">
        <v>96.24</v>
      </c>
      <c r="O2415">
        <v>95.5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94.61</v>
      </c>
      <c r="Y2415">
        <v>133.65</v>
      </c>
      <c r="Z2415">
        <v>0</v>
      </c>
      <c r="AA2415">
        <v>344531</v>
      </c>
      <c r="AB2415">
        <v>0</v>
      </c>
      <c r="AC2415">
        <v>0</v>
      </c>
      <c r="AD2415" t="s">
        <v>94</v>
      </c>
      <c r="AE2415" t="s">
        <v>94</v>
      </c>
      <c r="AF2415" t="s">
        <v>304</v>
      </c>
      <c r="AG2415" t="s">
        <v>226</v>
      </c>
      <c r="AH2415">
        <v>800</v>
      </c>
      <c r="AI2415" t="s">
        <v>3537</v>
      </c>
      <c r="AJ2415" t="s">
        <v>1976</v>
      </c>
      <c r="AK2415" t="s">
        <v>2416</v>
      </c>
      <c r="AL2415" t="s">
        <v>272</v>
      </c>
    </row>
    <row r="2416" spans="1:38">
      <c r="A2416" t="s">
        <v>10257</v>
      </c>
      <c r="B2416" t="s">
        <v>10258</v>
      </c>
      <c r="C2416" t="s">
        <v>10259</v>
      </c>
      <c r="D2416" t="s">
        <v>10259</v>
      </c>
      <c r="E2416" t="s">
        <v>10260</v>
      </c>
      <c r="F2416" t="s">
        <v>2413</v>
      </c>
      <c r="G2416">
        <v>3</v>
      </c>
      <c r="H2416">
        <v>1</v>
      </c>
      <c r="I2416">
        <v>0.01</v>
      </c>
      <c r="J2416">
        <v>1000</v>
      </c>
      <c r="K2416">
        <v>0</v>
      </c>
      <c r="L2416">
        <v>0</v>
      </c>
      <c r="M2416">
        <v>121.9</v>
      </c>
      <c r="N2416">
        <v>0</v>
      </c>
      <c r="O2416">
        <v>121.9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128.6</v>
      </c>
      <c r="Y2416">
        <v>0</v>
      </c>
      <c r="Z2416">
        <v>0</v>
      </c>
      <c r="AA2416">
        <v>87196</v>
      </c>
      <c r="AB2416">
        <v>0</v>
      </c>
      <c r="AC2416">
        <v>0</v>
      </c>
      <c r="AD2416" t="s">
        <v>94</v>
      </c>
      <c r="AE2416" t="s">
        <v>94</v>
      </c>
      <c r="AF2416" t="s">
        <v>304</v>
      </c>
      <c r="AG2416" t="s">
        <v>226</v>
      </c>
      <c r="AH2416">
        <v>800</v>
      </c>
      <c r="AI2416" t="s">
        <v>3537</v>
      </c>
      <c r="AJ2416" t="s">
        <v>1976</v>
      </c>
      <c r="AK2416" t="s">
        <v>2416</v>
      </c>
      <c r="AL2416" t="s">
        <v>272</v>
      </c>
    </row>
    <row r="2417" spans="1:38">
      <c r="A2417" t="s">
        <v>10261</v>
      </c>
      <c r="B2417" t="s">
        <v>10262</v>
      </c>
      <c r="C2417" t="s">
        <v>10263</v>
      </c>
      <c r="D2417" t="s">
        <v>10263</v>
      </c>
      <c r="E2417" t="s">
        <v>10264</v>
      </c>
      <c r="F2417" t="s">
        <v>2413</v>
      </c>
      <c r="G2417">
        <v>3</v>
      </c>
      <c r="H2417">
        <v>1</v>
      </c>
      <c r="I2417">
        <v>0.01</v>
      </c>
      <c r="J2417">
        <v>1000</v>
      </c>
      <c r="K2417">
        <v>4.82</v>
      </c>
      <c r="L2417">
        <v>126.2</v>
      </c>
      <c r="M2417">
        <v>120.4</v>
      </c>
      <c r="N2417">
        <v>111.52</v>
      </c>
      <c r="O2417">
        <v>126.2</v>
      </c>
      <c r="P2417">
        <v>0</v>
      </c>
      <c r="Q2417">
        <v>0</v>
      </c>
      <c r="R2417">
        <v>0</v>
      </c>
      <c r="S2417">
        <v>126.2</v>
      </c>
      <c r="T2417">
        <v>126.2</v>
      </c>
      <c r="U2417">
        <v>126.2</v>
      </c>
      <c r="V2417">
        <v>126.2</v>
      </c>
      <c r="W2417">
        <v>2524000</v>
      </c>
      <c r="X2417">
        <v>126.2</v>
      </c>
      <c r="Y2417">
        <v>178.36</v>
      </c>
      <c r="Z2417">
        <v>1</v>
      </c>
      <c r="AA2417">
        <v>186902</v>
      </c>
      <c r="AB2417">
        <v>2524000</v>
      </c>
      <c r="AC2417">
        <v>0</v>
      </c>
      <c r="AD2417" t="s">
        <v>94</v>
      </c>
      <c r="AE2417" t="s">
        <v>94</v>
      </c>
      <c r="AF2417" t="s">
        <v>304</v>
      </c>
      <c r="AG2417" t="s">
        <v>226</v>
      </c>
      <c r="AH2417">
        <v>800</v>
      </c>
      <c r="AI2417" t="s">
        <v>3537</v>
      </c>
      <c r="AJ2417" t="s">
        <v>1976</v>
      </c>
      <c r="AK2417" t="s">
        <v>2416</v>
      </c>
      <c r="AL2417" t="s">
        <v>272</v>
      </c>
    </row>
    <row r="2418" spans="1:38">
      <c r="A2418" t="s">
        <v>10265</v>
      </c>
      <c r="B2418" t="s">
        <v>10266</v>
      </c>
      <c r="C2418" t="s">
        <v>10267</v>
      </c>
      <c r="D2418" t="s">
        <v>10267</v>
      </c>
      <c r="E2418" t="s">
        <v>10268</v>
      </c>
      <c r="F2418" t="s">
        <v>2413</v>
      </c>
      <c r="G2418">
        <v>3</v>
      </c>
      <c r="H2418">
        <v>1</v>
      </c>
      <c r="I2418">
        <v>0.01</v>
      </c>
      <c r="J2418">
        <v>1000</v>
      </c>
      <c r="K2418">
        <v>0</v>
      </c>
      <c r="L2418">
        <v>0</v>
      </c>
      <c r="M2418">
        <v>70.400000000000006</v>
      </c>
      <c r="N2418">
        <v>0</v>
      </c>
      <c r="O2418">
        <v>70.400000000000006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73.3</v>
      </c>
      <c r="Y2418">
        <v>0</v>
      </c>
      <c r="Z2418">
        <v>0</v>
      </c>
      <c r="AA2418">
        <v>104180</v>
      </c>
      <c r="AB2418">
        <v>0</v>
      </c>
      <c r="AC2418">
        <v>0</v>
      </c>
      <c r="AD2418" t="s">
        <v>94</v>
      </c>
      <c r="AE2418" t="s">
        <v>94</v>
      </c>
      <c r="AF2418" t="s">
        <v>304</v>
      </c>
      <c r="AG2418" t="s">
        <v>226</v>
      </c>
      <c r="AH2418">
        <v>800</v>
      </c>
      <c r="AI2418" t="s">
        <v>3537</v>
      </c>
      <c r="AJ2418" t="s">
        <v>1976</v>
      </c>
      <c r="AK2418" t="s">
        <v>2416</v>
      </c>
      <c r="AL2418" t="s">
        <v>272</v>
      </c>
    </row>
    <row r="2419" spans="1:38">
      <c r="A2419" t="s">
        <v>10269</v>
      </c>
      <c r="B2419" t="s">
        <v>10270</v>
      </c>
      <c r="C2419" t="s">
        <v>10271</v>
      </c>
      <c r="D2419" t="s">
        <v>10271</v>
      </c>
      <c r="E2419" t="s">
        <v>10272</v>
      </c>
      <c r="F2419" t="s">
        <v>2413</v>
      </c>
      <c r="G2419">
        <v>3</v>
      </c>
      <c r="H2419">
        <v>1</v>
      </c>
      <c r="I2419">
        <v>0.01</v>
      </c>
      <c r="J2419">
        <v>1000</v>
      </c>
      <c r="K2419">
        <v>3.11</v>
      </c>
      <c r="L2419">
        <v>73</v>
      </c>
      <c r="M2419">
        <v>70.8</v>
      </c>
      <c r="N2419">
        <v>0</v>
      </c>
      <c r="O2419">
        <v>73</v>
      </c>
      <c r="P2419">
        <v>0</v>
      </c>
      <c r="Q2419">
        <v>0</v>
      </c>
      <c r="R2419">
        <v>0</v>
      </c>
      <c r="S2419">
        <v>73</v>
      </c>
      <c r="T2419">
        <v>73</v>
      </c>
      <c r="U2419">
        <v>73</v>
      </c>
      <c r="V2419">
        <v>73</v>
      </c>
      <c r="W2419">
        <v>2190000</v>
      </c>
      <c r="X2419">
        <v>73</v>
      </c>
      <c r="Y2419">
        <v>81.010000000000005</v>
      </c>
      <c r="Z2419">
        <v>1</v>
      </c>
      <c r="AA2419">
        <v>220858</v>
      </c>
      <c r="AB2419">
        <v>2190000</v>
      </c>
      <c r="AC2419">
        <v>0</v>
      </c>
      <c r="AD2419" t="s">
        <v>94</v>
      </c>
      <c r="AE2419" t="s">
        <v>94</v>
      </c>
      <c r="AF2419" t="s">
        <v>304</v>
      </c>
      <c r="AG2419" t="s">
        <v>226</v>
      </c>
      <c r="AH2419">
        <v>800</v>
      </c>
      <c r="AI2419" t="s">
        <v>3537</v>
      </c>
      <c r="AJ2419" t="s">
        <v>1976</v>
      </c>
      <c r="AK2419" t="s">
        <v>2416</v>
      </c>
      <c r="AL2419" t="s">
        <v>272</v>
      </c>
    </row>
    <row r="2420" spans="1:38">
      <c r="A2420" t="s">
        <v>10273</v>
      </c>
      <c r="B2420" t="s">
        <v>10274</v>
      </c>
      <c r="C2420" t="s">
        <v>10275</v>
      </c>
      <c r="D2420" t="s">
        <v>10275</v>
      </c>
      <c r="E2420" t="s">
        <v>10276</v>
      </c>
      <c r="F2420" t="s">
        <v>2413</v>
      </c>
      <c r="G2420">
        <v>3</v>
      </c>
      <c r="H2420">
        <v>1</v>
      </c>
      <c r="I2420">
        <v>0.01</v>
      </c>
      <c r="J2420">
        <v>1000</v>
      </c>
      <c r="K2420">
        <v>0</v>
      </c>
      <c r="L2420">
        <v>0</v>
      </c>
      <c r="M2420">
        <v>72.5</v>
      </c>
      <c r="N2420">
        <v>0</v>
      </c>
      <c r="O2420">
        <v>72.5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77.02</v>
      </c>
      <c r="Y2420">
        <v>0</v>
      </c>
      <c r="Z2420">
        <v>0</v>
      </c>
      <c r="AA2420">
        <v>322325</v>
      </c>
      <c r="AB2420">
        <v>0</v>
      </c>
      <c r="AC2420">
        <v>0</v>
      </c>
      <c r="AD2420" t="s">
        <v>94</v>
      </c>
      <c r="AE2420" t="s">
        <v>94</v>
      </c>
      <c r="AF2420" t="s">
        <v>304</v>
      </c>
      <c r="AG2420" t="s">
        <v>226</v>
      </c>
      <c r="AH2420">
        <v>800</v>
      </c>
      <c r="AI2420" t="s">
        <v>3537</v>
      </c>
      <c r="AJ2420" t="s">
        <v>1976</v>
      </c>
      <c r="AK2420" t="s">
        <v>2416</v>
      </c>
      <c r="AL2420" t="s">
        <v>272</v>
      </c>
    </row>
    <row r="2421" spans="1:38">
      <c r="A2421" t="s">
        <v>10277</v>
      </c>
      <c r="B2421" t="s">
        <v>10278</v>
      </c>
      <c r="C2421" t="s">
        <v>10279</v>
      </c>
      <c r="D2421" t="s">
        <v>10279</v>
      </c>
      <c r="E2421" t="s">
        <v>10280</v>
      </c>
      <c r="F2421" t="s">
        <v>2413</v>
      </c>
      <c r="G2421">
        <v>3</v>
      </c>
      <c r="H2421">
        <v>1</v>
      </c>
      <c r="I2421">
        <v>0.01</v>
      </c>
      <c r="J2421">
        <v>1000</v>
      </c>
      <c r="K2421">
        <v>0</v>
      </c>
      <c r="L2421">
        <v>0</v>
      </c>
      <c r="M2421">
        <v>87.01</v>
      </c>
      <c r="N2421">
        <v>86.1</v>
      </c>
      <c r="O2421">
        <v>87.01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84.31</v>
      </c>
      <c r="Y2421">
        <v>91.88</v>
      </c>
      <c r="Z2421">
        <v>0</v>
      </c>
      <c r="AA2421">
        <v>321087</v>
      </c>
      <c r="AB2421">
        <v>0</v>
      </c>
      <c r="AC2421">
        <v>0</v>
      </c>
      <c r="AD2421" t="s">
        <v>94</v>
      </c>
      <c r="AE2421" t="s">
        <v>94</v>
      </c>
      <c r="AF2421" t="s">
        <v>304</v>
      </c>
      <c r="AG2421" t="s">
        <v>226</v>
      </c>
      <c r="AH2421">
        <v>800</v>
      </c>
      <c r="AI2421" t="s">
        <v>3537</v>
      </c>
      <c r="AJ2421" t="s">
        <v>1976</v>
      </c>
      <c r="AK2421" t="s">
        <v>2416</v>
      </c>
      <c r="AL2421" t="s">
        <v>272</v>
      </c>
    </row>
    <row r="2422" spans="1:38">
      <c r="A2422" t="s">
        <v>10281</v>
      </c>
      <c r="B2422" t="s">
        <v>10282</v>
      </c>
      <c r="C2422" t="s">
        <v>10283</v>
      </c>
      <c r="D2422" t="s">
        <v>10283</v>
      </c>
      <c r="E2422" t="s">
        <v>10284</v>
      </c>
      <c r="F2422" t="s">
        <v>2413</v>
      </c>
      <c r="G2422">
        <v>3</v>
      </c>
      <c r="H2422">
        <v>1</v>
      </c>
      <c r="I2422">
        <v>0.01</v>
      </c>
      <c r="J2422">
        <v>1000</v>
      </c>
      <c r="K2422">
        <v>0</v>
      </c>
      <c r="L2422">
        <v>0</v>
      </c>
      <c r="M2422">
        <v>117.4</v>
      </c>
      <c r="N2422">
        <v>0</v>
      </c>
      <c r="O2422">
        <v>117.4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124.1</v>
      </c>
      <c r="Y2422">
        <v>175.42</v>
      </c>
      <c r="Z2422">
        <v>0</v>
      </c>
      <c r="AA2422">
        <v>280085</v>
      </c>
      <c r="AB2422">
        <v>0</v>
      </c>
      <c r="AC2422">
        <v>0</v>
      </c>
      <c r="AD2422" t="s">
        <v>94</v>
      </c>
      <c r="AE2422" t="s">
        <v>94</v>
      </c>
      <c r="AF2422" t="s">
        <v>304</v>
      </c>
      <c r="AG2422" t="s">
        <v>226</v>
      </c>
      <c r="AH2422">
        <v>800</v>
      </c>
      <c r="AI2422" t="s">
        <v>3537</v>
      </c>
      <c r="AJ2422" t="s">
        <v>1976</v>
      </c>
      <c r="AK2422" t="s">
        <v>2416</v>
      </c>
      <c r="AL2422" t="s">
        <v>272</v>
      </c>
    </row>
    <row r="2423" spans="1:38">
      <c r="A2423" t="s">
        <v>10285</v>
      </c>
      <c r="B2423" t="s">
        <v>10286</v>
      </c>
      <c r="C2423" t="s">
        <v>10287</v>
      </c>
      <c r="D2423" t="s">
        <v>10287</v>
      </c>
      <c r="E2423" t="s">
        <v>10288</v>
      </c>
      <c r="F2423" t="s">
        <v>2413</v>
      </c>
      <c r="G2423">
        <v>3</v>
      </c>
      <c r="H2423">
        <v>1</v>
      </c>
      <c r="I2423">
        <v>0.01</v>
      </c>
      <c r="J2423">
        <v>1000</v>
      </c>
      <c r="K2423">
        <v>0</v>
      </c>
      <c r="L2423">
        <v>0</v>
      </c>
      <c r="M2423">
        <v>59.01</v>
      </c>
      <c r="N2423">
        <v>0</v>
      </c>
      <c r="O2423">
        <v>59.01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52.01</v>
      </c>
      <c r="Y2423">
        <v>62.01</v>
      </c>
      <c r="Z2423">
        <v>0</v>
      </c>
      <c r="AA2423">
        <v>480185</v>
      </c>
      <c r="AB2423">
        <v>0</v>
      </c>
      <c r="AC2423">
        <v>0</v>
      </c>
      <c r="AD2423" t="s">
        <v>94</v>
      </c>
      <c r="AE2423" t="s">
        <v>94</v>
      </c>
      <c r="AF2423" t="s">
        <v>304</v>
      </c>
      <c r="AG2423" t="s">
        <v>226</v>
      </c>
      <c r="AH2423">
        <v>800</v>
      </c>
      <c r="AI2423" t="s">
        <v>3537</v>
      </c>
      <c r="AJ2423" t="s">
        <v>1976</v>
      </c>
      <c r="AK2423" t="s">
        <v>2416</v>
      </c>
      <c r="AL2423" t="s">
        <v>272</v>
      </c>
    </row>
    <row r="2424" spans="1:38">
      <c r="A2424" t="s">
        <v>10289</v>
      </c>
      <c r="B2424" t="s">
        <v>10290</v>
      </c>
      <c r="C2424" t="s">
        <v>10291</v>
      </c>
      <c r="D2424" t="s">
        <v>10291</v>
      </c>
      <c r="E2424" t="s">
        <v>10292</v>
      </c>
      <c r="F2424" t="s">
        <v>2413</v>
      </c>
      <c r="G2424">
        <v>3</v>
      </c>
      <c r="H2424">
        <v>1</v>
      </c>
      <c r="I2424">
        <v>0.01</v>
      </c>
      <c r="J2424">
        <v>1000</v>
      </c>
      <c r="K2424">
        <v>0</v>
      </c>
      <c r="L2424">
        <v>0</v>
      </c>
      <c r="M2424">
        <v>54.01</v>
      </c>
      <c r="N2424">
        <v>56.01</v>
      </c>
      <c r="O2424">
        <v>54.01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47.01</v>
      </c>
      <c r="Y2424">
        <v>57.01</v>
      </c>
      <c r="Z2424">
        <v>0</v>
      </c>
      <c r="AA2424">
        <v>359005</v>
      </c>
      <c r="AB2424">
        <v>0</v>
      </c>
      <c r="AC2424">
        <v>0</v>
      </c>
      <c r="AD2424" t="s">
        <v>94</v>
      </c>
      <c r="AE2424" t="s">
        <v>94</v>
      </c>
      <c r="AF2424" t="s">
        <v>304</v>
      </c>
      <c r="AG2424" t="s">
        <v>226</v>
      </c>
      <c r="AH2424">
        <v>800</v>
      </c>
      <c r="AI2424" t="s">
        <v>3537</v>
      </c>
      <c r="AJ2424" t="s">
        <v>1976</v>
      </c>
      <c r="AK2424" t="s">
        <v>2416</v>
      </c>
      <c r="AL2424" t="s">
        <v>272</v>
      </c>
    </row>
    <row r="2425" spans="1:38">
      <c r="A2425" t="s">
        <v>10293</v>
      </c>
      <c r="B2425" t="s">
        <v>10294</v>
      </c>
      <c r="C2425" t="s">
        <v>10295</v>
      </c>
      <c r="D2425" t="s">
        <v>10295</v>
      </c>
      <c r="E2425" t="s">
        <v>10296</v>
      </c>
      <c r="F2425" t="s">
        <v>2413</v>
      </c>
      <c r="G2425">
        <v>3</v>
      </c>
      <c r="H2425">
        <v>1</v>
      </c>
      <c r="I2425">
        <v>0.01</v>
      </c>
      <c r="J2425">
        <v>1000</v>
      </c>
      <c r="K2425">
        <v>0</v>
      </c>
      <c r="L2425">
        <v>0</v>
      </c>
      <c r="M2425">
        <v>84.01</v>
      </c>
      <c r="N2425">
        <v>0</v>
      </c>
      <c r="O2425">
        <v>84.01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82.21</v>
      </c>
      <c r="Y2425">
        <v>92.01</v>
      </c>
      <c r="Z2425">
        <v>0</v>
      </c>
      <c r="AA2425">
        <v>273177</v>
      </c>
      <c r="AB2425">
        <v>0</v>
      </c>
      <c r="AC2425">
        <v>0</v>
      </c>
      <c r="AD2425" t="s">
        <v>94</v>
      </c>
      <c r="AE2425" t="s">
        <v>94</v>
      </c>
      <c r="AF2425" t="s">
        <v>304</v>
      </c>
      <c r="AG2425" t="s">
        <v>226</v>
      </c>
      <c r="AH2425">
        <v>800</v>
      </c>
      <c r="AI2425" t="s">
        <v>3537</v>
      </c>
      <c r="AJ2425" t="s">
        <v>1976</v>
      </c>
      <c r="AK2425" t="s">
        <v>2416</v>
      </c>
      <c r="AL2425" t="s">
        <v>272</v>
      </c>
    </row>
    <row r="2426" spans="1:38">
      <c r="A2426" t="s">
        <v>10297</v>
      </c>
      <c r="B2426" t="s">
        <v>10298</v>
      </c>
      <c r="C2426" t="s">
        <v>10299</v>
      </c>
      <c r="D2426" t="s">
        <v>10299</v>
      </c>
      <c r="E2426" t="s">
        <v>10300</v>
      </c>
      <c r="F2426" t="s">
        <v>2413</v>
      </c>
      <c r="G2426">
        <v>3</v>
      </c>
      <c r="H2426">
        <v>1</v>
      </c>
      <c r="I2426">
        <v>0.01</v>
      </c>
      <c r="J2426">
        <v>1000</v>
      </c>
      <c r="K2426">
        <v>0</v>
      </c>
      <c r="L2426">
        <v>0</v>
      </c>
      <c r="M2426">
        <v>83.4</v>
      </c>
      <c r="N2426">
        <v>82.72</v>
      </c>
      <c r="O2426">
        <v>83.4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80.41</v>
      </c>
      <c r="Y2426">
        <v>116.75</v>
      </c>
      <c r="Z2426">
        <v>0</v>
      </c>
      <c r="AA2426">
        <v>573589</v>
      </c>
      <c r="AB2426">
        <v>0</v>
      </c>
      <c r="AC2426">
        <v>0</v>
      </c>
      <c r="AD2426" t="s">
        <v>94</v>
      </c>
      <c r="AE2426" t="s">
        <v>94</v>
      </c>
      <c r="AF2426" t="s">
        <v>304</v>
      </c>
      <c r="AG2426" t="s">
        <v>226</v>
      </c>
      <c r="AH2426">
        <v>800</v>
      </c>
      <c r="AI2426" t="s">
        <v>3537</v>
      </c>
      <c r="AJ2426" t="s">
        <v>1976</v>
      </c>
      <c r="AK2426" t="s">
        <v>2416</v>
      </c>
      <c r="AL2426" t="s">
        <v>272</v>
      </c>
    </row>
    <row r="2427" spans="1:38">
      <c r="A2427" t="s">
        <v>10301</v>
      </c>
      <c r="B2427" t="s">
        <v>10302</v>
      </c>
      <c r="C2427" t="s">
        <v>10303</v>
      </c>
      <c r="D2427" t="s">
        <v>10303</v>
      </c>
      <c r="E2427" t="s">
        <v>10304</v>
      </c>
      <c r="F2427" t="s">
        <v>2413</v>
      </c>
      <c r="G2427">
        <v>3</v>
      </c>
      <c r="H2427">
        <v>1</v>
      </c>
      <c r="I2427">
        <v>0.01</v>
      </c>
      <c r="J2427">
        <v>1000</v>
      </c>
      <c r="K2427">
        <v>0</v>
      </c>
      <c r="L2427">
        <v>0</v>
      </c>
      <c r="M2427">
        <v>56.81</v>
      </c>
      <c r="N2427">
        <v>0</v>
      </c>
      <c r="O2427">
        <v>56.81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46.18</v>
      </c>
      <c r="Y2427">
        <v>55.81</v>
      </c>
      <c r="Z2427">
        <v>0</v>
      </c>
      <c r="AA2427">
        <v>205356</v>
      </c>
      <c r="AB2427">
        <v>0</v>
      </c>
      <c r="AC2427">
        <v>0</v>
      </c>
      <c r="AD2427" t="s">
        <v>94</v>
      </c>
      <c r="AE2427" t="s">
        <v>94</v>
      </c>
      <c r="AF2427" t="s">
        <v>304</v>
      </c>
      <c r="AG2427" t="s">
        <v>226</v>
      </c>
      <c r="AH2427">
        <v>800</v>
      </c>
      <c r="AI2427" t="s">
        <v>3537</v>
      </c>
      <c r="AJ2427" t="s">
        <v>1976</v>
      </c>
      <c r="AK2427" t="s">
        <v>2416</v>
      </c>
      <c r="AL2427" t="s">
        <v>272</v>
      </c>
    </row>
    <row r="2428" spans="1:38">
      <c r="A2428" t="s">
        <v>10305</v>
      </c>
      <c r="B2428" t="s">
        <v>10306</v>
      </c>
      <c r="C2428" t="s">
        <v>10307</v>
      </c>
      <c r="D2428" t="s">
        <v>10307</v>
      </c>
      <c r="E2428" t="s">
        <v>10308</v>
      </c>
      <c r="F2428" t="s">
        <v>2413</v>
      </c>
      <c r="G2428">
        <v>3</v>
      </c>
      <c r="H2428">
        <v>1</v>
      </c>
      <c r="I2428">
        <v>0.01</v>
      </c>
      <c r="J2428">
        <v>1000</v>
      </c>
      <c r="K2428">
        <v>0</v>
      </c>
      <c r="L2428">
        <v>0</v>
      </c>
      <c r="M2428">
        <v>97.4</v>
      </c>
      <c r="N2428">
        <v>0</v>
      </c>
      <c r="O2428">
        <v>97.4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92.01</v>
      </c>
      <c r="Y2428">
        <v>0</v>
      </c>
      <c r="Z2428">
        <v>0</v>
      </c>
      <c r="AA2428">
        <v>58413</v>
      </c>
      <c r="AB2428">
        <v>0</v>
      </c>
      <c r="AC2428">
        <v>0</v>
      </c>
      <c r="AD2428" t="s">
        <v>94</v>
      </c>
      <c r="AE2428" t="s">
        <v>94</v>
      </c>
      <c r="AF2428" t="s">
        <v>304</v>
      </c>
      <c r="AG2428" t="s">
        <v>226</v>
      </c>
      <c r="AH2428">
        <v>800</v>
      </c>
      <c r="AI2428" t="s">
        <v>3537</v>
      </c>
      <c r="AJ2428" t="s">
        <v>1976</v>
      </c>
      <c r="AK2428" t="s">
        <v>2416</v>
      </c>
      <c r="AL2428" t="s">
        <v>272</v>
      </c>
    </row>
    <row r="2429" spans="1:38">
      <c r="A2429" t="s">
        <v>10309</v>
      </c>
      <c r="B2429" t="s">
        <v>10310</v>
      </c>
      <c r="C2429" t="s">
        <v>10311</v>
      </c>
      <c r="D2429" t="s">
        <v>10311</v>
      </c>
      <c r="E2429" t="s">
        <v>10312</v>
      </c>
      <c r="F2429" t="s">
        <v>2413</v>
      </c>
      <c r="G2429">
        <v>3</v>
      </c>
      <c r="H2429">
        <v>1</v>
      </c>
      <c r="I2429">
        <v>0.01</v>
      </c>
      <c r="J2429">
        <v>1000</v>
      </c>
      <c r="K2429">
        <v>0</v>
      </c>
      <c r="L2429">
        <v>0</v>
      </c>
      <c r="M2429">
        <v>111.7</v>
      </c>
      <c r="N2429">
        <v>0</v>
      </c>
      <c r="O2429">
        <v>111.7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114.2</v>
      </c>
      <c r="Y2429">
        <v>0</v>
      </c>
      <c r="Z2429">
        <v>0</v>
      </c>
      <c r="AA2429">
        <v>109422</v>
      </c>
      <c r="AB2429">
        <v>0</v>
      </c>
      <c r="AC2429">
        <v>0</v>
      </c>
      <c r="AD2429" t="s">
        <v>94</v>
      </c>
      <c r="AE2429" t="s">
        <v>94</v>
      </c>
      <c r="AF2429" t="s">
        <v>304</v>
      </c>
      <c r="AG2429" t="s">
        <v>226</v>
      </c>
      <c r="AH2429">
        <v>800</v>
      </c>
      <c r="AI2429" t="s">
        <v>3537</v>
      </c>
      <c r="AJ2429" t="s">
        <v>1976</v>
      </c>
      <c r="AK2429" t="s">
        <v>2416</v>
      </c>
      <c r="AL2429" t="s">
        <v>272</v>
      </c>
    </row>
    <row r="2430" spans="1:38">
      <c r="A2430" t="s">
        <v>10313</v>
      </c>
      <c r="B2430" t="s">
        <v>10314</v>
      </c>
      <c r="C2430" t="s">
        <v>10315</v>
      </c>
      <c r="D2430" t="s">
        <v>10315</v>
      </c>
      <c r="E2430" t="s">
        <v>10316</v>
      </c>
      <c r="F2430" t="s">
        <v>2413</v>
      </c>
      <c r="G2430">
        <v>3</v>
      </c>
      <c r="H2430">
        <v>1</v>
      </c>
      <c r="I2430">
        <v>0.01</v>
      </c>
      <c r="J2430">
        <v>1000</v>
      </c>
      <c r="K2430">
        <v>0</v>
      </c>
      <c r="L2430">
        <v>0</v>
      </c>
      <c r="M2430">
        <v>51.6</v>
      </c>
      <c r="N2430">
        <v>52.72</v>
      </c>
      <c r="O2430">
        <v>51.6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48.01</v>
      </c>
      <c r="Y2430">
        <v>58.01</v>
      </c>
      <c r="Z2430">
        <v>0</v>
      </c>
      <c r="AA2430">
        <v>495532</v>
      </c>
      <c r="AB2430">
        <v>0</v>
      </c>
      <c r="AC2430">
        <v>0</v>
      </c>
      <c r="AD2430" t="s">
        <v>94</v>
      </c>
      <c r="AE2430" t="s">
        <v>94</v>
      </c>
      <c r="AF2430" t="s">
        <v>304</v>
      </c>
      <c r="AG2430" t="s">
        <v>226</v>
      </c>
      <c r="AH2430">
        <v>800</v>
      </c>
      <c r="AI2430" t="s">
        <v>3537</v>
      </c>
      <c r="AJ2430" t="s">
        <v>1976</v>
      </c>
      <c r="AK2430" t="s">
        <v>2416</v>
      </c>
      <c r="AL2430" t="s">
        <v>272</v>
      </c>
    </row>
    <row r="2431" spans="1:38">
      <c r="A2431" t="s">
        <v>10317</v>
      </c>
      <c r="B2431" t="s">
        <v>10318</v>
      </c>
      <c r="C2431" t="s">
        <v>10319</v>
      </c>
      <c r="D2431" t="s">
        <v>10319</v>
      </c>
      <c r="E2431" t="s">
        <v>10320</v>
      </c>
      <c r="F2431" t="s">
        <v>2413</v>
      </c>
      <c r="G2431">
        <v>3</v>
      </c>
      <c r="H2431">
        <v>1</v>
      </c>
      <c r="I2431">
        <v>0.01</v>
      </c>
      <c r="J2431">
        <v>1000</v>
      </c>
      <c r="K2431">
        <v>0</v>
      </c>
      <c r="L2431">
        <v>0</v>
      </c>
      <c r="M2431">
        <v>86.1</v>
      </c>
      <c r="N2431">
        <v>86.93</v>
      </c>
      <c r="O2431">
        <v>86.1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88.71</v>
      </c>
      <c r="Y2431">
        <v>89.71</v>
      </c>
      <c r="Z2431">
        <v>0</v>
      </c>
      <c r="AA2431">
        <v>528876</v>
      </c>
      <c r="AB2431">
        <v>0</v>
      </c>
      <c r="AC2431">
        <v>0</v>
      </c>
      <c r="AD2431" t="s">
        <v>94</v>
      </c>
      <c r="AE2431" t="s">
        <v>94</v>
      </c>
      <c r="AF2431" t="s">
        <v>304</v>
      </c>
      <c r="AG2431" t="s">
        <v>226</v>
      </c>
      <c r="AH2431">
        <v>800</v>
      </c>
      <c r="AI2431" t="s">
        <v>3537</v>
      </c>
      <c r="AJ2431" t="s">
        <v>1976</v>
      </c>
      <c r="AK2431" t="s">
        <v>2416</v>
      </c>
      <c r="AL2431" t="s">
        <v>272</v>
      </c>
    </row>
    <row r="2432" spans="1:38">
      <c r="A2432" t="s">
        <v>10321</v>
      </c>
      <c r="B2432" t="s">
        <v>10322</v>
      </c>
      <c r="C2432" t="s">
        <v>10323</v>
      </c>
      <c r="D2432" t="s">
        <v>10323</v>
      </c>
      <c r="E2432" t="s">
        <v>10324</v>
      </c>
      <c r="F2432" t="s">
        <v>2413</v>
      </c>
      <c r="G2432">
        <v>3</v>
      </c>
      <c r="H2432">
        <v>1</v>
      </c>
      <c r="I2432">
        <v>0.01</v>
      </c>
      <c r="J2432">
        <v>1000</v>
      </c>
      <c r="K2432">
        <v>0</v>
      </c>
      <c r="L2432">
        <v>0</v>
      </c>
      <c r="M2432">
        <v>54.75</v>
      </c>
      <c r="N2432">
        <v>0</v>
      </c>
      <c r="O2432">
        <v>54.75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47.75</v>
      </c>
      <c r="Y2432">
        <v>57.75</v>
      </c>
      <c r="Z2432">
        <v>0</v>
      </c>
      <c r="AA2432">
        <v>294260</v>
      </c>
      <c r="AB2432">
        <v>0</v>
      </c>
      <c r="AC2432">
        <v>0</v>
      </c>
      <c r="AD2432" t="s">
        <v>94</v>
      </c>
      <c r="AE2432" t="s">
        <v>94</v>
      </c>
      <c r="AF2432" t="s">
        <v>304</v>
      </c>
      <c r="AG2432" t="s">
        <v>226</v>
      </c>
      <c r="AH2432">
        <v>800</v>
      </c>
      <c r="AI2432" t="s">
        <v>3537</v>
      </c>
      <c r="AJ2432" t="s">
        <v>1976</v>
      </c>
      <c r="AK2432" t="s">
        <v>2416</v>
      </c>
      <c r="AL2432" t="s">
        <v>272</v>
      </c>
    </row>
    <row r="2433" spans="1:38">
      <c r="A2433" t="s">
        <v>10325</v>
      </c>
      <c r="B2433" t="s">
        <v>10326</v>
      </c>
      <c r="C2433" t="s">
        <v>10327</v>
      </c>
      <c r="D2433" t="s">
        <v>10327</v>
      </c>
      <c r="E2433" t="s">
        <v>10328</v>
      </c>
      <c r="F2433" t="s">
        <v>2413</v>
      </c>
      <c r="G2433">
        <v>3</v>
      </c>
      <c r="H2433">
        <v>1</v>
      </c>
      <c r="I2433">
        <v>0.01</v>
      </c>
      <c r="J2433">
        <v>1000</v>
      </c>
      <c r="K2433">
        <v>0</v>
      </c>
      <c r="L2433">
        <v>0</v>
      </c>
      <c r="M2433">
        <v>80.8</v>
      </c>
      <c r="N2433">
        <v>0</v>
      </c>
      <c r="O2433">
        <v>80.8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82.51</v>
      </c>
      <c r="Y2433">
        <v>85.91</v>
      </c>
      <c r="Z2433">
        <v>0</v>
      </c>
      <c r="AA2433">
        <v>96696</v>
      </c>
      <c r="AB2433">
        <v>0</v>
      </c>
      <c r="AC2433">
        <v>0</v>
      </c>
      <c r="AD2433" t="s">
        <v>94</v>
      </c>
      <c r="AE2433" t="s">
        <v>94</v>
      </c>
      <c r="AF2433" t="s">
        <v>304</v>
      </c>
      <c r="AG2433" t="s">
        <v>226</v>
      </c>
      <c r="AH2433">
        <v>800</v>
      </c>
      <c r="AI2433" t="s">
        <v>3537</v>
      </c>
      <c r="AJ2433" t="s">
        <v>1976</v>
      </c>
      <c r="AK2433" t="s">
        <v>2416</v>
      </c>
      <c r="AL2433" t="s">
        <v>272</v>
      </c>
    </row>
    <row r="2434" spans="1:38">
      <c r="A2434" t="s">
        <v>10329</v>
      </c>
      <c r="B2434" t="s">
        <v>10330</v>
      </c>
      <c r="C2434" t="s">
        <v>10331</v>
      </c>
      <c r="D2434" t="s">
        <v>10331</v>
      </c>
      <c r="E2434" t="s">
        <v>10332</v>
      </c>
      <c r="F2434" t="s">
        <v>2413</v>
      </c>
      <c r="G2434">
        <v>3</v>
      </c>
      <c r="H2434">
        <v>1</v>
      </c>
      <c r="I2434">
        <v>0.01</v>
      </c>
      <c r="J2434">
        <v>1000</v>
      </c>
      <c r="K2434">
        <v>0</v>
      </c>
      <c r="L2434">
        <v>0</v>
      </c>
      <c r="M2434">
        <v>80.900000000000006</v>
      </c>
      <c r="N2434">
        <v>0</v>
      </c>
      <c r="O2434">
        <v>80.900000000000006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82.21</v>
      </c>
      <c r="Y2434">
        <v>0</v>
      </c>
      <c r="Z2434">
        <v>0</v>
      </c>
      <c r="AA2434">
        <v>138471</v>
      </c>
      <c r="AB2434">
        <v>0</v>
      </c>
      <c r="AC2434">
        <v>0</v>
      </c>
      <c r="AD2434" t="s">
        <v>94</v>
      </c>
      <c r="AE2434" t="s">
        <v>94</v>
      </c>
      <c r="AF2434" t="s">
        <v>304</v>
      </c>
      <c r="AG2434" t="s">
        <v>226</v>
      </c>
      <c r="AH2434">
        <v>800</v>
      </c>
      <c r="AI2434" t="s">
        <v>3537</v>
      </c>
      <c r="AJ2434" t="s">
        <v>1976</v>
      </c>
      <c r="AK2434" t="s">
        <v>2416</v>
      </c>
      <c r="AL2434" t="s">
        <v>272</v>
      </c>
    </row>
    <row r="2435" spans="1:38">
      <c r="A2435" t="s">
        <v>10333</v>
      </c>
      <c r="B2435" t="s">
        <v>10334</v>
      </c>
      <c r="C2435" t="s">
        <v>10335</v>
      </c>
      <c r="D2435" t="s">
        <v>10335</v>
      </c>
      <c r="E2435" t="s">
        <v>10336</v>
      </c>
      <c r="F2435" t="s">
        <v>2413</v>
      </c>
      <c r="G2435">
        <v>3</v>
      </c>
      <c r="H2435">
        <v>1</v>
      </c>
      <c r="I2435">
        <v>0.01</v>
      </c>
      <c r="J2435">
        <v>1000</v>
      </c>
      <c r="K2435">
        <v>0</v>
      </c>
      <c r="L2435">
        <v>0</v>
      </c>
      <c r="M2435">
        <v>54.64</v>
      </c>
      <c r="N2435">
        <v>56</v>
      </c>
      <c r="O2435">
        <v>54.64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50.01</v>
      </c>
      <c r="Y2435">
        <v>60.01</v>
      </c>
      <c r="Z2435">
        <v>0</v>
      </c>
      <c r="AA2435">
        <v>786844</v>
      </c>
      <c r="AB2435">
        <v>0</v>
      </c>
      <c r="AC2435">
        <v>0</v>
      </c>
      <c r="AD2435" t="s">
        <v>94</v>
      </c>
      <c r="AE2435" t="s">
        <v>94</v>
      </c>
      <c r="AF2435" t="s">
        <v>304</v>
      </c>
      <c r="AG2435" t="s">
        <v>226</v>
      </c>
      <c r="AH2435">
        <v>800</v>
      </c>
      <c r="AI2435" t="s">
        <v>3537</v>
      </c>
      <c r="AJ2435" t="s">
        <v>1976</v>
      </c>
      <c r="AK2435" t="s">
        <v>2416</v>
      </c>
      <c r="AL2435" t="s">
        <v>272</v>
      </c>
    </row>
    <row r="2436" spans="1:38">
      <c r="A2436" t="s">
        <v>10337</v>
      </c>
      <c r="B2436" t="s">
        <v>10338</v>
      </c>
      <c r="C2436" t="s">
        <v>10339</v>
      </c>
      <c r="D2436" t="s">
        <v>10339</v>
      </c>
      <c r="E2436" t="s">
        <v>10340</v>
      </c>
      <c r="F2436" t="s">
        <v>2413</v>
      </c>
      <c r="G2436">
        <v>3</v>
      </c>
      <c r="H2436">
        <v>1</v>
      </c>
      <c r="I2436">
        <v>0.01</v>
      </c>
      <c r="J2436">
        <v>1000</v>
      </c>
      <c r="K2436">
        <v>0</v>
      </c>
      <c r="L2436">
        <v>0</v>
      </c>
      <c r="M2436">
        <v>68.2</v>
      </c>
      <c r="N2436">
        <v>69.569999999999993</v>
      </c>
      <c r="O2436">
        <v>68.2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67.02</v>
      </c>
      <c r="Y2436">
        <v>74.47</v>
      </c>
      <c r="Z2436">
        <v>0</v>
      </c>
      <c r="AA2436">
        <v>548428</v>
      </c>
      <c r="AB2436">
        <v>0</v>
      </c>
      <c r="AC2436">
        <v>0</v>
      </c>
      <c r="AD2436" t="s">
        <v>94</v>
      </c>
      <c r="AE2436" t="s">
        <v>94</v>
      </c>
      <c r="AF2436" t="s">
        <v>304</v>
      </c>
      <c r="AG2436" t="s">
        <v>226</v>
      </c>
      <c r="AH2436">
        <v>800</v>
      </c>
      <c r="AI2436" t="s">
        <v>3537</v>
      </c>
      <c r="AJ2436" t="s">
        <v>1976</v>
      </c>
      <c r="AK2436" t="s">
        <v>2416</v>
      </c>
      <c r="AL2436" t="s">
        <v>272</v>
      </c>
    </row>
    <row r="2437" spans="1:38">
      <c r="A2437" t="s">
        <v>10341</v>
      </c>
      <c r="B2437" t="s">
        <v>10342</v>
      </c>
      <c r="C2437" t="s">
        <v>10343</v>
      </c>
      <c r="D2437" t="s">
        <v>10343</v>
      </c>
      <c r="E2437" t="s">
        <v>10344</v>
      </c>
      <c r="F2437" t="s">
        <v>2413</v>
      </c>
      <c r="G2437">
        <v>3</v>
      </c>
      <c r="H2437">
        <v>1</v>
      </c>
      <c r="I2437">
        <v>0.01</v>
      </c>
      <c r="J2437">
        <v>1000</v>
      </c>
      <c r="K2437">
        <v>0</v>
      </c>
      <c r="L2437">
        <v>0</v>
      </c>
      <c r="M2437">
        <v>56.01</v>
      </c>
      <c r="N2437">
        <v>0</v>
      </c>
      <c r="O2437">
        <v>56.01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51.01</v>
      </c>
      <c r="Y2437">
        <v>61.01</v>
      </c>
      <c r="Z2437">
        <v>0</v>
      </c>
      <c r="AA2437">
        <v>173078</v>
      </c>
      <c r="AB2437">
        <v>0</v>
      </c>
      <c r="AC2437">
        <v>0</v>
      </c>
      <c r="AD2437" t="s">
        <v>94</v>
      </c>
      <c r="AE2437" t="s">
        <v>94</v>
      </c>
      <c r="AF2437" t="s">
        <v>304</v>
      </c>
      <c r="AG2437" t="s">
        <v>226</v>
      </c>
      <c r="AH2437">
        <v>800</v>
      </c>
      <c r="AI2437" t="s">
        <v>3537</v>
      </c>
      <c r="AJ2437" t="s">
        <v>1976</v>
      </c>
      <c r="AK2437" t="s">
        <v>2416</v>
      </c>
      <c r="AL2437" t="s">
        <v>272</v>
      </c>
    </row>
    <row r="2438" spans="1:38">
      <c r="A2438" t="s">
        <v>10345</v>
      </c>
      <c r="B2438" t="s">
        <v>10346</v>
      </c>
      <c r="C2438" t="s">
        <v>10347</v>
      </c>
      <c r="D2438" t="s">
        <v>10347</v>
      </c>
      <c r="E2438" t="s">
        <v>10348</v>
      </c>
      <c r="F2438" t="s">
        <v>2413</v>
      </c>
      <c r="G2438">
        <v>3</v>
      </c>
      <c r="H2438">
        <v>1</v>
      </c>
      <c r="I2438">
        <v>0.01</v>
      </c>
      <c r="J2438">
        <v>1000</v>
      </c>
      <c r="K2438">
        <v>0</v>
      </c>
      <c r="L2438">
        <v>0</v>
      </c>
      <c r="M2438">
        <v>70.8</v>
      </c>
      <c r="N2438">
        <v>0</v>
      </c>
      <c r="O2438">
        <v>70.8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68.260000000000005</v>
      </c>
      <c r="Y2438">
        <v>99.4</v>
      </c>
      <c r="Z2438">
        <v>0</v>
      </c>
      <c r="AA2438">
        <v>391602</v>
      </c>
      <c r="AB2438">
        <v>0</v>
      </c>
      <c r="AC2438">
        <v>0</v>
      </c>
      <c r="AD2438" t="s">
        <v>94</v>
      </c>
      <c r="AE2438" t="s">
        <v>94</v>
      </c>
      <c r="AF2438" t="s">
        <v>304</v>
      </c>
      <c r="AG2438" t="s">
        <v>226</v>
      </c>
      <c r="AH2438">
        <v>800</v>
      </c>
      <c r="AI2438" t="s">
        <v>3537</v>
      </c>
      <c r="AJ2438" t="s">
        <v>1976</v>
      </c>
      <c r="AK2438" t="s">
        <v>2416</v>
      </c>
      <c r="AL2438" t="s">
        <v>272</v>
      </c>
    </row>
    <row r="2439" spans="1:38">
      <c r="A2439" t="s">
        <v>10349</v>
      </c>
      <c r="B2439" t="s">
        <v>10350</v>
      </c>
      <c r="C2439" t="s">
        <v>10351</v>
      </c>
      <c r="D2439" t="s">
        <v>10351</v>
      </c>
      <c r="E2439" t="s">
        <v>10352</v>
      </c>
      <c r="F2439" t="s">
        <v>2413</v>
      </c>
      <c r="G2439">
        <v>3</v>
      </c>
      <c r="H2439">
        <v>1</v>
      </c>
      <c r="I2439">
        <v>0.01</v>
      </c>
      <c r="J2439">
        <v>1000</v>
      </c>
      <c r="K2439">
        <v>0</v>
      </c>
      <c r="L2439">
        <v>0</v>
      </c>
      <c r="M2439">
        <v>76.3</v>
      </c>
      <c r="N2439">
        <v>0</v>
      </c>
      <c r="O2439">
        <v>76.3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76.709999999999994</v>
      </c>
      <c r="Y2439">
        <v>0</v>
      </c>
      <c r="Z2439">
        <v>0</v>
      </c>
      <c r="AA2439">
        <v>175389</v>
      </c>
      <c r="AB2439">
        <v>0</v>
      </c>
      <c r="AC2439">
        <v>0</v>
      </c>
      <c r="AD2439" t="s">
        <v>94</v>
      </c>
      <c r="AE2439" t="s">
        <v>94</v>
      </c>
      <c r="AF2439" t="s">
        <v>304</v>
      </c>
      <c r="AG2439" t="s">
        <v>226</v>
      </c>
      <c r="AH2439">
        <v>800</v>
      </c>
      <c r="AI2439" t="s">
        <v>3537</v>
      </c>
      <c r="AJ2439" t="s">
        <v>1976</v>
      </c>
      <c r="AK2439" t="s">
        <v>2416</v>
      </c>
      <c r="AL2439" t="s">
        <v>272</v>
      </c>
    </row>
    <row r="2440" spans="1:38">
      <c r="A2440" t="s">
        <v>10353</v>
      </c>
      <c r="B2440" t="s">
        <v>10354</v>
      </c>
      <c r="C2440" t="s">
        <v>10355</v>
      </c>
      <c r="D2440" t="s">
        <v>10355</v>
      </c>
      <c r="E2440" t="s">
        <v>10356</v>
      </c>
      <c r="F2440" t="s">
        <v>2413</v>
      </c>
      <c r="G2440">
        <v>3</v>
      </c>
      <c r="H2440">
        <v>1</v>
      </c>
      <c r="I2440">
        <v>0.01</v>
      </c>
      <c r="J2440">
        <v>1000</v>
      </c>
      <c r="K2440">
        <v>0</v>
      </c>
      <c r="L2440">
        <v>0</v>
      </c>
      <c r="M2440">
        <v>54.01</v>
      </c>
      <c r="N2440">
        <v>0</v>
      </c>
      <c r="O2440">
        <v>54.01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46.01</v>
      </c>
      <c r="Y2440">
        <v>56.01</v>
      </c>
      <c r="Z2440">
        <v>0</v>
      </c>
      <c r="AA2440">
        <v>591383</v>
      </c>
      <c r="AB2440">
        <v>0</v>
      </c>
      <c r="AC2440">
        <v>0</v>
      </c>
      <c r="AD2440" t="s">
        <v>94</v>
      </c>
      <c r="AE2440" t="s">
        <v>94</v>
      </c>
      <c r="AF2440" t="s">
        <v>304</v>
      </c>
      <c r="AG2440" t="s">
        <v>226</v>
      </c>
      <c r="AH2440">
        <v>800</v>
      </c>
      <c r="AI2440" t="s">
        <v>3537</v>
      </c>
      <c r="AJ2440" t="s">
        <v>1976</v>
      </c>
      <c r="AK2440" t="s">
        <v>2416</v>
      </c>
      <c r="AL2440" t="s">
        <v>272</v>
      </c>
    </row>
    <row r="2441" spans="1:38">
      <c r="A2441" t="s">
        <v>10357</v>
      </c>
      <c r="B2441" t="s">
        <v>10358</v>
      </c>
      <c r="C2441" t="s">
        <v>10359</v>
      </c>
      <c r="D2441" t="s">
        <v>10359</v>
      </c>
      <c r="E2441" t="s">
        <v>10360</v>
      </c>
      <c r="F2441" t="s">
        <v>2413</v>
      </c>
      <c r="G2441">
        <v>3</v>
      </c>
      <c r="H2441">
        <v>1</v>
      </c>
      <c r="I2441">
        <v>0.01</v>
      </c>
      <c r="J2441">
        <v>1000</v>
      </c>
      <c r="K2441">
        <v>0</v>
      </c>
      <c r="L2441">
        <v>0</v>
      </c>
      <c r="M2441">
        <v>66.8</v>
      </c>
      <c r="N2441">
        <v>70.53</v>
      </c>
      <c r="O2441">
        <v>66.8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66</v>
      </c>
      <c r="Y2441">
        <v>73.47</v>
      </c>
      <c r="Z2441">
        <v>0</v>
      </c>
      <c r="AA2441">
        <v>500393</v>
      </c>
      <c r="AB2441">
        <v>0</v>
      </c>
      <c r="AC2441">
        <v>0</v>
      </c>
      <c r="AD2441" t="s">
        <v>94</v>
      </c>
      <c r="AE2441" t="s">
        <v>94</v>
      </c>
      <c r="AF2441" t="s">
        <v>304</v>
      </c>
      <c r="AG2441" t="s">
        <v>226</v>
      </c>
      <c r="AH2441">
        <v>800</v>
      </c>
      <c r="AI2441" t="s">
        <v>3537</v>
      </c>
      <c r="AJ2441" t="s">
        <v>1976</v>
      </c>
      <c r="AK2441" t="s">
        <v>2416</v>
      </c>
      <c r="AL2441" t="s">
        <v>272</v>
      </c>
    </row>
    <row r="2442" spans="1:38">
      <c r="A2442" t="s">
        <v>10361</v>
      </c>
      <c r="B2442" t="s">
        <v>10362</v>
      </c>
      <c r="C2442" t="s">
        <v>10363</v>
      </c>
      <c r="D2442" t="s">
        <v>10363</v>
      </c>
      <c r="E2442" t="s">
        <v>10364</v>
      </c>
      <c r="F2442" t="s">
        <v>2413</v>
      </c>
      <c r="G2442">
        <v>3</v>
      </c>
      <c r="H2442">
        <v>1</v>
      </c>
      <c r="I2442">
        <v>0.01</v>
      </c>
      <c r="J2442">
        <v>1000</v>
      </c>
      <c r="K2442">
        <v>0</v>
      </c>
      <c r="L2442">
        <v>0</v>
      </c>
      <c r="M2442">
        <v>67.41</v>
      </c>
      <c r="N2442">
        <v>67.3</v>
      </c>
      <c r="O2442">
        <v>67.41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65.010000000000005</v>
      </c>
      <c r="Y2442">
        <v>74.010000000000005</v>
      </c>
      <c r="Z2442">
        <v>0</v>
      </c>
      <c r="AA2442">
        <v>626451</v>
      </c>
      <c r="AB2442">
        <v>0</v>
      </c>
      <c r="AC2442">
        <v>0</v>
      </c>
      <c r="AD2442" t="s">
        <v>94</v>
      </c>
      <c r="AE2442" t="s">
        <v>94</v>
      </c>
      <c r="AF2442" t="s">
        <v>304</v>
      </c>
      <c r="AG2442" t="s">
        <v>226</v>
      </c>
      <c r="AH2442">
        <v>800</v>
      </c>
      <c r="AI2442" t="s">
        <v>3537</v>
      </c>
      <c r="AJ2442" t="s">
        <v>1976</v>
      </c>
      <c r="AK2442" t="s">
        <v>2416</v>
      </c>
      <c r="AL2442" t="s">
        <v>272</v>
      </c>
    </row>
    <row r="2443" spans="1:38">
      <c r="A2443" t="s">
        <v>10365</v>
      </c>
      <c r="B2443" t="s">
        <v>10366</v>
      </c>
      <c r="C2443" t="s">
        <v>10367</v>
      </c>
      <c r="D2443" t="s">
        <v>10367</v>
      </c>
      <c r="E2443" t="s">
        <v>10368</v>
      </c>
      <c r="F2443" t="s">
        <v>2413</v>
      </c>
      <c r="G2443">
        <v>3</v>
      </c>
      <c r="H2443">
        <v>1</v>
      </c>
      <c r="I2443">
        <v>0.01</v>
      </c>
      <c r="J2443">
        <v>1000</v>
      </c>
      <c r="K2443">
        <v>0</v>
      </c>
      <c r="L2443">
        <v>0</v>
      </c>
      <c r="M2443">
        <v>70.290000000000006</v>
      </c>
      <c r="N2443">
        <v>0</v>
      </c>
      <c r="O2443">
        <v>70.290000000000006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67.010000000000005</v>
      </c>
      <c r="Y2443">
        <v>77.010000000000005</v>
      </c>
      <c r="Z2443">
        <v>0</v>
      </c>
      <c r="AA2443">
        <v>288417</v>
      </c>
      <c r="AB2443">
        <v>0</v>
      </c>
      <c r="AC2443">
        <v>0</v>
      </c>
      <c r="AD2443" t="s">
        <v>94</v>
      </c>
      <c r="AE2443" t="s">
        <v>94</v>
      </c>
      <c r="AF2443" t="s">
        <v>304</v>
      </c>
      <c r="AG2443" t="s">
        <v>226</v>
      </c>
      <c r="AH2443">
        <v>800</v>
      </c>
      <c r="AI2443" t="s">
        <v>3537</v>
      </c>
      <c r="AJ2443" t="s">
        <v>1976</v>
      </c>
      <c r="AK2443" t="s">
        <v>2416</v>
      </c>
      <c r="AL2443" t="s">
        <v>272</v>
      </c>
    </row>
    <row r="2444" spans="1:38">
      <c r="A2444" t="s">
        <v>10369</v>
      </c>
      <c r="B2444" t="s">
        <v>10370</v>
      </c>
      <c r="C2444" t="s">
        <v>10371</v>
      </c>
      <c r="D2444" t="s">
        <v>10371</v>
      </c>
      <c r="E2444" t="s">
        <v>10372</v>
      </c>
      <c r="F2444" t="s">
        <v>2413</v>
      </c>
      <c r="G2444">
        <v>3</v>
      </c>
      <c r="H2444">
        <v>1</v>
      </c>
      <c r="I2444">
        <v>0.01</v>
      </c>
      <c r="J2444">
        <v>1000</v>
      </c>
      <c r="K2444">
        <v>0</v>
      </c>
      <c r="L2444">
        <v>0</v>
      </c>
      <c r="M2444">
        <v>71</v>
      </c>
      <c r="N2444">
        <v>0</v>
      </c>
      <c r="O2444">
        <v>71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65.510000000000005</v>
      </c>
      <c r="Y2444">
        <v>74.010000000000005</v>
      </c>
      <c r="Z2444">
        <v>0</v>
      </c>
      <c r="AA2444">
        <v>368301</v>
      </c>
      <c r="AB2444">
        <v>0</v>
      </c>
      <c r="AC2444">
        <v>0</v>
      </c>
      <c r="AD2444" t="s">
        <v>94</v>
      </c>
      <c r="AE2444" t="s">
        <v>94</v>
      </c>
      <c r="AF2444" t="s">
        <v>304</v>
      </c>
      <c r="AG2444" t="s">
        <v>226</v>
      </c>
      <c r="AH2444">
        <v>800</v>
      </c>
      <c r="AI2444" t="s">
        <v>3537</v>
      </c>
      <c r="AJ2444" t="s">
        <v>1976</v>
      </c>
      <c r="AK2444" t="s">
        <v>2416</v>
      </c>
      <c r="AL2444" t="s">
        <v>272</v>
      </c>
    </row>
    <row r="2445" spans="1:38">
      <c r="A2445" t="s">
        <v>10373</v>
      </c>
      <c r="B2445" t="s">
        <v>10374</v>
      </c>
      <c r="C2445" t="s">
        <v>10375</v>
      </c>
      <c r="D2445" t="s">
        <v>10375</v>
      </c>
      <c r="E2445" t="s">
        <v>10376</v>
      </c>
      <c r="F2445" t="s">
        <v>2413</v>
      </c>
      <c r="G2445">
        <v>3</v>
      </c>
      <c r="H2445">
        <v>1</v>
      </c>
      <c r="I2445">
        <v>0.01</v>
      </c>
      <c r="J2445">
        <v>1000</v>
      </c>
      <c r="K2445">
        <v>0</v>
      </c>
      <c r="L2445">
        <v>0</v>
      </c>
      <c r="M2445">
        <v>89.3</v>
      </c>
      <c r="N2445">
        <v>88.83</v>
      </c>
      <c r="O2445">
        <v>89.3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88.81</v>
      </c>
      <c r="Y2445">
        <v>125.3</v>
      </c>
      <c r="Z2445">
        <v>0</v>
      </c>
      <c r="AA2445">
        <v>220479</v>
      </c>
      <c r="AB2445">
        <v>0</v>
      </c>
      <c r="AC2445">
        <v>0</v>
      </c>
      <c r="AD2445" t="s">
        <v>94</v>
      </c>
      <c r="AE2445" t="s">
        <v>94</v>
      </c>
      <c r="AF2445" t="s">
        <v>226</v>
      </c>
      <c r="AG2445" t="s">
        <v>226</v>
      </c>
      <c r="AH2445">
        <v>800</v>
      </c>
      <c r="AI2445" t="s">
        <v>3537</v>
      </c>
      <c r="AJ2445" t="s">
        <v>1976</v>
      </c>
      <c r="AK2445" t="s">
        <v>2416</v>
      </c>
      <c r="AL2445" t="s">
        <v>272</v>
      </c>
    </row>
    <row r="2446" spans="1:38">
      <c r="A2446" t="s">
        <v>10377</v>
      </c>
      <c r="B2446" t="s">
        <v>10378</v>
      </c>
      <c r="C2446" t="s">
        <v>10379</v>
      </c>
      <c r="D2446" t="s">
        <v>10379</v>
      </c>
      <c r="E2446" t="s">
        <v>10380</v>
      </c>
      <c r="F2446" t="s">
        <v>2413</v>
      </c>
      <c r="G2446">
        <v>3</v>
      </c>
      <c r="H2446">
        <v>1</v>
      </c>
      <c r="I2446">
        <v>0.01</v>
      </c>
      <c r="J2446">
        <v>1000</v>
      </c>
      <c r="K2446">
        <v>6.5</v>
      </c>
      <c r="L2446">
        <v>67.989999999999995</v>
      </c>
      <c r="M2446">
        <v>63.84</v>
      </c>
      <c r="N2446">
        <v>64.72</v>
      </c>
      <c r="O2446">
        <v>67.989999999999995</v>
      </c>
      <c r="P2446">
        <v>0</v>
      </c>
      <c r="Q2446">
        <v>0</v>
      </c>
      <c r="R2446">
        <v>0</v>
      </c>
      <c r="S2446">
        <v>67.989999999999995</v>
      </c>
      <c r="T2446">
        <v>67.989999999999995</v>
      </c>
      <c r="U2446">
        <v>67.989999999999995</v>
      </c>
      <c r="V2446">
        <v>67.989999999999995</v>
      </c>
      <c r="W2446">
        <v>680</v>
      </c>
      <c r="X2446">
        <v>64.010000000000005</v>
      </c>
      <c r="Y2446">
        <v>67.989999999999995</v>
      </c>
      <c r="Z2446">
        <v>1</v>
      </c>
      <c r="AA2446">
        <v>309198</v>
      </c>
      <c r="AB2446">
        <v>679.9</v>
      </c>
      <c r="AC2446">
        <v>0</v>
      </c>
      <c r="AD2446" t="s">
        <v>94</v>
      </c>
      <c r="AE2446" t="s">
        <v>94</v>
      </c>
      <c r="AF2446" t="s">
        <v>226</v>
      </c>
      <c r="AG2446" t="s">
        <v>226</v>
      </c>
      <c r="AH2446">
        <v>8</v>
      </c>
      <c r="AI2446" t="s">
        <v>3537</v>
      </c>
      <c r="AJ2446" t="s">
        <v>1976</v>
      </c>
      <c r="AK2446" t="s">
        <v>2416</v>
      </c>
      <c r="AL2446" t="s">
        <v>272</v>
      </c>
    </row>
    <row r="2447" spans="1:38">
      <c r="A2447" t="s">
        <v>10381</v>
      </c>
      <c r="B2447" t="s">
        <v>10382</v>
      </c>
      <c r="C2447" t="s">
        <v>10383</v>
      </c>
      <c r="D2447" t="s">
        <v>10383</v>
      </c>
      <c r="E2447" t="s">
        <v>10384</v>
      </c>
      <c r="F2447" t="s">
        <v>2413</v>
      </c>
      <c r="G2447">
        <v>3</v>
      </c>
      <c r="H2447">
        <v>1</v>
      </c>
      <c r="I2447">
        <v>0.01</v>
      </c>
      <c r="J2447">
        <v>1000</v>
      </c>
      <c r="K2447">
        <v>0</v>
      </c>
      <c r="L2447">
        <v>0</v>
      </c>
      <c r="M2447">
        <v>64</v>
      </c>
      <c r="N2447">
        <v>67.540000000000006</v>
      </c>
      <c r="O2447">
        <v>64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62.12</v>
      </c>
      <c r="Y2447">
        <v>71.510000000000005</v>
      </c>
      <c r="Z2447">
        <v>0</v>
      </c>
      <c r="AA2447">
        <v>2172621</v>
      </c>
      <c r="AB2447">
        <v>0</v>
      </c>
      <c r="AC2447">
        <v>0</v>
      </c>
      <c r="AD2447" t="s">
        <v>94</v>
      </c>
      <c r="AE2447" t="s">
        <v>94</v>
      </c>
      <c r="AF2447" t="s">
        <v>304</v>
      </c>
      <c r="AG2447" t="s">
        <v>226</v>
      </c>
      <c r="AH2447">
        <v>800</v>
      </c>
      <c r="AI2447" t="s">
        <v>3537</v>
      </c>
      <c r="AJ2447" t="s">
        <v>1976</v>
      </c>
      <c r="AK2447" t="s">
        <v>2416</v>
      </c>
      <c r="AL2447" t="s">
        <v>272</v>
      </c>
    </row>
    <row r="2448" spans="1:38">
      <c r="A2448" t="s">
        <v>10385</v>
      </c>
      <c r="B2448" t="s">
        <v>10386</v>
      </c>
      <c r="C2448" t="s">
        <v>10387</v>
      </c>
      <c r="D2448" t="s">
        <v>10387</v>
      </c>
      <c r="E2448" t="s">
        <v>10388</v>
      </c>
      <c r="F2448" t="s">
        <v>2413</v>
      </c>
      <c r="G2448">
        <v>3</v>
      </c>
      <c r="H2448">
        <v>1</v>
      </c>
      <c r="I2448">
        <v>0.01</v>
      </c>
      <c r="J2448">
        <v>1000</v>
      </c>
      <c r="K2448">
        <v>0</v>
      </c>
      <c r="L2448">
        <v>0</v>
      </c>
      <c r="M2448">
        <v>65.010000000000005</v>
      </c>
      <c r="N2448">
        <v>0</v>
      </c>
      <c r="O2448">
        <v>65.010000000000005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62.4</v>
      </c>
      <c r="Y2448">
        <v>70.010000000000005</v>
      </c>
      <c r="Z2448">
        <v>0</v>
      </c>
      <c r="AA2448">
        <v>293048</v>
      </c>
      <c r="AB2448">
        <v>0</v>
      </c>
      <c r="AC2448">
        <v>0</v>
      </c>
      <c r="AD2448" t="s">
        <v>94</v>
      </c>
      <c r="AE2448" t="s">
        <v>94</v>
      </c>
      <c r="AF2448" t="s">
        <v>304</v>
      </c>
      <c r="AG2448" t="s">
        <v>226</v>
      </c>
      <c r="AH2448">
        <v>800</v>
      </c>
      <c r="AI2448" t="s">
        <v>3537</v>
      </c>
      <c r="AJ2448" t="s">
        <v>1976</v>
      </c>
      <c r="AK2448" t="s">
        <v>2416</v>
      </c>
      <c r="AL2448" t="s">
        <v>272</v>
      </c>
    </row>
    <row r="2449" spans="1:38">
      <c r="A2449" t="s">
        <v>10389</v>
      </c>
      <c r="B2449" t="s">
        <v>10390</v>
      </c>
      <c r="C2449" t="s">
        <v>10391</v>
      </c>
      <c r="D2449" t="s">
        <v>10391</v>
      </c>
      <c r="E2449" t="s">
        <v>10392</v>
      </c>
      <c r="F2449" t="s">
        <v>2413</v>
      </c>
      <c r="G2449">
        <v>3</v>
      </c>
      <c r="H2449">
        <v>1</v>
      </c>
      <c r="I2449">
        <v>0.01</v>
      </c>
      <c r="J2449">
        <v>1000</v>
      </c>
      <c r="K2449">
        <v>0</v>
      </c>
      <c r="L2449">
        <v>0</v>
      </c>
      <c r="M2449">
        <v>69.010000000000005</v>
      </c>
      <c r="N2449">
        <v>65.14</v>
      </c>
      <c r="O2449">
        <v>69.010000000000005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64.010000000000005</v>
      </c>
      <c r="Y2449">
        <v>74.010000000000005</v>
      </c>
      <c r="Z2449">
        <v>0</v>
      </c>
      <c r="AA2449">
        <v>675892</v>
      </c>
      <c r="AB2449">
        <v>0</v>
      </c>
      <c r="AC2449">
        <v>0</v>
      </c>
      <c r="AD2449" t="s">
        <v>94</v>
      </c>
      <c r="AE2449" t="s">
        <v>94</v>
      </c>
      <c r="AF2449" t="s">
        <v>304</v>
      </c>
      <c r="AG2449" t="s">
        <v>226</v>
      </c>
      <c r="AH2449">
        <v>800</v>
      </c>
      <c r="AI2449" t="s">
        <v>3537</v>
      </c>
      <c r="AJ2449" t="s">
        <v>1976</v>
      </c>
      <c r="AK2449" t="s">
        <v>2416</v>
      </c>
      <c r="AL2449" t="s">
        <v>272</v>
      </c>
    </row>
    <row r="2450" spans="1:38">
      <c r="A2450" t="s">
        <v>10393</v>
      </c>
      <c r="B2450" t="s">
        <v>10394</v>
      </c>
      <c r="C2450" t="s">
        <v>10395</v>
      </c>
      <c r="D2450" t="s">
        <v>10395</v>
      </c>
      <c r="E2450" t="s">
        <v>10396</v>
      </c>
      <c r="F2450" t="s">
        <v>2413</v>
      </c>
      <c r="G2450">
        <v>3</v>
      </c>
      <c r="H2450">
        <v>1</v>
      </c>
      <c r="I2450">
        <v>0.01</v>
      </c>
      <c r="J2450">
        <v>1000</v>
      </c>
      <c r="K2450">
        <v>0</v>
      </c>
      <c r="L2450">
        <v>0</v>
      </c>
      <c r="M2450">
        <v>65.010000000000005</v>
      </c>
      <c r="N2450">
        <v>64.849999999999994</v>
      </c>
      <c r="O2450">
        <v>65.010000000000005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64.5</v>
      </c>
      <c r="Y2450">
        <v>70.010000000000005</v>
      </c>
      <c r="Z2450">
        <v>0</v>
      </c>
      <c r="AA2450">
        <v>574038</v>
      </c>
      <c r="AB2450">
        <v>0</v>
      </c>
      <c r="AC2450">
        <v>0</v>
      </c>
      <c r="AD2450" t="s">
        <v>94</v>
      </c>
      <c r="AE2450" t="s">
        <v>94</v>
      </c>
      <c r="AF2450" t="s">
        <v>304</v>
      </c>
      <c r="AG2450" t="s">
        <v>226</v>
      </c>
      <c r="AH2450">
        <v>800</v>
      </c>
      <c r="AI2450" t="s">
        <v>3537</v>
      </c>
      <c r="AJ2450" t="s">
        <v>1976</v>
      </c>
      <c r="AK2450" t="s">
        <v>2416</v>
      </c>
      <c r="AL2450" t="s">
        <v>272</v>
      </c>
    </row>
    <row r="2451" spans="1:38">
      <c r="A2451" t="s">
        <v>10397</v>
      </c>
      <c r="B2451" t="s">
        <v>10398</v>
      </c>
      <c r="C2451" t="s">
        <v>10399</v>
      </c>
      <c r="D2451" t="s">
        <v>10399</v>
      </c>
      <c r="E2451" t="s">
        <v>10400</v>
      </c>
      <c r="F2451" t="s">
        <v>2413</v>
      </c>
      <c r="G2451">
        <v>3</v>
      </c>
      <c r="H2451">
        <v>1</v>
      </c>
      <c r="I2451">
        <v>0.01</v>
      </c>
      <c r="J2451">
        <v>1000</v>
      </c>
      <c r="K2451">
        <v>0</v>
      </c>
      <c r="L2451">
        <v>0</v>
      </c>
      <c r="M2451">
        <v>128</v>
      </c>
      <c r="N2451">
        <v>104.76</v>
      </c>
      <c r="O2451">
        <v>128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258591</v>
      </c>
      <c r="AB2451">
        <v>0</v>
      </c>
      <c r="AC2451">
        <v>0</v>
      </c>
      <c r="AD2451" t="s">
        <v>94</v>
      </c>
      <c r="AE2451" t="s">
        <v>94</v>
      </c>
      <c r="AF2451" t="s">
        <v>304</v>
      </c>
      <c r="AG2451" t="s">
        <v>226</v>
      </c>
      <c r="AH2451">
        <v>800</v>
      </c>
      <c r="AI2451" t="s">
        <v>3537</v>
      </c>
      <c r="AJ2451" t="s">
        <v>1976</v>
      </c>
      <c r="AK2451" t="s">
        <v>2416</v>
      </c>
      <c r="AL2451" t="s">
        <v>1020</v>
      </c>
    </row>
    <row r="2452" spans="1:38">
      <c r="A2452" t="s">
        <v>10401</v>
      </c>
      <c r="B2452" t="s">
        <v>10402</v>
      </c>
      <c r="C2452" t="s">
        <v>10403</v>
      </c>
      <c r="D2452" t="s">
        <v>10403</v>
      </c>
      <c r="E2452" t="s">
        <v>10404</v>
      </c>
      <c r="F2452" t="s">
        <v>2413</v>
      </c>
      <c r="G2452">
        <v>3</v>
      </c>
      <c r="H2452">
        <v>1</v>
      </c>
      <c r="I2452">
        <v>0.01</v>
      </c>
      <c r="J2452">
        <v>1000</v>
      </c>
      <c r="K2452">
        <v>0</v>
      </c>
      <c r="L2452">
        <v>0</v>
      </c>
      <c r="M2452">
        <v>89.2</v>
      </c>
      <c r="N2452">
        <v>89.17</v>
      </c>
      <c r="O2452">
        <v>89.2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89.3</v>
      </c>
      <c r="Y2452">
        <v>0</v>
      </c>
      <c r="Z2452">
        <v>0</v>
      </c>
      <c r="AA2452">
        <v>273109</v>
      </c>
      <c r="AB2452">
        <v>0</v>
      </c>
      <c r="AC2452">
        <v>0</v>
      </c>
      <c r="AD2452" t="s">
        <v>94</v>
      </c>
      <c r="AE2452" t="s">
        <v>94</v>
      </c>
      <c r="AF2452" t="s">
        <v>226</v>
      </c>
      <c r="AG2452" t="s">
        <v>226</v>
      </c>
      <c r="AH2452">
        <v>800</v>
      </c>
      <c r="AI2452" t="s">
        <v>3537</v>
      </c>
      <c r="AJ2452" t="s">
        <v>1976</v>
      </c>
      <c r="AK2452" t="s">
        <v>2416</v>
      </c>
      <c r="AL2452" t="s">
        <v>272</v>
      </c>
    </row>
    <row r="2453" spans="1:38">
      <c r="A2453" t="s">
        <v>10405</v>
      </c>
      <c r="B2453" t="s">
        <v>10406</v>
      </c>
      <c r="C2453" t="s">
        <v>10407</v>
      </c>
      <c r="D2453" t="s">
        <v>10407</v>
      </c>
      <c r="E2453" t="s">
        <v>10408</v>
      </c>
      <c r="F2453" t="s">
        <v>2413</v>
      </c>
      <c r="G2453">
        <v>3</v>
      </c>
      <c r="H2453">
        <v>1</v>
      </c>
      <c r="I2453">
        <v>0.01</v>
      </c>
      <c r="J2453">
        <v>1000</v>
      </c>
      <c r="K2453">
        <v>-0.3</v>
      </c>
      <c r="L2453">
        <v>63.01</v>
      </c>
      <c r="M2453">
        <v>63.2</v>
      </c>
      <c r="N2453">
        <v>63.31</v>
      </c>
      <c r="O2453">
        <v>63.01</v>
      </c>
      <c r="P2453">
        <v>0</v>
      </c>
      <c r="Q2453">
        <v>0</v>
      </c>
      <c r="R2453">
        <v>0</v>
      </c>
      <c r="S2453">
        <v>63.01</v>
      </c>
      <c r="T2453">
        <v>63.01</v>
      </c>
      <c r="U2453">
        <v>63.01</v>
      </c>
      <c r="V2453">
        <v>63.01</v>
      </c>
      <c r="W2453">
        <v>63010</v>
      </c>
      <c r="X2453">
        <v>63.02</v>
      </c>
      <c r="Y2453">
        <v>72.010000000000005</v>
      </c>
      <c r="Z2453">
        <v>1</v>
      </c>
      <c r="AA2453">
        <v>315384</v>
      </c>
      <c r="AB2453">
        <v>63010</v>
      </c>
      <c r="AC2453">
        <v>0</v>
      </c>
      <c r="AD2453" t="s">
        <v>94</v>
      </c>
      <c r="AE2453" t="s">
        <v>94</v>
      </c>
      <c r="AF2453" t="s">
        <v>226</v>
      </c>
      <c r="AG2453" t="s">
        <v>226</v>
      </c>
      <c r="AH2453">
        <v>8</v>
      </c>
      <c r="AI2453" t="s">
        <v>3537</v>
      </c>
      <c r="AJ2453" t="s">
        <v>1976</v>
      </c>
      <c r="AK2453" t="s">
        <v>2416</v>
      </c>
      <c r="AL2453" t="s">
        <v>272</v>
      </c>
    </row>
    <row r="2454" spans="1:38">
      <c r="A2454" t="s">
        <v>10409</v>
      </c>
      <c r="B2454" t="s">
        <v>10410</v>
      </c>
      <c r="C2454" t="s">
        <v>10411</v>
      </c>
      <c r="D2454" t="s">
        <v>10411</v>
      </c>
      <c r="E2454" t="s">
        <v>10412</v>
      </c>
      <c r="F2454" t="s">
        <v>2413</v>
      </c>
      <c r="G2454">
        <v>3</v>
      </c>
      <c r="H2454">
        <v>1</v>
      </c>
      <c r="I2454">
        <v>0.01</v>
      </c>
      <c r="J2454">
        <v>1000</v>
      </c>
      <c r="K2454">
        <v>0</v>
      </c>
      <c r="L2454">
        <v>0</v>
      </c>
      <c r="M2454">
        <v>46.5</v>
      </c>
      <c r="N2454">
        <v>49.04</v>
      </c>
      <c r="O2454">
        <v>46.5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46.5</v>
      </c>
      <c r="Y2454">
        <v>52.01</v>
      </c>
      <c r="Z2454">
        <v>0</v>
      </c>
      <c r="AA2454">
        <v>612179</v>
      </c>
      <c r="AB2454">
        <v>0</v>
      </c>
      <c r="AC2454">
        <v>0</v>
      </c>
      <c r="AD2454" t="s">
        <v>94</v>
      </c>
      <c r="AE2454" t="s">
        <v>94</v>
      </c>
      <c r="AF2454" t="s">
        <v>304</v>
      </c>
      <c r="AG2454" t="s">
        <v>226</v>
      </c>
      <c r="AH2454">
        <v>800</v>
      </c>
      <c r="AI2454" t="s">
        <v>3537</v>
      </c>
      <c r="AJ2454" t="s">
        <v>1976</v>
      </c>
      <c r="AK2454" t="s">
        <v>2416</v>
      </c>
      <c r="AL2454" t="s">
        <v>272</v>
      </c>
    </row>
    <row r="2455" spans="1:38">
      <c r="A2455" t="s">
        <v>10413</v>
      </c>
      <c r="B2455" t="s">
        <v>10414</v>
      </c>
      <c r="C2455" t="s">
        <v>10415</v>
      </c>
      <c r="D2455" t="s">
        <v>10415</v>
      </c>
      <c r="E2455" t="s">
        <v>10416</v>
      </c>
      <c r="F2455" t="s">
        <v>2413</v>
      </c>
      <c r="G2455">
        <v>3</v>
      </c>
      <c r="H2455">
        <v>1</v>
      </c>
      <c r="I2455">
        <v>0.01</v>
      </c>
      <c r="J2455">
        <v>1000</v>
      </c>
      <c r="K2455">
        <v>0</v>
      </c>
      <c r="L2455">
        <v>0</v>
      </c>
      <c r="M2455">
        <v>66.5</v>
      </c>
      <c r="N2455">
        <v>61.56</v>
      </c>
      <c r="O2455">
        <v>66.5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63.11</v>
      </c>
      <c r="Y2455">
        <v>68.95</v>
      </c>
      <c r="Z2455">
        <v>0</v>
      </c>
      <c r="AA2455">
        <v>419058</v>
      </c>
      <c r="AB2455">
        <v>0</v>
      </c>
      <c r="AC2455">
        <v>0</v>
      </c>
      <c r="AD2455" t="s">
        <v>94</v>
      </c>
      <c r="AE2455" t="s">
        <v>94</v>
      </c>
      <c r="AF2455" t="s">
        <v>304</v>
      </c>
      <c r="AG2455" t="s">
        <v>226</v>
      </c>
      <c r="AH2455">
        <v>800</v>
      </c>
      <c r="AI2455" t="s">
        <v>3537</v>
      </c>
      <c r="AJ2455" t="s">
        <v>1976</v>
      </c>
      <c r="AK2455" t="s">
        <v>2416</v>
      </c>
      <c r="AL2455" t="s">
        <v>272</v>
      </c>
    </row>
    <row r="2456" spans="1:38">
      <c r="A2456" t="s">
        <v>10417</v>
      </c>
      <c r="B2456" t="s">
        <v>10418</v>
      </c>
      <c r="C2456" t="s">
        <v>10419</v>
      </c>
      <c r="D2456" t="s">
        <v>10419</v>
      </c>
      <c r="E2456" t="s">
        <v>10420</v>
      </c>
      <c r="F2456" t="s">
        <v>2413</v>
      </c>
      <c r="G2456">
        <v>3</v>
      </c>
      <c r="H2456">
        <v>1</v>
      </c>
      <c r="I2456">
        <v>0.01</v>
      </c>
      <c r="J2456">
        <v>1000</v>
      </c>
      <c r="K2456">
        <v>0</v>
      </c>
      <c r="L2456">
        <v>0</v>
      </c>
      <c r="M2456">
        <v>107</v>
      </c>
      <c r="N2456">
        <v>0</v>
      </c>
      <c r="O2456">
        <v>107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111.31</v>
      </c>
      <c r="Y2456">
        <v>0</v>
      </c>
      <c r="Z2456">
        <v>0</v>
      </c>
      <c r="AA2456">
        <v>67047</v>
      </c>
      <c r="AB2456">
        <v>0</v>
      </c>
      <c r="AC2456">
        <v>0</v>
      </c>
      <c r="AD2456" t="s">
        <v>94</v>
      </c>
      <c r="AE2456" t="s">
        <v>94</v>
      </c>
      <c r="AF2456" t="s">
        <v>304</v>
      </c>
      <c r="AG2456" t="s">
        <v>226</v>
      </c>
      <c r="AH2456">
        <v>800</v>
      </c>
      <c r="AI2456" t="s">
        <v>3537</v>
      </c>
      <c r="AJ2456" t="s">
        <v>1976</v>
      </c>
      <c r="AK2456" t="s">
        <v>2416</v>
      </c>
      <c r="AL2456" t="s">
        <v>272</v>
      </c>
    </row>
    <row r="2457" spans="1:38">
      <c r="A2457" t="s">
        <v>10421</v>
      </c>
      <c r="B2457" t="s">
        <v>10422</v>
      </c>
      <c r="C2457" t="s">
        <v>10423</v>
      </c>
      <c r="D2457" t="s">
        <v>10423</v>
      </c>
      <c r="E2457" t="s">
        <v>10424</v>
      </c>
      <c r="F2457" t="s">
        <v>2413</v>
      </c>
      <c r="G2457">
        <v>3</v>
      </c>
      <c r="H2457">
        <v>1</v>
      </c>
      <c r="I2457">
        <v>0.01</v>
      </c>
      <c r="J2457">
        <v>1000</v>
      </c>
      <c r="K2457">
        <v>0</v>
      </c>
      <c r="L2457">
        <v>93.2</v>
      </c>
      <c r="M2457">
        <v>93.2</v>
      </c>
      <c r="N2457">
        <v>92.62</v>
      </c>
      <c r="O2457">
        <v>93.2</v>
      </c>
      <c r="P2457">
        <v>0</v>
      </c>
      <c r="Q2457">
        <v>0</v>
      </c>
      <c r="R2457">
        <v>0</v>
      </c>
      <c r="S2457">
        <v>93.2</v>
      </c>
      <c r="T2457">
        <v>93.2</v>
      </c>
      <c r="U2457">
        <v>93.2</v>
      </c>
      <c r="V2457">
        <v>93.2</v>
      </c>
      <c r="W2457">
        <v>185468</v>
      </c>
      <c r="X2457">
        <v>93.1</v>
      </c>
      <c r="Y2457">
        <v>130.47999999999999</v>
      </c>
      <c r="Z2457">
        <v>1</v>
      </c>
      <c r="AA2457">
        <v>146380</v>
      </c>
      <c r="AB2457">
        <v>185468</v>
      </c>
      <c r="AC2457">
        <v>0</v>
      </c>
      <c r="AD2457" t="s">
        <v>94</v>
      </c>
      <c r="AE2457" t="s">
        <v>94</v>
      </c>
      <c r="AF2457" t="s">
        <v>226</v>
      </c>
      <c r="AG2457" t="s">
        <v>226</v>
      </c>
      <c r="AH2457">
        <v>800</v>
      </c>
      <c r="AI2457" t="s">
        <v>3537</v>
      </c>
      <c r="AJ2457" t="s">
        <v>1976</v>
      </c>
      <c r="AK2457" t="s">
        <v>2416</v>
      </c>
      <c r="AL2457" t="s">
        <v>272</v>
      </c>
    </row>
    <row r="2458" spans="1:38">
      <c r="A2458" t="s">
        <v>10425</v>
      </c>
      <c r="B2458" t="s">
        <v>10426</v>
      </c>
      <c r="C2458" t="s">
        <v>10427</v>
      </c>
      <c r="D2458" t="s">
        <v>10427</v>
      </c>
      <c r="E2458" t="s">
        <v>10428</v>
      </c>
      <c r="F2458" t="s">
        <v>2413</v>
      </c>
      <c r="G2458">
        <v>3</v>
      </c>
      <c r="H2458">
        <v>1</v>
      </c>
      <c r="I2458">
        <v>0.01</v>
      </c>
      <c r="J2458">
        <v>1000</v>
      </c>
      <c r="K2458">
        <v>0</v>
      </c>
      <c r="L2458">
        <v>0</v>
      </c>
      <c r="M2458">
        <v>73.010000000000005</v>
      </c>
      <c r="N2458">
        <v>68.53</v>
      </c>
      <c r="O2458">
        <v>73.010000000000005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68.010000000000005</v>
      </c>
      <c r="Y2458">
        <v>78.010000000000005</v>
      </c>
      <c r="Z2458">
        <v>0</v>
      </c>
      <c r="AA2458">
        <v>137211</v>
      </c>
      <c r="AB2458">
        <v>0</v>
      </c>
      <c r="AC2458">
        <v>0</v>
      </c>
      <c r="AD2458" t="s">
        <v>94</v>
      </c>
      <c r="AE2458" t="s">
        <v>94</v>
      </c>
      <c r="AF2458" t="s">
        <v>226</v>
      </c>
      <c r="AG2458" t="s">
        <v>226</v>
      </c>
      <c r="AH2458">
        <v>8</v>
      </c>
      <c r="AI2458" t="s">
        <v>3537</v>
      </c>
      <c r="AJ2458" t="s">
        <v>1976</v>
      </c>
      <c r="AK2458" t="s">
        <v>2416</v>
      </c>
      <c r="AL2458" t="s">
        <v>272</v>
      </c>
    </row>
    <row r="2459" spans="1:38">
      <c r="A2459" t="s">
        <v>10429</v>
      </c>
      <c r="B2459" t="s">
        <v>10430</v>
      </c>
      <c r="C2459" t="s">
        <v>10431</v>
      </c>
      <c r="D2459" t="s">
        <v>10431</v>
      </c>
      <c r="E2459" t="s">
        <v>10432</v>
      </c>
      <c r="F2459" t="s">
        <v>2413</v>
      </c>
      <c r="G2459">
        <v>3</v>
      </c>
      <c r="H2459">
        <v>1</v>
      </c>
      <c r="I2459">
        <v>0.01</v>
      </c>
      <c r="J2459">
        <v>1000</v>
      </c>
      <c r="K2459">
        <v>0</v>
      </c>
      <c r="L2459">
        <v>0</v>
      </c>
      <c r="M2459">
        <v>63.5</v>
      </c>
      <c r="N2459">
        <v>63.29</v>
      </c>
      <c r="O2459">
        <v>63.5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62.52</v>
      </c>
      <c r="Y2459">
        <v>63.5</v>
      </c>
      <c r="Z2459">
        <v>0</v>
      </c>
      <c r="AA2459">
        <v>295287</v>
      </c>
      <c r="AB2459">
        <v>0</v>
      </c>
      <c r="AC2459">
        <v>0</v>
      </c>
      <c r="AD2459" t="s">
        <v>94</v>
      </c>
      <c r="AE2459" t="s">
        <v>94</v>
      </c>
      <c r="AF2459" t="s">
        <v>226</v>
      </c>
      <c r="AG2459" t="s">
        <v>226</v>
      </c>
      <c r="AH2459">
        <v>8</v>
      </c>
      <c r="AI2459" t="s">
        <v>3537</v>
      </c>
      <c r="AJ2459" t="s">
        <v>1976</v>
      </c>
      <c r="AK2459" t="s">
        <v>2416</v>
      </c>
      <c r="AL2459" t="s">
        <v>272</v>
      </c>
    </row>
    <row r="2460" spans="1:38">
      <c r="A2460" t="s">
        <v>10433</v>
      </c>
      <c r="B2460" t="s">
        <v>10434</v>
      </c>
      <c r="C2460" t="s">
        <v>10435</v>
      </c>
      <c r="D2460" t="s">
        <v>10435</v>
      </c>
      <c r="E2460" t="s">
        <v>10436</v>
      </c>
      <c r="F2460" t="s">
        <v>2413</v>
      </c>
      <c r="G2460">
        <v>3</v>
      </c>
      <c r="H2460">
        <v>1</v>
      </c>
      <c r="I2460">
        <v>0.01</v>
      </c>
      <c r="J2460">
        <v>1000</v>
      </c>
      <c r="K2460">
        <v>0</v>
      </c>
      <c r="L2460">
        <v>0</v>
      </c>
      <c r="M2460">
        <v>65</v>
      </c>
      <c r="N2460">
        <v>63.39</v>
      </c>
      <c r="O2460">
        <v>65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64.5</v>
      </c>
      <c r="Y2460">
        <v>69.27</v>
      </c>
      <c r="Z2460">
        <v>0</v>
      </c>
      <c r="AA2460">
        <v>681514</v>
      </c>
      <c r="AB2460">
        <v>0</v>
      </c>
      <c r="AC2460">
        <v>0</v>
      </c>
      <c r="AD2460" t="s">
        <v>94</v>
      </c>
      <c r="AE2460" t="s">
        <v>94</v>
      </c>
      <c r="AF2460" t="s">
        <v>304</v>
      </c>
      <c r="AG2460" t="s">
        <v>226</v>
      </c>
      <c r="AH2460">
        <v>800</v>
      </c>
      <c r="AI2460" t="s">
        <v>3537</v>
      </c>
      <c r="AJ2460" t="s">
        <v>1976</v>
      </c>
      <c r="AK2460" t="s">
        <v>2416</v>
      </c>
      <c r="AL2460" t="s">
        <v>272</v>
      </c>
    </row>
    <row r="2461" spans="1:38">
      <c r="A2461" t="s">
        <v>10437</v>
      </c>
      <c r="B2461" t="s">
        <v>10438</v>
      </c>
      <c r="C2461" t="s">
        <v>10439</v>
      </c>
      <c r="D2461" t="s">
        <v>10439</v>
      </c>
      <c r="E2461" t="s">
        <v>10440</v>
      </c>
      <c r="F2461" t="s">
        <v>2413</v>
      </c>
      <c r="G2461">
        <v>3</v>
      </c>
      <c r="H2461">
        <v>1</v>
      </c>
      <c r="I2461">
        <v>0.01</v>
      </c>
      <c r="J2461">
        <v>1000</v>
      </c>
      <c r="K2461">
        <v>0</v>
      </c>
      <c r="L2461">
        <v>0</v>
      </c>
      <c r="M2461">
        <v>129.79</v>
      </c>
      <c r="N2461">
        <v>128.02000000000001</v>
      </c>
      <c r="O2461">
        <v>129.79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129.25</v>
      </c>
      <c r="Y2461">
        <v>181.71</v>
      </c>
      <c r="Z2461">
        <v>0</v>
      </c>
      <c r="AA2461">
        <v>392033</v>
      </c>
      <c r="AB2461">
        <v>0</v>
      </c>
      <c r="AC2461">
        <v>0</v>
      </c>
      <c r="AD2461" t="s">
        <v>94</v>
      </c>
      <c r="AE2461" t="s">
        <v>94</v>
      </c>
      <c r="AF2461" t="s">
        <v>226</v>
      </c>
      <c r="AG2461" t="s">
        <v>226</v>
      </c>
      <c r="AH2461">
        <v>800</v>
      </c>
      <c r="AI2461" t="s">
        <v>3537</v>
      </c>
      <c r="AJ2461" t="s">
        <v>1976</v>
      </c>
      <c r="AK2461" t="s">
        <v>2416</v>
      </c>
      <c r="AL2461" t="s">
        <v>272</v>
      </c>
    </row>
    <row r="2462" spans="1:38">
      <c r="A2462" t="s">
        <v>10441</v>
      </c>
      <c r="B2462" t="s">
        <v>10442</v>
      </c>
      <c r="C2462" t="s">
        <v>10443</v>
      </c>
      <c r="D2462" t="s">
        <v>10443</v>
      </c>
      <c r="E2462" t="s">
        <v>10444</v>
      </c>
      <c r="F2462" t="s">
        <v>2413</v>
      </c>
      <c r="G2462">
        <v>3</v>
      </c>
      <c r="H2462">
        <v>1</v>
      </c>
      <c r="I2462">
        <v>0.01</v>
      </c>
      <c r="J2462">
        <v>1000</v>
      </c>
      <c r="K2462">
        <v>0.48</v>
      </c>
      <c r="L2462">
        <v>62.4</v>
      </c>
      <c r="M2462">
        <v>62.11</v>
      </c>
      <c r="N2462">
        <v>62.4</v>
      </c>
      <c r="O2462">
        <v>62.4</v>
      </c>
      <c r="P2462">
        <v>0</v>
      </c>
      <c r="Q2462">
        <v>0</v>
      </c>
      <c r="R2462">
        <v>0</v>
      </c>
      <c r="S2462">
        <v>62.4</v>
      </c>
      <c r="T2462">
        <v>62.4</v>
      </c>
      <c r="U2462">
        <v>62.4</v>
      </c>
      <c r="V2462">
        <v>62.4</v>
      </c>
      <c r="W2462">
        <v>41808</v>
      </c>
      <c r="X2462">
        <v>62.42</v>
      </c>
      <c r="Y2462">
        <v>65</v>
      </c>
      <c r="Z2462">
        <v>1</v>
      </c>
      <c r="AA2462">
        <v>903570</v>
      </c>
      <c r="AB2462">
        <v>41808</v>
      </c>
      <c r="AC2462">
        <v>0</v>
      </c>
      <c r="AD2462" t="s">
        <v>94</v>
      </c>
      <c r="AE2462" t="s">
        <v>94</v>
      </c>
      <c r="AF2462" t="s">
        <v>226</v>
      </c>
      <c r="AG2462" t="s">
        <v>226</v>
      </c>
      <c r="AH2462">
        <v>8</v>
      </c>
      <c r="AI2462" t="s">
        <v>3537</v>
      </c>
      <c r="AJ2462" t="s">
        <v>1976</v>
      </c>
      <c r="AK2462" t="s">
        <v>2416</v>
      </c>
      <c r="AL2462" t="s">
        <v>272</v>
      </c>
    </row>
    <row r="2463" spans="1:38">
      <c r="A2463" t="s">
        <v>10445</v>
      </c>
      <c r="B2463" t="s">
        <v>10446</v>
      </c>
      <c r="C2463" t="s">
        <v>10447</v>
      </c>
      <c r="D2463" t="s">
        <v>10447</v>
      </c>
      <c r="E2463" t="s">
        <v>10448</v>
      </c>
      <c r="F2463" t="s">
        <v>2413</v>
      </c>
      <c r="G2463">
        <v>3</v>
      </c>
      <c r="H2463">
        <v>1</v>
      </c>
      <c r="I2463">
        <v>0.01</v>
      </c>
      <c r="J2463">
        <v>1000</v>
      </c>
      <c r="K2463">
        <v>-3.64</v>
      </c>
      <c r="L2463">
        <v>66.2</v>
      </c>
      <c r="M2463">
        <v>68.7</v>
      </c>
      <c r="N2463">
        <v>68.92</v>
      </c>
      <c r="O2463">
        <v>66.2</v>
      </c>
      <c r="P2463">
        <v>0</v>
      </c>
      <c r="Q2463">
        <v>0</v>
      </c>
      <c r="R2463">
        <v>0</v>
      </c>
      <c r="S2463">
        <v>66.2</v>
      </c>
      <c r="T2463">
        <v>67.010000000000005</v>
      </c>
      <c r="U2463">
        <v>66.2</v>
      </c>
      <c r="V2463">
        <v>67.010000000000005</v>
      </c>
      <c r="W2463">
        <v>264808</v>
      </c>
      <c r="X2463">
        <v>66.22</v>
      </c>
      <c r="Y2463">
        <v>72.010000000000005</v>
      </c>
      <c r="Z2463">
        <v>2</v>
      </c>
      <c r="AA2463">
        <v>246075</v>
      </c>
      <c r="AB2463">
        <v>264138</v>
      </c>
      <c r="AC2463">
        <v>0</v>
      </c>
      <c r="AD2463" t="s">
        <v>94</v>
      </c>
      <c r="AE2463" t="s">
        <v>94</v>
      </c>
      <c r="AF2463" t="s">
        <v>226</v>
      </c>
      <c r="AG2463" t="s">
        <v>226</v>
      </c>
      <c r="AH2463">
        <v>8</v>
      </c>
      <c r="AI2463" t="s">
        <v>3537</v>
      </c>
      <c r="AJ2463" t="s">
        <v>1976</v>
      </c>
      <c r="AK2463" t="s">
        <v>2416</v>
      </c>
      <c r="AL2463" t="s">
        <v>272</v>
      </c>
    </row>
    <row r="2464" spans="1:38">
      <c r="A2464" t="s">
        <v>10449</v>
      </c>
      <c r="B2464" t="s">
        <v>10450</v>
      </c>
      <c r="C2464" t="s">
        <v>10451</v>
      </c>
      <c r="D2464" t="s">
        <v>10451</v>
      </c>
      <c r="E2464" t="s">
        <v>10452</v>
      </c>
      <c r="F2464" t="s">
        <v>2413</v>
      </c>
      <c r="G2464">
        <v>3</v>
      </c>
      <c r="H2464">
        <v>1</v>
      </c>
      <c r="I2464">
        <v>0.01</v>
      </c>
      <c r="J2464">
        <v>1000</v>
      </c>
      <c r="K2464">
        <v>0</v>
      </c>
      <c r="L2464">
        <v>0</v>
      </c>
      <c r="M2464">
        <v>66.010000000000005</v>
      </c>
      <c r="N2464">
        <v>0</v>
      </c>
      <c r="O2464">
        <v>66.010000000000005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61.01</v>
      </c>
      <c r="Y2464">
        <v>71.010000000000005</v>
      </c>
      <c r="Z2464">
        <v>0</v>
      </c>
      <c r="AA2464">
        <v>268316</v>
      </c>
      <c r="AB2464">
        <v>0</v>
      </c>
      <c r="AC2464">
        <v>0</v>
      </c>
      <c r="AD2464" t="s">
        <v>94</v>
      </c>
      <c r="AE2464" t="s">
        <v>94</v>
      </c>
      <c r="AF2464" t="s">
        <v>304</v>
      </c>
      <c r="AG2464" t="s">
        <v>226</v>
      </c>
      <c r="AH2464">
        <v>800</v>
      </c>
      <c r="AI2464" t="s">
        <v>3537</v>
      </c>
      <c r="AJ2464" t="s">
        <v>1976</v>
      </c>
      <c r="AK2464" t="s">
        <v>2416</v>
      </c>
      <c r="AL2464" t="s">
        <v>272</v>
      </c>
    </row>
    <row r="2465" spans="1:38">
      <c r="A2465" t="s">
        <v>10453</v>
      </c>
      <c r="B2465" t="s">
        <v>10454</v>
      </c>
      <c r="C2465" t="s">
        <v>10455</v>
      </c>
      <c r="D2465" t="s">
        <v>10455</v>
      </c>
      <c r="E2465" t="s">
        <v>10456</v>
      </c>
      <c r="F2465" t="s">
        <v>2413</v>
      </c>
      <c r="G2465">
        <v>3</v>
      </c>
      <c r="H2465">
        <v>1</v>
      </c>
      <c r="I2465">
        <v>0.01</v>
      </c>
      <c r="J2465">
        <v>1000</v>
      </c>
      <c r="K2465">
        <v>0</v>
      </c>
      <c r="L2465">
        <v>0</v>
      </c>
      <c r="M2465">
        <v>45.8</v>
      </c>
      <c r="N2465">
        <v>0</v>
      </c>
      <c r="O2465">
        <v>45.8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45.31</v>
      </c>
      <c r="Y2465">
        <v>51.01</v>
      </c>
      <c r="Z2465">
        <v>0</v>
      </c>
      <c r="AA2465">
        <v>483857</v>
      </c>
      <c r="AB2465">
        <v>0</v>
      </c>
      <c r="AC2465">
        <v>0</v>
      </c>
      <c r="AD2465" t="s">
        <v>94</v>
      </c>
      <c r="AE2465" t="s">
        <v>94</v>
      </c>
      <c r="AF2465" t="s">
        <v>304</v>
      </c>
      <c r="AG2465" t="s">
        <v>226</v>
      </c>
      <c r="AH2465">
        <v>800</v>
      </c>
      <c r="AI2465" t="s">
        <v>3537</v>
      </c>
      <c r="AJ2465" t="s">
        <v>1976</v>
      </c>
      <c r="AK2465" t="s">
        <v>2416</v>
      </c>
      <c r="AL2465" t="s">
        <v>272</v>
      </c>
    </row>
    <row r="2466" spans="1:38">
      <c r="A2466" t="s">
        <v>10457</v>
      </c>
      <c r="B2466" t="s">
        <v>10458</v>
      </c>
      <c r="C2466" t="s">
        <v>10459</v>
      </c>
      <c r="D2466" t="s">
        <v>10459</v>
      </c>
      <c r="E2466" t="s">
        <v>10460</v>
      </c>
      <c r="F2466" t="s">
        <v>2413</v>
      </c>
      <c r="G2466">
        <v>3</v>
      </c>
      <c r="H2466">
        <v>1</v>
      </c>
      <c r="I2466">
        <v>0.01</v>
      </c>
      <c r="J2466">
        <v>1000</v>
      </c>
      <c r="K2466">
        <v>1.23</v>
      </c>
      <c r="L2466">
        <v>107.1</v>
      </c>
      <c r="M2466">
        <v>105.8</v>
      </c>
      <c r="N2466">
        <v>0</v>
      </c>
      <c r="O2466">
        <v>107.1</v>
      </c>
      <c r="P2466">
        <v>0</v>
      </c>
      <c r="Q2466">
        <v>0</v>
      </c>
      <c r="R2466">
        <v>0</v>
      </c>
      <c r="S2466">
        <v>107.1</v>
      </c>
      <c r="T2466">
        <v>107.1</v>
      </c>
      <c r="U2466">
        <v>107.1</v>
      </c>
      <c r="V2466">
        <v>107.1</v>
      </c>
      <c r="W2466">
        <v>535500</v>
      </c>
      <c r="X2466">
        <v>107.1</v>
      </c>
      <c r="Y2466">
        <v>0</v>
      </c>
      <c r="Z2466">
        <v>1</v>
      </c>
      <c r="AA2466">
        <v>138660</v>
      </c>
      <c r="AB2466">
        <v>535500</v>
      </c>
      <c r="AC2466">
        <v>0</v>
      </c>
      <c r="AD2466" t="s">
        <v>94</v>
      </c>
      <c r="AE2466" t="s">
        <v>94</v>
      </c>
      <c r="AF2466" t="s">
        <v>304</v>
      </c>
      <c r="AG2466" t="s">
        <v>226</v>
      </c>
      <c r="AH2466">
        <v>800</v>
      </c>
      <c r="AI2466" t="s">
        <v>3537</v>
      </c>
      <c r="AJ2466" t="s">
        <v>1976</v>
      </c>
      <c r="AK2466" t="s">
        <v>2416</v>
      </c>
      <c r="AL2466" t="s">
        <v>272</v>
      </c>
    </row>
    <row r="2467" spans="1:38">
      <c r="A2467" t="s">
        <v>10461</v>
      </c>
      <c r="B2467" t="s">
        <v>10462</v>
      </c>
      <c r="C2467" t="s">
        <v>10463</v>
      </c>
      <c r="D2467" t="s">
        <v>10463</v>
      </c>
      <c r="E2467" t="s">
        <v>10464</v>
      </c>
      <c r="F2467" t="s">
        <v>2413</v>
      </c>
      <c r="G2467">
        <v>3</v>
      </c>
      <c r="H2467">
        <v>1</v>
      </c>
      <c r="I2467">
        <v>0.01</v>
      </c>
      <c r="J2467">
        <v>1000</v>
      </c>
      <c r="K2467">
        <v>0</v>
      </c>
      <c r="L2467">
        <v>0</v>
      </c>
      <c r="M2467">
        <v>85.2</v>
      </c>
      <c r="N2467">
        <v>0</v>
      </c>
      <c r="O2467">
        <v>85.2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118.3</v>
      </c>
      <c r="Y2467">
        <v>0</v>
      </c>
      <c r="Z2467">
        <v>0</v>
      </c>
      <c r="AA2467">
        <v>19567</v>
      </c>
      <c r="AB2467">
        <v>0</v>
      </c>
      <c r="AC2467">
        <v>0</v>
      </c>
      <c r="AD2467" t="s">
        <v>94</v>
      </c>
      <c r="AE2467" t="s">
        <v>94</v>
      </c>
      <c r="AF2467" t="s">
        <v>304</v>
      </c>
      <c r="AG2467" t="s">
        <v>226</v>
      </c>
      <c r="AH2467">
        <v>800</v>
      </c>
      <c r="AI2467" t="s">
        <v>3537</v>
      </c>
      <c r="AJ2467" t="s">
        <v>1976</v>
      </c>
      <c r="AK2467" t="s">
        <v>2416</v>
      </c>
      <c r="AL2467" t="s">
        <v>272</v>
      </c>
    </row>
    <row r="2468" spans="1:38">
      <c r="A2468" t="s">
        <v>10465</v>
      </c>
      <c r="B2468" t="s">
        <v>10466</v>
      </c>
      <c r="C2468" t="s">
        <v>10467</v>
      </c>
      <c r="D2468" t="s">
        <v>10467</v>
      </c>
      <c r="E2468" t="s">
        <v>10468</v>
      </c>
      <c r="F2468" t="s">
        <v>2413</v>
      </c>
      <c r="G2468">
        <v>3</v>
      </c>
      <c r="H2468">
        <v>1</v>
      </c>
      <c r="I2468">
        <v>0.01</v>
      </c>
      <c r="J2468">
        <v>1000</v>
      </c>
      <c r="K2468">
        <v>0</v>
      </c>
      <c r="L2468">
        <v>0</v>
      </c>
      <c r="M2468">
        <v>88.61</v>
      </c>
      <c r="N2468">
        <v>89.22</v>
      </c>
      <c r="O2468">
        <v>88.61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90.01</v>
      </c>
      <c r="Y2468">
        <v>126</v>
      </c>
      <c r="Z2468">
        <v>0</v>
      </c>
      <c r="AA2468">
        <v>560233</v>
      </c>
      <c r="AB2468">
        <v>0</v>
      </c>
      <c r="AC2468">
        <v>0</v>
      </c>
      <c r="AD2468" t="s">
        <v>94</v>
      </c>
      <c r="AE2468" t="s">
        <v>94</v>
      </c>
      <c r="AF2468" t="s">
        <v>226</v>
      </c>
      <c r="AG2468" t="s">
        <v>226</v>
      </c>
      <c r="AH2468">
        <v>800</v>
      </c>
      <c r="AI2468" t="s">
        <v>3537</v>
      </c>
      <c r="AJ2468" t="s">
        <v>1976</v>
      </c>
      <c r="AK2468" t="s">
        <v>2416</v>
      </c>
      <c r="AL2468" t="s">
        <v>272</v>
      </c>
    </row>
    <row r="2469" spans="1:38">
      <c r="A2469" t="s">
        <v>10469</v>
      </c>
      <c r="B2469" t="s">
        <v>10470</v>
      </c>
      <c r="C2469" t="s">
        <v>10471</v>
      </c>
      <c r="D2469" t="s">
        <v>10471</v>
      </c>
      <c r="E2469" t="s">
        <v>10472</v>
      </c>
      <c r="F2469" t="s">
        <v>2413</v>
      </c>
      <c r="G2469">
        <v>3</v>
      </c>
      <c r="H2469">
        <v>1</v>
      </c>
      <c r="I2469">
        <v>0.01</v>
      </c>
      <c r="J2469">
        <v>1000</v>
      </c>
      <c r="K2469">
        <v>1.39</v>
      </c>
      <c r="L2469">
        <v>65.5</v>
      </c>
      <c r="M2469">
        <v>64.599999999999994</v>
      </c>
      <c r="N2469">
        <v>63.53</v>
      </c>
      <c r="O2469">
        <v>65.5</v>
      </c>
      <c r="P2469">
        <v>0</v>
      </c>
      <c r="Q2469">
        <v>0</v>
      </c>
      <c r="R2469">
        <v>0</v>
      </c>
      <c r="S2469">
        <v>65.5</v>
      </c>
      <c r="T2469">
        <v>65.5</v>
      </c>
      <c r="U2469">
        <v>65.5</v>
      </c>
      <c r="V2469">
        <v>65.5</v>
      </c>
      <c r="W2469">
        <v>655</v>
      </c>
      <c r="X2469">
        <v>62</v>
      </c>
      <c r="Y2469">
        <v>67</v>
      </c>
      <c r="Z2469">
        <v>1</v>
      </c>
      <c r="AA2469">
        <v>629284</v>
      </c>
      <c r="AB2469">
        <v>655</v>
      </c>
      <c r="AC2469">
        <v>0</v>
      </c>
      <c r="AD2469" t="s">
        <v>94</v>
      </c>
      <c r="AE2469" t="s">
        <v>94</v>
      </c>
      <c r="AF2469" t="s">
        <v>226</v>
      </c>
      <c r="AG2469" t="s">
        <v>226</v>
      </c>
      <c r="AH2469">
        <v>8</v>
      </c>
      <c r="AI2469" t="s">
        <v>3537</v>
      </c>
      <c r="AJ2469" t="s">
        <v>1976</v>
      </c>
      <c r="AK2469" t="s">
        <v>2416</v>
      </c>
      <c r="AL2469" t="s">
        <v>272</v>
      </c>
    </row>
    <row r="2470" spans="1:38">
      <c r="A2470" t="s">
        <v>10473</v>
      </c>
      <c r="B2470" t="s">
        <v>10474</v>
      </c>
      <c r="C2470" t="s">
        <v>10475</v>
      </c>
      <c r="D2470" t="s">
        <v>10475</v>
      </c>
      <c r="E2470" t="s">
        <v>10476</v>
      </c>
      <c r="F2470" t="s">
        <v>2413</v>
      </c>
      <c r="G2470">
        <v>3</v>
      </c>
      <c r="H2470">
        <v>1</v>
      </c>
      <c r="I2470">
        <v>0.01</v>
      </c>
      <c r="J2470">
        <v>1000</v>
      </c>
      <c r="K2470">
        <v>-0.16</v>
      </c>
      <c r="L2470">
        <v>61.3</v>
      </c>
      <c r="M2470">
        <v>61.41</v>
      </c>
      <c r="N2470">
        <v>63.63</v>
      </c>
      <c r="O2470">
        <v>61.31</v>
      </c>
      <c r="P2470">
        <v>0</v>
      </c>
      <c r="Q2470">
        <v>0</v>
      </c>
      <c r="R2470">
        <v>0</v>
      </c>
      <c r="S2470">
        <v>61.31</v>
      </c>
      <c r="T2470">
        <v>61.4</v>
      </c>
      <c r="U2470">
        <v>61.3</v>
      </c>
      <c r="V2470">
        <v>61.4</v>
      </c>
      <c r="W2470">
        <v>3065330</v>
      </c>
      <c r="X2470">
        <v>61.41</v>
      </c>
      <c r="Y2470">
        <v>69.260000000000005</v>
      </c>
      <c r="Z2470">
        <v>3</v>
      </c>
      <c r="AA2470">
        <v>490051</v>
      </c>
      <c r="AB2470">
        <v>2819800</v>
      </c>
      <c r="AC2470">
        <v>0</v>
      </c>
      <c r="AD2470" t="s">
        <v>94</v>
      </c>
      <c r="AE2470" t="s">
        <v>94</v>
      </c>
      <c r="AF2470" t="s">
        <v>304</v>
      </c>
      <c r="AG2470" t="s">
        <v>226</v>
      </c>
      <c r="AH2470">
        <v>800</v>
      </c>
      <c r="AI2470" t="s">
        <v>3537</v>
      </c>
      <c r="AJ2470" t="s">
        <v>1976</v>
      </c>
      <c r="AK2470" t="s">
        <v>2416</v>
      </c>
      <c r="AL2470" t="s">
        <v>272</v>
      </c>
    </row>
    <row r="2471" spans="1:38">
      <c r="A2471" t="s">
        <v>10477</v>
      </c>
      <c r="B2471" t="s">
        <v>10478</v>
      </c>
      <c r="C2471" t="s">
        <v>10479</v>
      </c>
      <c r="D2471" t="s">
        <v>10479</v>
      </c>
      <c r="E2471" t="s">
        <v>10480</v>
      </c>
      <c r="F2471" t="s">
        <v>2413</v>
      </c>
      <c r="G2471">
        <v>3</v>
      </c>
      <c r="H2471">
        <v>1</v>
      </c>
      <c r="I2471">
        <v>0.01</v>
      </c>
      <c r="J2471">
        <v>1000</v>
      </c>
      <c r="K2471">
        <v>0</v>
      </c>
      <c r="L2471">
        <v>0</v>
      </c>
      <c r="M2471">
        <v>69</v>
      </c>
      <c r="N2471">
        <v>0</v>
      </c>
      <c r="O2471">
        <v>69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72.099999999999994</v>
      </c>
      <c r="Y2471">
        <v>0</v>
      </c>
      <c r="Z2471">
        <v>0</v>
      </c>
      <c r="AA2471">
        <v>334754</v>
      </c>
      <c r="AB2471">
        <v>0</v>
      </c>
      <c r="AC2471">
        <v>0</v>
      </c>
      <c r="AD2471" t="s">
        <v>94</v>
      </c>
      <c r="AE2471" t="s">
        <v>94</v>
      </c>
      <c r="AF2471" t="s">
        <v>304</v>
      </c>
      <c r="AG2471" t="s">
        <v>226</v>
      </c>
      <c r="AH2471">
        <v>800</v>
      </c>
      <c r="AI2471" t="s">
        <v>3537</v>
      </c>
      <c r="AJ2471" t="s">
        <v>1976</v>
      </c>
      <c r="AK2471" t="s">
        <v>2416</v>
      </c>
      <c r="AL2471" t="s">
        <v>272</v>
      </c>
    </row>
    <row r="2472" spans="1:38">
      <c r="A2472" t="s">
        <v>10481</v>
      </c>
      <c r="B2472" t="s">
        <v>10482</v>
      </c>
      <c r="C2472" t="s">
        <v>10483</v>
      </c>
      <c r="D2472" t="s">
        <v>10483</v>
      </c>
      <c r="E2472" t="s">
        <v>10484</v>
      </c>
      <c r="F2472" t="s">
        <v>2413</v>
      </c>
      <c r="G2472">
        <v>3</v>
      </c>
      <c r="H2472">
        <v>1</v>
      </c>
      <c r="I2472">
        <v>0.01</v>
      </c>
      <c r="J2472">
        <v>1000</v>
      </c>
      <c r="K2472">
        <v>0</v>
      </c>
      <c r="L2472">
        <v>0</v>
      </c>
      <c r="M2472">
        <v>128.5</v>
      </c>
      <c r="N2472">
        <v>126.68</v>
      </c>
      <c r="O2472">
        <v>128.5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128.71</v>
      </c>
      <c r="Y2472">
        <v>180.46</v>
      </c>
      <c r="Z2472">
        <v>0</v>
      </c>
      <c r="AA2472">
        <v>237216</v>
      </c>
      <c r="AB2472">
        <v>0</v>
      </c>
      <c r="AC2472">
        <v>0</v>
      </c>
      <c r="AD2472" t="s">
        <v>94</v>
      </c>
      <c r="AE2472" t="s">
        <v>94</v>
      </c>
      <c r="AF2472" t="s">
        <v>226</v>
      </c>
      <c r="AG2472" t="s">
        <v>226</v>
      </c>
      <c r="AH2472">
        <v>800</v>
      </c>
      <c r="AI2472" t="s">
        <v>3537</v>
      </c>
      <c r="AJ2472" t="s">
        <v>1976</v>
      </c>
      <c r="AK2472" t="s">
        <v>2416</v>
      </c>
      <c r="AL2472" t="s">
        <v>272</v>
      </c>
    </row>
    <row r="2473" spans="1:38">
      <c r="A2473" t="s">
        <v>10485</v>
      </c>
      <c r="B2473" t="s">
        <v>10486</v>
      </c>
      <c r="C2473" t="s">
        <v>10487</v>
      </c>
      <c r="D2473" t="s">
        <v>10487</v>
      </c>
      <c r="E2473" t="s">
        <v>10488</v>
      </c>
      <c r="F2473" t="s">
        <v>2413</v>
      </c>
      <c r="G2473">
        <v>3</v>
      </c>
      <c r="H2473">
        <v>1</v>
      </c>
      <c r="I2473">
        <v>0.01</v>
      </c>
      <c r="J2473">
        <v>1000</v>
      </c>
      <c r="K2473">
        <v>0</v>
      </c>
      <c r="L2473">
        <v>0</v>
      </c>
      <c r="M2473">
        <v>62.51</v>
      </c>
      <c r="N2473">
        <v>63.82</v>
      </c>
      <c r="O2473">
        <v>62.51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61.11</v>
      </c>
      <c r="Y2473">
        <v>68.819999999999993</v>
      </c>
      <c r="Z2473">
        <v>0</v>
      </c>
      <c r="AA2473">
        <v>390602</v>
      </c>
      <c r="AB2473">
        <v>0</v>
      </c>
      <c r="AC2473">
        <v>0</v>
      </c>
      <c r="AD2473" t="s">
        <v>94</v>
      </c>
      <c r="AE2473" t="s">
        <v>94</v>
      </c>
      <c r="AF2473" t="s">
        <v>226</v>
      </c>
      <c r="AG2473" t="s">
        <v>226</v>
      </c>
      <c r="AH2473">
        <v>8</v>
      </c>
      <c r="AI2473" t="s">
        <v>3537</v>
      </c>
      <c r="AJ2473" t="s">
        <v>1976</v>
      </c>
      <c r="AK2473" t="s">
        <v>2416</v>
      </c>
      <c r="AL2473" t="s">
        <v>272</v>
      </c>
    </row>
    <row r="2474" spans="1:38">
      <c r="A2474" t="s">
        <v>10489</v>
      </c>
      <c r="B2474" t="s">
        <v>10490</v>
      </c>
      <c r="C2474" t="s">
        <v>10491</v>
      </c>
      <c r="D2474" t="s">
        <v>10491</v>
      </c>
      <c r="E2474" t="s">
        <v>10492</v>
      </c>
      <c r="F2474" t="s">
        <v>2413</v>
      </c>
      <c r="G2474">
        <v>3</v>
      </c>
      <c r="H2474">
        <v>1</v>
      </c>
      <c r="I2474">
        <v>0.01</v>
      </c>
      <c r="J2474">
        <v>1000</v>
      </c>
      <c r="K2474">
        <v>0</v>
      </c>
      <c r="L2474">
        <v>0</v>
      </c>
      <c r="M2474">
        <v>87.5</v>
      </c>
      <c r="N2474">
        <v>0</v>
      </c>
      <c r="O2474">
        <v>87.5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85.7</v>
      </c>
      <c r="Y2474">
        <v>0</v>
      </c>
      <c r="Z2474">
        <v>0</v>
      </c>
      <c r="AA2474">
        <v>35276</v>
      </c>
      <c r="AB2474">
        <v>0</v>
      </c>
      <c r="AC2474">
        <v>0</v>
      </c>
      <c r="AD2474" t="s">
        <v>94</v>
      </c>
      <c r="AE2474" t="s">
        <v>94</v>
      </c>
      <c r="AF2474" t="s">
        <v>304</v>
      </c>
      <c r="AG2474" t="s">
        <v>226</v>
      </c>
      <c r="AH2474">
        <v>800</v>
      </c>
      <c r="AI2474" t="s">
        <v>3537</v>
      </c>
      <c r="AJ2474" t="s">
        <v>1976</v>
      </c>
      <c r="AK2474" t="s">
        <v>2416</v>
      </c>
      <c r="AL2474" t="s">
        <v>272</v>
      </c>
    </row>
    <row r="2475" spans="1:38">
      <c r="A2475" t="s">
        <v>10493</v>
      </c>
      <c r="B2475" t="s">
        <v>10494</v>
      </c>
      <c r="C2475" t="s">
        <v>10495</v>
      </c>
      <c r="D2475" t="s">
        <v>10495</v>
      </c>
      <c r="E2475" t="s">
        <v>10496</v>
      </c>
      <c r="F2475" t="s">
        <v>2413</v>
      </c>
      <c r="G2475">
        <v>3</v>
      </c>
      <c r="H2475">
        <v>1</v>
      </c>
      <c r="I2475">
        <v>0.01</v>
      </c>
      <c r="J2475">
        <v>1000</v>
      </c>
      <c r="K2475">
        <v>0</v>
      </c>
      <c r="L2475">
        <v>0</v>
      </c>
      <c r="M2475">
        <v>98.4</v>
      </c>
      <c r="N2475">
        <v>0</v>
      </c>
      <c r="O2475">
        <v>98.4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104.3</v>
      </c>
      <c r="Y2475">
        <v>0</v>
      </c>
      <c r="Z2475">
        <v>0</v>
      </c>
      <c r="AA2475">
        <v>115961</v>
      </c>
      <c r="AB2475">
        <v>0</v>
      </c>
      <c r="AC2475">
        <v>0</v>
      </c>
      <c r="AD2475" t="s">
        <v>94</v>
      </c>
      <c r="AE2475" t="s">
        <v>94</v>
      </c>
      <c r="AF2475" t="s">
        <v>304</v>
      </c>
      <c r="AG2475" t="s">
        <v>226</v>
      </c>
      <c r="AH2475">
        <v>800</v>
      </c>
      <c r="AI2475" t="s">
        <v>3537</v>
      </c>
      <c r="AJ2475" t="s">
        <v>1976</v>
      </c>
      <c r="AK2475" t="s">
        <v>2416</v>
      </c>
      <c r="AL2475" t="s">
        <v>272</v>
      </c>
    </row>
    <row r="2476" spans="1:38">
      <c r="A2476" t="s">
        <v>10497</v>
      </c>
      <c r="B2476" t="s">
        <v>10498</v>
      </c>
      <c r="C2476" t="s">
        <v>10499</v>
      </c>
      <c r="D2476" t="s">
        <v>10499</v>
      </c>
      <c r="E2476" t="s">
        <v>10500</v>
      </c>
      <c r="F2476" t="s">
        <v>2413</v>
      </c>
      <c r="G2476">
        <v>3</v>
      </c>
      <c r="H2476">
        <v>1</v>
      </c>
      <c r="I2476">
        <v>0.01</v>
      </c>
      <c r="J2476">
        <v>1000</v>
      </c>
      <c r="K2476">
        <v>0</v>
      </c>
      <c r="L2476">
        <v>0</v>
      </c>
      <c r="M2476">
        <v>95.3</v>
      </c>
      <c r="N2476">
        <v>0</v>
      </c>
      <c r="O2476">
        <v>95.3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102.4</v>
      </c>
      <c r="Y2476">
        <v>0</v>
      </c>
      <c r="Z2476">
        <v>0</v>
      </c>
      <c r="AA2476">
        <v>59797</v>
      </c>
      <c r="AB2476">
        <v>0</v>
      </c>
      <c r="AC2476">
        <v>0</v>
      </c>
      <c r="AD2476" t="s">
        <v>94</v>
      </c>
      <c r="AE2476" t="s">
        <v>94</v>
      </c>
      <c r="AF2476" t="s">
        <v>304</v>
      </c>
      <c r="AG2476" t="s">
        <v>226</v>
      </c>
      <c r="AH2476">
        <v>800</v>
      </c>
      <c r="AI2476" t="s">
        <v>3537</v>
      </c>
      <c r="AJ2476" t="s">
        <v>1976</v>
      </c>
      <c r="AK2476" t="s">
        <v>2416</v>
      </c>
      <c r="AL2476" t="s">
        <v>272</v>
      </c>
    </row>
    <row r="2477" spans="1:38">
      <c r="A2477" t="s">
        <v>10501</v>
      </c>
      <c r="B2477" t="s">
        <v>10502</v>
      </c>
      <c r="C2477" t="s">
        <v>10503</v>
      </c>
      <c r="D2477" t="s">
        <v>10503</v>
      </c>
      <c r="E2477" t="s">
        <v>10504</v>
      </c>
      <c r="F2477" t="s">
        <v>2413</v>
      </c>
      <c r="G2477">
        <v>3</v>
      </c>
      <c r="H2477">
        <v>1</v>
      </c>
      <c r="I2477">
        <v>0.01</v>
      </c>
      <c r="J2477">
        <v>1000</v>
      </c>
      <c r="K2477">
        <v>0</v>
      </c>
      <c r="L2477">
        <v>0</v>
      </c>
      <c r="M2477">
        <v>79.989999999999995</v>
      </c>
      <c r="N2477">
        <v>79.97</v>
      </c>
      <c r="O2477">
        <v>79.989999999999995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74.989999999999995</v>
      </c>
      <c r="Y2477">
        <v>82.19</v>
      </c>
      <c r="Z2477">
        <v>0</v>
      </c>
      <c r="AA2477">
        <v>211528</v>
      </c>
      <c r="AB2477">
        <v>0</v>
      </c>
      <c r="AC2477">
        <v>0</v>
      </c>
      <c r="AD2477" t="s">
        <v>94</v>
      </c>
      <c r="AE2477" t="s">
        <v>94</v>
      </c>
      <c r="AF2477" t="s">
        <v>226</v>
      </c>
      <c r="AG2477" t="s">
        <v>226</v>
      </c>
      <c r="AH2477">
        <v>8</v>
      </c>
      <c r="AI2477" t="s">
        <v>3537</v>
      </c>
      <c r="AJ2477" t="s">
        <v>1976</v>
      </c>
      <c r="AK2477" t="s">
        <v>2416</v>
      </c>
      <c r="AL2477" t="s">
        <v>272</v>
      </c>
    </row>
    <row r="2478" spans="1:38">
      <c r="A2478" t="s">
        <v>10505</v>
      </c>
      <c r="B2478" t="s">
        <v>10506</v>
      </c>
      <c r="C2478" t="s">
        <v>10507</v>
      </c>
      <c r="D2478" t="s">
        <v>10507</v>
      </c>
      <c r="E2478" t="s">
        <v>10508</v>
      </c>
      <c r="F2478" t="s">
        <v>2413</v>
      </c>
      <c r="G2478">
        <v>3</v>
      </c>
      <c r="H2478">
        <v>1</v>
      </c>
      <c r="I2478">
        <v>0.01</v>
      </c>
      <c r="J2478">
        <v>1000</v>
      </c>
      <c r="K2478">
        <v>0</v>
      </c>
      <c r="L2478">
        <v>0</v>
      </c>
      <c r="M2478">
        <v>75.56</v>
      </c>
      <c r="N2478">
        <v>70.16</v>
      </c>
      <c r="O2478">
        <v>75.56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75.599999999999994</v>
      </c>
      <c r="Y2478">
        <v>80.56</v>
      </c>
      <c r="Z2478">
        <v>0</v>
      </c>
      <c r="AA2478">
        <v>255422</v>
      </c>
      <c r="AB2478">
        <v>0</v>
      </c>
      <c r="AC2478">
        <v>0</v>
      </c>
      <c r="AD2478" t="s">
        <v>94</v>
      </c>
      <c r="AE2478" t="s">
        <v>94</v>
      </c>
      <c r="AF2478" t="s">
        <v>304</v>
      </c>
      <c r="AG2478" t="s">
        <v>226</v>
      </c>
      <c r="AH2478">
        <v>800</v>
      </c>
      <c r="AI2478" t="s">
        <v>3537</v>
      </c>
      <c r="AJ2478" t="s">
        <v>1976</v>
      </c>
      <c r="AK2478" t="s">
        <v>2416</v>
      </c>
      <c r="AL2478" t="s">
        <v>272</v>
      </c>
    </row>
    <row r="2479" spans="1:38">
      <c r="A2479" t="s">
        <v>10509</v>
      </c>
      <c r="B2479" t="s">
        <v>10510</v>
      </c>
      <c r="C2479" t="s">
        <v>10511</v>
      </c>
      <c r="D2479" t="s">
        <v>10511</v>
      </c>
      <c r="E2479" t="s">
        <v>10512</v>
      </c>
      <c r="F2479" t="s">
        <v>2413</v>
      </c>
      <c r="G2479">
        <v>3</v>
      </c>
      <c r="H2479">
        <v>1</v>
      </c>
      <c r="I2479">
        <v>0.01</v>
      </c>
      <c r="J2479">
        <v>1000</v>
      </c>
      <c r="K2479">
        <v>-9.9499999999999993</v>
      </c>
      <c r="L2479">
        <v>78.349999999999994</v>
      </c>
      <c r="M2479">
        <v>87.01</v>
      </c>
      <c r="N2479">
        <v>88.53</v>
      </c>
      <c r="O2479">
        <v>78.349999999999994</v>
      </c>
      <c r="P2479">
        <v>0</v>
      </c>
      <c r="Q2479">
        <v>0</v>
      </c>
      <c r="R2479">
        <v>0</v>
      </c>
      <c r="S2479">
        <v>78.349999999999994</v>
      </c>
      <c r="T2479">
        <v>82.01</v>
      </c>
      <c r="U2479">
        <v>78.31</v>
      </c>
      <c r="V2479">
        <v>82.01</v>
      </c>
      <c r="W2479">
        <v>155130</v>
      </c>
      <c r="X2479">
        <v>78.31</v>
      </c>
      <c r="Y2479">
        <v>87.01</v>
      </c>
      <c r="Z2479">
        <v>5</v>
      </c>
      <c r="AA2479">
        <v>406466</v>
      </c>
      <c r="AB2479">
        <v>783.5</v>
      </c>
      <c r="AC2479">
        <v>0</v>
      </c>
      <c r="AD2479" t="s">
        <v>94</v>
      </c>
      <c r="AE2479" t="s">
        <v>94</v>
      </c>
      <c r="AF2479" t="s">
        <v>226</v>
      </c>
      <c r="AG2479" t="s">
        <v>226</v>
      </c>
      <c r="AH2479">
        <v>8</v>
      </c>
      <c r="AI2479" t="s">
        <v>3537</v>
      </c>
      <c r="AJ2479" t="s">
        <v>1976</v>
      </c>
      <c r="AK2479" t="s">
        <v>2416</v>
      </c>
      <c r="AL2479" t="s">
        <v>272</v>
      </c>
    </row>
    <row r="2480" spans="1:38">
      <c r="A2480" t="s">
        <v>10513</v>
      </c>
      <c r="B2480" t="s">
        <v>10514</v>
      </c>
      <c r="C2480" t="s">
        <v>10515</v>
      </c>
      <c r="D2480" t="s">
        <v>10515</v>
      </c>
      <c r="E2480" t="s">
        <v>10516</v>
      </c>
      <c r="F2480" t="s">
        <v>2413</v>
      </c>
      <c r="G2480">
        <v>3</v>
      </c>
      <c r="H2480">
        <v>1</v>
      </c>
      <c r="I2480">
        <v>0.01</v>
      </c>
      <c r="J2480">
        <v>1000</v>
      </c>
      <c r="K2480">
        <v>0</v>
      </c>
      <c r="L2480">
        <v>0</v>
      </c>
      <c r="M2480">
        <v>57.01</v>
      </c>
      <c r="N2480">
        <v>58.5</v>
      </c>
      <c r="O2480">
        <v>57.01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52.01</v>
      </c>
      <c r="Y2480">
        <v>62.01</v>
      </c>
      <c r="Z2480">
        <v>0</v>
      </c>
      <c r="AA2480">
        <v>330919</v>
      </c>
      <c r="AB2480">
        <v>0</v>
      </c>
      <c r="AC2480">
        <v>0</v>
      </c>
      <c r="AD2480" t="s">
        <v>94</v>
      </c>
      <c r="AE2480" t="s">
        <v>94</v>
      </c>
      <c r="AF2480" t="s">
        <v>304</v>
      </c>
      <c r="AG2480" t="s">
        <v>226</v>
      </c>
      <c r="AH2480">
        <v>800</v>
      </c>
      <c r="AI2480" t="s">
        <v>3537</v>
      </c>
      <c r="AJ2480" t="s">
        <v>1976</v>
      </c>
      <c r="AK2480" t="s">
        <v>2416</v>
      </c>
      <c r="AL2480" t="s">
        <v>272</v>
      </c>
    </row>
    <row r="2481" spans="1:38">
      <c r="A2481" t="s">
        <v>10517</v>
      </c>
      <c r="B2481" t="s">
        <v>10518</v>
      </c>
      <c r="C2481" t="s">
        <v>10519</v>
      </c>
      <c r="D2481" t="s">
        <v>10519</v>
      </c>
      <c r="E2481" t="s">
        <v>10520</v>
      </c>
      <c r="F2481" t="s">
        <v>2413</v>
      </c>
      <c r="G2481">
        <v>3</v>
      </c>
      <c r="H2481">
        <v>1</v>
      </c>
      <c r="I2481">
        <v>0.01</v>
      </c>
      <c r="J2481">
        <v>1000</v>
      </c>
      <c r="K2481">
        <v>0</v>
      </c>
      <c r="L2481">
        <v>0</v>
      </c>
      <c r="M2481">
        <v>101</v>
      </c>
      <c r="N2481">
        <v>101.74</v>
      </c>
      <c r="O2481">
        <v>101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102.61</v>
      </c>
      <c r="Y2481">
        <v>143.91</v>
      </c>
      <c r="Z2481">
        <v>0</v>
      </c>
      <c r="AA2481">
        <v>153261</v>
      </c>
      <c r="AB2481">
        <v>0</v>
      </c>
      <c r="AC2481">
        <v>0</v>
      </c>
      <c r="AD2481" t="s">
        <v>94</v>
      </c>
      <c r="AE2481" t="s">
        <v>94</v>
      </c>
      <c r="AF2481" t="s">
        <v>226</v>
      </c>
      <c r="AG2481" t="s">
        <v>226</v>
      </c>
      <c r="AH2481">
        <v>800</v>
      </c>
      <c r="AI2481" t="s">
        <v>3537</v>
      </c>
      <c r="AJ2481" t="s">
        <v>1976</v>
      </c>
      <c r="AK2481" t="s">
        <v>2416</v>
      </c>
      <c r="AL2481" t="s">
        <v>272</v>
      </c>
    </row>
    <row r="2482" spans="1:38">
      <c r="A2482" t="s">
        <v>10521</v>
      </c>
      <c r="B2482" t="s">
        <v>10522</v>
      </c>
      <c r="C2482" t="s">
        <v>10523</v>
      </c>
      <c r="D2482" t="s">
        <v>10523</v>
      </c>
      <c r="E2482" t="s">
        <v>10524</v>
      </c>
      <c r="F2482" t="s">
        <v>2413</v>
      </c>
      <c r="G2482">
        <v>3</v>
      </c>
      <c r="H2482">
        <v>1</v>
      </c>
      <c r="I2482">
        <v>0.01</v>
      </c>
      <c r="J2482">
        <v>1000</v>
      </c>
      <c r="K2482">
        <v>0</v>
      </c>
      <c r="L2482">
        <v>0</v>
      </c>
      <c r="M2482">
        <v>95.8</v>
      </c>
      <c r="N2482">
        <v>0</v>
      </c>
      <c r="O2482">
        <v>95.8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96.8</v>
      </c>
      <c r="Y2482">
        <v>0</v>
      </c>
      <c r="Z2482">
        <v>0</v>
      </c>
      <c r="AA2482">
        <v>164189</v>
      </c>
      <c r="AB2482">
        <v>0</v>
      </c>
      <c r="AC2482">
        <v>0</v>
      </c>
      <c r="AD2482" t="s">
        <v>94</v>
      </c>
      <c r="AE2482" t="s">
        <v>94</v>
      </c>
      <c r="AF2482" t="s">
        <v>304</v>
      </c>
      <c r="AG2482" t="s">
        <v>226</v>
      </c>
      <c r="AH2482">
        <v>800</v>
      </c>
      <c r="AI2482" t="s">
        <v>3537</v>
      </c>
      <c r="AJ2482" t="s">
        <v>1976</v>
      </c>
      <c r="AK2482" t="s">
        <v>2416</v>
      </c>
      <c r="AL2482" t="s">
        <v>272</v>
      </c>
    </row>
    <row r="2483" spans="1:38">
      <c r="A2483" t="s">
        <v>10525</v>
      </c>
      <c r="B2483" t="s">
        <v>10526</v>
      </c>
      <c r="C2483" t="s">
        <v>10527</v>
      </c>
      <c r="D2483" t="s">
        <v>10527</v>
      </c>
      <c r="E2483" t="s">
        <v>10528</v>
      </c>
      <c r="F2483" t="s">
        <v>2413</v>
      </c>
      <c r="G2483">
        <v>3</v>
      </c>
      <c r="H2483">
        <v>1</v>
      </c>
      <c r="I2483">
        <v>0.01</v>
      </c>
      <c r="J2483">
        <v>1000</v>
      </c>
      <c r="K2483">
        <v>-2.52</v>
      </c>
      <c r="L2483">
        <v>75.45</v>
      </c>
      <c r="M2483">
        <v>77.400000000000006</v>
      </c>
      <c r="N2483">
        <v>73.849999999999994</v>
      </c>
      <c r="O2483">
        <v>75.45</v>
      </c>
      <c r="P2483">
        <v>0</v>
      </c>
      <c r="Q2483">
        <v>0</v>
      </c>
      <c r="R2483">
        <v>0</v>
      </c>
      <c r="S2483">
        <v>75.430000000000007</v>
      </c>
      <c r="T2483">
        <v>75.42</v>
      </c>
      <c r="U2483">
        <v>75.41</v>
      </c>
      <c r="V2483">
        <v>75.45</v>
      </c>
      <c r="W2483">
        <v>300966</v>
      </c>
      <c r="X2483">
        <v>75.42</v>
      </c>
      <c r="Y2483">
        <v>92.25</v>
      </c>
      <c r="Z2483">
        <v>4</v>
      </c>
      <c r="AA2483">
        <v>753670</v>
      </c>
      <c r="AB2483">
        <v>754.5</v>
      </c>
      <c r="AC2483">
        <v>0</v>
      </c>
      <c r="AD2483" t="s">
        <v>94</v>
      </c>
      <c r="AE2483" t="s">
        <v>94</v>
      </c>
      <c r="AF2483" t="s">
        <v>226</v>
      </c>
      <c r="AG2483" t="s">
        <v>226</v>
      </c>
      <c r="AH2483">
        <v>8</v>
      </c>
      <c r="AI2483" t="s">
        <v>3537</v>
      </c>
      <c r="AJ2483" t="s">
        <v>1976</v>
      </c>
      <c r="AK2483" t="s">
        <v>2416</v>
      </c>
      <c r="AL2483" t="s">
        <v>272</v>
      </c>
    </row>
    <row r="2484" spans="1:38">
      <c r="A2484" t="s">
        <v>10529</v>
      </c>
      <c r="B2484" t="s">
        <v>10530</v>
      </c>
      <c r="C2484" t="s">
        <v>10531</v>
      </c>
      <c r="D2484" t="s">
        <v>10531</v>
      </c>
      <c r="E2484" t="s">
        <v>10532</v>
      </c>
      <c r="F2484" t="s">
        <v>2413</v>
      </c>
      <c r="G2484">
        <v>3</v>
      </c>
      <c r="H2484">
        <v>1</v>
      </c>
      <c r="I2484">
        <v>0.01</v>
      </c>
      <c r="J2484">
        <v>1000</v>
      </c>
      <c r="K2484">
        <v>0</v>
      </c>
      <c r="L2484">
        <v>0</v>
      </c>
      <c r="M2484">
        <v>135.41</v>
      </c>
      <c r="N2484">
        <v>134.16999999999999</v>
      </c>
      <c r="O2484">
        <v>135.41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138.01</v>
      </c>
      <c r="Y2484">
        <v>0</v>
      </c>
      <c r="Z2484">
        <v>0</v>
      </c>
      <c r="AA2484">
        <v>210128</v>
      </c>
      <c r="AB2484">
        <v>0</v>
      </c>
      <c r="AC2484">
        <v>0</v>
      </c>
      <c r="AD2484" t="s">
        <v>94</v>
      </c>
      <c r="AE2484" t="s">
        <v>94</v>
      </c>
      <c r="AF2484" t="s">
        <v>226</v>
      </c>
      <c r="AG2484" t="s">
        <v>226</v>
      </c>
      <c r="AH2484">
        <v>800</v>
      </c>
      <c r="AI2484" t="s">
        <v>3537</v>
      </c>
      <c r="AJ2484" t="s">
        <v>1976</v>
      </c>
      <c r="AK2484" t="s">
        <v>2416</v>
      </c>
      <c r="AL2484" t="s">
        <v>272</v>
      </c>
    </row>
    <row r="2485" spans="1:38">
      <c r="A2485" t="s">
        <v>10533</v>
      </c>
      <c r="B2485" t="s">
        <v>10534</v>
      </c>
      <c r="C2485" t="s">
        <v>10535</v>
      </c>
      <c r="D2485" t="s">
        <v>10535</v>
      </c>
      <c r="E2485" t="s">
        <v>10536</v>
      </c>
      <c r="F2485" t="s">
        <v>2413</v>
      </c>
      <c r="G2485">
        <v>3</v>
      </c>
      <c r="H2485">
        <v>1</v>
      </c>
      <c r="I2485">
        <v>0.01</v>
      </c>
      <c r="J2485">
        <v>1000</v>
      </c>
      <c r="K2485">
        <v>0</v>
      </c>
      <c r="L2485">
        <v>0</v>
      </c>
      <c r="M2485">
        <v>61.91</v>
      </c>
      <c r="N2485">
        <v>0</v>
      </c>
      <c r="O2485">
        <v>61.91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60.01</v>
      </c>
      <c r="Y2485">
        <v>70.010000000000005</v>
      </c>
      <c r="Z2485">
        <v>0</v>
      </c>
      <c r="AA2485">
        <v>154602</v>
      </c>
      <c r="AB2485">
        <v>0</v>
      </c>
      <c r="AC2485">
        <v>0</v>
      </c>
      <c r="AD2485" t="s">
        <v>94</v>
      </c>
      <c r="AE2485" t="s">
        <v>94</v>
      </c>
      <c r="AF2485" t="s">
        <v>304</v>
      </c>
      <c r="AG2485" t="s">
        <v>226</v>
      </c>
      <c r="AH2485">
        <v>800</v>
      </c>
      <c r="AI2485" t="s">
        <v>3537</v>
      </c>
      <c r="AJ2485" t="s">
        <v>1976</v>
      </c>
      <c r="AK2485" t="s">
        <v>2416</v>
      </c>
      <c r="AL2485" t="s">
        <v>272</v>
      </c>
    </row>
    <row r="2486" spans="1:38">
      <c r="A2486" t="s">
        <v>10537</v>
      </c>
      <c r="B2486" t="s">
        <v>10538</v>
      </c>
      <c r="C2486" t="s">
        <v>10539</v>
      </c>
      <c r="D2486" t="s">
        <v>10539</v>
      </c>
      <c r="E2486" t="s">
        <v>10540</v>
      </c>
      <c r="F2486" t="s">
        <v>2413</v>
      </c>
      <c r="G2486">
        <v>3</v>
      </c>
      <c r="H2486">
        <v>1</v>
      </c>
      <c r="I2486">
        <v>0.01</v>
      </c>
      <c r="J2486">
        <v>1000</v>
      </c>
      <c r="K2486">
        <v>0</v>
      </c>
      <c r="L2486">
        <v>0</v>
      </c>
      <c r="M2486">
        <v>96.8</v>
      </c>
      <c r="N2486">
        <v>107.07</v>
      </c>
      <c r="O2486">
        <v>96.8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96.42</v>
      </c>
      <c r="Y2486">
        <v>138.72999999999999</v>
      </c>
      <c r="Z2486">
        <v>0</v>
      </c>
      <c r="AA2486">
        <v>230797</v>
      </c>
      <c r="AB2486">
        <v>0</v>
      </c>
      <c r="AC2486">
        <v>0</v>
      </c>
      <c r="AD2486" t="s">
        <v>94</v>
      </c>
      <c r="AE2486" t="s">
        <v>94</v>
      </c>
      <c r="AF2486" t="s">
        <v>226</v>
      </c>
      <c r="AG2486" t="s">
        <v>226</v>
      </c>
      <c r="AH2486">
        <v>8</v>
      </c>
      <c r="AI2486" t="s">
        <v>3537</v>
      </c>
      <c r="AJ2486" t="s">
        <v>1976</v>
      </c>
      <c r="AK2486" t="s">
        <v>2416</v>
      </c>
      <c r="AL2486" t="s">
        <v>272</v>
      </c>
    </row>
    <row r="2487" spans="1:38">
      <c r="A2487" t="s">
        <v>10541</v>
      </c>
      <c r="B2487" t="s">
        <v>10542</v>
      </c>
      <c r="C2487" t="s">
        <v>10543</v>
      </c>
      <c r="D2487" t="s">
        <v>10543</v>
      </c>
      <c r="E2487" t="s">
        <v>10544</v>
      </c>
      <c r="F2487" t="s">
        <v>2413</v>
      </c>
      <c r="G2487">
        <v>3</v>
      </c>
      <c r="H2487">
        <v>1</v>
      </c>
      <c r="I2487">
        <v>0.01</v>
      </c>
      <c r="J2487">
        <v>1000</v>
      </c>
      <c r="K2487">
        <v>0</v>
      </c>
      <c r="L2487">
        <v>0</v>
      </c>
      <c r="M2487">
        <v>85.63</v>
      </c>
      <c r="N2487">
        <v>86.59</v>
      </c>
      <c r="O2487">
        <v>85.63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80.63</v>
      </c>
      <c r="Y2487">
        <v>90.63</v>
      </c>
      <c r="Z2487">
        <v>0</v>
      </c>
      <c r="AA2487">
        <v>356122</v>
      </c>
      <c r="AB2487">
        <v>0</v>
      </c>
      <c r="AC2487">
        <v>0</v>
      </c>
      <c r="AD2487" t="s">
        <v>94</v>
      </c>
      <c r="AE2487" t="s">
        <v>94</v>
      </c>
      <c r="AF2487" t="s">
        <v>226</v>
      </c>
      <c r="AG2487" t="s">
        <v>226</v>
      </c>
      <c r="AH2487">
        <v>8</v>
      </c>
      <c r="AI2487" t="s">
        <v>3537</v>
      </c>
      <c r="AJ2487" t="s">
        <v>1976</v>
      </c>
      <c r="AK2487" t="s">
        <v>2416</v>
      </c>
      <c r="AL2487" t="s">
        <v>272</v>
      </c>
    </row>
    <row r="2488" spans="1:38">
      <c r="A2488" t="s">
        <v>10545</v>
      </c>
      <c r="B2488" t="s">
        <v>10546</v>
      </c>
      <c r="C2488" t="s">
        <v>10547</v>
      </c>
      <c r="D2488" t="s">
        <v>10547</v>
      </c>
      <c r="E2488" t="s">
        <v>10548</v>
      </c>
      <c r="F2488" t="s">
        <v>2413</v>
      </c>
      <c r="G2488">
        <v>3</v>
      </c>
      <c r="H2488">
        <v>1</v>
      </c>
      <c r="I2488">
        <v>0.01</v>
      </c>
      <c r="J2488">
        <v>1000</v>
      </c>
      <c r="K2488">
        <v>0</v>
      </c>
      <c r="L2488">
        <v>0</v>
      </c>
      <c r="M2488">
        <v>61.5</v>
      </c>
      <c r="N2488">
        <v>66.510000000000005</v>
      </c>
      <c r="O2488">
        <v>61.5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60.4</v>
      </c>
      <c r="Y2488">
        <v>71.77</v>
      </c>
      <c r="Z2488">
        <v>0</v>
      </c>
      <c r="AA2488">
        <v>466725</v>
      </c>
      <c r="AB2488">
        <v>0</v>
      </c>
      <c r="AC2488">
        <v>0</v>
      </c>
      <c r="AD2488" t="s">
        <v>94</v>
      </c>
      <c r="AE2488" t="s">
        <v>94</v>
      </c>
      <c r="AF2488" t="s">
        <v>304</v>
      </c>
      <c r="AG2488" t="s">
        <v>226</v>
      </c>
      <c r="AH2488">
        <v>800</v>
      </c>
      <c r="AI2488" t="s">
        <v>3537</v>
      </c>
      <c r="AJ2488" t="s">
        <v>1976</v>
      </c>
      <c r="AK2488" t="s">
        <v>2416</v>
      </c>
      <c r="AL2488" t="s">
        <v>272</v>
      </c>
    </row>
    <row r="2489" spans="1:38">
      <c r="A2489" t="s">
        <v>10549</v>
      </c>
      <c r="B2489" t="s">
        <v>10550</v>
      </c>
      <c r="C2489" t="s">
        <v>10551</v>
      </c>
      <c r="D2489" t="s">
        <v>10551</v>
      </c>
      <c r="E2489" t="s">
        <v>10552</v>
      </c>
      <c r="F2489" t="s">
        <v>2413</v>
      </c>
      <c r="G2489">
        <v>3</v>
      </c>
      <c r="H2489">
        <v>1</v>
      </c>
      <c r="I2489">
        <v>0.01</v>
      </c>
      <c r="J2489">
        <v>1000</v>
      </c>
      <c r="K2489">
        <v>0</v>
      </c>
      <c r="L2489">
        <v>0</v>
      </c>
      <c r="M2489">
        <v>61.4</v>
      </c>
      <c r="N2489">
        <v>0</v>
      </c>
      <c r="O2489">
        <v>61.4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61.5</v>
      </c>
      <c r="Y2489">
        <v>69.010000000000005</v>
      </c>
      <c r="Z2489">
        <v>0</v>
      </c>
      <c r="AA2489">
        <v>522444</v>
      </c>
      <c r="AB2489">
        <v>0</v>
      </c>
      <c r="AC2489">
        <v>0</v>
      </c>
      <c r="AD2489" t="s">
        <v>94</v>
      </c>
      <c r="AE2489" t="s">
        <v>94</v>
      </c>
      <c r="AF2489" t="s">
        <v>304</v>
      </c>
      <c r="AG2489" t="s">
        <v>226</v>
      </c>
      <c r="AH2489">
        <v>800</v>
      </c>
      <c r="AI2489" t="s">
        <v>3537</v>
      </c>
      <c r="AJ2489" t="s">
        <v>1976</v>
      </c>
      <c r="AK2489" t="s">
        <v>2416</v>
      </c>
      <c r="AL2489" t="s">
        <v>272</v>
      </c>
    </row>
    <row r="2490" spans="1:38">
      <c r="A2490" t="s">
        <v>10553</v>
      </c>
      <c r="B2490" t="s">
        <v>10554</v>
      </c>
      <c r="C2490" t="s">
        <v>10555</v>
      </c>
      <c r="D2490" t="s">
        <v>10555</v>
      </c>
      <c r="E2490" t="s">
        <v>10556</v>
      </c>
      <c r="F2490" t="s">
        <v>2413</v>
      </c>
      <c r="G2490">
        <v>3</v>
      </c>
      <c r="H2490">
        <v>1</v>
      </c>
      <c r="I2490">
        <v>0.01</v>
      </c>
      <c r="J2490">
        <v>1000</v>
      </c>
      <c r="K2490">
        <v>0</v>
      </c>
      <c r="L2490">
        <v>0</v>
      </c>
      <c r="M2490">
        <v>69.400000000000006</v>
      </c>
      <c r="N2490">
        <v>69.81</v>
      </c>
      <c r="O2490">
        <v>69.400000000000006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64.010000000000005</v>
      </c>
      <c r="Y2490">
        <v>74.010000000000005</v>
      </c>
      <c r="Z2490">
        <v>0</v>
      </c>
      <c r="AA2490">
        <v>300742</v>
      </c>
      <c r="AB2490">
        <v>0</v>
      </c>
      <c r="AC2490">
        <v>0</v>
      </c>
      <c r="AD2490" t="s">
        <v>94</v>
      </c>
      <c r="AE2490" t="s">
        <v>94</v>
      </c>
      <c r="AF2490" t="s">
        <v>304</v>
      </c>
      <c r="AG2490" t="s">
        <v>226</v>
      </c>
      <c r="AH2490">
        <v>800</v>
      </c>
      <c r="AI2490" t="s">
        <v>3537</v>
      </c>
      <c r="AJ2490" t="s">
        <v>1976</v>
      </c>
      <c r="AK2490" t="s">
        <v>2416</v>
      </c>
      <c r="AL2490" t="s">
        <v>272</v>
      </c>
    </row>
    <row r="2491" spans="1:38">
      <c r="A2491" t="s">
        <v>10557</v>
      </c>
      <c r="B2491" t="s">
        <v>10558</v>
      </c>
      <c r="C2491" t="s">
        <v>10559</v>
      </c>
      <c r="D2491" t="s">
        <v>10559</v>
      </c>
      <c r="E2491" t="s">
        <v>10560</v>
      </c>
      <c r="F2491" t="s">
        <v>2413</v>
      </c>
      <c r="G2491">
        <v>3</v>
      </c>
      <c r="H2491">
        <v>1</v>
      </c>
      <c r="I2491">
        <v>0.01</v>
      </c>
      <c r="J2491">
        <v>1000</v>
      </c>
      <c r="K2491">
        <v>0</v>
      </c>
      <c r="L2491">
        <v>0</v>
      </c>
      <c r="M2491">
        <v>77.010000000000005</v>
      </c>
      <c r="N2491">
        <v>0</v>
      </c>
      <c r="O2491">
        <v>77.010000000000005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72.010000000000005</v>
      </c>
      <c r="Y2491">
        <v>82.01</v>
      </c>
      <c r="Z2491">
        <v>0</v>
      </c>
      <c r="AA2491">
        <v>500404</v>
      </c>
      <c r="AB2491">
        <v>0</v>
      </c>
      <c r="AC2491">
        <v>0</v>
      </c>
      <c r="AD2491" t="s">
        <v>94</v>
      </c>
      <c r="AE2491" t="s">
        <v>94</v>
      </c>
      <c r="AF2491" t="s">
        <v>304</v>
      </c>
      <c r="AG2491" t="s">
        <v>226</v>
      </c>
      <c r="AH2491">
        <v>800</v>
      </c>
      <c r="AI2491" t="s">
        <v>3537</v>
      </c>
      <c r="AJ2491" t="s">
        <v>1976</v>
      </c>
      <c r="AK2491" t="s">
        <v>2416</v>
      </c>
      <c r="AL2491" t="s">
        <v>272</v>
      </c>
    </row>
    <row r="2492" spans="1:38">
      <c r="A2492" t="s">
        <v>10561</v>
      </c>
      <c r="B2492" t="s">
        <v>10562</v>
      </c>
      <c r="C2492" t="s">
        <v>10563</v>
      </c>
      <c r="D2492" t="s">
        <v>10563</v>
      </c>
      <c r="E2492" t="s">
        <v>10564</v>
      </c>
      <c r="F2492" t="s">
        <v>2413</v>
      </c>
      <c r="G2492">
        <v>3</v>
      </c>
      <c r="H2492">
        <v>1</v>
      </c>
      <c r="I2492">
        <v>0.01</v>
      </c>
      <c r="J2492">
        <v>1000</v>
      </c>
      <c r="K2492">
        <v>0</v>
      </c>
      <c r="L2492">
        <v>0</v>
      </c>
      <c r="M2492">
        <v>79.010000000000005</v>
      </c>
      <c r="N2492">
        <v>85.38</v>
      </c>
      <c r="O2492">
        <v>79.010000000000005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77.31</v>
      </c>
      <c r="Y2492">
        <v>84.01</v>
      </c>
      <c r="Z2492">
        <v>0</v>
      </c>
      <c r="AA2492">
        <v>250968</v>
      </c>
      <c r="AB2492">
        <v>0</v>
      </c>
      <c r="AC2492">
        <v>0</v>
      </c>
      <c r="AD2492" t="s">
        <v>94</v>
      </c>
      <c r="AE2492" t="s">
        <v>94</v>
      </c>
      <c r="AF2492" t="s">
        <v>226</v>
      </c>
      <c r="AG2492" t="s">
        <v>226</v>
      </c>
      <c r="AH2492">
        <v>8</v>
      </c>
      <c r="AI2492" t="s">
        <v>3537</v>
      </c>
      <c r="AJ2492" t="s">
        <v>1976</v>
      </c>
      <c r="AK2492" t="s">
        <v>2416</v>
      </c>
      <c r="AL2492" t="s">
        <v>272</v>
      </c>
    </row>
    <row r="2493" spans="1:38">
      <c r="A2493" t="s">
        <v>10565</v>
      </c>
      <c r="B2493" t="s">
        <v>10566</v>
      </c>
      <c r="C2493" t="s">
        <v>10567</v>
      </c>
      <c r="D2493" t="s">
        <v>10567</v>
      </c>
      <c r="E2493" t="s">
        <v>10568</v>
      </c>
      <c r="F2493" t="s">
        <v>2413</v>
      </c>
      <c r="G2493">
        <v>3</v>
      </c>
      <c r="H2493">
        <v>1</v>
      </c>
      <c r="I2493">
        <v>0.01</v>
      </c>
      <c r="J2493">
        <v>1000</v>
      </c>
      <c r="K2493">
        <v>0</v>
      </c>
      <c r="L2493">
        <v>0</v>
      </c>
      <c r="M2493">
        <v>87.71</v>
      </c>
      <c r="N2493">
        <v>0</v>
      </c>
      <c r="O2493">
        <v>87.71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82.71</v>
      </c>
      <c r="Y2493">
        <v>92.71</v>
      </c>
      <c r="Z2493">
        <v>0</v>
      </c>
      <c r="AA2493">
        <v>271358</v>
      </c>
      <c r="AB2493">
        <v>0</v>
      </c>
      <c r="AC2493">
        <v>0</v>
      </c>
      <c r="AD2493" t="s">
        <v>94</v>
      </c>
      <c r="AE2493" t="s">
        <v>94</v>
      </c>
      <c r="AF2493" t="s">
        <v>304</v>
      </c>
      <c r="AG2493" t="s">
        <v>226</v>
      </c>
      <c r="AH2493">
        <v>800</v>
      </c>
      <c r="AI2493" t="s">
        <v>3537</v>
      </c>
      <c r="AJ2493" t="s">
        <v>1976</v>
      </c>
      <c r="AK2493" t="s">
        <v>2416</v>
      </c>
      <c r="AL2493" t="s">
        <v>272</v>
      </c>
    </row>
    <row r="2494" spans="1:38">
      <c r="A2494" t="s">
        <v>10569</v>
      </c>
      <c r="B2494" t="s">
        <v>10570</v>
      </c>
      <c r="C2494" t="s">
        <v>10571</v>
      </c>
      <c r="D2494" t="s">
        <v>10571</v>
      </c>
      <c r="E2494" t="s">
        <v>10572</v>
      </c>
      <c r="F2494" t="s">
        <v>2413</v>
      </c>
      <c r="G2494">
        <v>3</v>
      </c>
      <c r="H2494">
        <v>1</v>
      </c>
      <c r="I2494">
        <v>0.01</v>
      </c>
      <c r="J2494">
        <v>1000</v>
      </c>
      <c r="K2494">
        <v>2.4900000000000002</v>
      </c>
      <c r="L2494">
        <v>85.49</v>
      </c>
      <c r="M2494">
        <v>83.64</v>
      </c>
      <c r="N2494">
        <v>84.01</v>
      </c>
      <c r="O2494">
        <v>85.49</v>
      </c>
      <c r="P2494">
        <v>0</v>
      </c>
      <c r="Q2494">
        <v>0</v>
      </c>
      <c r="R2494">
        <v>0</v>
      </c>
      <c r="S2494">
        <v>85.49</v>
      </c>
      <c r="T2494">
        <v>85.49</v>
      </c>
      <c r="U2494">
        <v>85.49</v>
      </c>
      <c r="V2494">
        <v>85.49</v>
      </c>
      <c r="W2494">
        <v>855</v>
      </c>
      <c r="X2494">
        <v>84.11</v>
      </c>
      <c r="Y2494">
        <v>85.49</v>
      </c>
      <c r="Z2494">
        <v>1</v>
      </c>
      <c r="AA2494">
        <v>741962</v>
      </c>
      <c r="AB2494">
        <v>854.9</v>
      </c>
      <c r="AC2494">
        <v>0</v>
      </c>
      <c r="AD2494" t="s">
        <v>94</v>
      </c>
      <c r="AE2494" t="s">
        <v>94</v>
      </c>
      <c r="AF2494" t="s">
        <v>226</v>
      </c>
      <c r="AG2494" t="s">
        <v>226</v>
      </c>
      <c r="AH2494">
        <v>8</v>
      </c>
      <c r="AI2494" t="s">
        <v>3537</v>
      </c>
      <c r="AJ2494" t="s">
        <v>1976</v>
      </c>
      <c r="AK2494" t="s">
        <v>2416</v>
      </c>
      <c r="AL2494" t="s">
        <v>272</v>
      </c>
    </row>
    <row r="2495" spans="1:38">
      <c r="A2495" t="s">
        <v>10573</v>
      </c>
      <c r="B2495" t="s">
        <v>10574</v>
      </c>
      <c r="C2495" t="s">
        <v>10575</v>
      </c>
      <c r="D2495" t="s">
        <v>10575</v>
      </c>
      <c r="E2495" t="s">
        <v>10576</v>
      </c>
      <c r="F2495" t="s">
        <v>2413</v>
      </c>
      <c r="G2495">
        <v>3</v>
      </c>
      <c r="H2495">
        <v>1</v>
      </c>
      <c r="I2495">
        <v>0.01</v>
      </c>
      <c r="J2495">
        <v>1000</v>
      </c>
      <c r="K2495">
        <v>0</v>
      </c>
      <c r="L2495">
        <v>0</v>
      </c>
      <c r="M2495">
        <v>85.61</v>
      </c>
      <c r="N2495">
        <v>83.23</v>
      </c>
      <c r="O2495">
        <v>85.61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82.01</v>
      </c>
      <c r="Y2495">
        <v>92.01</v>
      </c>
      <c r="Z2495">
        <v>0</v>
      </c>
      <c r="AA2495">
        <v>179668</v>
      </c>
      <c r="AB2495">
        <v>0</v>
      </c>
      <c r="AC2495">
        <v>0</v>
      </c>
      <c r="AD2495" t="s">
        <v>94</v>
      </c>
      <c r="AE2495" t="s">
        <v>94</v>
      </c>
      <c r="AF2495" t="s">
        <v>226</v>
      </c>
      <c r="AG2495" t="s">
        <v>226</v>
      </c>
      <c r="AH2495">
        <v>8</v>
      </c>
      <c r="AI2495" t="s">
        <v>3537</v>
      </c>
      <c r="AJ2495" t="s">
        <v>1976</v>
      </c>
      <c r="AK2495" t="s">
        <v>2416</v>
      </c>
      <c r="AL2495" t="s">
        <v>272</v>
      </c>
    </row>
    <row r="2496" spans="1:38">
      <c r="A2496" t="s">
        <v>10577</v>
      </c>
      <c r="B2496" t="s">
        <v>10578</v>
      </c>
      <c r="C2496" t="s">
        <v>10579</v>
      </c>
      <c r="D2496" t="s">
        <v>10579</v>
      </c>
      <c r="E2496" t="s">
        <v>10580</v>
      </c>
      <c r="F2496" t="s">
        <v>2413</v>
      </c>
      <c r="G2496">
        <v>3</v>
      </c>
      <c r="H2496">
        <v>1</v>
      </c>
      <c r="I2496">
        <v>0.01</v>
      </c>
      <c r="J2496">
        <v>1000</v>
      </c>
      <c r="K2496">
        <v>0</v>
      </c>
      <c r="L2496">
        <v>0</v>
      </c>
      <c r="M2496">
        <v>86</v>
      </c>
      <c r="N2496">
        <v>83.5</v>
      </c>
      <c r="O2496">
        <v>86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82.77</v>
      </c>
      <c r="Y2496">
        <v>85.96</v>
      </c>
      <c r="Z2496">
        <v>0</v>
      </c>
      <c r="AA2496">
        <v>253521</v>
      </c>
      <c r="AB2496">
        <v>0</v>
      </c>
      <c r="AC2496">
        <v>0</v>
      </c>
      <c r="AD2496" t="s">
        <v>94</v>
      </c>
      <c r="AE2496" t="s">
        <v>94</v>
      </c>
      <c r="AF2496" t="s">
        <v>226</v>
      </c>
      <c r="AG2496" t="s">
        <v>226</v>
      </c>
      <c r="AH2496">
        <v>8</v>
      </c>
      <c r="AI2496" t="s">
        <v>3537</v>
      </c>
      <c r="AJ2496" t="s">
        <v>1976</v>
      </c>
      <c r="AK2496" t="s">
        <v>2416</v>
      </c>
      <c r="AL2496" t="s">
        <v>272</v>
      </c>
    </row>
    <row r="2497" spans="1:38">
      <c r="A2497" t="s">
        <v>10581</v>
      </c>
      <c r="B2497" t="s">
        <v>10582</v>
      </c>
      <c r="C2497" t="s">
        <v>10583</v>
      </c>
      <c r="D2497" t="s">
        <v>10583</v>
      </c>
      <c r="E2497" t="s">
        <v>10584</v>
      </c>
      <c r="F2497" t="s">
        <v>2413</v>
      </c>
      <c r="G2497">
        <v>3</v>
      </c>
      <c r="H2497">
        <v>1</v>
      </c>
      <c r="I2497">
        <v>0.01</v>
      </c>
      <c r="J2497">
        <v>1000</v>
      </c>
      <c r="K2497">
        <v>0</v>
      </c>
      <c r="L2497">
        <v>0</v>
      </c>
      <c r="M2497">
        <v>103.1</v>
      </c>
      <c r="N2497">
        <v>110.34</v>
      </c>
      <c r="O2497">
        <v>103.1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106.41</v>
      </c>
      <c r="Y2497">
        <v>130</v>
      </c>
      <c r="Z2497">
        <v>0</v>
      </c>
      <c r="AA2497">
        <v>139670</v>
      </c>
      <c r="AB2497">
        <v>0</v>
      </c>
      <c r="AC2497">
        <v>0</v>
      </c>
      <c r="AD2497" t="s">
        <v>94</v>
      </c>
      <c r="AE2497" t="s">
        <v>94</v>
      </c>
      <c r="AF2497" t="s">
        <v>226</v>
      </c>
      <c r="AG2497" t="s">
        <v>226</v>
      </c>
      <c r="AH2497">
        <v>8</v>
      </c>
      <c r="AI2497" t="s">
        <v>3537</v>
      </c>
      <c r="AJ2497" t="s">
        <v>1976</v>
      </c>
      <c r="AK2497" t="s">
        <v>2416</v>
      </c>
      <c r="AL2497" t="s">
        <v>272</v>
      </c>
    </row>
    <row r="2498" spans="1:38">
      <c r="A2498" t="s">
        <v>10585</v>
      </c>
      <c r="B2498" t="s">
        <v>10586</v>
      </c>
      <c r="C2498" t="s">
        <v>10587</v>
      </c>
      <c r="D2498" t="s">
        <v>10587</v>
      </c>
      <c r="E2498" t="s">
        <v>10588</v>
      </c>
      <c r="F2498" t="s">
        <v>2413</v>
      </c>
      <c r="G2498">
        <v>3</v>
      </c>
      <c r="H2498">
        <v>1</v>
      </c>
      <c r="I2498">
        <v>0.01</v>
      </c>
      <c r="J2498">
        <v>1000</v>
      </c>
      <c r="K2498">
        <v>0</v>
      </c>
      <c r="L2498">
        <v>0</v>
      </c>
      <c r="M2498">
        <v>86.01</v>
      </c>
      <c r="N2498">
        <v>0</v>
      </c>
      <c r="O2498">
        <v>86.01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81.010000000000005</v>
      </c>
      <c r="Y2498">
        <v>91.01</v>
      </c>
      <c r="Z2498">
        <v>0</v>
      </c>
      <c r="AA2498">
        <v>32813</v>
      </c>
      <c r="AB2498">
        <v>0</v>
      </c>
      <c r="AC2498">
        <v>0</v>
      </c>
      <c r="AD2498" t="s">
        <v>94</v>
      </c>
      <c r="AE2498" t="s">
        <v>94</v>
      </c>
      <c r="AF2498" t="s">
        <v>226</v>
      </c>
      <c r="AG2498" t="s">
        <v>226</v>
      </c>
      <c r="AH2498">
        <v>8</v>
      </c>
      <c r="AI2498" t="s">
        <v>3537</v>
      </c>
      <c r="AJ2498" t="s">
        <v>1976</v>
      </c>
      <c r="AK2498" t="s">
        <v>2416</v>
      </c>
      <c r="AL2498" t="s">
        <v>272</v>
      </c>
    </row>
    <row r="2499" spans="1:38">
      <c r="A2499" t="s">
        <v>10589</v>
      </c>
      <c r="B2499" t="s">
        <v>10590</v>
      </c>
      <c r="C2499" t="s">
        <v>10591</v>
      </c>
      <c r="D2499" t="s">
        <v>10591</v>
      </c>
      <c r="E2499" t="s">
        <v>10592</v>
      </c>
      <c r="F2499" t="s">
        <v>2413</v>
      </c>
      <c r="G2499">
        <v>3</v>
      </c>
      <c r="H2499">
        <v>1</v>
      </c>
      <c r="I2499">
        <v>0.01</v>
      </c>
      <c r="J2499">
        <v>1000</v>
      </c>
      <c r="K2499">
        <v>0</v>
      </c>
      <c r="L2499">
        <v>0</v>
      </c>
      <c r="M2499">
        <v>93.01</v>
      </c>
      <c r="N2499">
        <v>93.32</v>
      </c>
      <c r="O2499">
        <v>93.01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88.02</v>
      </c>
      <c r="Y2499">
        <v>98</v>
      </c>
      <c r="Z2499">
        <v>0</v>
      </c>
      <c r="AA2499">
        <v>77031</v>
      </c>
      <c r="AB2499">
        <v>0</v>
      </c>
      <c r="AC2499">
        <v>0</v>
      </c>
      <c r="AD2499" t="s">
        <v>94</v>
      </c>
      <c r="AE2499" t="s">
        <v>94</v>
      </c>
      <c r="AF2499" t="s">
        <v>226</v>
      </c>
      <c r="AG2499" t="s">
        <v>226</v>
      </c>
      <c r="AH2499">
        <v>8</v>
      </c>
      <c r="AI2499" t="s">
        <v>3537</v>
      </c>
      <c r="AJ2499" t="s">
        <v>1976</v>
      </c>
      <c r="AK2499" t="s">
        <v>2416</v>
      </c>
      <c r="AL2499" t="s">
        <v>272</v>
      </c>
    </row>
    <row r="2500" spans="1:38">
      <c r="A2500" t="s">
        <v>10593</v>
      </c>
      <c r="B2500" t="s">
        <v>10594</v>
      </c>
      <c r="C2500" t="s">
        <v>10595</v>
      </c>
      <c r="D2500" t="s">
        <v>10595</v>
      </c>
      <c r="E2500" t="s">
        <v>10596</v>
      </c>
      <c r="F2500" t="s">
        <v>2413</v>
      </c>
      <c r="G2500">
        <v>3</v>
      </c>
      <c r="H2500">
        <v>1</v>
      </c>
      <c r="I2500">
        <v>0.01</v>
      </c>
      <c r="J2500">
        <v>1000</v>
      </c>
      <c r="K2500">
        <v>0</v>
      </c>
      <c r="L2500">
        <v>0</v>
      </c>
      <c r="M2500">
        <v>110</v>
      </c>
      <c r="N2500">
        <v>0</v>
      </c>
      <c r="O2500">
        <v>110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107.31</v>
      </c>
      <c r="Y2500">
        <v>154.84</v>
      </c>
      <c r="Z2500">
        <v>0</v>
      </c>
      <c r="AA2500">
        <v>104105</v>
      </c>
      <c r="AB2500">
        <v>0</v>
      </c>
      <c r="AC2500">
        <v>0</v>
      </c>
      <c r="AD2500" t="s">
        <v>94</v>
      </c>
      <c r="AE2500" t="s">
        <v>94</v>
      </c>
      <c r="AF2500" t="s">
        <v>226</v>
      </c>
      <c r="AG2500" t="s">
        <v>226</v>
      </c>
      <c r="AH2500">
        <v>8</v>
      </c>
      <c r="AI2500" t="s">
        <v>3537</v>
      </c>
      <c r="AJ2500" t="s">
        <v>1976</v>
      </c>
      <c r="AK2500" t="s">
        <v>2416</v>
      </c>
      <c r="AL2500" t="s">
        <v>272</v>
      </c>
    </row>
    <row r="2501" spans="1:38">
      <c r="A2501" t="s">
        <v>10597</v>
      </c>
      <c r="B2501" t="s">
        <v>10598</v>
      </c>
      <c r="C2501" t="s">
        <v>10599</v>
      </c>
      <c r="D2501" t="s">
        <v>10599</v>
      </c>
      <c r="E2501" t="s">
        <v>10600</v>
      </c>
      <c r="F2501" t="s">
        <v>2413</v>
      </c>
      <c r="G2501">
        <v>3</v>
      </c>
      <c r="H2501">
        <v>1</v>
      </c>
      <c r="I2501">
        <v>0.01</v>
      </c>
      <c r="J2501">
        <v>1000</v>
      </c>
      <c r="K2501">
        <v>0</v>
      </c>
      <c r="L2501">
        <v>0</v>
      </c>
      <c r="M2501">
        <v>119.5</v>
      </c>
      <c r="N2501">
        <v>126.37</v>
      </c>
      <c r="O2501">
        <v>119.5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116.61</v>
      </c>
      <c r="Y2501">
        <v>141.25</v>
      </c>
      <c r="Z2501">
        <v>0</v>
      </c>
      <c r="AA2501">
        <v>173839</v>
      </c>
      <c r="AB2501">
        <v>0</v>
      </c>
      <c r="AC2501">
        <v>0</v>
      </c>
      <c r="AD2501" t="s">
        <v>94</v>
      </c>
      <c r="AE2501" t="s">
        <v>94</v>
      </c>
      <c r="AF2501" t="s">
        <v>226</v>
      </c>
      <c r="AG2501" t="s">
        <v>226</v>
      </c>
      <c r="AH2501">
        <v>8</v>
      </c>
      <c r="AI2501" t="s">
        <v>3537</v>
      </c>
      <c r="AJ2501" t="s">
        <v>1976</v>
      </c>
      <c r="AK2501" t="s">
        <v>2416</v>
      </c>
      <c r="AL2501" t="s">
        <v>272</v>
      </c>
    </row>
    <row r="2502" spans="1:38">
      <c r="A2502" t="s">
        <v>10601</v>
      </c>
      <c r="B2502" t="s">
        <v>10602</v>
      </c>
      <c r="C2502" t="s">
        <v>10603</v>
      </c>
      <c r="D2502" t="s">
        <v>10603</v>
      </c>
      <c r="E2502" t="s">
        <v>10604</v>
      </c>
      <c r="F2502" t="s">
        <v>2413</v>
      </c>
      <c r="G2502">
        <v>3</v>
      </c>
      <c r="H2502">
        <v>1</v>
      </c>
      <c r="I2502">
        <v>0.01</v>
      </c>
      <c r="J2502">
        <v>1000</v>
      </c>
      <c r="K2502">
        <v>0</v>
      </c>
      <c r="L2502">
        <v>0</v>
      </c>
      <c r="M2502">
        <v>98</v>
      </c>
      <c r="N2502">
        <v>98.65</v>
      </c>
      <c r="O2502">
        <v>98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96.47</v>
      </c>
      <c r="Y2502">
        <v>137.19</v>
      </c>
      <c r="Z2502">
        <v>0</v>
      </c>
      <c r="AA2502">
        <v>199825</v>
      </c>
      <c r="AB2502">
        <v>0</v>
      </c>
      <c r="AC2502">
        <v>0</v>
      </c>
      <c r="AD2502" t="s">
        <v>94</v>
      </c>
      <c r="AE2502" t="s">
        <v>94</v>
      </c>
      <c r="AF2502" t="s">
        <v>226</v>
      </c>
      <c r="AG2502" t="s">
        <v>226</v>
      </c>
      <c r="AH2502">
        <v>8</v>
      </c>
      <c r="AI2502" t="s">
        <v>3537</v>
      </c>
      <c r="AJ2502" t="s">
        <v>1976</v>
      </c>
      <c r="AK2502" t="s">
        <v>2416</v>
      </c>
      <c r="AL2502" t="s">
        <v>272</v>
      </c>
    </row>
    <row r="2503" spans="1:38">
      <c r="A2503" t="s">
        <v>10605</v>
      </c>
      <c r="B2503" t="s">
        <v>10606</v>
      </c>
      <c r="C2503" t="s">
        <v>10607</v>
      </c>
      <c r="D2503" t="s">
        <v>10607</v>
      </c>
      <c r="E2503" t="s">
        <v>10608</v>
      </c>
      <c r="F2503" t="s">
        <v>2413</v>
      </c>
      <c r="G2503">
        <v>3</v>
      </c>
      <c r="H2503">
        <v>1</v>
      </c>
      <c r="I2503">
        <v>0.01</v>
      </c>
      <c r="J2503">
        <v>1000</v>
      </c>
      <c r="K2503">
        <v>0</v>
      </c>
      <c r="L2503">
        <v>0</v>
      </c>
      <c r="M2503">
        <v>78.599999999999994</v>
      </c>
      <c r="N2503">
        <v>81.73</v>
      </c>
      <c r="O2503">
        <v>78.599999999999994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80.02</v>
      </c>
      <c r="Y2503">
        <v>90.01</v>
      </c>
      <c r="Z2503">
        <v>0</v>
      </c>
      <c r="AA2503">
        <v>67183</v>
      </c>
      <c r="AB2503">
        <v>0</v>
      </c>
      <c r="AC2503">
        <v>0</v>
      </c>
      <c r="AD2503" t="s">
        <v>94</v>
      </c>
      <c r="AE2503" t="s">
        <v>94</v>
      </c>
      <c r="AF2503" t="s">
        <v>226</v>
      </c>
      <c r="AG2503" t="s">
        <v>226</v>
      </c>
      <c r="AH2503">
        <v>8</v>
      </c>
      <c r="AI2503" t="s">
        <v>3537</v>
      </c>
      <c r="AJ2503" t="s">
        <v>1976</v>
      </c>
      <c r="AK2503" t="s">
        <v>2416</v>
      </c>
      <c r="AL2503" t="s">
        <v>272</v>
      </c>
    </row>
    <row r="2504" spans="1:38">
      <c r="A2504" t="s">
        <v>10609</v>
      </c>
      <c r="B2504" t="s">
        <v>10610</v>
      </c>
      <c r="C2504" t="s">
        <v>10611</v>
      </c>
      <c r="D2504" t="s">
        <v>10611</v>
      </c>
      <c r="E2504" t="s">
        <v>10612</v>
      </c>
      <c r="F2504" t="s">
        <v>2413</v>
      </c>
      <c r="G2504">
        <v>3</v>
      </c>
      <c r="H2504">
        <v>1</v>
      </c>
      <c r="I2504">
        <v>0.01</v>
      </c>
      <c r="J2504">
        <v>1000</v>
      </c>
      <c r="K2504">
        <v>0</v>
      </c>
      <c r="L2504">
        <v>0</v>
      </c>
      <c r="M2504">
        <v>105.7</v>
      </c>
      <c r="N2504">
        <v>0</v>
      </c>
      <c r="O2504">
        <v>105.7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106.61</v>
      </c>
      <c r="Y2504">
        <v>148.68</v>
      </c>
      <c r="Z2504">
        <v>0</v>
      </c>
      <c r="AA2504">
        <v>78563</v>
      </c>
      <c r="AB2504">
        <v>0</v>
      </c>
      <c r="AC2504">
        <v>0</v>
      </c>
      <c r="AD2504" t="s">
        <v>94</v>
      </c>
      <c r="AE2504" t="s">
        <v>94</v>
      </c>
      <c r="AF2504" t="s">
        <v>226</v>
      </c>
      <c r="AG2504" t="s">
        <v>226</v>
      </c>
      <c r="AH2504">
        <v>8</v>
      </c>
      <c r="AI2504" t="s">
        <v>3537</v>
      </c>
      <c r="AJ2504" t="s">
        <v>1976</v>
      </c>
      <c r="AK2504" t="s">
        <v>2416</v>
      </c>
      <c r="AL2504" t="s">
        <v>272</v>
      </c>
    </row>
    <row r="2505" spans="1:38">
      <c r="A2505" t="s">
        <v>10613</v>
      </c>
      <c r="B2505" t="s">
        <v>10614</v>
      </c>
      <c r="C2505" t="s">
        <v>10615</v>
      </c>
      <c r="D2505" t="s">
        <v>10615</v>
      </c>
      <c r="E2505" t="s">
        <v>10616</v>
      </c>
      <c r="F2505" t="s">
        <v>2413</v>
      </c>
      <c r="G2505">
        <v>3</v>
      </c>
      <c r="H2505">
        <v>1</v>
      </c>
      <c r="I2505">
        <v>0.01</v>
      </c>
      <c r="J2505">
        <v>1000</v>
      </c>
      <c r="K2505">
        <v>0</v>
      </c>
      <c r="L2505">
        <v>0</v>
      </c>
      <c r="M2505">
        <v>80.900000000000006</v>
      </c>
      <c r="N2505">
        <v>83.45</v>
      </c>
      <c r="O2505">
        <v>80.900000000000006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78.709999999999994</v>
      </c>
      <c r="Y2505">
        <v>87</v>
      </c>
      <c r="Z2505">
        <v>0</v>
      </c>
      <c r="AA2505">
        <v>133670</v>
      </c>
      <c r="AB2505">
        <v>0</v>
      </c>
      <c r="AC2505">
        <v>0</v>
      </c>
      <c r="AD2505" t="s">
        <v>94</v>
      </c>
      <c r="AE2505" t="s">
        <v>94</v>
      </c>
      <c r="AF2505" t="s">
        <v>226</v>
      </c>
      <c r="AG2505" t="s">
        <v>226</v>
      </c>
      <c r="AH2505">
        <v>8</v>
      </c>
      <c r="AI2505" t="s">
        <v>3537</v>
      </c>
      <c r="AJ2505" t="s">
        <v>1976</v>
      </c>
      <c r="AK2505" t="s">
        <v>2416</v>
      </c>
      <c r="AL2505" t="s">
        <v>272</v>
      </c>
    </row>
    <row r="2506" spans="1:38">
      <c r="A2506" t="s">
        <v>10617</v>
      </c>
      <c r="B2506" t="s">
        <v>10618</v>
      </c>
      <c r="C2506" t="s">
        <v>10619</v>
      </c>
      <c r="D2506" t="s">
        <v>10619</v>
      </c>
      <c r="E2506" t="s">
        <v>10620</v>
      </c>
      <c r="F2506" t="s">
        <v>2413</v>
      </c>
      <c r="G2506">
        <v>3</v>
      </c>
      <c r="H2506">
        <v>1</v>
      </c>
      <c r="I2506">
        <v>0.01</v>
      </c>
      <c r="J2506">
        <v>1000</v>
      </c>
      <c r="K2506">
        <v>0</v>
      </c>
      <c r="L2506">
        <v>0</v>
      </c>
      <c r="M2506">
        <v>82.89</v>
      </c>
      <c r="N2506">
        <v>79.959999999999994</v>
      </c>
      <c r="O2506">
        <v>82.89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77.900000000000006</v>
      </c>
      <c r="Y2506">
        <v>87.89</v>
      </c>
      <c r="Z2506">
        <v>0</v>
      </c>
      <c r="AA2506">
        <v>113893</v>
      </c>
      <c r="AB2506">
        <v>0</v>
      </c>
      <c r="AC2506">
        <v>0</v>
      </c>
      <c r="AD2506" t="s">
        <v>94</v>
      </c>
      <c r="AE2506" t="s">
        <v>94</v>
      </c>
      <c r="AF2506" t="s">
        <v>226</v>
      </c>
      <c r="AG2506" t="s">
        <v>226</v>
      </c>
      <c r="AH2506">
        <v>8</v>
      </c>
      <c r="AI2506" t="s">
        <v>3537</v>
      </c>
      <c r="AJ2506" t="s">
        <v>1976</v>
      </c>
      <c r="AK2506" t="s">
        <v>2416</v>
      </c>
      <c r="AL2506" t="s">
        <v>272</v>
      </c>
    </row>
    <row r="2507" spans="1:38">
      <c r="A2507" t="s">
        <v>10621</v>
      </c>
      <c r="B2507" t="s">
        <v>10622</v>
      </c>
      <c r="C2507" t="s">
        <v>10623</v>
      </c>
      <c r="D2507" t="s">
        <v>10623</v>
      </c>
      <c r="E2507" t="s">
        <v>10624</v>
      </c>
      <c r="F2507" t="s">
        <v>2413</v>
      </c>
      <c r="G2507">
        <v>3</v>
      </c>
      <c r="H2507">
        <v>1</v>
      </c>
      <c r="I2507">
        <v>0.01</v>
      </c>
      <c r="J2507">
        <v>1000</v>
      </c>
      <c r="K2507">
        <v>0</v>
      </c>
      <c r="L2507">
        <v>0</v>
      </c>
      <c r="M2507">
        <v>96.7</v>
      </c>
      <c r="N2507">
        <v>0</v>
      </c>
      <c r="O2507">
        <v>96.7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94.02</v>
      </c>
      <c r="Y2507">
        <v>0</v>
      </c>
      <c r="Z2507">
        <v>0</v>
      </c>
      <c r="AA2507">
        <v>177314</v>
      </c>
      <c r="AB2507">
        <v>0</v>
      </c>
      <c r="AC2507">
        <v>0</v>
      </c>
      <c r="AD2507" t="s">
        <v>94</v>
      </c>
      <c r="AE2507" t="s">
        <v>94</v>
      </c>
      <c r="AF2507" t="s">
        <v>304</v>
      </c>
      <c r="AG2507" t="s">
        <v>226</v>
      </c>
      <c r="AH2507">
        <v>800</v>
      </c>
      <c r="AI2507" t="s">
        <v>3537</v>
      </c>
      <c r="AJ2507" t="s">
        <v>1976</v>
      </c>
      <c r="AK2507" t="s">
        <v>2416</v>
      </c>
      <c r="AL2507" t="s">
        <v>272</v>
      </c>
    </row>
    <row r="2508" spans="1:38">
      <c r="A2508" t="s">
        <v>10625</v>
      </c>
      <c r="B2508" t="s">
        <v>10626</v>
      </c>
      <c r="C2508" t="s">
        <v>10627</v>
      </c>
      <c r="D2508" t="s">
        <v>10627</v>
      </c>
      <c r="E2508" t="s">
        <v>10628</v>
      </c>
      <c r="F2508" t="s">
        <v>2413</v>
      </c>
      <c r="G2508">
        <v>3</v>
      </c>
      <c r="H2508">
        <v>1</v>
      </c>
      <c r="I2508">
        <v>0.01</v>
      </c>
      <c r="J2508">
        <v>1000</v>
      </c>
      <c r="K2508">
        <v>0</v>
      </c>
      <c r="L2508">
        <v>0</v>
      </c>
      <c r="M2508">
        <v>108.2</v>
      </c>
      <c r="N2508">
        <v>107.44</v>
      </c>
      <c r="O2508">
        <v>108.2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104.21</v>
      </c>
      <c r="Y2508">
        <v>151.31</v>
      </c>
      <c r="Z2508">
        <v>0</v>
      </c>
      <c r="AA2508">
        <v>60376</v>
      </c>
      <c r="AB2508">
        <v>0</v>
      </c>
      <c r="AC2508">
        <v>0</v>
      </c>
      <c r="AD2508" t="s">
        <v>94</v>
      </c>
      <c r="AE2508" t="s">
        <v>94</v>
      </c>
      <c r="AF2508" t="s">
        <v>226</v>
      </c>
      <c r="AG2508" t="s">
        <v>226</v>
      </c>
      <c r="AH2508">
        <v>8</v>
      </c>
      <c r="AI2508" t="s">
        <v>3537</v>
      </c>
      <c r="AJ2508" t="s">
        <v>1976</v>
      </c>
      <c r="AK2508" t="s">
        <v>2416</v>
      </c>
      <c r="AL2508" t="s">
        <v>272</v>
      </c>
    </row>
    <row r="2509" spans="1:38">
      <c r="A2509" t="s">
        <v>10629</v>
      </c>
      <c r="B2509" t="s">
        <v>10630</v>
      </c>
      <c r="C2509" t="s">
        <v>10631</v>
      </c>
      <c r="D2509" t="s">
        <v>10631</v>
      </c>
      <c r="E2509" t="s">
        <v>10632</v>
      </c>
      <c r="F2509" t="s">
        <v>2413</v>
      </c>
      <c r="G2509">
        <v>3</v>
      </c>
      <c r="H2509">
        <v>1</v>
      </c>
      <c r="I2509">
        <v>0.01</v>
      </c>
      <c r="J2509">
        <v>1000</v>
      </c>
      <c r="K2509">
        <v>0</v>
      </c>
      <c r="L2509">
        <v>0</v>
      </c>
      <c r="M2509">
        <v>99</v>
      </c>
      <c r="N2509">
        <v>0</v>
      </c>
      <c r="O2509">
        <v>99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85.62</v>
      </c>
      <c r="Y2509">
        <v>0</v>
      </c>
      <c r="Z2509">
        <v>0</v>
      </c>
      <c r="AA2509">
        <v>63101</v>
      </c>
      <c r="AB2509">
        <v>0</v>
      </c>
      <c r="AC2509">
        <v>0</v>
      </c>
      <c r="AD2509" t="s">
        <v>94</v>
      </c>
      <c r="AE2509" t="s">
        <v>94</v>
      </c>
      <c r="AF2509" t="s">
        <v>304</v>
      </c>
      <c r="AG2509" t="s">
        <v>226</v>
      </c>
      <c r="AH2509">
        <v>800</v>
      </c>
      <c r="AI2509" t="s">
        <v>3537</v>
      </c>
      <c r="AJ2509" t="s">
        <v>1976</v>
      </c>
      <c r="AK2509" t="s">
        <v>2416</v>
      </c>
      <c r="AL2509" t="s">
        <v>272</v>
      </c>
    </row>
    <row r="2510" spans="1:38">
      <c r="A2510" t="s">
        <v>10633</v>
      </c>
      <c r="B2510" t="s">
        <v>10634</v>
      </c>
      <c r="C2510" t="s">
        <v>10635</v>
      </c>
      <c r="D2510" t="s">
        <v>10635</v>
      </c>
      <c r="E2510" t="s">
        <v>10636</v>
      </c>
      <c r="F2510" t="s">
        <v>2413</v>
      </c>
      <c r="G2510">
        <v>3</v>
      </c>
      <c r="H2510">
        <v>1</v>
      </c>
      <c r="I2510">
        <v>0.01</v>
      </c>
      <c r="J2510">
        <v>1000</v>
      </c>
      <c r="K2510">
        <v>0</v>
      </c>
      <c r="L2510">
        <v>0</v>
      </c>
      <c r="M2510">
        <v>80.09</v>
      </c>
      <c r="N2510">
        <v>82.32</v>
      </c>
      <c r="O2510">
        <v>80.09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80.040000000000006</v>
      </c>
      <c r="Y2510">
        <v>89</v>
      </c>
      <c r="Z2510">
        <v>0</v>
      </c>
      <c r="AA2510">
        <v>56112</v>
      </c>
      <c r="AB2510">
        <v>0</v>
      </c>
      <c r="AC2510">
        <v>0</v>
      </c>
      <c r="AD2510" t="s">
        <v>94</v>
      </c>
      <c r="AE2510" t="s">
        <v>94</v>
      </c>
      <c r="AF2510" t="s">
        <v>226</v>
      </c>
      <c r="AG2510" t="s">
        <v>226</v>
      </c>
      <c r="AH2510">
        <v>8</v>
      </c>
      <c r="AI2510" t="s">
        <v>3537</v>
      </c>
      <c r="AJ2510" t="s">
        <v>1976</v>
      </c>
      <c r="AK2510" t="s">
        <v>2416</v>
      </c>
      <c r="AL2510" t="s">
        <v>272</v>
      </c>
    </row>
    <row r="2511" spans="1:38">
      <c r="A2511" t="s">
        <v>10637</v>
      </c>
      <c r="B2511" t="s">
        <v>10638</v>
      </c>
      <c r="C2511" t="s">
        <v>10639</v>
      </c>
      <c r="D2511" t="s">
        <v>10639</v>
      </c>
      <c r="E2511" t="s">
        <v>10640</v>
      </c>
      <c r="F2511" t="s">
        <v>2413</v>
      </c>
      <c r="G2511">
        <v>3</v>
      </c>
      <c r="H2511">
        <v>1</v>
      </c>
      <c r="I2511">
        <v>0.01</v>
      </c>
      <c r="J2511">
        <v>1000</v>
      </c>
      <c r="K2511">
        <v>0</v>
      </c>
      <c r="L2511">
        <v>0</v>
      </c>
      <c r="M2511">
        <v>72.319999999999993</v>
      </c>
      <c r="N2511">
        <v>68.650000000000006</v>
      </c>
      <c r="O2511">
        <v>72.319999999999993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67.400000000000006</v>
      </c>
      <c r="Y2511">
        <v>73.319999999999993</v>
      </c>
      <c r="Z2511">
        <v>0</v>
      </c>
      <c r="AA2511">
        <v>814384</v>
      </c>
      <c r="AB2511">
        <v>0</v>
      </c>
      <c r="AC2511">
        <v>0</v>
      </c>
      <c r="AD2511" t="s">
        <v>94</v>
      </c>
      <c r="AE2511" t="s">
        <v>94</v>
      </c>
      <c r="AF2511" t="s">
        <v>304</v>
      </c>
      <c r="AG2511" t="s">
        <v>226</v>
      </c>
      <c r="AH2511">
        <v>800</v>
      </c>
      <c r="AI2511" t="s">
        <v>3537</v>
      </c>
      <c r="AJ2511" t="s">
        <v>1976</v>
      </c>
      <c r="AK2511" t="s">
        <v>2416</v>
      </c>
      <c r="AL2511" t="s">
        <v>272</v>
      </c>
    </row>
    <row r="2512" spans="1:38">
      <c r="A2512" t="s">
        <v>10641</v>
      </c>
      <c r="B2512" t="s">
        <v>10642</v>
      </c>
      <c r="C2512" t="s">
        <v>10643</v>
      </c>
      <c r="D2512" t="s">
        <v>10643</v>
      </c>
      <c r="E2512" t="s">
        <v>10644</v>
      </c>
      <c r="F2512" t="s">
        <v>2413</v>
      </c>
      <c r="G2512">
        <v>3</v>
      </c>
      <c r="H2512">
        <v>1</v>
      </c>
      <c r="I2512">
        <v>0.01</v>
      </c>
      <c r="J2512">
        <v>1000</v>
      </c>
      <c r="K2512">
        <v>0</v>
      </c>
      <c r="L2512">
        <v>0</v>
      </c>
      <c r="M2512">
        <v>69.599999999999994</v>
      </c>
      <c r="N2512">
        <v>73.61</v>
      </c>
      <c r="O2512">
        <v>69.599999999999994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68.72</v>
      </c>
      <c r="Y2512">
        <v>76.55</v>
      </c>
      <c r="Z2512">
        <v>0</v>
      </c>
      <c r="AA2512">
        <v>1160687</v>
      </c>
      <c r="AB2512">
        <v>0</v>
      </c>
      <c r="AC2512">
        <v>0</v>
      </c>
      <c r="AD2512" t="s">
        <v>94</v>
      </c>
      <c r="AE2512" t="s">
        <v>94</v>
      </c>
      <c r="AF2512" t="s">
        <v>226</v>
      </c>
      <c r="AG2512" t="s">
        <v>226</v>
      </c>
      <c r="AH2512">
        <v>8</v>
      </c>
      <c r="AI2512" t="s">
        <v>3537</v>
      </c>
      <c r="AJ2512" t="s">
        <v>1976</v>
      </c>
      <c r="AK2512" t="s">
        <v>2416</v>
      </c>
      <c r="AL2512" t="s">
        <v>272</v>
      </c>
    </row>
    <row r="2513" spans="1:38">
      <c r="A2513" t="s">
        <v>10645</v>
      </c>
      <c r="B2513" t="s">
        <v>10646</v>
      </c>
      <c r="C2513" t="s">
        <v>10647</v>
      </c>
      <c r="D2513" t="s">
        <v>10647</v>
      </c>
      <c r="E2513" t="s">
        <v>10648</v>
      </c>
      <c r="F2513" t="s">
        <v>2413</v>
      </c>
      <c r="G2513">
        <v>3</v>
      </c>
      <c r="H2513">
        <v>1</v>
      </c>
      <c r="I2513">
        <v>0.01</v>
      </c>
      <c r="J2513">
        <v>1000</v>
      </c>
      <c r="K2513">
        <v>0</v>
      </c>
      <c r="L2513">
        <v>0</v>
      </c>
      <c r="M2513">
        <v>93.3</v>
      </c>
      <c r="N2513">
        <v>0</v>
      </c>
      <c r="O2513">
        <v>93.3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83.92</v>
      </c>
      <c r="Y2513">
        <v>131.18</v>
      </c>
      <c r="Z2513">
        <v>0</v>
      </c>
      <c r="AA2513">
        <v>30376</v>
      </c>
      <c r="AB2513">
        <v>0</v>
      </c>
      <c r="AC2513">
        <v>0</v>
      </c>
      <c r="AD2513" t="s">
        <v>94</v>
      </c>
      <c r="AE2513" t="s">
        <v>94</v>
      </c>
      <c r="AF2513" t="s">
        <v>226</v>
      </c>
      <c r="AG2513" t="s">
        <v>226</v>
      </c>
      <c r="AH2513">
        <v>8</v>
      </c>
      <c r="AI2513" t="s">
        <v>3537</v>
      </c>
      <c r="AJ2513" t="s">
        <v>1976</v>
      </c>
      <c r="AK2513" t="s">
        <v>2416</v>
      </c>
      <c r="AL2513" t="s">
        <v>272</v>
      </c>
    </row>
    <row r="2514" spans="1:38">
      <c r="A2514" t="s">
        <v>10649</v>
      </c>
      <c r="B2514" t="s">
        <v>10650</v>
      </c>
      <c r="C2514" t="s">
        <v>10651</v>
      </c>
      <c r="D2514" t="s">
        <v>10651</v>
      </c>
      <c r="E2514" t="s">
        <v>10652</v>
      </c>
      <c r="F2514" t="s">
        <v>2413</v>
      </c>
      <c r="G2514">
        <v>3</v>
      </c>
      <c r="H2514">
        <v>1</v>
      </c>
      <c r="I2514">
        <v>0.01</v>
      </c>
      <c r="J2514">
        <v>1000</v>
      </c>
      <c r="K2514">
        <v>0</v>
      </c>
      <c r="L2514">
        <v>0</v>
      </c>
      <c r="M2514">
        <v>72.010000000000005</v>
      </c>
      <c r="N2514">
        <v>69.959999999999994</v>
      </c>
      <c r="O2514">
        <v>72.010000000000005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68.03</v>
      </c>
      <c r="Y2514">
        <v>76.010000000000005</v>
      </c>
      <c r="Z2514">
        <v>0</v>
      </c>
      <c r="AA2514">
        <v>449760</v>
      </c>
      <c r="AB2514">
        <v>0</v>
      </c>
      <c r="AC2514">
        <v>0</v>
      </c>
      <c r="AD2514" t="s">
        <v>94</v>
      </c>
      <c r="AE2514" t="s">
        <v>94</v>
      </c>
      <c r="AF2514" t="s">
        <v>304</v>
      </c>
      <c r="AG2514" t="s">
        <v>226</v>
      </c>
      <c r="AH2514">
        <v>800</v>
      </c>
      <c r="AI2514" t="s">
        <v>3537</v>
      </c>
      <c r="AJ2514" t="s">
        <v>1976</v>
      </c>
      <c r="AK2514" t="s">
        <v>2416</v>
      </c>
      <c r="AL2514" t="s">
        <v>272</v>
      </c>
    </row>
    <row r="2515" spans="1:38">
      <c r="A2515" t="s">
        <v>10653</v>
      </c>
      <c r="B2515" t="s">
        <v>10654</v>
      </c>
      <c r="C2515" t="s">
        <v>10655</v>
      </c>
      <c r="D2515" t="s">
        <v>10655</v>
      </c>
      <c r="E2515" t="s">
        <v>10656</v>
      </c>
      <c r="F2515" t="s">
        <v>2413</v>
      </c>
      <c r="G2515">
        <v>3</v>
      </c>
      <c r="H2515">
        <v>1</v>
      </c>
      <c r="I2515">
        <v>0.01</v>
      </c>
      <c r="J2515">
        <v>1000</v>
      </c>
      <c r="K2515">
        <v>-11.5</v>
      </c>
      <c r="L2515">
        <v>70.8</v>
      </c>
      <c r="M2515">
        <v>80</v>
      </c>
      <c r="N2515">
        <v>0</v>
      </c>
      <c r="O2515">
        <v>71.88</v>
      </c>
      <c r="P2515">
        <v>0</v>
      </c>
      <c r="Q2515">
        <v>0</v>
      </c>
      <c r="R2515">
        <v>0</v>
      </c>
      <c r="S2515">
        <v>71.88</v>
      </c>
      <c r="T2515">
        <v>76.010000000000005</v>
      </c>
      <c r="U2515">
        <v>70.8</v>
      </c>
      <c r="V2515">
        <v>76.010000000000005</v>
      </c>
      <c r="W2515">
        <v>3594</v>
      </c>
      <c r="X2515">
        <v>70.819999999999993</v>
      </c>
      <c r="Y2515">
        <v>76.010000000000005</v>
      </c>
      <c r="Z2515">
        <v>3</v>
      </c>
      <c r="AA2515">
        <v>21644</v>
      </c>
      <c r="AB2515">
        <v>2124</v>
      </c>
      <c r="AC2515">
        <v>0</v>
      </c>
      <c r="AD2515" t="s">
        <v>94</v>
      </c>
      <c r="AE2515" t="s">
        <v>94</v>
      </c>
      <c r="AF2515" t="s">
        <v>226</v>
      </c>
      <c r="AG2515" t="s">
        <v>226</v>
      </c>
      <c r="AH2515">
        <v>8</v>
      </c>
      <c r="AI2515" t="s">
        <v>3537</v>
      </c>
      <c r="AJ2515" t="s">
        <v>1976</v>
      </c>
      <c r="AK2515" t="s">
        <v>2416</v>
      </c>
      <c r="AL2515" t="s">
        <v>272</v>
      </c>
    </row>
    <row r="2516" spans="1:38">
      <c r="A2516" t="s">
        <v>10657</v>
      </c>
      <c r="B2516" t="s">
        <v>10658</v>
      </c>
      <c r="C2516" t="s">
        <v>10659</v>
      </c>
      <c r="D2516" t="s">
        <v>10659</v>
      </c>
      <c r="E2516" t="s">
        <v>10660</v>
      </c>
      <c r="F2516" t="s">
        <v>2413</v>
      </c>
      <c r="G2516">
        <v>3</v>
      </c>
      <c r="H2516">
        <v>1</v>
      </c>
      <c r="I2516">
        <v>0.01</v>
      </c>
      <c r="J2516">
        <v>1000</v>
      </c>
      <c r="K2516">
        <v>0</v>
      </c>
      <c r="L2516">
        <v>0</v>
      </c>
      <c r="M2516">
        <v>71</v>
      </c>
      <c r="N2516">
        <v>68.36</v>
      </c>
      <c r="O2516">
        <v>71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73.02</v>
      </c>
      <c r="Y2516">
        <v>83.01</v>
      </c>
      <c r="Z2516">
        <v>0</v>
      </c>
      <c r="AA2516">
        <v>344975</v>
      </c>
      <c r="AB2516">
        <v>0</v>
      </c>
      <c r="AC2516">
        <v>0</v>
      </c>
      <c r="AD2516" t="s">
        <v>94</v>
      </c>
      <c r="AE2516" t="s">
        <v>94</v>
      </c>
      <c r="AF2516" t="s">
        <v>304</v>
      </c>
      <c r="AG2516" t="s">
        <v>226</v>
      </c>
      <c r="AH2516">
        <v>800</v>
      </c>
      <c r="AI2516" t="s">
        <v>3537</v>
      </c>
      <c r="AJ2516" t="s">
        <v>1976</v>
      </c>
      <c r="AK2516" t="s">
        <v>2416</v>
      </c>
      <c r="AL2516" t="s">
        <v>272</v>
      </c>
    </row>
    <row r="2517" spans="1:38">
      <c r="A2517" t="s">
        <v>10661</v>
      </c>
      <c r="B2517" t="s">
        <v>10662</v>
      </c>
      <c r="C2517" t="s">
        <v>10663</v>
      </c>
      <c r="D2517" t="s">
        <v>10663</v>
      </c>
      <c r="E2517" t="s">
        <v>10664</v>
      </c>
      <c r="F2517" t="s">
        <v>2413</v>
      </c>
      <c r="G2517">
        <v>3</v>
      </c>
      <c r="H2517">
        <v>1</v>
      </c>
      <c r="I2517">
        <v>0.01</v>
      </c>
      <c r="J2517">
        <v>1000</v>
      </c>
      <c r="K2517">
        <v>0</v>
      </c>
      <c r="L2517">
        <v>0</v>
      </c>
      <c r="M2517">
        <v>69.8</v>
      </c>
      <c r="N2517">
        <v>70.28</v>
      </c>
      <c r="O2517">
        <v>69.8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68.52</v>
      </c>
      <c r="Y2517">
        <v>75.010000000000005</v>
      </c>
      <c r="Z2517">
        <v>0</v>
      </c>
      <c r="AA2517">
        <v>364256</v>
      </c>
      <c r="AB2517">
        <v>0</v>
      </c>
      <c r="AC2517">
        <v>0</v>
      </c>
      <c r="AD2517" t="s">
        <v>94</v>
      </c>
      <c r="AE2517" t="s">
        <v>94</v>
      </c>
      <c r="AF2517" t="s">
        <v>226</v>
      </c>
      <c r="AG2517" t="s">
        <v>226</v>
      </c>
      <c r="AH2517">
        <v>8</v>
      </c>
      <c r="AI2517" t="s">
        <v>3537</v>
      </c>
      <c r="AJ2517" t="s">
        <v>1976</v>
      </c>
      <c r="AK2517" t="s">
        <v>2416</v>
      </c>
      <c r="AL2517" t="s">
        <v>272</v>
      </c>
    </row>
    <row r="2518" spans="1:38">
      <c r="A2518" t="s">
        <v>10665</v>
      </c>
      <c r="B2518" t="s">
        <v>10666</v>
      </c>
      <c r="C2518" t="s">
        <v>10667</v>
      </c>
      <c r="D2518" t="s">
        <v>10667</v>
      </c>
      <c r="E2518" t="s">
        <v>10668</v>
      </c>
      <c r="F2518" t="s">
        <v>2413</v>
      </c>
      <c r="G2518">
        <v>3</v>
      </c>
      <c r="H2518">
        <v>1</v>
      </c>
      <c r="I2518">
        <v>0.01</v>
      </c>
      <c r="J2518">
        <v>1000</v>
      </c>
      <c r="K2518">
        <v>0</v>
      </c>
      <c r="L2518">
        <v>0</v>
      </c>
      <c r="M2518">
        <v>82.12</v>
      </c>
      <c r="N2518">
        <v>82.13</v>
      </c>
      <c r="O2518">
        <v>82.12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78.02</v>
      </c>
      <c r="Y2518">
        <v>115.21</v>
      </c>
      <c r="Z2518">
        <v>0</v>
      </c>
      <c r="AA2518">
        <v>123694</v>
      </c>
      <c r="AB2518">
        <v>0</v>
      </c>
      <c r="AC2518">
        <v>0</v>
      </c>
      <c r="AD2518" t="s">
        <v>94</v>
      </c>
      <c r="AE2518" t="s">
        <v>94</v>
      </c>
      <c r="AF2518" t="s">
        <v>226</v>
      </c>
      <c r="AG2518" t="s">
        <v>226</v>
      </c>
      <c r="AH2518">
        <v>8</v>
      </c>
      <c r="AI2518" t="s">
        <v>3537</v>
      </c>
      <c r="AJ2518" t="s">
        <v>1976</v>
      </c>
      <c r="AK2518" t="s">
        <v>2416</v>
      </c>
      <c r="AL2518" t="s">
        <v>272</v>
      </c>
    </row>
    <row r="2519" spans="1:38">
      <c r="A2519" t="s">
        <v>10669</v>
      </c>
      <c r="B2519" t="s">
        <v>10670</v>
      </c>
      <c r="C2519" t="s">
        <v>10671</v>
      </c>
      <c r="D2519" t="s">
        <v>10671</v>
      </c>
      <c r="E2519" t="s">
        <v>10672</v>
      </c>
      <c r="F2519" t="s">
        <v>2413</v>
      </c>
      <c r="G2519">
        <v>3</v>
      </c>
      <c r="H2519">
        <v>1</v>
      </c>
      <c r="I2519">
        <v>0.01</v>
      </c>
      <c r="J2519">
        <v>1000</v>
      </c>
      <c r="K2519">
        <v>-10.81</v>
      </c>
      <c r="L2519">
        <v>61.63</v>
      </c>
      <c r="M2519">
        <v>69.099999999999994</v>
      </c>
      <c r="N2519">
        <v>64.150000000000006</v>
      </c>
      <c r="O2519">
        <v>61.63</v>
      </c>
      <c r="P2519">
        <v>0</v>
      </c>
      <c r="Q2519">
        <v>0</v>
      </c>
      <c r="R2519">
        <v>0</v>
      </c>
      <c r="S2519">
        <v>61.62</v>
      </c>
      <c r="T2519">
        <v>61.63</v>
      </c>
      <c r="U2519">
        <v>61.61</v>
      </c>
      <c r="V2519">
        <v>62.01</v>
      </c>
      <c r="W2519">
        <v>468316</v>
      </c>
      <c r="X2519">
        <v>61.62</v>
      </c>
      <c r="Y2519">
        <v>67.010000000000005</v>
      </c>
      <c r="Z2519">
        <v>4</v>
      </c>
      <c r="AA2519">
        <v>1642829</v>
      </c>
      <c r="AB2519">
        <v>233577.7</v>
      </c>
      <c r="AC2519">
        <v>0</v>
      </c>
      <c r="AD2519" t="s">
        <v>94</v>
      </c>
      <c r="AE2519" t="s">
        <v>94</v>
      </c>
      <c r="AF2519" t="s">
        <v>226</v>
      </c>
      <c r="AG2519" t="s">
        <v>226</v>
      </c>
      <c r="AH2519">
        <v>8</v>
      </c>
      <c r="AI2519" t="s">
        <v>3537</v>
      </c>
      <c r="AJ2519" t="s">
        <v>1976</v>
      </c>
      <c r="AK2519" t="s">
        <v>2416</v>
      </c>
      <c r="AL2519" t="s">
        <v>272</v>
      </c>
    </row>
    <row r="2520" spans="1:38">
      <c r="A2520" t="s">
        <v>10673</v>
      </c>
      <c r="B2520" t="s">
        <v>10674</v>
      </c>
      <c r="C2520" t="s">
        <v>10675</v>
      </c>
      <c r="D2520" t="s">
        <v>10675</v>
      </c>
      <c r="E2520" t="s">
        <v>10676</v>
      </c>
      <c r="F2520" t="s">
        <v>2413</v>
      </c>
      <c r="G2520">
        <v>3</v>
      </c>
      <c r="H2520">
        <v>1</v>
      </c>
      <c r="I2520">
        <v>0.01</v>
      </c>
      <c r="J2520">
        <v>1000</v>
      </c>
      <c r="K2520">
        <v>0</v>
      </c>
      <c r="L2520">
        <v>0</v>
      </c>
      <c r="M2520">
        <v>64.91</v>
      </c>
      <c r="N2520">
        <v>65.28</v>
      </c>
      <c r="O2520">
        <v>64.91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64.319999999999993</v>
      </c>
      <c r="Y2520">
        <v>71.95</v>
      </c>
      <c r="Z2520">
        <v>0</v>
      </c>
      <c r="AA2520">
        <v>464403</v>
      </c>
      <c r="AB2520">
        <v>0</v>
      </c>
      <c r="AC2520">
        <v>0</v>
      </c>
      <c r="AD2520" t="s">
        <v>94</v>
      </c>
      <c r="AE2520" t="s">
        <v>94</v>
      </c>
      <c r="AF2520" t="s">
        <v>226</v>
      </c>
      <c r="AG2520" t="s">
        <v>226</v>
      </c>
      <c r="AH2520">
        <v>8</v>
      </c>
      <c r="AI2520" t="s">
        <v>3537</v>
      </c>
      <c r="AJ2520" t="s">
        <v>1976</v>
      </c>
      <c r="AK2520" t="s">
        <v>2416</v>
      </c>
      <c r="AL2520" t="s">
        <v>272</v>
      </c>
    </row>
    <row r="2521" spans="1:38">
      <c r="A2521" t="s">
        <v>10677</v>
      </c>
      <c r="B2521" t="s">
        <v>10678</v>
      </c>
      <c r="C2521" t="s">
        <v>10679</v>
      </c>
      <c r="D2521" t="s">
        <v>10679</v>
      </c>
      <c r="E2521" t="s">
        <v>10680</v>
      </c>
      <c r="F2521" t="s">
        <v>2413</v>
      </c>
      <c r="G2521">
        <v>3</v>
      </c>
      <c r="H2521">
        <v>1</v>
      </c>
      <c r="I2521">
        <v>0.01</v>
      </c>
      <c r="J2521">
        <v>1000</v>
      </c>
      <c r="K2521">
        <v>0</v>
      </c>
      <c r="L2521">
        <v>0</v>
      </c>
      <c r="M2521">
        <v>74</v>
      </c>
      <c r="N2521">
        <v>78.819999999999993</v>
      </c>
      <c r="O2521">
        <v>74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79.319999999999993</v>
      </c>
      <c r="Y2521">
        <v>98.97</v>
      </c>
      <c r="Z2521">
        <v>0</v>
      </c>
      <c r="AA2521">
        <v>90723</v>
      </c>
      <c r="AB2521">
        <v>0</v>
      </c>
      <c r="AC2521">
        <v>0</v>
      </c>
      <c r="AD2521" t="s">
        <v>94</v>
      </c>
      <c r="AE2521" t="s">
        <v>94</v>
      </c>
      <c r="AF2521" t="s">
        <v>226</v>
      </c>
      <c r="AG2521" t="s">
        <v>226</v>
      </c>
      <c r="AH2521">
        <v>8</v>
      </c>
      <c r="AI2521" t="s">
        <v>3537</v>
      </c>
      <c r="AJ2521" t="s">
        <v>1976</v>
      </c>
      <c r="AK2521" t="s">
        <v>2416</v>
      </c>
      <c r="AL2521" t="s">
        <v>272</v>
      </c>
    </row>
    <row r="2522" spans="1:38">
      <c r="A2522" t="s">
        <v>10681</v>
      </c>
      <c r="B2522" t="s">
        <v>10682</v>
      </c>
      <c r="C2522" t="s">
        <v>10683</v>
      </c>
      <c r="D2522" t="s">
        <v>10683</v>
      </c>
      <c r="E2522" t="s">
        <v>10684</v>
      </c>
      <c r="F2522" t="s">
        <v>2413</v>
      </c>
      <c r="G2522">
        <v>3</v>
      </c>
      <c r="H2522">
        <v>1</v>
      </c>
      <c r="I2522">
        <v>0.01</v>
      </c>
      <c r="J2522">
        <v>1000</v>
      </c>
      <c r="K2522">
        <v>0</v>
      </c>
      <c r="L2522">
        <v>0</v>
      </c>
      <c r="M2522">
        <v>62.1</v>
      </c>
      <c r="N2522">
        <v>62.82</v>
      </c>
      <c r="O2522">
        <v>62.1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62.02</v>
      </c>
      <c r="Y2522">
        <v>68</v>
      </c>
      <c r="Z2522">
        <v>0</v>
      </c>
      <c r="AA2522">
        <v>1494811</v>
      </c>
      <c r="AB2522">
        <v>0</v>
      </c>
      <c r="AC2522">
        <v>0</v>
      </c>
      <c r="AD2522" t="s">
        <v>94</v>
      </c>
      <c r="AE2522" t="s">
        <v>94</v>
      </c>
      <c r="AF2522" t="s">
        <v>226</v>
      </c>
      <c r="AG2522" t="s">
        <v>226</v>
      </c>
      <c r="AH2522">
        <v>8</v>
      </c>
      <c r="AI2522" t="s">
        <v>3537</v>
      </c>
      <c r="AJ2522" t="s">
        <v>1976</v>
      </c>
      <c r="AK2522" t="s">
        <v>2416</v>
      </c>
      <c r="AL2522" t="s">
        <v>272</v>
      </c>
    </row>
    <row r="2523" spans="1:38">
      <c r="A2523" t="s">
        <v>10685</v>
      </c>
      <c r="B2523" t="s">
        <v>10686</v>
      </c>
      <c r="C2523" t="s">
        <v>10687</v>
      </c>
      <c r="D2523" t="s">
        <v>10687</v>
      </c>
      <c r="E2523" t="s">
        <v>10688</v>
      </c>
      <c r="F2523" t="s">
        <v>2413</v>
      </c>
      <c r="G2523">
        <v>3</v>
      </c>
      <c r="H2523">
        <v>1</v>
      </c>
      <c r="I2523">
        <v>0.01</v>
      </c>
      <c r="J2523">
        <v>1000</v>
      </c>
      <c r="K2523">
        <v>0</v>
      </c>
      <c r="L2523">
        <v>0</v>
      </c>
      <c r="M2523">
        <v>99.7</v>
      </c>
      <c r="N2523">
        <v>0</v>
      </c>
      <c r="O2523">
        <v>99.7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76.42</v>
      </c>
      <c r="Y2523">
        <v>0</v>
      </c>
      <c r="Z2523">
        <v>0</v>
      </c>
      <c r="AA2523">
        <v>386140</v>
      </c>
      <c r="AB2523">
        <v>0</v>
      </c>
      <c r="AC2523">
        <v>0</v>
      </c>
      <c r="AD2523" t="s">
        <v>94</v>
      </c>
      <c r="AE2523" t="s">
        <v>94</v>
      </c>
      <c r="AF2523" t="s">
        <v>304</v>
      </c>
      <c r="AG2523" t="s">
        <v>226</v>
      </c>
      <c r="AH2523">
        <v>800</v>
      </c>
      <c r="AI2523" t="s">
        <v>3537</v>
      </c>
      <c r="AJ2523" t="s">
        <v>1976</v>
      </c>
      <c r="AK2523" t="s">
        <v>2416</v>
      </c>
      <c r="AL2523" t="s">
        <v>272</v>
      </c>
    </row>
    <row r="2524" spans="1:38">
      <c r="A2524" t="s">
        <v>10689</v>
      </c>
      <c r="B2524" t="s">
        <v>10690</v>
      </c>
      <c r="C2524" t="s">
        <v>10691</v>
      </c>
      <c r="D2524" t="s">
        <v>10691</v>
      </c>
      <c r="E2524" t="s">
        <v>10692</v>
      </c>
      <c r="F2524" t="s">
        <v>2413</v>
      </c>
      <c r="G2524">
        <v>3</v>
      </c>
      <c r="H2524">
        <v>1</v>
      </c>
      <c r="I2524">
        <v>0.01</v>
      </c>
      <c r="J2524">
        <v>1000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74.92</v>
      </c>
      <c r="Y2524">
        <v>0</v>
      </c>
      <c r="Z2524">
        <v>0</v>
      </c>
      <c r="AA2524">
        <v>28570</v>
      </c>
      <c r="AB2524">
        <v>0</v>
      </c>
      <c r="AC2524">
        <v>0</v>
      </c>
      <c r="AD2524" t="s">
        <v>94</v>
      </c>
      <c r="AE2524" t="s">
        <v>94</v>
      </c>
      <c r="AF2524" t="s">
        <v>304</v>
      </c>
      <c r="AG2524" t="s">
        <v>226</v>
      </c>
      <c r="AH2524">
        <v>800</v>
      </c>
      <c r="AI2524" t="s">
        <v>3537</v>
      </c>
      <c r="AJ2524" t="s">
        <v>1976</v>
      </c>
      <c r="AK2524" t="s">
        <v>2416</v>
      </c>
      <c r="AL2524" t="s">
        <v>272</v>
      </c>
    </row>
    <row r="2525" spans="1:38">
      <c r="A2525" t="s">
        <v>10693</v>
      </c>
      <c r="B2525" t="s">
        <v>10694</v>
      </c>
      <c r="C2525" t="s">
        <v>10695</v>
      </c>
      <c r="D2525" t="s">
        <v>10695</v>
      </c>
      <c r="E2525" t="s">
        <v>10696</v>
      </c>
      <c r="F2525" t="s">
        <v>2413</v>
      </c>
      <c r="G2525">
        <v>3</v>
      </c>
      <c r="H2525">
        <v>1</v>
      </c>
      <c r="I2525">
        <v>0.01</v>
      </c>
      <c r="J2525">
        <v>1000</v>
      </c>
      <c r="K2525">
        <v>0</v>
      </c>
      <c r="L2525">
        <v>0</v>
      </c>
      <c r="M2525">
        <v>82.4</v>
      </c>
      <c r="N2525">
        <v>93.4</v>
      </c>
      <c r="O2525">
        <v>82.4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80.87</v>
      </c>
      <c r="Y2525">
        <v>115.35</v>
      </c>
      <c r="Z2525">
        <v>0</v>
      </c>
      <c r="AA2525">
        <v>64504</v>
      </c>
      <c r="AB2525">
        <v>0</v>
      </c>
      <c r="AC2525">
        <v>0</v>
      </c>
      <c r="AD2525" t="s">
        <v>94</v>
      </c>
      <c r="AE2525" t="s">
        <v>94</v>
      </c>
      <c r="AF2525" t="s">
        <v>226</v>
      </c>
      <c r="AG2525" t="s">
        <v>226</v>
      </c>
      <c r="AH2525">
        <v>8</v>
      </c>
      <c r="AI2525" t="s">
        <v>3537</v>
      </c>
      <c r="AJ2525" t="s">
        <v>1976</v>
      </c>
      <c r="AK2525" t="s">
        <v>2416</v>
      </c>
      <c r="AL2525" t="s">
        <v>272</v>
      </c>
    </row>
    <row r="2526" spans="1:38">
      <c r="A2526" t="s">
        <v>10697</v>
      </c>
      <c r="B2526" t="s">
        <v>10698</v>
      </c>
      <c r="C2526" t="s">
        <v>10699</v>
      </c>
      <c r="D2526" t="s">
        <v>10699</v>
      </c>
      <c r="E2526" t="s">
        <v>10700</v>
      </c>
      <c r="F2526" t="s">
        <v>2413</v>
      </c>
      <c r="G2526">
        <v>3</v>
      </c>
      <c r="H2526">
        <v>1</v>
      </c>
      <c r="I2526">
        <v>0.01</v>
      </c>
      <c r="J2526">
        <v>1000</v>
      </c>
      <c r="K2526">
        <v>-2.12</v>
      </c>
      <c r="L2526">
        <v>68.22</v>
      </c>
      <c r="M2526">
        <v>69.7</v>
      </c>
      <c r="N2526">
        <v>69.540000000000006</v>
      </c>
      <c r="O2526">
        <v>68.22</v>
      </c>
      <c r="P2526">
        <v>0</v>
      </c>
      <c r="Q2526">
        <v>0</v>
      </c>
      <c r="R2526">
        <v>0</v>
      </c>
      <c r="S2526">
        <v>68.22</v>
      </c>
      <c r="T2526">
        <v>68.23</v>
      </c>
      <c r="U2526">
        <v>68.22</v>
      </c>
      <c r="V2526">
        <v>68.23</v>
      </c>
      <c r="W2526">
        <v>102330</v>
      </c>
      <c r="X2526">
        <v>68.22</v>
      </c>
      <c r="Y2526">
        <v>69.69</v>
      </c>
      <c r="Z2526">
        <v>2</v>
      </c>
      <c r="AA2526">
        <v>1499975</v>
      </c>
      <c r="AB2526">
        <v>101647.8</v>
      </c>
      <c r="AC2526">
        <v>0</v>
      </c>
      <c r="AD2526" t="s">
        <v>94</v>
      </c>
      <c r="AE2526" t="s">
        <v>94</v>
      </c>
      <c r="AF2526" t="s">
        <v>226</v>
      </c>
      <c r="AG2526" t="s">
        <v>226</v>
      </c>
      <c r="AH2526">
        <v>8</v>
      </c>
      <c r="AI2526" t="s">
        <v>3537</v>
      </c>
      <c r="AJ2526" t="s">
        <v>1976</v>
      </c>
      <c r="AK2526" t="s">
        <v>2416</v>
      </c>
      <c r="AL2526" t="s">
        <v>272</v>
      </c>
    </row>
    <row r="2527" spans="1:38">
      <c r="A2527" t="s">
        <v>10701</v>
      </c>
      <c r="B2527" t="s">
        <v>10702</v>
      </c>
      <c r="C2527" t="s">
        <v>10703</v>
      </c>
      <c r="D2527" t="s">
        <v>10703</v>
      </c>
      <c r="E2527" t="s">
        <v>10704</v>
      </c>
      <c r="F2527" t="s">
        <v>2413</v>
      </c>
      <c r="G2527">
        <v>3</v>
      </c>
      <c r="H2527">
        <v>1</v>
      </c>
      <c r="I2527">
        <v>0.01</v>
      </c>
      <c r="J2527">
        <v>1000</v>
      </c>
      <c r="K2527">
        <v>23.25</v>
      </c>
      <c r="L2527">
        <v>88</v>
      </c>
      <c r="M2527">
        <v>71.400000000000006</v>
      </c>
      <c r="N2527">
        <v>69.930000000000007</v>
      </c>
      <c r="O2527">
        <v>83.01</v>
      </c>
      <c r="P2527">
        <v>0</v>
      </c>
      <c r="Q2527">
        <v>0</v>
      </c>
      <c r="R2527">
        <v>0</v>
      </c>
      <c r="S2527">
        <v>83.01</v>
      </c>
      <c r="T2527">
        <v>78.010000000000005</v>
      </c>
      <c r="U2527">
        <v>78.010000000000005</v>
      </c>
      <c r="V2527">
        <v>88</v>
      </c>
      <c r="W2527">
        <v>2490</v>
      </c>
      <c r="X2527">
        <v>78.010000000000005</v>
      </c>
      <c r="Y2527">
        <v>88</v>
      </c>
      <c r="Z2527">
        <v>3</v>
      </c>
      <c r="AA2527">
        <v>823095</v>
      </c>
      <c r="AB2527">
        <v>880</v>
      </c>
      <c r="AC2527">
        <v>0</v>
      </c>
      <c r="AD2527" t="s">
        <v>94</v>
      </c>
      <c r="AE2527" t="s">
        <v>94</v>
      </c>
      <c r="AF2527" t="s">
        <v>226</v>
      </c>
      <c r="AG2527" t="s">
        <v>226</v>
      </c>
      <c r="AH2527">
        <v>8</v>
      </c>
      <c r="AI2527" t="s">
        <v>3537</v>
      </c>
      <c r="AJ2527" t="s">
        <v>1976</v>
      </c>
      <c r="AK2527" t="s">
        <v>2416</v>
      </c>
      <c r="AL2527" t="s">
        <v>272</v>
      </c>
    </row>
    <row r="2528" spans="1:38">
      <c r="A2528" t="s">
        <v>10705</v>
      </c>
      <c r="B2528" t="s">
        <v>10706</v>
      </c>
      <c r="C2528" t="s">
        <v>10707</v>
      </c>
      <c r="D2528" t="s">
        <v>10707</v>
      </c>
      <c r="E2528" t="s">
        <v>10708</v>
      </c>
      <c r="F2528" t="s">
        <v>2413</v>
      </c>
      <c r="G2528">
        <v>3</v>
      </c>
      <c r="H2528">
        <v>1</v>
      </c>
      <c r="I2528">
        <v>0.01</v>
      </c>
      <c r="J2528">
        <v>1000</v>
      </c>
      <c r="K2528">
        <v>0</v>
      </c>
      <c r="L2528">
        <v>0</v>
      </c>
      <c r="M2528">
        <v>64.8</v>
      </c>
      <c r="N2528">
        <v>67.14</v>
      </c>
      <c r="O2528">
        <v>64.8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63.33</v>
      </c>
      <c r="Y2528">
        <v>70</v>
      </c>
      <c r="Z2528">
        <v>0</v>
      </c>
      <c r="AA2528">
        <v>520483</v>
      </c>
      <c r="AB2528">
        <v>0</v>
      </c>
      <c r="AC2528">
        <v>0</v>
      </c>
      <c r="AD2528" t="s">
        <v>94</v>
      </c>
      <c r="AE2528" t="s">
        <v>94</v>
      </c>
      <c r="AF2528" t="s">
        <v>226</v>
      </c>
      <c r="AG2528" t="s">
        <v>226</v>
      </c>
      <c r="AH2528">
        <v>8</v>
      </c>
      <c r="AI2528" t="s">
        <v>3537</v>
      </c>
      <c r="AJ2528" t="s">
        <v>1976</v>
      </c>
      <c r="AK2528" t="s">
        <v>2416</v>
      </c>
      <c r="AL2528" t="s">
        <v>272</v>
      </c>
    </row>
    <row r="2529" spans="1:38">
      <c r="A2529" t="s">
        <v>10709</v>
      </c>
      <c r="B2529" t="s">
        <v>10710</v>
      </c>
      <c r="C2529" t="s">
        <v>10711</v>
      </c>
      <c r="D2529" t="s">
        <v>10711</v>
      </c>
      <c r="E2529" t="s">
        <v>10712</v>
      </c>
      <c r="F2529" t="s">
        <v>2413</v>
      </c>
      <c r="G2529">
        <v>3</v>
      </c>
      <c r="H2529">
        <v>1</v>
      </c>
      <c r="I2529">
        <v>0.01</v>
      </c>
      <c r="J2529">
        <v>1000</v>
      </c>
      <c r="K2529">
        <v>-1.33</v>
      </c>
      <c r="L2529">
        <v>73.709999999999994</v>
      </c>
      <c r="M2529">
        <v>74.7</v>
      </c>
      <c r="N2529">
        <v>74.849999999999994</v>
      </c>
      <c r="O2529">
        <v>73.72</v>
      </c>
      <c r="P2529">
        <v>0</v>
      </c>
      <c r="Q2529">
        <v>0</v>
      </c>
      <c r="R2529">
        <v>0</v>
      </c>
      <c r="S2529">
        <v>73.760000000000005</v>
      </c>
      <c r="T2529">
        <v>73.5</v>
      </c>
      <c r="U2529">
        <v>73.5</v>
      </c>
      <c r="V2529">
        <v>74</v>
      </c>
      <c r="W2529">
        <v>520032</v>
      </c>
      <c r="X2529">
        <v>73.709999999999994</v>
      </c>
      <c r="Y2529">
        <v>81.95</v>
      </c>
      <c r="Z2529">
        <v>6</v>
      </c>
      <c r="AA2529">
        <v>1684274</v>
      </c>
      <c r="AB2529">
        <v>23587.200000000001</v>
      </c>
      <c r="AC2529">
        <v>0</v>
      </c>
      <c r="AD2529" t="s">
        <v>94</v>
      </c>
      <c r="AE2529" t="s">
        <v>94</v>
      </c>
      <c r="AF2529" t="s">
        <v>226</v>
      </c>
      <c r="AG2529" t="s">
        <v>226</v>
      </c>
      <c r="AH2529">
        <v>8</v>
      </c>
      <c r="AI2529" t="s">
        <v>3537</v>
      </c>
      <c r="AJ2529" t="s">
        <v>1976</v>
      </c>
      <c r="AK2529" t="s">
        <v>2416</v>
      </c>
      <c r="AL2529" t="s">
        <v>272</v>
      </c>
    </row>
    <row r="2530" spans="1:38">
      <c r="A2530" t="s">
        <v>10713</v>
      </c>
      <c r="B2530" t="s">
        <v>10714</v>
      </c>
      <c r="C2530" t="s">
        <v>10715</v>
      </c>
      <c r="D2530" t="s">
        <v>10715</v>
      </c>
      <c r="E2530" t="s">
        <v>10716</v>
      </c>
      <c r="F2530" t="s">
        <v>2413</v>
      </c>
      <c r="G2530">
        <v>3</v>
      </c>
      <c r="H2530">
        <v>1</v>
      </c>
      <c r="I2530">
        <v>0.01</v>
      </c>
      <c r="J2530">
        <v>1000</v>
      </c>
      <c r="K2530">
        <v>0</v>
      </c>
      <c r="L2530">
        <v>0</v>
      </c>
      <c r="M2530">
        <v>93.51</v>
      </c>
      <c r="N2530">
        <v>91.71</v>
      </c>
      <c r="O2530">
        <v>93.51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89.32</v>
      </c>
      <c r="Y2530">
        <v>130.91</v>
      </c>
      <c r="Z2530">
        <v>0</v>
      </c>
      <c r="AA2530">
        <v>59596</v>
      </c>
      <c r="AB2530">
        <v>0</v>
      </c>
      <c r="AC2530">
        <v>0</v>
      </c>
      <c r="AD2530" t="s">
        <v>94</v>
      </c>
      <c r="AE2530" t="s">
        <v>94</v>
      </c>
      <c r="AF2530" t="s">
        <v>226</v>
      </c>
      <c r="AG2530" t="s">
        <v>226</v>
      </c>
      <c r="AH2530">
        <v>8</v>
      </c>
      <c r="AI2530" t="s">
        <v>3537</v>
      </c>
      <c r="AJ2530" t="s">
        <v>1976</v>
      </c>
      <c r="AK2530" t="s">
        <v>2416</v>
      </c>
      <c r="AL2530" t="s">
        <v>272</v>
      </c>
    </row>
    <row r="2531" spans="1:38">
      <c r="A2531" t="s">
        <v>10717</v>
      </c>
      <c r="B2531" t="s">
        <v>10718</v>
      </c>
      <c r="C2531" t="s">
        <v>10719</v>
      </c>
      <c r="D2531" t="s">
        <v>10719</v>
      </c>
      <c r="E2531" t="s">
        <v>10720</v>
      </c>
      <c r="F2531" t="s">
        <v>2413</v>
      </c>
      <c r="G2531">
        <v>3</v>
      </c>
      <c r="H2531">
        <v>1</v>
      </c>
      <c r="I2531">
        <v>0.01</v>
      </c>
      <c r="J2531">
        <v>1000</v>
      </c>
      <c r="K2531">
        <v>0</v>
      </c>
      <c r="L2531">
        <v>0</v>
      </c>
      <c r="M2531">
        <v>61.2</v>
      </c>
      <c r="N2531">
        <v>61.83</v>
      </c>
      <c r="O2531">
        <v>61.2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60.43</v>
      </c>
      <c r="Y2531">
        <v>69.98</v>
      </c>
      <c r="Z2531">
        <v>0</v>
      </c>
      <c r="AA2531">
        <v>453695</v>
      </c>
      <c r="AB2531">
        <v>0</v>
      </c>
      <c r="AC2531">
        <v>0</v>
      </c>
      <c r="AD2531" t="s">
        <v>94</v>
      </c>
      <c r="AE2531" t="s">
        <v>94</v>
      </c>
      <c r="AF2531" t="s">
        <v>226</v>
      </c>
      <c r="AG2531" t="s">
        <v>226</v>
      </c>
      <c r="AH2531">
        <v>8</v>
      </c>
      <c r="AI2531" t="s">
        <v>3537</v>
      </c>
      <c r="AJ2531" t="s">
        <v>1976</v>
      </c>
      <c r="AK2531" t="s">
        <v>2416</v>
      </c>
      <c r="AL2531" t="s">
        <v>272</v>
      </c>
    </row>
    <row r="2532" spans="1:38">
      <c r="A2532" t="s">
        <v>10721</v>
      </c>
      <c r="B2532" t="s">
        <v>10722</v>
      </c>
      <c r="C2532" t="s">
        <v>10723</v>
      </c>
      <c r="D2532" t="s">
        <v>10723</v>
      </c>
      <c r="E2532" t="s">
        <v>10724</v>
      </c>
      <c r="F2532" t="s">
        <v>2413</v>
      </c>
      <c r="G2532">
        <v>3</v>
      </c>
      <c r="H2532">
        <v>1</v>
      </c>
      <c r="I2532">
        <v>0.01</v>
      </c>
      <c r="J2532">
        <v>1000</v>
      </c>
      <c r="K2532">
        <v>0</v>
      </c>
      <c r="L2532">
        <v>0</v>
      </c>
      <c r="M2532">
        <v>75.5</v>
      </c>
      <c r="N2532">
        <v>74.16</v>
      </c>
      <c r="O2532">
        <v>75.5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73.73</v>
      </c>
      <c r="Y2532">
        <v>78.78</v>
      </c>
      <c r="Z2532">
        <v>0</v>
      </c>
      <c r="AA2532">
        <v>624306</v>
      </c>
      <c r="AB2532">
        <v>0</v>
      </c>
      <c r="AC2532">
        <v>0</v>
      </c>
      <c r="AD2532" t="s">
        <v>94</v>
      </c>
      <c r="AE2532" t="s">
        <v>94</v>
      </c>
      <c r="AF2532" t="s">
        <v>226</v>
      </c>
      <c r="AG2532" t="s">
        <v>226</v>
      </c>
      <c r="AH2532">
        <v>8</v>
      </c>
      <c r="AI2532" t="s">
        <v>3537</v>
      </c>
      <c r="AJ2532" t="s">
        <v>1976</v>
      </c>
      <c r="AK2532" t="s">
        <v>2416</v>
      </c>
      <c r="AL2532" t="s">
        <v>272</v>
      </c>
    </row>
    <row r="2533" spans="1:38">
      <c r="A2533" t="s">
        <v>10725</v>
      </c>
      <c r="B2533" t="s">
        <v>10726</v>
      </c>
      <c r="C2533" t="s">
        <v>10727</v>
      </c>
      <c r="D2533" t="s">
        <v>10727</v>
      </c>
      <c r="E2533" t="s">
        <v>10728</v>
      </c>
      <c r="F2533" t="s">
        <v>2413</v>
      </c>
      <c r="G2533">
        <v>3</v>
      </c>
      <c r="H2533">
        <v>1</v>
      </c>
      <c r="I2533">
        <v>0.01</v>
      </c>
      <c r="J2533">
        <v>1000</v>
      </c>
      <c r="K2533">
        <v>0</v>
      </c>
      <c r="L2533">
        <v>0</v>
      </c>
      <c r="M2533">
        <v>61.31</v>
      </c>
      <c r="N2533">
        <v>60.89</v>
      </c>
      <c r="O2533">
        <v>61.31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60.7</v>
      </c>
      <c r="Y2533">
        <v>67.83</v>
      </c>
      <c r="Z2533">
        <v>0</v>
      </c>
      <c r="AA2533">
        <v>1562498</v>
      </c>
      <c r="AB2533">
        <v>0</v>
      </c>
      <c r="AC2533">
        <v>0</v>
      </c>
      <c r="AD2533" t="s">
        <v>94</v>
      </c>
      <c r="AE2533" t="s">
        <v>94</v>
      </c>
      <c r="AF2533" t="s">
        <v>226</v>
      </c>
      <c r="AG2533" t="s">
        <v>226</v>
      </c>
      <c r="AH2533">
        <v>8</v>
      </c>
      <c r="AI2533" t="s">
        <v>3537</v>
      </c>
      <c r="AJ2533" t="s">
        <v>1976</v>
      </c>
      <c r="AK2533" t="s">
        <v>2416</v>
      </c>
      <c r="AL2533" t="s">
        <v>272</v>
      </c>
    </row>
    <row r="2534" spans="1:38">
      <c r="A2534" t="s">
        <v>10729</v>
      </c>
      <c r="B2534" t="s">
        <v>10730</v>
      </c>
      <c r="C2534" t="s">
        <v>10731</v>
      </c>
      <c r="D2534" t="s">
        <v>10731</v>
      </c>
      <c r="E2534" t="s">
        <v>10732</v>
      </c>
      <c r="F2534" t="s">
        <v>2413</v>
      </c>
      <c r="G2534">
        <v>3</v>
      </c>
      <c r="H2534">
        <v>1</v>
      </c>
      <c r="I2534">
        <v>0.01</v>
      </c>
      <c r="J2534">
        <v>1000</v>
      </c>
      <c r="K2534">
        <v>-2.89</v>
      </c>
      <c r="L2534">
        <v>67.099999999999994</v>
      </c>
      <c r="M2534">
        <v>69.099999999999994</v>
      </c>
      <c r="N2534">
        <v>69.38</v>
      </c>
      <c r="O2534">
        <v>67.099999999999994</v>
      </c>
      <c r="P2534">
        <v>0</v>
      </c>
      <c r="Q2534">
        <v>0</v>
      </c>
      <c r="R2534">
        <v>0</v>
      </c>
      <c r="S2534">
        <v>67.11</v>
      </c>
      <c r="T2534">
        <v>67.25</v>
      </c>
      <c r="U2534">
        <v>67.010000000000005</v>
      </c>
      <c r="V2534">
        <v>67.25</v>
      </c>
      <c r="W2534">
        <v>1066305</v>
      </c>
      <c r="X2534">
        <v>67.03</v>
      </c>
      <c r="Y2534">
        <v>84.46</v>
      </c>
      <c r="Z2534">
        <v>3</v>
      </c>
      <c r="AA2534">
        <v>1146170</v>
      </c>
      <c r="AB2534">
        <v>395219</v>
      </c>
      <c r="AC2534">
        <v>0</v>
      </c>
      <c r="AD2534" t="s">
        <v>94</v>
      </c>
      <c r="AE2534" t="s">
        <v>94</v>
      </c>
      <c r="AF2534" t="s">
        <v>226</v>
      </c>
      <c r="AG2534" t="s">
        <v>226</v>
      </c>
      <c r="AH2534">
        <v>8</v>
      </c>
      <c r="AI2534" t="s">
        <v>3537</v>
      </c>
      <c r="AJ2534" t="s">
        <v>1976</v>
      </c>
      <c r="AK2534" t="s">
        <v>2416</v>
      </c>
      <c r="AL2534" t="s">
        <v>272</v>
      </c>
    </row>
    <row r="2535" spans="1:38">
      <c r="A2535" t="s">
        <v>10733</v>
      </c>
      <c r="B2535" t="s">
        <v>10734</v>
      </c>
      <c r="C2535" t="s">
        <v>10735</v>
      </c>
      <c r="D2535" t="s">
        <v>10735</v>
      </c>
      <c r="E2535" t="s">
        <v>10736</v>
      </c>
      <c r="F2535" t="s">
        <v>2413</v>
      </c>
      <c r="G2535">
        <v>3</v>
      </c>
      <c r="H2535">
        <v>1</v>
      </c>
      <c r="I2535">
        <v>0.01</v>
      </c>
      <c r="J2535">
        <v>1000</v>
      </c>
      <c r="K2535">
        <v>0</v>
      </c>
      <c r="L2535">
        <v>0</v>
      </c>
      <c r="M2535">
        <v>64.010000000000005</v>
      </c>
      <c r="N2535">
        <v>68.290000000000006</v>
      </c>
      <c r="O2535">
        <v>64.010000000000005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62</v>
      </c>
      <c r="Y2535">
        <v>69</v>
      </c>
      <c r="Z2535">
        <v>0</v>
      </c>
      <c r="AA2535">
        <v>490227</v>
      </c>
      <c r="AB2535">
        <v>0</v>
      </c>
      <c r="AC2535">
        <v>0</v>
      </c>
      <c r="AD2535" t="s">
        <v>94</v>
      </c>
      <c r="AE2535" t="s">
        <v>94</v>
      </c>
      <c r="AF2535" t="s">
        <v>226</v>
      </c>
      <c r="AG2535" t="s">
        <v>226</v>
      </c>
      <c r="AH2535">
        <v>8</v>
      </c>
      <c r="AI2535" t="s">
        <v>3537</v>
      </c>
      <c r="AJ2535" t="s">
        <v>1976</v>
      </c>
      <c r="AK2535" t="s">
        <v>2416</v>
      </c>
      <c r="AL2535" t="s">
        <v>272</v>
      </c>
    </row>
    <row r="2536" spans="1:38">
      <c r="A2536" t="s">
        <v>10737</v>
      </c>
      <c r="B2536" t="s">
        <v>10738</v>
      </c>
      <c r="C2536" t="s">
        <v>10739</v>
      </c>
      <c r="D2536" t="s">
        <v>10739</v>
      </c>
      <c r="E2536" t="s">
        <v>10740</v>
      </c>
      <c r="F2536" t="s">
        <v>2413</v>
      </c>
      <c r="G2536">
        <v>3</v>
      </c>
      <c r="H2536">
        <v>1</v>
      </c>
      <c r="I2536">
        <v>0.01</v>
      </c>
      <c r="J2536">
        <v>1000</v>
      </c>
      <c r="K2536">
        <v>0</v>
      </c>
      <c r="L2536">
        <v>0</v>
      </c>
      <c r="M2536">
        <v>83.12</v>
      </c>
      <c r="N2536">
        <v>67.75</v>
      </c>
      <c r="O2536">
        <v>83.12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66.91</v>
      </c>
      <c r="Y2536">
        <v>79.88</v>
      </c>
      <c r="Z2536">
        <v>0</v>
      </c>
      <c r="AA2536">
        <v>345947</v>
      </c>
      <c r="AB2536">
        <v>0</v>
      </c>
      <c r="AC2536">
        <v>0</v>
      </c>
      <c r="AD2536" t="s">
        <v>94</v>
      </c>
      <c r="AE2536" t="s">
        <v>94</v>
      </c>
      <c r="AF2536" t="s">
        <v>226</v>
      </c>
      <c r="AG2536" t="s">
        <v>226</v>
      </c>
      <c r="AH2536">
        <v>8</v>
      </c>
      <c r="AI2536" t="s">
        <v>3537</v>
      </c>
      <c r="AJ2536" t="s">
        <v>1976</v>
      </c>
      <c r="AK2536" t="s">
        <v>2416</v>
      </c>
      <c r="AL2536" t="s">
        <v>272</v>
      </c>
    </row>
    <row r="2537" spans="1:38">
      <c r="A2537" t="s">
        <v>10741</v>
      </c>
      <c r="B2537" t="s">
        <v>10742</v>
      </c>
      <c r="C2537" t="s">
        <v>10743</v>
      </c>
      <c r="D2537" t="s">
        <v>10743</v>
      </c>
      <c r="E2537" t="s">
        <v>10744</v>
      </c>
      <c r="F2537" t="s">
        <v>2413</v>
      </c>
      <c r="G2537">
        <v>3</v>
      </c>
      <c r="H2537">
        <v>1</v>
      </c>
      <c r="I2537">
        <v>0.01</v>
      </c>
      <c r="J2537">
        <v>1000</v>
      </c>
      <c r="K2537">
        <v>0</v>
      </c>
      <c r="L2537">
        <v>0</v>
      </c>
      <c r="M2537">
        <v>73.099999999999994</v>
      </c>
      <c r="N2537">
        <v>74.05</v>
      </c>
      <c r="O2537">
        <v>73.099999999999994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72.42</v>
      </c>
      <c r="Y2537">
        <v>81.010000000000005</v>
      </c>
      <c r="Z2537">
        <v>0</v>
      </c>
      <c r="AA2537">
        <v>430743</v>
      </c>
      <c r="AB2537">
        <v>0</v>
      </c>
      <c r="AC2537">
        <v>0</v>
      </c>
      <c r="AD2537" t="s">
        <v>94</v>
      </c>
      <c r="AE2537" t="s">
        <v>94</v>
      </c>
      <c r="AF2537" t="s">
        <v>226</v>
      </c>
      <c r="AG2537" t="s">
        <v>226</v>
      </c>
      <c r="AH2537">
        <v>8</v>
      </c>
      <c r="AI2537" t="s">
        <v>3537</v>
      </c>
      <c r="AJ2537" t="s">
        <v>1976</v>
      </c>
      <c r="AK2537" t="s">
        <v>2416</v>
      </c>
      <c r="AL2537" t="s">
        <v>272</v>
      </c>
    </row>
    <row r="2538" spans="1:38">
      <c r="A2538" t="s">
        <v>10745</v>
      </c>
      <c r="B2538" t="s">
        <v>10746</v>
      </c>
      <c r="C2538" t="s">
        <v>10747</v>
      </c>
      <c r="D2538" t="s">
        <v>10747</v>
      </c>
      <c r="E2538" t="s">
        <v>10748</v>
      </c>
      <c r="F2538" t="s">
        <v>2413</v>
      </c>
      <c r="G2538">
        <v>3</v>
      </c>
      <c r="H2538">
        <v>1</v>
      </c>
      <c r="I2538">
        <v>0.01</v>
      </c>
      <c r="J2538">
        <v>1000</v>
      </c>
      <c r="K2538">
        <v>0</v>
      </c>
      <c r="L2538">
        <v>0</v>
      </c>
      <c r="M2538">
        <v>129.12</v>
      </c>
      <c r="N2538">
        <v>0</v>
      </c>
      <c r="O2538">
        <v>129.12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93.58</v>
      </c>
      <c r="Y2538">
        <v>127</v>
      </c>
      <c r="Z2538">
        <v>0</v>
      </c>
      <c r="AA2538">
        <v>982875</v>
      </c>
      <c r="AB2538">
        <v>0</v>
      </c>
      <c r="AC2538">
        <v>0</v>
      </c>
      <c r="AD2538" t="s">
        <v>94</v>
      </c>
      <c r="AE2538" t="s">
        <v>94</v>
      </c>
      <c r="AF2538" t="s">
        <v>226</v>
      </c>
      <c r="AG2538" t="s">
        <v>226</v>
      </c>
      <c r="AH2538">
        <v>8</v>
      </c>
      <c r="AI2538" t="s">
        <v>3537</v>
      </c>
      <c r="AJ2538" t="s">
        <v>1976</v>
      </c>
      <c r="AK2538" t="s">
        <v>2416</v>
      </c>
      <c r="AL2538" t="s">
        <v>272</v>
      </c>
    </row>
    <row r="2539" spans="1:38">
      <c r="A2539" t="s">
        <v>10749</v>
      </c>
      <c r="B2539" t="s">
        <v>10750</v>
      </c>
      <c r="C2539" t="s">
        <v>10751</v>
      </c>
      <c r="D2539" t="s">
        <v>10751</v>
      </c>
      <c r="E2539" t="s">
        <v>10752</v>
      </c>
      <c r="F2539" t="s">
        <v>2413</v>
      </c>
      <c r="G2539">
        <v>3</v>
      </c>
      <c r="H2539">
        <v>1</v>
      </c>
      <c r="I2539">
        <v>0.01</v>
      </c>
      <c r="J2539">
        <v>1000</v>
      </c>
      <c r="K2539">
        <v>0</v>
      </c>
      <c r="L2539">
        <v>0</v>
      </c>
      <c r="M2539">
        <v>109</v>
      </c>
      <c r="N2539">
        <v>0</v>
      </c>
      <c r="O2539">
        <v>109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109.11</v>
      </c>
      <c r="Y2539">
        <v>156.1</v>
      </c>
      <c r="Z2539">
        <v>0</v>
      </c>
      <c r="AA2539">
        <v>986472</v>
      </c>
      <c r="AB2539">
        <v>0</v>
      </c>
      <c r="AC2539">
        <v>0</v>
      </c>
      <c r="AD2539" t="s">
        <v>94</v>
      </c>
      <c r="AE2539" t="s">
        <v>94</v>
      </c>
      <c r="AF2539" t="s">
        <v>226</v>
      </c>
      <c r="AG2539" t="s">
        <v>226</v>
      </c>
      <c r="AH2539">
        <v>8</v>
      </c>
      <c r="AI2539" t="s">
        <v>3537</v>
      </c>
      <c r="AJ2539" t="s">
        <v>1976</v>
      </c>
      <c r="AK2539" t="s">
        <v>2416</v>
      </c>
      <c r="AL2539" t="s">
        <v>272</v>
      </c>
    </row>
    <row r="2540" spans="1:38">
      <c r="A2540" t="s">
        <v>10753</v>
      </c>
      <c r="B2540" t="s">
        <v>10754</v>
      </c>
      <c r="C2540" t="s">
        <v>10755</v>
      </c>
      <c r="D2540" t="s">
        <v>10755</v>
      </c>
      <c r="E2540" t="s">
        <v>10756</v>
      </c>
      <c r="F2540" t="s">
        <v>2413</v>
      </c>
      <c r="G2540">
        <v>3</v>
      </c>
      <c r="H2540">
        <v>1</v>
      </c>
      <c r="I2540">
        <v>0.01</v>
      </c>
      <c r="J2540">
        <v>1000</v>
      </c>
      <c r="K2540">
        <v>0</v>
      </c>
      <c r="L2540">
        <v>0</v>
      </c>
      <c r="M2540">
        <v>83.01</v>
      </c>
      <c r="N2540">
        <v>0</v>
      </c>
      <c r="O2540">
        <v>83.01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78.010000000000005</v>
      </c>
      <c r="Y2540">
        <v>94.91</v>
      </c>
      <c r="Z2540">
        <v>0</v>
      </c>
      <c r="AA2540">
        <v>982644</v>
      </c>
      <c r="AB2540">
        <v>0</v>
      </c>
      <c r="AC2540">
        <v>0</v>
      </c>
      <c r="AD2540" t="s">
        <v>94</v>
      </c>
      <c r="AE2540" t="s">
        <v>94</v>
      </c>
      <c r="AF2540" t="s">
        <v>226</v>
      </c>
      <c r="AG2540" t="s">
        <v>226</v>
      </c>
      <c r="AH2540">
        <v>8</v>
      </c>
      <c r="AI2540" t="s">
        <v>3537</v>
      </c>
      <c r="AJ2540" t="s">
        <v>1976</v>
      </c>
      <c r="AK2540" t="s">
        <v>2416</v>
      </c>
      <c r="AL2540" t="s">
        <v>272</v>
      </c>
    </row>
    <row r="2541" spans="1:38">
      <c r="A2541" t="s">
        <v>10757</v>
      </c>
      <c r="B2541" t="s">
        <v>10758</v>
      </c>
      <c r="C2541" t="s">
        <v>10759</v>
      </c>
      <c r="D2541" t="s">
        <v>10759</v>
      </c>
      <c r="E2541" t="s">
        <v>10760</v>
      </c>
      <c r="F2541" t="s">
        <v>2413</v>
      </c>
      <c r="G2541">
        <v>3</v>
      </c>
      <c r="H2541">
        <v>1</v>
      </c>
      <c r="I2541">
        <v>0.01</v>
      </c>
      <c r="J2541">
        <v>1000</v>
      </c>
      <c r="K2541">
        <v>0</v>
      </c>
      <c r="L2541">
        <v>0</v>
      </c>
      <c r="M2541">
        <v>67</v>
      </c>
      <c r="N2541">
        <v>59.88</v>
      </c>
      <c r="O2541">
        <v>67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58.46</v>
      </c>
      <c r="Y2541">
        <v>67</v>
      </c>
      <c r="Z2541">
        <v>0</v>
      </c>
      <c r="AA2541">
        <v>366355</v>
      </c>
      <c r="AB2541">
        <v>0</v>
      </c>
      <c r="AC2541">
        <v>0</v>
      </c>
      <c r="AD2541" t="s">
        <v>94</v>
      </c>
      <c r="AE2541" t="s">
        <v>94</v>
      </c>
      <c r="AF2541" t="s">
        <v>226</v>
      </c>
      <c r="AG2541" t="s">
        <v>226</v>
      </c>
      <c r="AH2541">
        <v>8</v>
      </c>
      <c r="AI2541" t="s">
        <v>3537</v>
      </c>
      <c r="AJ2541" t="s">
        <v>1976</v>
      </c>
      <c r="AK2541" t="s">
        <v>2416</v>
      </c>
      <c r="AL2541" t="s">
        <v>272</v>
      </c>
    </row>
    <row r="2542" spans="1:38">
      <c r="A2542" t="s">
        <v>10761</v>
      </c>
      <c r="B2542" t="s">
        <v>10762</v>
      </c>
      <c r="C2542" t="s">
        <v>10763</v>
      </c>
      <c r="D2542" t="s">
        <v>10763</v>
      </c>
      <c r="E2542" t="s">
        <v>10764</v>
      </c>
      <c r="F2542" t="s">
        <v>2413</v>
      </c>
      <c r="G2542">
        <v>3</v>
      </c>
      <c r="H2542">
        <v>1</v>
      </c>
      <c r="I2542">
        <v>0.01</v>
      </c>
      <c r="J2542">
        <v>1000</v>
      </c>
      <c r="K2542">
        <v>-1.38</v>
      </c>
      <c r="L2542">
        <v>60.85</v>
      </c>
      <c r="M2542">
        <v>61.7</v>
      </c>
      <c r="N2542">
        <v>62.34</v>
      </c>
      <c r="O2542">
        <v>60.85</v>
      </c>
      <c r="P2542">
        <v>0</v>
      </c>
      <c r="Q2542">
        <v>0</v>
      </c>
      <c r="R2542">
        <v>0</v>
      </c>
      <c r="S2542">
        <v>60.83</v>
      </c>
      <c r="T2542">
        <v>60.82</v>
      </c>
      <c r="U2542">
        <v>60.81</v>
      </c>
      <c r="V2542">
        <v>60.85</v>
      </c>
      <c r="W2542">
        <v>1690466</v>
      </c>
      <c r="X2542">
        <v>60.82</v>
      </c>
      <c r="Y2542">
        <v>68.010000000000005</v>
      </c>
      <c r="Z2542">
        <v>4</v>
      </c>
      <c r="AA2542">
        <v>620247</v>
      </c>
      <c r="AB2542">
        <v>608.5</v>
      </c>
      <c r="AC2542">
        <v>0</v>
      </c>
      <c r="AD2542" t="s">
        <v>94</v>
      </c>
      <c r="AE2542" t="s">
        <v>94</v>
      </c>
      <c r="AF2542" t="s">
        <v>226</v>
      </c>
      <c r="AG2542" t="s">
        <v>226</v>
      </c>
      <c r="AH2542">
        <v>8</v>
      </c>
      <c r="AI2542" t="s">
        <v>3537</v>
      </c>
      <c r="AJ2542" t="s">
        <v>1976</v>
      </c>
      <c r="AK2542" t="s">
        <v>2416</v>
      </c>
      <c r="AL2542" t="s">
        <v>272</v>
      </c>
    </row>
    <row r="2543" spans="1:38">
      <c r="A2543" t="s">
        <v>10765</v>
      </c>
      <c r="B2543" t="s">
        <v>10766</v>
      </c>
      <c r="C2543" t="s">
        <v>10767</v>
      </c>
      <c r="D2543" t="s">
        <v>10767</v>
      </c>
      <c r="E2543" t="s">
        <v>10768</v>
      </c>
      <c r="F2543" t="s">
        <v>2413</v>
      </c>
      <c r="G2543">
        <v>3</v>
      </c>
      <c r="H2543">
        <v>1</v>
      </c>
      <c r="I2543">
        <v>0.01</v>
      </c>
      <c r="J2543">
        <v>1000</v>
      </c>
      <c r="K2543">
        <v>0</v>
      </c>
      <c r="L2543">
        <v>0</v>
      </c>
      <c r="M2543">
        <v>87</v>
      </c>
      <c r="N2543">
        <v>0</v>
      </c>
      <c r="O2543">
        <v>87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82.01</v>
      </c>
      <c r="Y2543">
        <v>120.97</v>
      </c>
      <c r="Z2543">
        <v>0</v>
      </c>
      <c r="AA2543">
        <v>999115</v>
      </c>
      <c r="AB2543">
        <v>0</v>
      </c>
      <c r="AC2543">
        <v>0</v>
      </c>
      <c r="AD2543" t="s">
        <v>94</v>
      </c>
      <c r="AE2543" t="s">
        <v>94</v>
      </c>
      <c r="AF2543" t="s">
        <v>226</v>
      </c>
      <c r="AG2543" t="s">
        <v>226</v>
      </c>
      <c r="AH2543">
        <v>8</v>
      </c>
      <c r="AI2543" t="s">
        <v>3537</v>
      </c>
      <c r="AJ2543" t="s">
        <v>1976</v>
      </c>
      <c r="AK2543" t="s">
        <v>2416</v>
      </c>
      <c r="AL2543" t="s">
        <v>272</v>
      </c>
    </row>
    <row r="2544" spans="1:38">
      <c r="A2544" t="s">
        <v>10769</v>
      </c>
      <c r="B2544" t="s">
        <v>10770</v>
      </c>
      <c r="C2544" t="s">
        <v>10771</v>
      </c>
      <c r="D2544" t="s">
        <v>10771</v>
      </c>
      <c r="E2544" t="s">
        <v>10772</v>
      </c>
      <c r="F2544" t="s">
        <v>2413</v>
      </c>
      <c r="G2544">
        <v>3</v>
      </c>
      <c r="H2544">
        <v>1</v>
      </c>
      <c r="I2544">
        <v>0.01</v>
      </c>
      <c r="J2544">
        <v>1000</v>
      </c>
      <c r="K2544">
        <v>0</v>
      </c>
      <c r="L2544">
        <v>0</v>
      </c>
      <c r="M2544">
        <v>69</v>
      </c>
      <c r="N2544">
        <v>65.39</v>
      </c>
      <c r="O2544">
        <v>69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65.099999999999994</v>
      </c>
      <c r="Y2544">
        <v>69.2</v>
      </c>
      <c r="Z2544">
        <v>0</v>
      </c>
      <c r="AA2544">
        <v>537778</v>
      </c>
      <c r="AB2544">
        <v>0</v>
      </c>
      <c r="AC2544">
        <v>0</v>
      </c>
      <c r="AD2544" t="s">
        <v>94</v>
      </c>
      <c r="AE2544" t="s">
        <v>94</v>
      </c>
      <c r="AF2544" t="s">
        <v>226</v>
      </c>
      <c r="AG2544" t="s">
        <v>226</v>
      </c>
      <c r="AH2544">
        <v>8</v>
      </c>
      <c r="AI2544" t="s">
        <v>3537</v>
      </c>
      <c r="AJ2544" t="s">
        <v>1976</v>
      </c>
      <c r="AK2544" t="s">
        <v>2416</v>
      </c>
      <c r="AL2544" t="s">
        <v>272</v>
      </c>
    </row>
    <row r="2545" spans="1:38">
      <c r="A2545" t="s">
        <v>10773</v>
      </c>
      <c r="B2545" t="s">
        <v>10774</v>
      </c>
      <c r="C2545" t="s">
        <v>10775</v>
      </c>
      <c r="D2545" t="s">
        <v>10775</v>
      </c>
      <c r="E2545" t="s">
        <v>10776</v>
      </c>
      <c r="F2545" t="s">
        <v>2413</v>
      </c>
      <c r="G2545">
        <v>3</v>
      </c>
      <c r="H2545">
        <v>1</v>
      </c>
      <c r="I2545">
        <v>0.01</v>
      </c>
      <c r="J2545">
        <v>1000</v>
      </c>
      <c r="K2545">
        <v>0</v>
      </c>
      <c r="L2545">
        <v>0</v>
      </c>
      <c r="M2545">
        <v>93</v>
      </c>
      <c r="N2545">
        <v>0</v>
      </c>
      <c r="O2545">
        <v>93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91.6</v>
      </c>
      <c r="Y2545">
        <v>130.19999999999999</v>
      </c>
      <c r="Z2545">
        <v>0</v>
      </c>
      <c r="AA2545">
        <v>1414</v>
      </c>
      <c r="AB2545">
        <v>0</v>
      </c>
      <c r="AC2545">
        <v>0</v>
      </c>
      <c r="AD2545" t="s">
        <v>94</v>
      </c>
      <c r="AE2545" t="s">
        <v>94</v>
      </c>
      <c r="AF2545" t="s">
        <v>226</v>
      </c>
      <c r="AG2545" t="s">
        <v>226</v>
      </c>
      <c r="AH2545">
        <v>8</v>
      </c>
      <c r="AI2545" t="s">
        <v>3537</v>
      </c>
      <c r="AJ2545" t="s">
        <v>1976</v>
      </c>
      <c r="AK2545" t="s">
        <v>2416</v>
      </c>
      <c r="AL2545" t="s">
        <v>272</v>
      </c>
    </row>
    <row r="2546" spans="1:38">
      <c r="A2546" t="s">
        <v>10777</v>
      </c>
      <c r="B2546" t="s">
        <v>10778</v>
      </c>
      <c r="C2546" t="s">
        <v>10779</v>
      </c>
      <c r="D2546" t="s">
        <v>10779</v>
      </c>
      <c r="E2546" t="s">
        <v>10780</v>
      </c>
      <c r="F2546" t="s">
        <v>2413</v>
      </c>
      <c r="G2546">
        <v>3</v>
      </c>
      <c r="H2546">
        <v>1</v>
      </c>
      <c r="I2546">
        <v>0.01</v>
      </c>
      <c r="J2546">
        <v>1000</v>
      </c>
      <c r="K2546">
        <v>0</v>
      </c>
      <c r="L2546">
        <v>0</v>
      </c>
      <c r="M2546">
        <v>105.7</v>
      </c>
      <c r="N2546">
        <v>0</v>
      </c>
      <c r="O2546">
        <v>105.7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97.71</v>
      </c>
      <c r="Y2546">
        <v>147.69999999999999</v>
      </c>
      <c r="Z2546">
        <v>0</v>
      </c>
      <c r="AA2546">
        <v>284</v>
      </c>
      <c r="AB2546">
        <v>0</v>
      </c>
      <c r="AC2546">
        <v>0</v>
      </c>
      <c r="AD2546" t="s">
        <v>94</v>
      </c>
      <c r="AE2546" t="s">
        <v>94</v>
      </c>
      <c r="AF2546" t="s">
        <v>226</v>
      </c>
      <c r="AG2546" t="s">
        <v>226</v>
      </c>
      <c r="AH2546">
        <v>8</v>
      </c>
      <c r="AI2546" t="s">
        <v>3537</v>
      </c>
      <c r="AJ2546" t="s">
        <v>1976</v>
      </c>
      <c r="AK2546" t="s">
        <v>2416</v>
      </c>
      <c r="AL2546" t="s">
        <v>272</v>
      </c>
    </row>
    <row r="2547" spans="1:38">
      <c r="A2547" t="s">
        <v>10781</v>
      </c>
      <c r="B2547" t="s">
        <v>10782</v>
      </c>
      <c r="C2547" t="s">
        <v>10783</v>
      </c>
      <c r="D2547" t="s">
        <v>10783</v>
      </c>
      <c r="E2547" t="s">
        <v>10784</v>
      </c>
      <c r="F2547" t="s">
        <v>2413</v>
      </c>
      <c r="G2547">
        <v>3</v>
      </c>
      <c r="H2547">
        <v>1</v>
      </c>
      <c r="I2547">
        <v>0.01</v>
      </c>
      <c r="J2547">
        <v>1000</v>
      </c>
      <c r="K2547">
        <v>-0.73</v>
      </c>
      <c r="L2547">
        <v>67.8</v>
      </c>
      <c r="M2547">
        <v>68.3</v>
      </c>
      <c r="N2547">
        <v>67.62</v>
      </c>
      <c r="O2547">
        <v>67.8</v>
      </c>
      <c r="P2547">
        <v>0</v>
      </c>
      <c r="Q2547">
        <v>0</v>
      </c>
      <c r="R2547">
        <v>0</v>
      </c>
      <c r="S2547">
        <v>67.8</v>
      </c>
      <c r="T2547">
        <v>67.8</v>
      </c>
      <c r="U2547">
        <v>67.8</v>
      </c>
      <c r="V2547">
        <v>67.8</v>
      </c>
      <c r="W2547">
        <v>105768</v>
      </c>
      <c r="X2547">
        <v>67.62</v>
      </c>
      <c r="Y2547">
        <v>72.010000000000005</v>
      </c>
      <c r="Z2547">
        <v>1</v>
      </c>
      <c r="AA2547">
        <v>898986</v>
      </c>
      <c r="AB2547">
        <v>105768</v>
      </c>
      <c r="AC2547">
        <v>0</v>
      </c>
      <c r="AD2547" t="s">
        <v>94</v>
      </c>
      <c r="AE2547" t="s">
        <v>94</v>
      </c>
      <c r="AF2547" t="s">
        <v>226</v>
      </c>
      <c r="AG2547" t="s">
        <v>226</v>
      </c>
      <c r="AH2547">
        <v>8</v>
      </c>
      <c r="AI2547" t="s">
        <v>3537</v>
      </c>
      <c r="AJ2547" t="s">
        <v>1976</v>
      </c>
      <c r="AK2547" t="s">
        <v>2416</v>
      </c>
      <c r="AL2547" t="s">
        <v>272</v>
      </c>
    </row>
    <row r="2548" spans="1:38">
      <c r="A2548" t="s">
        <v>10785</v>
      </c>
      <c r="B2548" t="s">
        <v>10786</v>
      </c>
      <c r="C2548" t="s">
        <v>10787</v>
      </c>
      <c r="D2548" t="s">
        <v>10787</v>
      </c>
      <c r="E2548" t="s">
        <v>10788</v>
      </c>
      <c r="F2548" t="s">
        <v>2413</v>
      </c>
      <c r="G2548">
        <v>3</v>
      </c>
      <c r="H2548">
        <v>1</v>
      </c>
      <c r="I2548">
        <v>0.01</v>
      </c>
      <c r="J2548">
        <v>1000</v>
      </c>
      <c r="K2548">
        <v>0</v>
      </c>
      <c r="L2548">
        <v>0</v>
      </c>
      <c r="M2548">
        <v>52.9</v>
      </c>
      <c r="N2548">
        <v>58.89</v>
      </c>
      <c r="O2548">
        <v>52.9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52.1</v>
      </c>
      <c r="Y2548">
        <v>59.35</v>
      </c>
      <c r="Z2548">
        <v>0</v>
      </c>
      <c r="AA2548">
        <v>214355</v>
      </c>
      <c r="AB2548">
        <v>0</v>
      </c>
      <c r="AC2548">
        <v>0</v>
      </c>
      <c r="AD2548" t="s">
        <v>94</v>
      </c>
      <c r="AE2548" t="s">
        <v>94</v>
      </c>
      <c r="AF2548" t="s">
        <v>226</v>
      </c>
      <c r="AG2548" t="s">
        <v>226</v>
      </c>
      <c r="AH2548">
        <v>8</v>
      </c>
      <c r="AI2548" t="s">
        <v>3537</v>
      </c>
      <c r="AJ2548" t="s">
        <v>1976</v>
      </c>
      <c r="AK2548" t="s">
        <v>2416</v>
      </c>
      <c r="AL2548" t="s">
        <v>272</v>
      </c>
    </row>
    <row r="2549" spans="1:38">
      <c r="A2549" t="s">
        <v>10789</v>
      </c>
      <c r="B2549" t="s">
        <v>10790</v>
      </c>
      <c r="C2549" t="s">
        <v>10791</v>
      </c>
      <c r="D2549" t="s">
        <v>10791</v>
      </c>
      <c r="E2549" t="s">
        <v>10792</v>
      </c>
      <c r="F2549" t="s">
        <v>2413</v>
      </c>
      <c r="G2549">
        <v>3</v>
      </c>
      <c r="H2549">
        <v>1</v>
      </c>
      <c r="I2549">
        <v>0.01</v>
      </c>
      <c r="J2549">
        <v>1000</v>
      </c>
      <c r="K2549">
        <v>0</v>
      </c>
      <c r="L2549">
        <v>0</v>
      </c>
      <c r="M2549">
        <v>59.68</v>
      </c>
      <c r="N2549">
        <v>59.9</v>
      </c>
      <c r="O2549">
        <v>59.68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54.5</v>
      </c>
      <c r="Y2549">
        <v>63.01</v>
      </c>
      <c r="Z2549">
        <v>0</v>
      </c>
      <c r="AA2549">
        <v>158524</v>
      </c>
      <c r="AB2549">
        <v>0</v>
      </c>
      <c r="AC2549">
        <v>0</v>
      </c>
      <c r="AD2549" t="s">
        <v>94</v>
      </c>
      <c r="AE2549" t="s">
        <v>94</v>
      </c>
      <c r="AF2549" t="s">
        <v>226</v>
      </c>
      <c r="AG2549" t="s">
        <v>226</v>
      </c>
      <c r="AH2549">
        <v>8</v>
      </c>
      <c r="AI2549" t="s">
        <v>3537</v>
      </c>
      <c r="AJ2549" t="s">
        <v>1976</v>
      </c>
      <c r="AK2549" t="s">
        <v>2416</v>
      </c>
      <c r="AL2549" t="s">
        <v>272</v>
      </c>
    </row>
    <row r="2550" spans="1:38">
      <c r="A2550" t="s">
        <v>10793</v>
      </c>
      <c r="B2550" t="s">
        <v>10794</v>
      </c>
      <c r="C2550" t="s">
        <v>10795</v>
      </c>
      <c r="D2550" t="s">
        <v>10795</v>
      </c>
      <c r="E2550" t="s">
        <v>10796</v>
      </c>
      <c r="F2550" t="s">
        <v>2413</v>
      </c>
      <c r="G2550">
        <v>3</v>
      </c>
      <c r="H2550">
        <v>1</v>
      </c>
      <c r="I2550">
        <v>0.01</v>
      </c>
      <c r="J2550">
        <v>1000</v>
      </c>
      <c r="K2550">
        <v>0</v>
      </c>
      <c r="L2550">
        <v>0</v>
      </c>
      <c r="M2550">
        <v>68.41</v>
      </c>
      <c r="N2550">
        <v>70.91</v>
      </c>
      <c r="O2550">
        <v>68.41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67.72</v>
      </c>
      <c r="Y2550">
        <v>74.959999999999994</v>
      </c>
      <c r="Z2550">
        <v>0</v>
      </c>
      <c r="AA2550">
        <v>594183</v>
      </c>
      <c r="AB2550">
        <v>0</v>
      </c>
      <c r="AC2550">
        <v>0</v>
      </c>
      <c r="AD2550" t="s">
        <v>94</v>
      </c>
      <c r="AE2550" t="s">
        <v>94</v>
      </c>
      <c r="AF2550" t="s">
        <v>226</v>
      </c>
      <c r="AG2550" t="s">
        <v>226</v>
      </c>
      <c r="AH2550">
        <v>8</v>
      </c>
      <c r="AI2550" t="s">
        <v>3537</v>
      </c>
      <c r="AJ2550" t="s">
        <v>1976</v>
      </c>
      <c r="AK2550" t="s">
        <v>2416</v>
      </c>
      <c r="AL2550" t="s">
        <v>272</v>
      </c>
    </row>
    <row r="2551" spans="1:38">
      <c r="A2551" t="s">
        <v>10797</v>
      </c>
      <c r="B2551" t="s">
        <v>10798</v>
      </c>
      <c r="C2551" t="s">
        <v>10799</v>
      </c>
      <c r="D2551" t="s">
        <v>10799</v>
      </c>
      <c r="E2551" t="s">
        <v>10800</v>
      </c>
      <c r="F2551" t="s">
        <v>2413</v>
      </c>
      <c r="G2551">
        <v>3</v>
      </c>
      <c r="H2551">
        <v>1</v>
      </c>
      <c r="I2551">
        <v>0.01</v>
      </c>
      <c r="J2551">
        <v>1000</v>
      </c>
      <c r="K2551">
        <v>-1.58</v>
      </c>
      <c r="L2551">
        <v>71.650000000000006</v>
      </c>
      <c r="M2551">
        <v>72.8</v>
      </c>
      <c r="N2551">
        <v>75.77</v>
      </c>
      <c r="O2551">
        <v>71.650000000000006</v>
      </c>
      <c r="P2551">
        <v>0</v>
      </c>
      <c r="Q2551">
        <v>0</v>
      </c>
      <c r="R2551">
        <v>0</v>
      </c>
      <c r="S2551">
        <v>71.64</v>
      </c>
      <c r="T2551">
        <v>71.8</v>
      </c>
      <c r="U2551">
        <v>71.61</v>
      </c>
      <c r="V2551">
        <v>71.8</v>
      </c>
      <c r="W2551">
        <v>1862720</v>
      </c>
      <c r="X2551">
        <v>71.61</v>
      </c>
      <c r="Y2551">
        <v>81.010000000000005</v>
      </c>
      <c r="Z2551">
        <v>4</v>
      </c>
      <c r="AA2551">
        <v>474640</v>
      </c>
      <c r="AB2551">
        <v>716.5</v>
      </c>
      <c r="AC2551">
        <v>0</v>
      </c>
      <c r="AD2551" t="s">
        <v>94</v>
      </c>
      <c r="AE2551" t="s">
        <v>94</v>
      </c>
      <c r="AF2551" t="s">
        <v>226</v>
      </c>
      <c r="AG2551" t="s">
        <v>226</v>
      </c>
      <c r="AH2551">
        <v>8</v>
      </c>
      <c r="AI2551" t="s">
        <v>3537</v>
      </c>
      <c r="AJ2551" t="s">
        <v>1976</v>
      </c>
      <c r="AK2551" t="s">
        <v>2416</v>
      </c>
      <c r="AL2551" t="s">
        <v>272</v>
      </c>
    </row>
    <row r="2552" spans="1:38">
      <c r="A2552" t="s">
        <v>10801</v>
      </c>
      <c r="B2552" t="s">
        <v>10802</v>
      </c>
      <c r="C2552" t="s">
        <v>10803</v>
      </c>
      <c r="D2552" t="s">
        <v>10803</v>
      </c>
      <c r="E2552" t="s">
        <v>10804</v>
      </c>
      <c r="F2552" t="s">
        <v>2413</v>
      </c>
      <c r="G2552">
        <v>3</v>
      </c>
      <c r="H2552">
        <v>1</v>
      </c>
      <c r="I2552">
        <v>0.01</v>
      </c>
      <c r="J2552">
        <v>1000</v>
      </c>
      <c r="K2552">
        <v>0</v>
      </c>
      <c r="L2552">
        <v>0</v>
      </c>
      <c r="M2552">
        <v>67.02</v>
      </c>
      <c r="N2552">
        <v>67.2</v>
      </c>
      <c r="O2552">
        <v>67.02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67.010000000000005</v>
      </c>
      <c r="Y2552">
        <v>67.599999999999994</v>
      </c>
      <c r="Z2552">
        <v>0</v>
      </c>
      <c r="AA2552">
        <v>913513</v>
      </c>
      <c r="AB2552">
        <v>0</v>
      </c>
      <c r="AC2552">
        <v>0</v>
      </c>
      <c r="AD2552" t="s">
        <v>94</v>
      </c>
      <c r="AE2552" t="s">
        <v>94</v>
      </c>
      <c r="AF2552" t="s">
        <v>226</v>
      </c>
      <c r="AG2552" t="s">
        <v>226</v>
      </c>
      <c r="AH2552">
        <v>8</v>
      </c>
      <c r="AI2552" t="s">
        <v>3537</v>
      </c>
      <c r="AJ2552" t="s">
        <v>1976</v>
      </c>
      <c r="AK2552" t="s">
        <v>2416</v>
      </c>
      <c r="AL2552" t="s">
        <v>272</v>
      </c>
    </row>
    <row r="2553" spans="1:38">
      <c r="A2553" t="s">
        <v>10805</v>
      </c>
      <c r="B2553" t="s">
        <v>10806</v>
      </c>
      <c r="C2553" t="s">
        <v>10807</v>
      </c>
      <c r="D2553" t="s">
        <v>10807</v>
      </c>
      <c r="E2553" t="s">
        <v>10808</v>
      </c>
      <c r="F2553" t="s">
        <v>2413</v>
      </c>
      <c r="G2553">
        <v>3</v>
      </c>
      <c r="H2553">
        <v>1</v>
      </c>
      <c r="I2553">
        <v>0.01</v>
      </c>
      <c r="J2553">
        <v>1000</v>
      </c>
      <c r="K2553">
        <v>0</v>
      </c>
      <c r="L2553">
        <v>0</v>
      </c>
      <c r="M2553">
        <v>76.010000000000005</v>
      </c>
      <c r="N2553">
        <v>69.06</v>
      </c>
      <c r="O2553">
        <v>76.010000000000005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71.010000000000005</v>
      </c>
      <c r="Y2553">
        <v>81.010000000000005</v>
      </c>
      <c r="Z2553">
        <v>0</v>
      </c>
      <c r="AA2553">
        <v>1117950</v>
      </c>
      <c r="AB2553">
        <v>0</v>
      </c>
      <c r="AC2553">
        <v>0</v>
      </c>
      <c r="AD2553" t="s">
        <v>94</v>
      </c>
      <c r="AE2553" t="s">
        <v>94</v>
      </c>
      <c r="AF2553" t="s">
        <v>226</v>
      </c>
      <c r="AG2553" t="s">
        <v>226</v>
      </c>
      <c r="AH2553">
        <v>8</v>
      </c>
      <c r="AI2553" t="s">
        <v>3537</v>
      </c>
      <c r="AJ2553" t="s">
        <v>1976</v>
      </c>
      <c r="AK2553" t="s">
        <v>2416</v>
      </c>
      <c r="AL2553" t="s">
        <v>272</v>
      </c>
    </row>
    <row r="2554" spans="1:38">
      <c r="A2554" t="s">
        <v>10809</v>
      </c>
      <c r="B2554" t="s">
        <v>10810</v>
      </c>
      <c r="C2554" t="s">
        <v>10811</v>
      </c>
      <c r="D2554" t="s">
        <v>10811</v>
      </c>
      <c r="E2554" t="s">
        <v>10812</v>
      </c>
      <c r="F2554" t="s">
        <v>2413</v>
      </c>
      <c r="G2554">
        <v>3</v>
      </c>
      <c r="H2554">
        <v>1</v>
      </c>
      <c r="I2554">
        <v>0.01</v>
      </c>
      <c r="J2554">
        <v>1000</v>
      </c>
      <c r="K2554">
        <v>0</v>
      </c>
      <c r="L2554">
        <v>0</v>
      </c>
      <c r="M2554">
        <v>73.010000000000005</v>
      </c>
      <c r="N2554">
        <v>63.74</v>
      </c>
      <c r="O2554">
        <v>73.010000000000005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68.010000000000005</v>
      </c>
      <c r="Y2554">
        <v>78.010000000000005</v>
      </c>
      <c r="Z2554">
        <v>0</v>
      </c>
      <c r="AA2554">
        <v>531029</v>
      </c>
      <c r="AB2554">
        <v>0</v>
      </c>
      <c r="AC2554">
        <v>0</v>
      </c>
      <c r="AD2554" t="s">
        <v>94</v>
      </c>
      <c r="AE2554" t="s">
        <v>94</v>
      </c>
      <c r="AF2554" t="s">
        <v>226</v>
      </c>
      <c r="AG2554" t="s">
        <v>226</v>
      </c>
      <c r="AH2554">
        <v>8</v>
      </c>
      <c r="AI2554" t="s">
        <v>3537</v>
      </c>
      <c r="AJ2554" t="s">
        <v>1976</v>
      </c>
      <c r="AK2554" t="s">
        <v>2416</v>
      </c>
      <c r="AL2554" t="s">
        <v>272</v>
      </c>
    </row>
    <row r="2555" spans="1:38">
      <c r="A2555" t="s">
        <v>10813</v>
      </c>
      <c r="B2555" t="s">
        <v>10814</v>
      </c>
      <c r="C2555" t="s">
        <v>10815</v>
      </c>
      <c r="D2555" t="s">
        <v>10815</v>
      </c>
      <c r="E2555" t="s">
        <v>10816</v>
      </c>
      <c r="F2555" t="s">
        <v>2413</v>
      </c>
      <c r="G2555">
        <v>3</v>
      </c>
      <c r="H2555">
        <v>1</v>
      </c>
      <c r="I2555">
        <v>0.01</v>
      </c>
      <c r="J2555">
        <v>1000</v>
      </c>
      <c r="K2555">
        <v>-9.1199999999999992</v>
      </c>
      <c r="L2555">
        <v>72.7</v>
      </c>
      <c r="M2555">
        <v>80</v>
      </c>
      <c r="N2555">
        <v>79.7</v>
      </c>
      <c r="O2555">
        <v>72.7</v>
      </c>
      <c r="P2555">
        <v>0</v>
      </c>
      <c r="Q2555">
        <v>0</v>
      </c>
      <c r="R2555">
        <v>0</v>
      </c>
      <c r="S2555">
        <v>72.7</v>
      </c>
      <c r="T2555">
        <v>73.010000000000005</v>
      </c>
      <c r="U2555">
        <v>72.7</v>
      </c>
      <c r="V2555">
        <v>73.010000000000005</v>
      </c>
      <c r="W2555">
        <v>272628</v>
      </c>
      <c r="X2555">
        <v>72.709999999999994</v>
      </c>
      <c r="Y2555">
        <v>78.010000000000005</v>
      </c>
      <c r="Z2555">
        <v>2</v>
      </c>
      <c r="AA2555">
        <v>401907</v>
      </c>
      <c r="AB2555">
        <v>271898</v>
      </c>
      <c r="AC2555">
        <v>0</v>
      </c>
      <c r="AD2555" t="s">
        <v>94</v>
      </c>
      <c r="AE2555" t="s">
        <v>94</v>
      </c>
      <c r="AF2555" t="s">
        <v>226</v>
      </c>
      <c r="AG2555" t="s">
        <v>226</v>
      </c>
      <c r="AH2555">
        <v>8</v>
      </c>
      <c r="AI2555" t="s">
        <v>3537</v>
      </c>
      <c r="AJ2555" t="s">
        <v>1976</v>
      </c>
      <c r="AK2555" t="s">
        <v>2416</v>
      </c>
      <c r="AL2555" t="s">
        <v>272</v>
      </c>
    </row>
    <row r="2556" spans="1:38">
      <c r="A2556" t="s">
        <v>10817</v>
      </c>
      <c r="B2556" t="s">
        <v>10818</v>
      </c>
      <c r="C2556" t="s">
        <v>10819</v>
      </c>
      <c r="D2556" t="s">
        <v>10819</v>
      </c>
      <c r="E2556" t="s">
        <v>10820</v>
      </c>
      <c r="F2556" t="s">
        <v>2413</v>
      </c>
      <c r="G2556">
        <v>3</v>
      </c>
      <c r="H2556">
        <v>1</v>
      </c>
      <c r="I2556">
        <v>0.01</v>
      </c>
      <c r="J2556">
        <v>1000</v>
      </c>
      <c r="K2556">
        <v>0</v>
      </c>
      <c r="L2556">
        <v>0</v>
      </c>
      <c r="M2556">
        <v>76.010000000000005</v>
      </c>
      <c r="N2556">
        <v>70.14</v>
      </c>
      <c r="O2556">
        <v>76.010000000000005</v>
      </c>
      <c r="P2556">
        <v>0</v>
      </c>
      <c r="Q2556">
        <v>0</v>
      </c>
      <c r="R2556">
        <v>0</v>
      </c>
      <c r="S2556">
        <v>70.400000000000006</v>
      </c>
      <c r="T2556">
        <v>0</v>
      </c>
      <c r="U2556">
        <v>0</v>
      </c>
      <c r="V2556">
        <v>0</v>
      </c>
      <c r="W2556">
        <v>0</v>
      </c>
      <c r="X2556">
        <v>71.010000000000005</v>
      </c>
      <c r="Y2556">
        <v>81.010000000000005</v>
      </c>
      <c r="Z2556">
        <v>0</v>
      </c>
      <c r="AA2556">
        <v>48810</v>
      </c>
      <c r="AB2556">
        <v>0</v>
      </c>
      <c r="AC2556">
        <v>0</v>
      </c>
      <c r="AD2556" t="s">
        <v>94</v>
      </c>
      <c r="AE2556" t="s">
        <v>94</v>
      </c>
      <c r="AF2556" t="s">
        <v>226</v>
      </c>
      <c r="AG2556" t="s">
        <v>226</v>
      </c>
      <c r="AH2556">
        <v>8</v>
      </c>
      <c r="AI2556" t="s">
        <v>3537</v>
      </c>
      <c r="AJ2556" t="s">
        <v>1976</v>
      </c>
      <c r="AK2556" t="s">
        <v>2416</v>
      </c>
      <c r="AL2556" t="s">
        <v>272</v>
      </c>
    </row>
    <row r="2557" spans="1:38">
      <c r="A2557" t="s">
        <v>10821</v>
      </c>
      <c r="B2557" t="s">
        <v>10822</v>
      </c>
      <c r="C2557" t="s">
        <v>10823</v>
      </c>
      <c r="D2557" t="s">
        <v>10823</v>
      </c>
      <c r="E2557" t="s">
        <v>10824</v>
      </c>
      <c r="F2557" t="s">
        <v>2413</v>
      </c>
      <c r="G2557">
        <v>3</v>
      </c>
      <c r="H2557">
        <v>1</v>
      </c>
      <c r="I2557">
        <v>0.01</v>
      </c>
      <c r="J2557">
        <v>1000</v>
      </c>
      <c r="K2557">
        <v>0</v>
      </c>
      <c r="L2557">
        <v>0</v>
      </c>
      <c r="M2557">
        <v>60.6</v>
      </c>
      <c r="N2557">
        <v>62.21</v>
      </c>
      <c r="O2557">
        <v>60.6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60</v>
      </c>
      <c r="Y2557">
        <v>66.010000000000005</v>
      </c>
      <c r="Z2557">
        <v>0</v>
      </c>
      <c r="AA2557">
        <v>420267</v>
      </c>
      <c r="AB2557">
        <v>0</v>
      </c>
      <c r="AC2557">
        <v>0</v>
      </c>
      <c r="AD2557" t="s">
        <v>94</v>
      </c>
      <c r="AE2557" t="s">
        <v>94</v>
      </c>
      <c r="AF2557" t="s">
        <v>226</v>
      </c>
      <c r="AG2557" t="s">
        <v>226</v>
      </c>
      <c r="AH2557">
        <v>8</v>
      </c>
      <c r="AI2557" t="s">
        <v>3537</v>
      </c>
      <c r="AJ2557" t="s">
        <v>1976</v>
      </c>
      <c r="AK2557" t="s">
        <v>2416</v>
      </c>
      <c r="AL2557" t="s">
        <v>272</v>
      </c>
    </row>
    <row r="2558" spans="1:38">
      <c r="A2558" t="s">
        <v>10825</v>
      </c>
      <c r="B2558" t="s">
        <v>10826</v>
      </c>
      <c r="C2558" t="s">
        <v>10827</v>
      </c>
      <c r="D2558" t="s">
        <v>10827</v>
      </c>
      <c r="E2558" t="s">
        <v>10828</v>
      </c>
      <c r="F2558" t="s">
        <v>2413</v>
      </c>
      <c r="G2558">
        <v>3</v>
      </c>
      <c r="H2558">
        <v>1</v>
      </c>
      <c r="I2558">
        <v>0.01</v>
      </c>
      <c r="J2558">
        <v>1000</v>
      </c>
      <c r="K2558">
        <v>0</v>
      </c>
      <c r="L2558">
        <v>0</v>
      </c>
      <c r="M2558">
        <v>78.599999999999994</v>
      </c>
      <c r="N2558">
        <v>0</v>
      </c>
      <c r="O2558">
        <v>78.599999999999994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73.61</v>
      </c>
      <c r="Y2558">
        <v>110.04</v>
      </c>
      <c r="Z2558">
        <v>0</v>
      </c>
      <c r="AA2558">
        <v>100690</v>
      </c>
      <c r="AB2558">
        <v>0</v>
      </c>
      <c r="AC2558">
        <v>0</v>
      </c>
      <c r="AD2558" t="s">
        <v>94</v>
      </c>
      <c r="AE2558" t="s">
        <v>94</v>
      </c>
      <c r="AF2558" t="s">
        <v>226</v>
      </c>
      <c r="AG2558" t="s">
        <v>226</v>
      </c>
      <c r="AH2558">
        <v>8</v>
      </c>
      <c r="AI2558" t="s">
        <v>3537</v>
      </c>
      <c r="AJ2558" t="s">
        <v>1976</v>
      </c>
      <c r="AK2558" t="s">
        <v>2416</v>
      </c>
      <c r="AL2558" t="s">
        <v>272</v>
      </c>
    </row>
    <row r="2559" spans="1:38">
      <c r="A2559" t="s">
        <v>10829</v>
      </c>
      <c r="B2559" t="s">
        <v>10830</v>
      </c>
      <c r="C2559" t="s">
        <v>10831</v>
      </c>
      <c r="D2559" t="s">
        <v>10831</v>
      </c>
      <c r="E2559" t="s">
        <v>10832</v>
      </c>
      <c r="F2559" t="s">
        <v>2413</v>
      </c>
      <c r="G2559">
        <v>3</v>
      </c>
      <c r="H2559">
        <v>1</v>
      </c>
      <c r="I2559">
        <v>0.01</v>
      </c>
      <c r="J2559">
        <v>1000</v>
      </c>
      <c r="K2559">
        <v>0</v>
      </c>
      <c r="L2559">
        <v>0</v>
      </c>
      <c r="M2559">
        <v>90.7</v>
      </c>
      <c r="N2559">
        <v>0</v>
      </c>
      <c r="O2559">
        <v>90.7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77.5</v>
      </c>
      <c r="Y2559">
        <v>0</v>
      </c>
      <c r="Z2559">
        <v>0</v>
      </c>
      <c r="AA2559">
        <v>99467</v>
      </c>
      <c r="AB2559">
        <v>0</v>
      </c>
      <c r="AC2559">
        <v>0</v>
      </c>
      <c r="AD2559" t="s">
        <v>94</v>
      </c>
      <c r="AE2559" t="s">
        <v>94</v>
      </c>
      <c r="AF2559" t="s">
        <v>304</v>
      </c>
      <c r="AG2559" t="s">
        <v>226</v>
      </c>
      <c r="AH2559">
        <v>800</v>
      </c>
      <c r="AI2559" t="s">
        <v>3537</v>
      </c>
      <c r="AJ2559" t="s">
        <v>1976</v>
      </c>
      <c r="AK2559" t="s">
        <v>2416</v>
      </c>
      <c r="AL2559" t="s">
        <v>272</v>
      </c>
    </row>
    <row r="2560" spans="1:38">
      <c r="A2560" t="s">
        <v>10833</v>
      </c>
      <c r="B2560" t="s">
        <v>10834</v>
      </c>
      <c r="C2560" t="s">
        <v>10835</v>
      </c>
      <c r="D2560" t="s">
        <v>10835</v>
      </c>
      <c r="E2560" t="s">
        <v>10836</v>
      </c>
      <c r="F2560" t="s">
        <v>2413</v>
      </c>
      <c r="G2560">
        <v>3</v>
      </c>
      <c r="H2560">
        <v>1</v>
      </c>
      <c r="I2560">
        <v>0.01</v>
      </c>
      <c r="J2560">
        <v>1000</v>
      </c>
      <c r="K2560">
        <v>0</v>
      </c>
      <c r="L2560">
        <v>0</v>
      </c>
      <c r="M2560">
        <v>86.5</v>
      </c>
      <c r="N2560">
        <v>0</v>
      </c>
      <c r="O2560">
        <v>86.5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69.010000000000005</v>
      </c>
      <c r="Y2560">
        <v>0</v>
      </c>
      <c r="Z2560">
        <v>0</v>
      </c>
      <c r="AA2560">
        <v>184257</v>
      </c>
      <c r="AB2560">
        <v>0</v>
      </c>
      <c r="AC2560">
        <v>0</v>
      </c>
      <c r="AD2560" t="s">
        <v>94</v>
      </c>
      <c r="AE2560" t="s">
        <v>94</v>
      </c>
      <c r="AF2560" t="s">
        <v>304</v>
      </c>
      <c r="AG2560" t="s">
        <v>226</v>
      </c>
      <c r="AH2560">
        <v>800</v>
      </c>
      <c r="AI2560" t="s">
        <v>3537</v>
      </c>
      <c r="AJ2560" t="s">
        <v>1976</v>
      </c>
      <c r="AK2560" t="s">
        <v>2416</v>
      </c>
      <c r="AL2560" t="s">
        <v>272</v>
      </c>
    </row>
    <row r="2561" spans="1:38">
      <c r="A2561" t="s">
        <v>10837</v>
      </c>
      <c r="B2561" t="s">
        <v>10838</v>
      </c>
      <c r="C2561" t="s">
        <v>10839</v>
      </c>
      <c r="D2561" t="s">
        <v>10839</v>
      </c>
      <c r="E2561" t="s">
        <v>10840</v>
      </c>
      <c r="F2561" t="s">
        <v>2413</v>
      </c>
      <c r="G2561">
        <v>3</v>
      </c>
      <c r="H2561">
        <v>1</v>
      </c>
      <c r="I2561">
        <v>0.01</v>
      </c>
      <c r="J2561">
        <v>1000</v>
      </c>
      <c r="K2561">
        <v>0</v>
      </c>
      <c r="L2561">
        <v>0</v>
      </c>
      <c r="M2561">
        <v>86.1</v>
      </c>
      <c r="N2561">
        <v>89.32</v>
      </c>
      <c r="O2561">
        <v>86.1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85.21</v>
      </c>
      <c r="Y2561">
        <v>94.7</v>
      </c>
      <c r="Z2561">
        <v>0</v>
      </c>
      <c r="AA2561">
        <v>423767</v>
      </c>
      <c r="AB2561">
        <v>0</v>
      </c>
      <c r="AC2561">
        <v>0</v>
      </c>
      <c r="AD2561" t="s">
        <v>94</v>
      </c>
      <c r="AE2561" t="s">
        <v>94</v>
      </c>
      <c r="AF2561" t="s">
        <v>226</v>
      </c>
      <c r="AG2561" t="s">
        <v>226</v>
      </c>
      <c r="AH2561">
        <v>8</v>
      </c>
      <c r="AI2561" t="s">
        <v>3537</v>
      </c>
      <c r="AJ2561" t="s">
        <v>1976</v>
      </c>
      <c r="AK2561" t="s">
        <v>2416</v>
      </c>
      <c r="AL2561" t="s">
        <v>272</v>
      </c>
    </row>
    <row r="2562" spans="1:38">
      <c r="A2562" t="s">
        <v>10841</v>
      </c>
      <c r="B2562" t="s">
        <v>10842</v>
      </c>
      <c r="C2562" t="s">
        <v>10843</v>
      </c>
      <c r="D2562" t="s">
        <v>10843</v>
      </c>
      <c r="E2562" t="s">
        <v>10844</v>
      </c>
      <c r="F2562" t="s">
        <v>2413</v>
      </c>
      <c r="G2562">
        <v>3</v>
      </c>
      <c r="H2562">
        <v>1</v>
      </c>
      <c r="I2562">
        <v>0.01</v>
      </c>
      <c r="J2562">
        <v>1000</v>
      </c>
      <c r="K2562">
        <v>0</v>
      </c>
      <c r="L2562">
        <v>0</v>
      </c>
      <c r="M2562">
        <v>65.599999999999994</v>
      </c>
      <c r="N2562">
        <v>70.77</v>
      </c>
      <c r="O2562">
        <v>65.599999999999994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64.010000000000005</v>
      </c>
      <c r="Y2562">
        <v>73.010000000000005</v>
      </c>
      <c r="Z2562">
        <v>0</v>
      </c>
      <c r="AA2562">
        <v>206540</v>
      </c>
      <c r="AB2562">
        <v>0</v>
      </c>
      <c r="AC2562">
        <v>0</v>
      </c>
      <c r="AD2562" t="s">
        <v>94</v>
      </c>
      <c r="AE2562" t="s">
        <v>94</v>
      </c>
      <c r="AF2562" t="s">
        <v>226</v>
      </c>
      <c r="AG2562" t="s">
        <v>226</v>
      </c>
      <c r="AH2562">
        <v>8</v>
      </c>
      <c r="AI2562" t="s">
        <v>3537</v>
      </c>
      <c r="AJ2562" t="s">
        <v>1976</v>
      </c>
      <c r="AK2562" t="s">
        <v>2416</v>
      </c>
      <c r="AL2562" t="s">
        <v>272</v>
      </c>
    </row>
    <row r="2563" spans="1:38">
      <c r="A2563" t="s">
        <v>10845</v>
      </c>
      <c r="B2563" t="s">
        <v>10846</v>
      </c>
      <c r="C2563" t="s">
        <v>10847</v>
      </c>
      <c r="D2563" t="s">
        <v>10847</v>
      </c>
      <c r="E2563" t="s">
        <v>10848</v>
      </c>
      <c r="F2563" t="s">
        <v>2413</v>
      </c>
      <c r="G2563">
        <v>3</v>
      </c>
      <c r="H2563">
        <v>1</v>
      </c>
      <c r="I2563">
        <v>0.01</v>
      </c>
      <c r="J2563">
        <v>1000</v>
      </c>
      <c r="K2563">
        <v>0</v>
      </c>
      <c r="L2563">
        <v>0</v>
      </c>
      <c r="M2563">
        <v>83</v>
      </c>
      <c r="N2563">
        <v>0</v>
      </c>
      <c r="O2563">
        <v>83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76.31</v>
      </c>
      <c r="Y2563">
        <v>0</v>
      </c>
      <c r="Z2563">
        <v>0</v>
      </c>
      <c r="AA2563">
        <v>13909</v>
      </c>
      <c r="AB2563">
        <v>0</v>
      </c>
      <c r="AC2563">
        <v>0</v>
      </c>
      <c r="AD2563" t="s">
        <v>94</v>
      </c>
      <c r="AE2563" t="s">
        <v>94</v>
      </c>
      <c r="AF2563" t="s">
        <v>226</v>
      </c>
      <c r="AG2563" t="s">
        <v>226</v>
      </c>
      <c r="AH2563">
        <v>8</v>
      </c>
      <c r="AI2563" t="s">
        <v>3537</v>
      </c>
      <c r="AJ2563" t="s">
        <v>1976</v>
      </c>
      <c r="AK2563" t="s">
        <v>2416</v>
      </c>
      <c r="AL2563" t="s">
        <v>272</v>
      </c>
    </row>
    <row r="2564" spans="1:38">
      <c r="A2564" t="s">
        <v>10849</v>
      </c>
      <c r="B2564" t="s">
        <v>10850</v>
      </c>
      <c r="C2564" t="s">
        <v>10851</v>
      </c>
      <c r="D2564" t="s">
        <v>10851</v>
      </c>
      <c r="E2564" t="s">
        <v>10852</v>
      </c>
      <c r="F2564" t="s">
        <v>2413</v>
      </c>
      <c r="G2564">
        <v>3</v>
      </c>
      <c r="H2564">
        <v>1</v>
      </c>
      <c r="I2564">
        <v>0.01</v>
      </c>
      <c r="J2564">
        <v>1000</v>
      </c>
      <c r="K2564">
        <v>-1.2</v>
      </c>
      <c r="L2564">
        <v>66.099999999999994</v>
      </c>
      <c r="M2564">
        <v>66.900000000000006</v>
      </c>
      <c r="N2564">
        <v>68.56</v>
      </c>
      <c r="O2564">
        <v>66.099999999999994</v>
      </c>
      <c r="P2564">
        <v>0</v>
      </c>
      <c r="Q2564">
        <v>0</v>
      </c>
      <c r="R2564">
        <v>0</v>
      </c>
      <c r="S2564">
        <v>66.099999999999994</v>
      </c>
      <c r="T2564">
        <v>66.099999999999994</v>
      </c>
      <c r="U2564">
        <v>66.099999999999994</v>
      </c>
      <c r="V2564">
        <v>66.099999999999994</v>
      </c>
      <c r="W2564">
        <v>3305000</v>
      </c>
      <c r="X2564">
        <v>66.11</v>
      </c>
      <c r="Y2564">
        <v>73.58</v>
      </c>
      <c r="Z2564">
        <v>1</v>
      </c>
      <c r="AA2564">
        <v>751821</v>
      </c>
      <c r="AB2564">
        <v>3305000</v>
      </c>
      <c r="AC2564">
        <v>0</v>
      </c>
      <c r="AD2564" t="s">
        <v>94</v>
      </c>
      <c r="AE2564" t="s">
        <v>94</v>
      </c>
      <c r="AF2564" t="s">
        <v>226</v>
      </c>
      <c r="AG2564" t="s">
        <v>226</v>
      </c>
      <c r="AH2564">
        <v>8</v>
      </c>
      <c r="AI2564" t="s">
        <v>3537</v>
      </c>
      <c r="AJ2564" t="s">
        <v>1976</v>
      </c>
      <c r="AK2564" t="s">
        <v>2416</v>
      </c>
      <c r="AL2564" t="s">
        <v>272</v>
      </c>
    </row>
    <row r="2565" spans="1:38">
      <c r="A2565" t="s">
        <v>10853</v>
      </c>
      <c r="B2565" t="s">
        <v>10854</v>
      </c>
      <c r="C2565" t="s">
        <v>10855</v>
      </c>
      <c r="D2565" t="s">
        <v>10855</v>
      </c>
      <c r="E2565" t="s">
        <v>10856</v>
      </c>
      <c r="F2565" t="s">
        <v>2413</v>
      </c>
      <c r="G2565">
        <v>3</v>
      </c>
      <c r="H2565">
        <v>1</v>
      </c>
      <c r="I2565">
        <v>0.01</v>
      </c>
      <c r="J2565">
        <v>1000</v>
      </c>
      <c r="K2565">
        <v>0</v>
      </c>
      <c r="L2565">
        <v>0</v>
      </c>
      <c r="M2565">
        <v>73</v>
      </c>
      <c r="N2565">
        <v>78.989999999999995</v>
      </c>
      <c r="O2565">
        <v>73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69.010000000000005</v>
      </c>
      <c r="Y2565">
        <v>79.010000000000005</v>
      </c>
      <c r="Z2565">
        <v>0</v>
      </c>
      <c r="AA2565">
        <v>133947</v>
      </c>
      <c r="AB2565">
        <v>0</v>
      </c>
      <c r="AC2565">
        <v>0</v>
      </c>
      <c r="AD2565" t="s">
        <v>94</v>
      </c>
      <c r="AE2565" t="s">
        <v>94</v>
      </c>
      <c r="AF2565" t="s">
        <v>226</v>
      </c>
      <c r="AG2565" t="s">
        <v>226</v>
      </c>
      <c r="AH2565">
        <v>8</v>
      </c>
      <c r="AI2565" t="s">
        <v>3537</v>
      </c>
      <c r="AJ2565" t="s">
        <v>1976</v>
      </c>
      <c r="AK2565" t="s">
        <v>2416</v>
      </c>
      <c r="AL2565" t="s">
        <v>272</v>
      </c>
    </row>
    <row r="2566" spans="1:38">
      <c r="A2566" t="s">
        <v>10857</v>
      </c>
      <c r="B2566" t="s">
        <v>10858</v>
      </c>
      <c r="C2566" t="s">
        <v>10859</v>
      </c>
      <c r="D2566" t="s">
        <v>10859</v>
      </c>
      <c r="E2566" t="s">
        <v>10860</v>
      </c>
      <c r="F2566" t="s">
        <v>2413</v>
      </c>
      <c r="G2566">
        <v>3</v>
      </c>
      <c r="H2566">
        <v>1</v>
      </c>
      <c r="I2566">
        <v>0.01</v>
      </c>
      <c r="J2566">
        <v>1000</v>
      </c>
      <c r="K2566">
        <v>0</v>
      </c>
      <c r="L2566">
        <v>94.01</v>
      </c>
      <c r="M2566">
        <v>94.01</v>
      </c>
      <c r="N2566">
        <v>0</v>
      </c>
      <c r="O2566">
        <v>94.01</v>
      </c>
      <c r="P2566">
        <v>0</v>
      </c>
      <c r="Q2566">
        <v>0</v>
      </c>
      <c r="R2566">
        <v>0</v>
      </c>
      <c r="S2566">
        <v>94.01</v>
      </c>
      <c r="T2566">
        <v>94.01</v>
      </c>
      <c r="U2566">
        <v>94.01</v>
      </c>
      <c r="V2566">
        <v>94.01</v>
      </c>
      <c r="W2566">
        <v>940</v>
      </c>
      <c r="X2566">
        <v>89.01</v>
      </c>
      <c r="Y2566">
        <v>99</v>
      </c>
      <c r="Z2566">
        <v>1</v>
      </c>
      <c r="AA2566">
        <v>7432</v>
      </c>
      <c r="AB2566">
        <v>940.1</v>
      </c>
      <c r="AC2566">
        <v>0</v>
      </c>
      <c r="AD2566" t="s">
        <v>94</v>
      </c>
      <c r="AE2566" t="s">
        <v>94</v>
      </c>
      <c r="AF2566" t="s">
        <v>226</v>
      </c>
      <c r="AG2566" t="s">
        <v>226</v>
      </c>
      <c r="AH2566">
        <v>8</v>
      </c>
      <c r="AI2566" t="s">
        <v>3537</v>
      </c>
      <c r="AJ2566" t="s">
        <v>1976</v>
      </c>
      <c r="AK2566" t="s">
        <v>2416</v>
      </c>
      <c r="AL2566" t="s">
        <v>272</v>
      </c>
    </row>
    <row r="2567" spans="1:38">
      <c r="A2567" t="s">
        <v>10861</v>
      </c>
      <c r="B2567" t="s">
        <v>10862</v>
      </c>
      <c r="C2567" t="s">
        <v>10863</v>
      </c>
      <c r="D2567" t="s">
        <v>10863</v>
      </c>
      <c r="E2567" t="s">
        <v>10864</v>
      </c>
      <c r="F2567" t="s">
        <v>2413</v>
      </c>
      <c r="G2567">
        <v>3</v>
      </c>
      <c r="H2567">
        <v>1</v>
      </c>
      <c r="I2567">
        <v>0.01</v>
      </c>
      <c r="J2567">
        <v>1000</v>
      </c>
      <c r="K2567">
        <v>0</v>
      </c>
      <c r="L2567">
        <v>0</v>
      </c>
      <c r="M2567">
        <v>81.95</v>
      </c>
      <c r="N2567">
        <v>86.21</v>
      </c>
      <c r="O2567">
        <v>81.95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79.91</v>
      </c>
      <c r="Y2567">
        <v>114.72</v>
      </c>
      <c r="Z2567">
        <v>0</v>
      </c>
      <c r="AA2567">
        <v>103586</v>
      </c>
      <c r="AB2567">
        <v>0</v>
      </c>
      <c r="AC2567">
        <v>0</v>
      </c>
      <c r="AD2567" t="s">
        <v>94</v>
      </c>
      <c r="AE2567" t="s">
        <v>94</v>
      </c>
      <c r="AF2567" t="s">
        <v>226</v>
      </c>
      <c r="AG2567" t="s">
        <v>226</v>
      </c>
      <c r="AH2567">
        <v>8</v>
      </c>
      <c r="AI2567" t="s">
        <v>3537</v>
      </c>
      <c r="AJ2567" t="s">
        <v>1976</v>
      </c>
      <c r="AK2567" t="s">
        <v>2416</v>
      </c>
      <c r="AL2567" t="s">
        <v>272</v>
      </c>
    </row>
    <row r="2568" spans="1:38">
      <c r="A2568" t="s">
        <v>10865</v>
      </c>
      <c r="B2568" t="s">
        <v>10866</v>
      </c>
      <c r="C2568" t="s">
        <v>10867</v>
      </c>
      <c r="D2568" t="s">
        <v>10867</v>
      </c>
      <c r="E2568" t="s">
        <v>10868</v>
      </c>
      <c r="F2568" t="s">
        <v>2413</v>
      </c>
      <c r="G2568">
        <v>3</v>
      </c>
      <c r="H2568">
        <v>1</v>
      </c>
      <c r="I2568">
        <v>0.01</v>
      </c>
      <c r="J2568">
        <v>1000</v>
      </c>
      <c r="K2568">
        <v>0</v>
      </c>
      <c r="L2568">
        <v>0</v>
      </c>
      <c r="M2568">
        <v>75.5</v>
      </c>
      <c r="N2568">
        <v>78.33</v>
      </c>
      <c r="O2568">
        <v>75.5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75</v>
      </c>
      <c r="Y2568">
        <v>83.04</v>
      </c>
      <c r="Z2568">
        <v>0</v>
      </c>
      <c r="AA2568">
        <v>326650</v>
      </c>
      <c r="AB2568">
        <v>0</v>
      </c>
      <c r="AC2568">
        <v>0</v>
      </c>
      <c r="AD2568" t="s">
        <v>94</v>
      </c>
      <c r="AE2568" t="s">
        <v>94</v>
      </c>
      <c r="AF2568" t="s">
        <v>226</v>
      </c>
      <c r="AG2568" t="s">
        <v>226</v>
      </c>
      <c r="AH2568">
        <v>8</v>
      </c>
      <c r="AI2568" t="s">
        <v>3537</v>
      </c>
      <c r="AJ2568" t="s">
        <v>1976</v>
      </c>
      <c r="AK2568" t="s">
        <v>2416</v>
      </c>
      <c r="AL2568" t="s">
        <v>272</v>
      </c>
    </row>
    <row r="2569" spans="1:38">
      <c r="A2569" t="s">
        <v>10869</v>
      </c>
      <c r="B2569" t="s">
        <v>10870</v>
      </c>
      <c r="C2569" t="s">
        <v>10871</v>
      </c>
      <c r="D2569" t="s">
        <v>10871</v>
      </c>
      <c r="E2569" t="s">
        <v>10872</v>
      </c>
      <c r="F2569" t="s">
        <v>2413</v>
      </c>
      <c r="G2569">
        <v>3</v>
      </c>
      <c r="H2569">
        <v>1</v>
      </c>
      <c r="I2569">
        <v>0.01</v>
      </c>
      <c r="J2569">
        <v>1000</v>
      </c>
      <c r="K2569">
        <v>0</v>
      </c>
      <c r="L2569">
        <v>0</v>
      </c>
      <c r="M2569">
        <v>83.8</v>
      </c>
      <c r="N2569">
        <v>86.68</v>
      </c>
      <c r="O2569">
        <v>83.8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76.83</v>
      </c>
      <c r="Y2569">
        <v>117.73</v>
      </c>
      <c r="Z2569">
        <v>0</v>
      </c>
      <c r="AA2569">
        <v>47401</v>
      </c>
      <c r="AB2569">
        <v>0</v>
      </c>
      <c r="AC2569">
        <v>0</v>
      </c>
      <c r="AD2569" t="s">
        <v>94</v>
      </c>
      <c r="AE2569" t="s">
        <v>94</v>
      </c>
      <c r="AF2569" t="s">
        <v>226</v>
      </c>
      <c r="AG2569" t="s">
        <v>226</v>
      </c>
      <c r="AH2569">
        <v>8</v>
      </c>
      <c r="AI2569" t="s">
        <v>3537</v>
      </c>
      <c r="AJ2569" t="s">
        <v>1976</v>
      </c>
      <c r="AK2569" t="s">
        <v>2416</v>
      </c>
      <c r="AL2569" t="s">
        <v>272</v>
      </c>
    </row>
    <row r="2570" spans="1:38">
      <c r="A2570" t="s">
        <v>10873</v>
      </c>
      <c r="B2570" t="s">
        <v>10874</v>
      </c>
      <c r="C2570" t="s">
        <v>10875</v>
      </c>
      <c r="D2570" t="s">
        <v>10875</v>
      </c>
      <c r="E2570" t="s">
        <v>10876</v>
      </c>
      <c r="F2570" t="s">
        <v>2413</v>
      </c>
      <c r="G2570">
        <v>3</v>
      </c>
      <c r="H2570">
        <v>1</v>
      </c>
      <c r="I2570">
        <v>0.01</v>
      </c>
      <c r="J2570">
        <v>1000</v>
      </c>
      <c r="K2570">
        <v>0</v>
      </c>
      <c r="L2570">
        <v>0</v>
      </c>
      <c r="M2570">
        <v>89.11</v>
      </c>
      <c r="N2570">
        <v>133.66999999999999</v>
      </c>
      <c r="O2570">
        <v>89.11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89.11</v>
      </c>
      <c r="Y2570">
        <v>127.82</v>
      </c>
      <c r="Z2570">
        <v>0</v>
      </c>
      <c r="AA2570">
        <v>200530</v>
      </c>
      <c r="AB2570">
        <v>0</v>
      </c>
      <c r="AC2570">
        <v>0</v>
      </c>
      <c r="AD2570" t="s">
        <v>94</v>
      </c>
      <c r="AE2570" t="s">
        <v>94</v>
      </c>
      <c r="AF2570" t="s">
        <v>226</v>
      </c>
      <c r="AG2570" t="s">
        <v>226</v>
      </c>
      <c r="AH2570">
        <v>8</v>
      </c>
      <c r="AI2570" t="s">
        <v>3537</v>
      </c>
      <c r="AJ2570" t="s">
        <v>1976</v>
      </c>
      <c r="AK2570" t="s">
        <v>2416</v>
      </c>
      <c r="AL2570" t="s">
        <v>272</v>
      </c>
    </row>
    <row r="2571" spans="1:38">
      <c r="A2571" t="s">
        <v>10877</v>
      </c>
      <c r="B2571" t="s">
        <v>10878</v>
      </c>
      <c r="C2571" t="s">
        <v>10879</v>
      </c>
      <c r="D2571" t="s">
        <v>10879</v>
      </c>
      <c r="E2571" t="s">
        <v>10880</v>
      </c>
      <c r="F2571" t="s">
        <v>2413</v>
      </c>
      <c r="G2571">
        <v>3</v>
      </c>
      <c r="H2571">
        <v>1</v>
      </c>
      <c r="I2571">
        <v>0.01</v>
      </c>
      <c r="J2571">
        <v>1000</v>
      </c>
      <c r="K2571">
        <v>0</v>
      </c>
      <c r="L2571">
        <v>0</v>
      </c>
      <c r="M2571">
        <v>104.8</v>
      </c>
      <c r="N2571">
        <v>0</v>
      </c>
      <c r="O2571">
        <v>104.8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92.41</v>
      </c>
      <c r="Y2571">
        <v>0</v>
      </c>
      <c r="Z2571">
        <v>0</v>
      </c>
      <c r="AA2571">
        <v>200356</v>
      </c>
      <c r="AB2571">
        <v>0</v>
      </c>
      <c r="AC2571">
        <v>0</v>
      </c>
      <c r="AD2571" t="s">
        <v>94</v>
      </c>
      <c r="AE2571" t="s">
        <v>94</v>
      </c>
      <c r="AF2571" t="s">
        <v>226</v>
      </c>
      <c r="AG2571" t="s">
        <v>226</v>
      </c>
      <c r="AH2571">
        <v>8</v>
      </c>
      <c r="AI2571" t="s">
        <v>3537</v>
      </c>
      <c r="AJ2571" t="s">
        <v>1976</v>
      </c>
      <c r="AK2571" t="s">
        <v>2416</v>
      </c>
      <c r="AL2571" t="s">
        <v>272</v>
      </c>
    </row>
    <row r="2572" spans="1:38">
      <c r="A2572" t="s">
        <v>10881</v>
      </c>
      <c r="B2572" t="s">
        <v>10882</v>
      </c>
      <c r="C2572" t="s">
        <v>10883</v>
      </c>
      <c r="D2572" t="s">
        <v>10883</v>
      </c>
      <c r="E2572" t="s">
        <v>10884</v>
      </c>
      <c r="F2572" t="s">
        <v>2413</v>
      </c>
      <c r="G2572">
        <v>3</v>
      </c>
      <c r="H2572">
        <v>1</v>
      </c>
      <c r="I2572">
        <v>0.01</v>
      </c>
      <c r="J2572">
        <v>1000</v>
      </c>
      <c r="K2572">
        <v>0</v>
      </c>
      <c r="L2572">
        <v>0</v>
      </c>
      <c r="M2572">
        <v>80</v>
      </c>
      <c r="N2572">
        <v>87.11</v>
      </c>
      <c r="O2572">
        <v>80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79.31</v>
      </c>
      <c r="Y2572">
        <v>87</v>
      </c>
      <c r="Z2572">
        <v>0</v>
      </c>
      <c r="AA2572">
        <v>111507</v>
      </c>
      <c r="AB2572">
        <v>0</v>
      </c>
      <c r="AC2572">
        <v>0</v>
      </c>
      <c r="AD2572" t="s">
        <v>94</v>
      </c>
      <c r="AE2572" t="s">
        <v>94</v>
      </c>
      <c r="AF2572" t="s">
        <v>226</v>
      </c>
      <c r="AG2572" t="s">
        <v>226</v>
      </c>
      <c r="AH2572">
        <v>8</v>
      </c>
      <c r="AI2572" t="s">
        <v>3537</v>
      </c>
      <c r="AJ2572" t="s">
        <v>1976</v>
      </c>
      <c r="AK2572" t="s">
        <v>2416</v>
      </c>
      <c r="AL2572" t="s">
        <v>272</v>
      </c>
    </row>
    <row r="2573" spans="1:38">
      <c r="A2573" t="s">
        <v>10885</v>
      </c>
      <c r="B2573" t="s">
        <v>10886</v>
      </c>
      <c r="C2573" t="s">
        <v>10887</v>
      </c>
      <c r="D2573" t="s">
        <v>10887</v>
      </c>
      <c r="E2573" t="s">
        <v>10888</v>
      </c>
      <c r="F2573" t="s">
        <v>2413</v>
      </c>
      <c r="G2573">
        <v>3</v>
      </c>
      <c r="H2573">
        <v>1</v>
      </c>
      <c r="I2573">
        <v>0.01</v>
      </c>
      <c r="J2573">
        <v>1000</v>
      </c>
      <c r="K2573">
        <v>0</v>
      </c>
      <c r="L2573">
        <v>0</v>
      </c>
      <c r="M2573">
        <v>78.7</v>
      </c>
      <c r="N2573">
        <v>80.88</v>
      </c>
      <c r="O2573">
        <v>78.7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78.31</v>
      </c>
      <c r="Y2573">
        <v>86.56</v>
      </c>
      <c r="Z2573">
        <v>0</v>
      </c>
      <c r="AA2573">
        <v>409534</v>
      </c>
      <c r="AB2573">
        <v>0</v>
      </c>
      <c r="AC2573">
        <v>0</v>
      </c>
      <c r="AD2573" t="s">
        <v>94</v>
      </c>
      <c r="AE2573" t="s">
        <v>94</v>
      </c>
      <c r="AF2573" t="s">
        <v>226</v>
      </c>
      <c r="AG2573" t="s">
        <v>226</v>
      </c>
      <c r="AH2573">
        <v>8</v>
      </c>
      <c r="AI2573" t="s">
        <v>3537</v>
      </c>
      <c r="AJ2573" t="s">
        <v>1976</v>
      </c>
      <c r="AK2573" t="s">
        <v>2416</v>
      </c>
      <c r="AL2573" t="s">
        <v>272</v>
      </c>
    </row>
    <row r="2574" spans="1:38">
      <c r="A2574" t="s">
        <v>10889</v>
      </c>
      <c r="B2574" t="s">
        <v>10890</v>
      </c>
      <c r="C2574" t="s">
        <v>10891</v>
      </c>
      <c r="D2574" t="s">
        <v>10891</v>
      </c>
      <c r="E2574" t="s">
        <v>10892</v>
      </c>
      <c r="F2574" t="s">
        <v>2413</v>
      </c>
      <c r="G2574">
        <v>3</v>
      </c>
      <c r="H2574">
        <v>1</v>
      </c>
      <c r="I2574">
        <v>0.01</v>
      </c>
      <c r="J2574">
        <v>1000</v>
      </c>
      <c r="K2574">
        <v>0</v>
      </c>
      <c r="L2574">
        <v>0</v>
      </c>
      <c r="M2574">
        <v>91.6</v>
      </c>
      <c r="N2574">
        <v>0</v>
      </c>
      <c r="O2574">
        <v>91.6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87.41</v>
      </c>
      <c r="Y2574">
        <v>91.6</v>
      </c>
      <c r="Z2574">
        <v>0</v>
      </c>
      <c r="AA2574">
        <v>212237</v>
      </c>
      <c r="AB2574">
        <v>0</v>
      </c>
      <c r="AC2574">
        <v>0</v>
      </c>
      <c r="AD2574" t="s">
        <v>94</v>
      </c>
      <c r="AE2574" t="s">
        <v>94</v>
      </c>
      <c r="AF2574" t="s">
        <v>226</v>
      </c>
      <c r="AG2574" t="s">
        <v>226</v>
      </c>
      <c r="AH2574">
        <v>800</v>
      </c>
      <c r="AI2574" t="s">
        <v>3537</v>
      </c>
      <c r="AJ2574" t="s">
        <v>1976</v>
      </c>
      <c r="AK2574" t="s">
        <v>2416</v>
      </c>
      <c r="AL2574" t="s">
        <v>272</v>
      </c>
    </row>
    <row r="2575" spans="1:38">
      <c r="A2575" t="s">
        <v>10893</v>
      </c>
      <c r="B2575" t="s">
        <v>10894</v>
      </c>
      <c r="C2575" t="s">
        <v>10895</v>
      </c>
      <c r="D2575" t="s">
        <v>10895</v>
      </c>
      <c r="E2575" t="s">
        <v>10896</v>
      </c>
      <c r="F2575" t="s">
        <v>2413</v>
      </c>
      <c r="G2575">
        <v>3</v>
      </c>
      <c r="H2575">
        <v>1</v>
      </c>
      <c r="I2575">
        <v>0.01</v>
      </c>
      <c r="J2575">
        <v>1000</v>
      </c>
      <c r="K2575">
        <v>0</v>
      </c>
      <c r="L2575">
        <v>0</v>
      </c>
      <c r="M2575">
        <v>83.1</v>
      </c>
      <c r="N2575">
        <v>84.37</v>
      </c>
      <c r="O2575">
        <v>83.1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80.62</v>
      </c>
      <c r="Y2575">
        <v>116.33</v>
      </c>
      <c r="Z2575">
        <v>0</v>
      </c>
      <c r="AA2575">
        <v>22486</v>
      </c>
      <c r="AB2575">
        <v>0</v>
      </c>
      <c r="AC2575">
        <v>0</v>
      </c>
      <c r="AD2575" t="s">
        <v>94</v>
      </c>
      <c r="AE2575" t="s">
        <v>94</v>
      </c>
      <c r="AF2575" t="s">
        <v>226</v>
      </c>
      <c r="AG2575" t="s">
        <v>226</v>
      </c>
      <c r="AH2575">
        <v>8</v>
      </c>
      <c r="AI2575" t="s">
        <v>3537</v>
      </c>
      <c r="AJ2575" t="s">
        <v>1976</v>
      </c>
      <c r="AK2575" t="s">
        <v>2416</v>
      </c>
      <c r="AL2575" t="s">
        <v>272</v>
      </c>
    </row>
    <row r="2576" spans="1:38">
      <c r="A2576" t="s">
        <v>10897</v>
      </c>
      <c r="B2576" t="s">
        <v>10898</v>
      </c>
      <c r="C2576" t="s">
        <v>10899</v>
      </c>
      <c r="D2576" t="s">
        <v>10899</v>
      </c>
      <c r="E2576" t="s">
        <v>10900</v>
      </c>
      <c r="F2576" t="s">
        <v>2413</v>
      </c>
      <c r="G2576">
        <v>3</v>
      </c>
      <c r="H2576">
        <v>1</v>
      </c>
      <c r="I2576">
        <v>0.01</v>
      </c>
      <c r="J2576">
        <v>1000</v>
      </c>
      <c r="K2576">
        <v>0</v>
      </c>
      <c r="L2576">
        <v>0</v>
      </c>
      <c r="M2576">
        <v>77.400000000000006</v>
      </c>
      <c r="N2576">
        <v>80.05</v>
      </c>
      <c r="O2576">
        <v>77.400000000000006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75.819999999999993</v>
      </c>
      <c r="Y2576">
        <v>114.99</v>
      </c>
      <c r="Z2576">
        <v>0</v>
      </c>
      <c r="AA2576">
        <v>456339</v>
      </c>
      <c r="AB2576">
        <v>0</v>
      </c>
      <c r="AC2576">
        <v>0</v>
      </c>
      <c r="AD2576" t="s">
        <v>94</v>
      </c>
      <c r="AE2576" t="s">
        <v>94</v>
      </c>
      <c r="AF2576" t="s">
        <v>226</v>
      </c>
      <c r="AG2576" t="s">
        <v>226</v>
      </c>
      <c r="AH2576">
        <v>8</v>
      </c>
      <c r="AI2576" t="s">
        <v>3537</v>
      </c>
      <c r="AJ2576" t="s">
        <v>1976</v>
      </c>
      <c r="AK2576" t="s">
        <v>2416</v>
      </c>
      <c r="AL2576" t="s">
        <v>272</v>
      </c>
    </row>
    <row r="2577" spans="1:38">
      <c r="A2577" t="s">
        <v>10901</v>
      </c>
      <c r="B2577" t="s">
        <v>10902</v>
      </c>
      <c r="C2577" t="s">
        <v>10903</v>
      </c>
      <c r="D2577" t="s">
        <v>10903</v>
      </c>
      <c r="E2577" t="s">
        <v>10904</v>
      </c>
      <c r="F2577" t="s">
        <v>2413</v>
      </c>
      <c r="G2577">
        <v>3</v>
      </c>
      <c r="H2577">
        <v>1</v>
      </c>
      <c r="I2577">
        <v>0.01</v>
      </c>
      <c r="J2577">
        <v>1000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93.8</v>
      </c>
      <c r="Y2577">
        <v>0</v>
      </c>
      <c r="Z2577">
        <v>0</v>
      </c>
      <c r="AA2577">
        <v>599698</v>
      </c>
      <c r="AB2577">
        <v>0</v>
      </c>
      <c r="AC2577">
        <v>0</v>
      </c>
      <c r="AD2577" t="s">
        <v>94</v>
      </c>
      <c r="AE2577" t="s">
        <v>94</v>
      </c>
      <c r="AF2577" t="s">
        <v>226</v>
      </c>
      <c r="AG2577" t="s">
        <v>226</v>
      </c>
      <c r="AH2577">
        <v>800</v>
      </c>
      <c r="AI2577" t="s">
        <v>3537</v>
      </c>
      <c r="AJ2577" t="s">
        <v>1976</v>
      </c>
      <c r="AK2577" t="s">
        <v>2416</v>
      </c>
      <c r="AL2577" t="s">
        <v>272</v>
      </c>
    </row>
    <row r="2578" spans="1:38">
      <c r="A2578" t="s">
        <v>10905</v>
      </c>
      <c r="B2578" t="s">
        <v>10906</v>
      </c>
      <c r="C2578" t="s">
        <v>10907</v>
      </c>
      <c r="D2578" t="s">
        <v>10907</v>
      </c>
      <c r="E2578" t="s">
        <v>10908</v>
      </c>
      <c r="F2578" t="s">
        <v>2413</v>
      </c>
      <c r="G2578">
        <v>3</v>
      </c>
      <c r="H2578">
        <v>1</v>
      </c>
      <c r="I2578">
        <v>0.01</v>
      </c>
      <c r="J2578">
        <v>1000</v>
      </c>
      <c r="K2578">
        <v>0</v>
      </c>
      <c r="L2578">
        <v>0</v>
      </c>
      <c r="M2578">
        <v>89.01</v>
      </c>
      <c r="N2578">
        <v>88.32</v>
      </c>
      <c r="O2578">
        <v>89.01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86.42</v>
      </c>
      <c r="Y2578">
        <v>89.01</v>
      </c>
      <c r="Z2578">
        <v>0</v>
      </c>
      <c r="AA2578">
        <v>131960</v>
      </c>
      <c r="AB2578">
        <v>0</v>
      </c>
      <c r="AC2578">
        <v>0</v>
      </c>
      <c r="AD2578" t="s">
        <v>94</v>
      </c>
      <c r="AE2578" t="s">
        <v>94</v>
      </c>
      <c r="AF2578" t="s">
        <v>226</v>
      </c>
      <c r="AG2578" t="s">
        <v>226</v>
      </c>
      <c r="AH2578">
        <v>8</v>
      </c>
      <c r="AI2578" t="s">
        <v>3537</v>
      </c>
      <c r="AJ2578" t="s">
        <v>1976</v>
      </c>
      <c r="AK2578" t="s">
        <v>2416</v>
      </c>
      <c r="AL2578" t="s">
        <v>272</v>
      </c>
    </row>
    <row r="2579" spans="1:38">
      <c r="A2579" t="s">
        <v>10909</v>
      </c>
      <c r="B2579" t="s">
        <v>10910</v>
      </c>
      <c r="C2579" t="s">
        <v>10911</v>
      </c>
      <c r="D2579" t="s">
        <v>10911</v>
      </c>
      <c r="E2579" t="s">
        <v>10912</v>
      </c>
      <c r="F2579" t="s">
        <v>2413</v>
      </c>
      <c r="G2579">
        <v>3</v>
      </c>
      <c r="H2579">
        <v>1</v>
      </c>
      <c r="I2579">
        <v>0.01</v>
      </c>
      <c r="J2579">
        <v>1000</v>
      </c>
      <c r="K2579">
        <v>0</v>
      </c>
      <c r="L2579">
        <v>0</v>
      </c>
      <c r="M2579">
        <v>81.400000000000006</v>
      </c>
      <c r="N2579">
        <v>83.93</v>
      </c>
      <c r="O2579">
        <v>81.400000000000006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77.819999999999993</v>
      </c>
      <c r="Y2579">
        <v>85.01</v>
      </c>
      <c r="Z2579">
        <v>0</v>
      </c>
      <c r="AA2579">
        <v>47116</v>
      </c>
      <c r="AB2579">
        <v>0</v>
      </c>
      <c r="AC2579">
        <v>0</v>
      </c>
      <c r="AD2579" t="s">
        <v>94</v>
      </c>
      <c r="AE2579" t="s">
        <v>94</v>
      </c>
      <c r="AF2579" t="s">
        <v>226</v>
      </c>
      <c r="AG2579" t="s">
        <v>226</v>
      </c>
      <c r="AH2579">
        <v>8</v>
      </c>
      <c r="AI2579" t="s">
        <v>3537</v>
      </c>
      <c r="AJ2579" t="s">
        <v>1976</v>
      </c>
      <c r="AK2579" t="s">
        <v>2416</v>
      </c>
      <c r="AL2579" t="s">
        <v>272</v>
      </c>
    </row>
    <row r="2580" spans="1:38">
      <c r="A2580" t="s">
        <v>10913</v>
      </c>
      <c r="B2580" t="s">
        <v>10914</v>
      </c>
      <c r="C2580" t="s">
        <v>10915</v>
      </c>
      <c r="D2580" t="s">
        <v>10915</v>
      </c>
      <c r="E2580" t="s">
        <v>10916</v>
      </c>
      <c r="F2580" t="s">
        <v>2413</v>
      </c>
      <c r="G2580">
        <v>3</v>
      </c>
      <c r="H2580">
        <v>1</v>
      </c>
      <c r="I2580">
        <v>0.01</v>
      </c>
      <c r="J2580">
        <v>1000</v>
      </c>
      <c r="K2580">
        <v>0</v>
      </c>
      <c r="L2580">
        <v>0</v>
      </c>
      <c r="M2580">
        <v>100.43</v>
      </c>
      <c r="N2580">
        <v>91.7</v>
      </c>
      <c r="O2580">
        <v>100.43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87.32</v>
      </c>
      <c r="Y2580">
        <v>88.21</v>
      </c>
      <c r="Z2580">
        <v>0</v>
      </c>
      <c r="AA2580">
        <v>186262</v>
      </c>
      <c r="AB2580">
        <v>0</v>
      </c>
      <c r="AC2580">
        <v>0</v>
      </c>
      <c r="AD2580" t="s">
        <v>94</v>
      </c>
      <c r="AE2580" t="s">
        <v>94</v>
      </c>
      <c r="AF2580" t="s">
        <v>226</v>
      </c>
      <c r="AG2580" t="s">
        <v>226</v>
      </c>
      <c r="AH2580">
        <v>8</v>
      </c>
      <c r="AI2580" t="s">
        <v>3537</v>
      </c>
      <c r="AJ2580" t="s">
        <v>1976</v>
      </c>
      <c r="AK2580" t="s">
        <v>2416</v>
      </c>
      <c r="AL2580" t="s">
        <v>272</v>
      </c>
    </row>
    <row r="2581" spans="1:38">
      <c r="A2581" t="s">
        <v>10917</v>
      </c>
      <c r="B2581" t="s">
        <v>10918</v>
      </c>
      <c r="C2581" t="s">
        <v>10919</v>
      </c>
      <c r="D2581" t="s">
        <v>10919</v>
      </c>
      <c r="E2581" t="s">
        <v>10920</v>
      </c>
      <c r="F2581" t="s">
        <v>2413</v>
      </c>
      <c r="G2581">
        <v>3</v>
      </c>
      <c r="H2581">
        <v>1</v>
      </c>
      <c r="I2581">
        <v>0.01</v>
      </c>
      <c r="J2581">
        <v>1000</v>
      </c>
      <c r="K2581">
        <v>0</v>
      </c>
      <c r="L2581">
        <v>0</v>
      </c>
      <c r="M2581">
        <v>94.4</v>
      </c>
      <c r="N2581">
        <v>0</v>
      </c>
      <c r="O2581">
        <v>94.4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93.61</v>
      </c>
      <c r="Y2581">
        <v>99</v>
      </c>
      <c r="Z2581">
        <v>0</v>
      </c>
      <c r="AA2581">
        <v>105312</v>
      </c>
      <c r="AB2581">
        <v>0</v>
      </c>
      <c r="AC2581">
        <v>0</v>
      </c>
      <c r="AD2581" t="s">
        <v>94</v>
      </c>
      <c r="AE2581" t="s">
        <v>94</v>
      </c>
      <c r="AF2581" t="s">
        <v>226</v>
      </c>
      <c r="AG2581" t="s">
        <v>226</v>
      </c>
      <c r="AH2581">
        <v>800</v>
      </c>
      <c r="AI2581" t="s">
        <v>3537</v>
      </c>
      <c r="AJ2581" t="s">
        <v>1976</v>
      </c>
      <c r="AK2581" t="s">
        <v>2416</v>
      </c>
      <c r="AL2581" t="s">
        <v>272</v>
      </c>
    </row>
    <row r="2582" spans="1:38">
      <c r="A2582" t="s">
        <v>10921</v>
      </c>
      <c r="B2582" t="s">
        <v>10922</v>
      </c>
      <c r="C2582" t="s">
        <v>10923</v>
      </c>
      <c r="D2582" t="s">
        <v>10923</v>
      </c>
      <c r="E2582" t="s">
        <v>10924</v>
      </c>
      <c r="F2582" t="s">
        <v>2413</v>
      </c>
      <c r="G2582">
        <v>3</v>
      </c>
      <c r="H2582">
        <v>1</v>
      </c>
      <c r="I2582">
        <v>0.01</v>
      </c>
      <c r="J2582">
        <v>1000</v>
      </c>
      <c r="K2582">
        <v>0</v>
      </c>
      <c r="L2582">
        <v>0</v>
      </c>
      <c r="M2582">
        <v>86</v>
      </c>
      <c r="N2582">
        <v>89.3</v>
      </c>
      <c r="O2582">
        <v>86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84.3</v>
      </c>
      <c r="Y2582">
        <v>99.99</v>
      </c>
      <c r="Z2582">
        <v>0</v>
      </c>
      <c r="AA2582">
        <v>250925</v>
      </c>
      <c r="AB2582">
        <v>0</v>
      </c>
      <c r="AC2582">
        <v>0</v>
      </c>
      <c r="AD2582" t="s">
        <v>94</v>
      </c>
      <c r="AE2582" t="s">
        <v>94</v>
      </c>
      <c r="AF2582" t="s">
        <v>226</v>
      </c>
      <c r="AG2582" t="s">
        <v>226</v>
      </c>
      <c r="AH2582">
        <v>8</v>
      </c>
      <c r="AI2582" t="s">
        <v>3537</v>
      </c>
      <c r="AJ2582" t="s">
        <v>1976</v>
      </c>
      <c r="AK2582" t="s">
        <v>2416</v>
      </c>
      <c r="AL2582" t="s">
        <v>272</v>
      </c>
    </row>
    <row r="2583" spans="1:38">
      <c r="A2583" t="s">
        <v>10925</v>
      </c>
      <c r="B2583" t="s">
        <v>10926</v>
      </c>
      <c r="C2583" t="s">
        <v>10927</v>
      </c>
      <c r="D2583" t="s">
        <v>10927</v>
      </c>
      <c r="E2583" t="s">
        <v>10928</v>
      </c>
      <c r="F2583" t="s">
        <v>2413</v>
      </c>
      <c r="G2583">
        <v>3</v>
      </c>
      <c r="H2583">
        <v>1</v>
      </c>
      <c r="I2583">
        <v>0.01</v>
      </c>
      <c r="J2583">
        <v>1000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97.4</v>
      </c>
      <c r="Y2583">
        <v>0</v>
      </c>
      <c r="Z2583">
        <v>0</v>
      </c>
      <c r="AA2583">
        <v>482561</v>
      </c>
      <c r="AB2583">
        <v>0</v>
      </c>
      <c r="AC2583">
        <v>0</v>
      </c>
      <c r="AD2583" t="s">
        <v>94</v>
      </c>
      <c r="AE2583" t="s">
        <v>94</v>
      </c>
      <c r="AF2583" t="s">
        <v>226</v>
      </c>
      <c r="AG2583" t="s">
        <v>226</v>
      </c>
      <c r="AH2583">
        <v>800</v>
      </c>
      <c r="AI2583" t="s">
        <v>3537</v>
      </c>
      <c r="AJ2583" t="s">
        <v>1976</v>
      </c>
      <c r="AK2583" t="s">
        <v>2416</v>
      </c>
      <c r="AL2583" t="s">
        <v>272</v>
      </c>
    </row>
    <row r="2584" spans="1:38">
      <c r="A2584" t="s">
        <v>10929</v>
      </c>
      <c r="B2584" t="s">
        <v>10930</v>
      </c>
      <c r="C2584" t="s">
        <v>10931</v>
      </c>
      <c r="D2584" t="s">
        <v>10931</v>
      </c>
      <c r="E2584" t="s">
        <v>10932</v>
      </c>
      <c r="F2584" t="s">
        <v>2413</v>
      </c>
      <c r="G2584">
        <v>3</v>
      </c>
      <c r="H2584">
        <v>1</v>
      </c>
      <c r="I2584">
        <v>0.01</v>
      </c>
      <c r="J2584">
        <v>1000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97.4</v>
      </c>
      <c r="Y2584">
        <v>0</v>
      </c>
      <c r="Z2584">
        <v>0</v>
      </c>
      <c r="AA2584">
        <v>300314</v>
      </c>
      <c r="AB2584">
        <v>0</v>
      </c>
      <c r="AC2584">
        <v>0</v>
      </c>
      <c r="AD2584" t="s">
        <v>94</v>
      </c>
      <c r="AE2584" t="s">
        <v>94</v>
      </c>
      <c r="AF2584" t="s">
        <v>226</v>
      </c>
      <c r="AG2584" t="s">
        <v>226</v>
      </c>
      <c r="AH2584">
        <v>800</v>
      </c>
      <c r="AI2584" t="s">
        <v>3537</v>
      </c>
      <c r="AJ2584" t="s">
        <v>1976</v>
      </c>
      <c r="AK2584" t="s">
        <v>2416</v>
      </c>
      <c r="AL2584" t="s">
        <v>272</v>
      </c>
    </row>
    <row r="2585" spans="1:38">
      <c r="A2585" t="s">
        <v>10933</v>
      </c>
      <c r="B2585" t="s">
        <v>10934</v>
      </c>
      <c r="C2585" t="s">
        <v>10935</v>
      </c>
      <c r="D2585" t="s">
        <v>10935</v>
      </c>
      <c r="E2585" t="s">
        <v>10936</v>
      </c>
      <c r="F2585" t="s">
        <v>2413</v>
      </c>
      <c r="G2585">
        <v>3</v>
      </c>
      <c r="H2585">
        <v>1</v>
      </c>
      <c r="I2585">
        <v>0.01</v>
      </c>
      <c r="J2585">
        <v>1000</v>
      </c>
      <c r="K2585">
        <v>-0.87</v>
      </c>
      <c r="L2585">
        <v>91.1</v>
      </c>
      <c r="M2585">
        <v>91.9</v>
      </c>
      <c r="N2585">
        <v>97.59</v>
      </c>
      <c r="O2585">
        <v>91.1</v>
      </c>
      <c r="P2585">
        <v>0</v>
      </c>
      <c r="Q2585">
        <v>0</v>
      </c>
      <c r="R2585">
        <v>0</v>
      </c>
      <c r="S2585">
        <v>94.9</v>
      </c>
      <c r="T2585">
        <v>91.1</v>
      </c>
      <c r="U2585">
        <v>91.1</v>
      </c>
      <c r="V2585">
        <v>91.1</v>
      </c>
      <c r="W2585">
        <v>41906</v>
      </c>
      <c r="X2585">
        <v>91.11</v>
      </c>
      <c r="Y2585">
        <v>113.99</v>
      </c>
      <c r="Z2585">
        <v>2</v>
      </c>
      <c r="AA2585">
        <v>206835</v>
      </c>
      <c r="AB2585">
        <v>32796</v>
      </c>
      <c r="AC2585">
        <v>0</v>
      </c>
      <c r="AD2585" t="s">
        <v>94</v>
      </c>
      <c r="AE2585" t="s">
        <v>94</v>
      </c>
      <c r="AF2585" t="s">
        <v>226</v>
      </c>
      <c r="AG2585" t="s">
        <v>226</v>
      </c>
      <c r="AH2585">
        <v>8</v>
      </c>
      <c r="AI2585" t="s">
        <v>3537</v>
      </c>
      <c r="AJ2585" t="s">
        <v>1976</v>
      </c>
      <c r="AK2585" t="s">
        <v>2416</v>
      </c>
      <c r="AL2585" t="s">
        <v>272</v>
      </c>
    </row>
    <row r="2586" spans="1:38">
      <c r="A2586" t="s">
        <v>10937</v>
      </c>
      <c r="B2586" t="s">
        <v>10938</v>
      </c>
      <c r="C2586" t="s">
        <v>10939</v>
      </c>
      <c r="D2586" t="s">
        <v>10939</v>
      </c>
      <c r="E2586" t="s">
        <v>10940</v>
      </c>
      <c r="F2586" t="s">
        <v>2413</v>
      </c>
      <c r="G2586">
        <v>3</v>
      </c>
      <c r="H2586">
        <v>1</v>
      </c>
      <c r="I2586">
        <v>0.01</v>
      </c>
      <c r="J2586">
        <v>1000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97.1</v>
      </c>
      <c r="Y2586">
        <v>0</v>
      </c>
      <c r="Z2586">
        <v>0</v>
      </c>
      <c r="AA2586">
        <v>114209</v>
      </c>
      <c r="AB2586">
        <v>0</v>
      </c>
      <c r="AC2586">
        <v>0</v>
      </c>
      <c r="AD2586" t="s">
        <v>94</v>
      </c>
      <c r="AE2586" t="s">
        <v>94</v>
      </c>
      <c r="AF2586" t="s">
        <v>226</v>
      </c>
      <c r="AG2586" t="s">
        <v>226</v>
      </c>
      <c r="AH2586">
        <v>800</v>
      </c>
      <c r="AI2586" t="s">
        <v>3537</v>
      </c>
      <c r="AJ2586" t="s">
        <v>1976</v>
      </c>
      <c r="AK2586" t="s">
        <v>2416</v>
      </c>
      <c r="AL2586" t="s">
        <v>272</v>
      </c>
    </row>
    <row r="2587" spans="1:38">
      <c r="A2587" t="s">
        <v>10941</v>
      </c>
      <c r="B2587" t="s">
        <v>10942</v>
      </c>
      <c r="C2587" t="s">
        <v>10943</v>
      </c>
      <c r="D2587" t="s">
        <v>10943</v>
      </c>
      <c r="E2587" t="s">
        <v>10944</v>
      </c>
      <c r="F2587" t="s">
        <v>2413</v>
      </c>
      <c r="G2587">
        <v>3</v>
      </c>
      <c r="H2587">
        <v>1</v>
      </c>
      <c r="I2587">
        <v>0.01</v>
      </c>
      <c r="J2587">
        <v>1000</v>
      </c>
      <c r="K2587">
        <v>0</v>
      </c>
      <c r="L2587">
        <v>0</v>
      </c>
      <c r="M2587">
        <v>100.3</v>
      </c>
      <c r="N2587">
        <v>0</v>
      </c>
      <c r="O2587">
        <v>100.3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98.6</v>
      </c>
      <c r="Y2587">
        <v>0</v>
      </c>
      <c r="Z2587">
        <v>0</v>
      </c>
      <c r="AA2587">
        <v>543973</v>
      </c>
      <c r="AB2587">
        <v>0</v>
      </c>
      <c r="AC2587">
        <v>0</v>
      </c>
      <c r="AD2587" t="s">
        <v>94</v>
      </c>
      <c r="AE2587" t="s">
        <v>94</v>
      </c>
      <c r="AF2587" t="s">
        <v>226</v>
      </c>
      <c r="AG2587" t="s">
        <v>226</v>
      </c>
      <c r="AH2587">
        <v>8</v>
      </c>
      <c r="AI2587" t="s">
        <v>3537</v>
      </c>
      <c r="AJ2587" t="s">
        <v>1976</v>
      </c>
      <c r="AK2587" t="s">
        <v>2416</v>
      </c>
      <c r="AL2587" t="s">
        <v>272</v>
      </c>
    </row>
    <row r="2588" spans="1:38">
      <c r="A2588" t="s">
        <v>10945</v>
      </c>
      <c r="B2588" t="s">
        <v>10946</v>
      </c>
      <c r="C2588" t="s">
        <v>10947</v>
      </c>
      <c r="D2588" t="s">
        <v>10947</v>
      </c>
      <c r="E2588" t="s">
        <v>10948</v>
      </c>
      <c r="F2588" t="s">
        <v>2413</v>
      </c>
      <c r="G2588">
        <v>3</v>
      </c>
      <c r="H2588">
        <v>1</v>
      </c>
      <c r="I2588">
        <v>0.01</v>
      </c>
      <c r="J2588">
        <v>1000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95.51</v>
      </c>
      <c r="Y2588">
        <v>0</v>
      </c>
      <c r="Z2588">
        <v>0</v>
      </c>
      <c r="AA2588">
        <v>1000000</v>
      </c>
      <c r="AB2588">
        <v>0</v>
      </c>
      <c r="AC2588">
        <v>0</v>
      </c>
      <c r="AD2588" t="s">
        <v>94</v>
      </c>
      <c r="AE2588" t="s">
        <v>94</v>
      </c>
      <c r="AF2588" t="s">
        <v>226</v>
      </c>
      <c r="AG2588" t="s">
        <v>226</v>
      </c>
      <c r="AH2588">
        <v>800</v>
      </c>
      <c r="AI2588" t="s">
        <v>3537</v>
      </c>
      <c r="AJ2588" t="s">
        <v>1976</v>
      </c>
      <c r="AK2588" t="s">
        <v>2416</v>
      </c>
      <c r="AL2588" t="s">
        <v>272</v>
      </c>
    </row>
    <row r="2589" spans="1:38">
      <c r="A2589" t="s">
        <v>10949</v>
      </c>
      <c r="B2589" t="s">
        <v>10950</v>
      </c>
      <c r="C2589" t="s">
        <v>10951</v>
      </c>
      <c r="D2589" t="s">
        <v>10951</v>
      </c>
      <c r="E2589" t="s">
        <v>10952</v>
      </c>
      <c r="F2589" t="s">
        <v>2413</v>
      </c>
      <c r="G2589">
        <v>3</v>
      </c>
      <c r="H2589">
        <v>1</v>
      </c>
      <c r="I2589">
        <v>0.01</v>
      </c>
      <c r="J2589">
        <v>1000</v>
      </c>
      <c r="K2589">
        <v>-0.1</v>
      </c>
      <c r="L2589">
        <v>95.9</v>
      </c>
      <c r="M2589">
        <v>96</v>
      </c>
      <c r="N2589">
        <v>0</v>
      </c>
      <c r="O2589">
        <v>95.9</v>
      </c>
      <c r="P2589">
        <v>0</v>
      </c>
      <c r="Q2589">
        <v>0</v>
      </c>
      <c r="R2589">
        <v>0</v>
      </c>
      <c r="S2589">
        <v>95.9</v>
      </c>
      <c r="T2589">
        <v>95.9</v>
      </c>
      <c r="U2589">
        <v>95.9</v>
      </c>
      <c r="V2589">
        <v>95.9</v>
      </c>
      <c r="W2589">
        <v>95900</v>
      </c>
      <c r="X2589">
        <v>95.9</v>
      </c>
      <c r="Y2589">
        <v>96</v>
      </c>
      <c r="Z2589">
        <v>1</v>
      </c>
      <c r="AA2589">
        <v>1000000</v>
      </c>
      <c r="AB2589">
        <v>95900</v>
      </c>
      <c r="AC2589">
        <v>0</v>
      </c>
      <c r="AD2589" t="s">
        <v>94</v>
      </c>
      <c r="AE2589" t="s">
        <v>94</v>
      </c>
      <c r="AF2589" t="s">
        <v>226</v>
      </c>
      <c r="AG2589" t="s">
        <v>226</v>
      </c>
      <c r="AH2589">
        <v>8</v>
      </c>
      <c r="AI2589" t="s">
        <v>3537</v>
      </c>
      <c r="AJ2589" t="s">
        <v>1976</v>
      </c>
      <c r="AK2589" t="s">
        <v>2416</v>
      </c>
      <c r="AL2589" t="s">
        <v>272</v>
      </c>
    </row>
    <row r="2590" spans="1:38">
      <c r="A2590" t="s">
        <v>10953</v>
      </c>
      <c r="B2590" t="s">
        <v>10954</v>
      </c>
      <c r="C2590" t="s">
        <v>10955</v>
      </c>
      <c r="D2590" t="s">
        <v>10955</v>
      </c>
      <c r="E2590" t="s">
        <v>10956</v>
      </c>
      <c r="F2590" t="s">
        <v>2425</v>
      </c>
      <c r="G2590">
        <v>3</v>
      </c>
      <c r="H2590">
        <v>1</v>
      </c>
      <c r="I2590">
        <v>0.01</v>
      </c>
      <c r="J2590">
        <v>1000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94.8</v>
      </c>
      <c r="Y2590">
        <v>0</v>
      </c>
      <c r="Z2590">
        <v>0</v>
      </c>
      <c r="AA2590">
        <v>117920</v>
      </c>
      <c r="AB2590">
        <v>0</v>
      </c>
      <c r="AC2590">
        <v>0</v>
      </c>
      <c r="AD2590" t="s">
        <v>94</v>
      </c>
      <c r="AE2590" t="s">
        <v>94</v>
      </c>
      <c r="AF2590" t="s">
        <v>304</v>
      </c>
      <c r="AG2590" t="s">
        <v>226</v>
      </c>
      <c r="AH2590">
        <v>0</v>
      </c>
      <c r="AI2590" t="s">
        <v>3537</v>
      </c>
      <c r="AJ2590" t="s">
        <v>1976</v>
      </c>
      <c r="AK2590" t="s">
        <v>2426</v>
      </c>
      <c r="AL2590" t="s">
        <v>272</v>
      </c>
    </row>
    <row r="2591" spans="1:38">
      <c r="A2591" t="s">
        <v>10957</v>
      </c>
      <c r="B2591" t="s">
        <v>10958</v>
      </c>
      <c r="C2591" t="s">
        <v>10959</v>
      </c>
      <c r="D2591" t="s">
        <v>10959</v>
      </c>
      <c r="E2591" t="s">
        <v>10960</v>
      </c>
      <c r="F2591" t="s">
        <v>2425</v>
      </c>
      <c r="G2591">
        <v>3</v>
      </c>
      <c r="H2591">
        <v>1</v>
      </c>
      <c r="I2591">
        <v>0.01</v>
      </c>
      <c r="J2591">
        <v>1000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96.3</v>
      </c>
      <c r="Y2591">
        <v>0</v>
      </c>
      <c r="Z2591">
        <v>0</v>
      </c>
      <c r="AA2591">
        <v>124610</v>
      </c>
      <c r="AB2591">
        <v>0</v>
      </c>
      <c r="AC2591">
        <v>0</v>
      </c>
      <c r="AD2591" t="s">
        <v>94</v>
      </c>
      <c r="AE2591" t="s">
        <v>94</v>
      </c>
      <c r="AF2591" t="s">
        <v>304</v>
      </c>
      <c r="AG2591" t="s">
        <v>226</v>
      </c>
      <c r="AH2591">
        <v>0</v>
      </c>
      <c r="AI2591" t="s">
        <v>3537</v>
      </c>
      <c r="AJ2591" t="s">
        <v>1976</v>
      </c>
      <c r="AK2591" t="s">
        <v>2426</v>
      </c>
      <c r="AL2591" t="s">
        <v>272</v>
      </c>
    </row>
    <row r="2592" spans="1:38">
      <c r="A2592" t="s">
        <v>10961</v>
      </c>
      <c r="B2592" t="s">
        <v>10962</v>
      </c>
      <c r="C2592" t="s">
        <v>10963</v>
      </c>
      <c r="D2592" t="s">
        <v>10963</v>
      </c>
      <c r="E2592" t="s">
        <v>10964</v>
      </c>
      <c r="F2592" t="s">
        <v>2425</v>
      </c>
      <c r="G2592">
        <v>3</v>
      </c>
      <c r="H2592">
        <v>1</v>
      </c>
      <c r="I2592">
        <v>0.01</v>
      </c>
      <c r="J2592">
        <v>1000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94.8</v>
      </c>
      <c r="Y2592">
        <v>0</v>
      </c>
      <c r="Z2592">
        <v>0</v>
      </c>
      <c r="AA2592">
        <v>237872</v>
      </c>
      <c r="AB2592">
        <v>0</v>
      </c>
      <c r="AC2592">
        <v>0</v>
      </c>
      <c r="AD2592" t="s">
        <v>94</v>
      </c>
      <c r="AE2592" t="s">
        <v>94</v>
      </c>
      <c r="AF2592" t="s">
        <v>304</v>
      </c>
      <c r="AG2592" t="s">
        <v>226</v>
      </c>
      <c r="AH2592">
        <v>0</v>
      </c>
      <c r="AI2592" t="s">
        <v>3537</v>
      </c>
      <c r="AJ2592" t="s">
        <v>1976</v>
      </c>
      <c r="AK2592" t="s">
        <v>2426</v>
      </c>
      <c r="AL2592" t="s">
        <v>272</v>
      </c>
    </row>
    <row r="2593" spans="1:38">
      <c r="A2593" t="s">
        <v>10965</v>
      </c>
      <c r="B2593" t="s">
        <v>10966</v>
      </c>
      <c r="C2593" t="s">
        <v>10967</v>
      </c>
      <c r="D2593" t="s">
        <v>10967</v>
      </c>
      <c r="E2593" t="s">
        <v>10968</v>
      </c>
      <c r="F2593" t="s">
        <v>2425</v>
      </c>
      <c r="G2593">
        <v>3</v>
      </c>
      <c r="H2593">
        <v>1</v>
      </c>
      <c r="I2593">
        <v>0.01</v>
      </c>
      <c r="J2593">
        <v>1000</v>
      </c>
      <c r="K2593">
        <v>0</v>
      </c>
      <c r="L2593">
        <v>0</v>
      </c>
      <c r="M2593">
        <v>94.6</v>
      </c>
      <c r="N2593">
        <v>0</v>
      </c>
      <c r="O2593">
        <v>94.6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93.1</v>
      </c>
      <c r="Y2593">
        <v>0</v>
      </c>
      <c r="Z2593">
        <v>0</v>
      </c>
      <c r="AA2593">
        <v>64134</v>
      </c>
      <c r="AB2593">
        <v>0</v>
      </c>
      <c r="AC2593">
        <v>0</v>
      </c>
      <c r="AD2593" t="s">
        <v>94</v>
      </c>
      <c r="AE2593" t="s">
        <v>94</v>
      </c>
      <c r="AF2593" t="s">
        <v>304</v>
      </c>
      <c r="AG2593" t="s">
        <v>226</v>
      </c>
      <c r="AH2593">
        <v>0</v>
      </c>
      <c r="AI2593" t="s">
        <v>3537</v>
      </c>
      <c r="AJ2593" t="s">
        <v>1976</v>
      </c>
      <c r="AK2593" t="s">
        <v>2426</v>
      </c>
      <c r="AL2593" t="s">
        <v>272</v>
      </c>
    </row>
    <row r="2594" spans="1:38">
      <c r="A2594" t="s">
        <v>10969</v>
      </c>
      <c r="B2594" t="s">
        <v>10970</v>
      </c>
      <c r="C2594" t="s">
        <v>10971</v>
      </c>
      <c r="D2594" t="s">
        <v>10971</v>
      </c>
      <c r="E2594" t="s">
        <v>10972</v>
      </c>
      <c r="F2594" t="s">
        <v>2425</v>
      </c>
      <c r="G2594">
        <v>3</v>
      </c>
      <c r="H2594">
        <v>1</v>
      </c>
      <c r="I2594">
        <v>0.01</v>
      </c>
      <c r="J2594">
        <v>1000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92.4</v>
      </c>
      <c r="Y2594">
        <v>0</v>
      </c>
      <c r="Z2594">
        <v>0</v>
      </c>
      <c r="AA2594">
        <v>21427</v>
      </c>
      <c r="AB2594">
        <v>0</v>
      </c>
      <c r="AC2594">
        <v>0</v>
      </c>
      <c r="AD2594" t="s">
        <v>94</v>
      </c>
      <c r="AE2594" t="s">
        <v>94</v>
      </c>
      <c r="AF2594" t="s">
        <v>304</v>
      </c>
      <c r="AG2594" t="s">
        <v>226</v>
      </c>
      <c r="AH2594">
        <v>0</v>
      </c>
      <c r="AI2594" t="s">
        <v>3537</v>
      </c>
      <c r="AJ2594" t="s">
        <v>1976</v>
      </c>
      <c r="AK2594" t="s">
        <v>2426</v>
      </c>
      <c r="AL2594" t="s">
        <v>272</v>
      </c>
    </row>
    <row r="2595" spans="1:38">
      <c r="A2595" t="s">
        <v>10973</v>
      </c>
      <c r="B2595" t="s">
        <v>10974</v>
      </c>
      <c r="C2595" t="s">
        <v>10975</v>
      </c>
      <c r="D2595" t="s">
        <v>10975</v>
      </c>
      <c r="E2595" t="s">
        <v>10976</v>
      </c>
      <c r="F2595" t="s">
        <v>2425</v>
      </c>
      <c r="G2595">
        <v>3</v>
      </c>
      <c r="H2595">
        <v>1</v>
      </c>
      <c r="I2595">
        <v>0.01</v>
      </c>
      <c r="J2595">
        <v>1000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96.2</v>
      </c>
      <c r="Y2595">
        <v>0</v>
      </c>
      <c r="Z2595">
        <v>0</v>
      </c>
      <c r="AA2595">
        <v>129344</v>
      </c>
      <c r="AB2595">
        <v>0</v>
      </c>
      <c r="AC2595">
        <v>0</v>
      </c>
      <c r="AD2595" t="s">
        <v>94</v>
      </c>
      <c r="AE2595" t="s">
        <v>94</v>
      </c>
      <c r="AF2595" t="s">
        <v>304</v>
      </c>
      <c r="AG2595" t="s">
        <v>226</v>
      </c>
      <c r="AH2595">
        <v>0</v>
      </c>
      <c r="AI2595" t="s">
        <v>3537</v>
      </c>
      <c r="AJ2595" t="s">
        <v>1976</v>
      </c>
      <c r="AK2595" t="s">
        <v>2426</v>
      </c>
      <c r="AL2595" t="s">
        <v>272</v>
      </c>
    </row>
    <row r="2596" spans="1:38">
      <c r="A2596" t="s">
        <v>10977</v>
      </c>
      <c r="B2596" t="s">
        <v>10978</v>
      </c>
      <c r="C2596" t="s">
        <v>10979</v>
      </c>
      <c r="D2596" t="s">
        <v>10979</v>
      </c>
      <c r="E2596" t="s">
        <v>10980</v>
      </c>
      <c r="F2596" t="s">
        <v>2425</v>
      </c>
      <c r="G2596">
        <v>3</v>
      </c>
      <c r="H2596">
        <v>1</v>
      </c>
      <c r="I2596">
        <v>0.01</v>
      </c>
      <c r="J2596">
        <v>1000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98.8</v>
      </c>
      <c r="Y2596">
        <v>0</v>
      </c>
      <c r="Z2596">
        <v>0</v>
      </c>
      <c r="AA2596">
        <v>46679</v>
      </c>
      <c r="AB2596">
        <v>0</v>
      </c>
      <c r="AC2596">
        <v>0</v>
      </c>
      <c r="AD2596" t="s">
        <v>94</v>
      </c>
      <c r="AE2596" t="s">
        <v>94</v>
      </c>
      <c r="AF2596" t="s">
        <v>304</v>
      </c>
      <c r="AG2596" t="s">
        <v>226</v>
      </c>
      <c r="AH2596">
        <v>0</v>
      </c>
      <c r="AI2596" t="s">
        <v>3537</v>
      </c>
      <c r="AJ2596" t="s">
        <v>1976</v>
      </c>
      <c r="AK2596" t="s">
        <v>2426</v>
      </c>
      <c r="AL2596" t="s">
        <v>272</v>
      </c>
    </row>
    <row r="2597" spans="1:38">
      <c r="A2597" t="s">
        <v>10981</v>
      </c>
      <c r="B2597" t="s">
        <v>10982</v>
      </c>
      <c r="C2597" t="s">
        <v>10983</v>
      </c>
      <c r="D2597" t="s">
        <v>10983</v>
      </c>
      <c r="E2597" t="s">
        <v>10984</v>
      </c>
      <c r="F2597" t="s">
        <v>2425</v>
      </c>
      <c r="G2597">
        <v>3</v>
      </c>
      <c r="H2597">
        <v>1</v>
      </c>
      <c r="I2597">
        <v>0.01</v>
      </c>
      <c r="J2597">
        <v>1000</v>
      </c>
      <c r="K2597">
        <v>0</v>
      </c>
      <c r="L2597">
        <v>0</v>
      </c>
      <c r="M2597">
        <v>91.4</v>
      </c>
      <c r="N2597">
        <v>0</v>
      </c>
      <c r="O2597">
        <v>91.4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90.3</v>
      </c>
      <c r="Y2597">
        <v>0</v>
      </c>
      <c r="Z2597">
        <v>0</v>
      </c>
      <c r="AA2597">
        <v>121589</v>
      </c>
      <c r="AB2597">
        <v>0</v>
      </c>
      <c r="AC2597">
        <v>0</v>
      </c>
      <c r="AD2597" t="s">
        <v>94</v>
      </c>
      <c r="AE2597" t="s">
        <v>94</v>
      </c>
      <c r="AF2597" t="s">
        <v>304</v>
      </c>
      <c r="AG2597" t="s">
        <v>226</v>
      </c>
      <c r="AH2597">
        <v>0</v>
      </c>
      <c r="AI2597" t="s">
        <v>3537</v>
      </c>
      <c r="AJ2597" t="s">
        <v>1976</v>
      </c>
      <c r="AK2597" t="s">
        <v>2426</v>
      </c>
      <c r="AL2597" t="s">
        <v>272</v>
      </c>
    </row>
    <row r="2598" spans="1:38">
      <c r="A2598" t="s">
        <v>10985</v>
      </c>
      <c r="B2598" t="s">
        <v>10986</v>
      </c>
      <c r="C2598" t="s">
        <v>10987</v>
      </c>
      <c r="D2598" t="s">
        <v>10987</v>
      </c>
      <c r="E2598" t="s">
        <v>10988</v>
      </c>
      <c r="F2598" t="s">
        <v>2425</v>
      </c>
      <c r="G2598">
        <v>3</v>
      </c>
      <c r="H2598">
        <v>1</v>
      </c>
      <c r="I2598">
        <v>0.01</v>
      </c>
      <c r="J2598">
        <v>1000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98.22</v>
      </c>
      <c r="Y2598">
        <v>0</v>
      </c>
      <c r="Z2598">
        <v>0</v>
      </c>
      <c r="AA2598">
        <v>324658</v>
      </c>
      <c r="AB2598">
        <v>0</v>
      </c>
      <c r="AC2598">
        <v>0</v>
      </c>
      <c r="AD2598" t="s">
        <v>94</v>
      </c>
      <c r="AE2598" t="s">
        <v>94</v>
      </c>
      <c r="AF2598" t="s">
        <v>304</v>
      </c>
      <c r="AG2598" t="s">
        <v>226</v>
      </c>
      <c r="AH2598">
        <v>0</v>
      </c>
      <c r="AI2598" t="s">
        <v>3537</v>
      </c>
      <c r="AJ2598" t="s">
        <v>1976</v>
      </c>
      <c r="AK2598" t="s">
        <v>2426</v>
      </c>
      <c r="AL2598" t="s">
        <v>272</v>
      </c>
    </row>
    <row r="2599" spans="1:38">
      <c r="A2599" t="s">
        <v>10989</v>
      </c>
      <c r="B2599" t="s">
        <v>10990</v>
      </c>
      <c r="C2599" t="s">
        <v>10991</v>
      </c>
      <c r="D2599" t="s">
        <v>10991</v>
      </c>
      <c r="E2599" t="s">
        <v>10992</v>
      </c>
      <c r="F2599" t="s">
        <v>2425</v>
      </c>
      <c r="G2599">
        <v>3</v>
      </c>
      <c r="H2599">
        <v>1</v>
      </c>
      <c r="I2599">
        <v>0.01</v>
      </c>
      <c r="J2599">
        <v>1000</v>
      </c>
      <c r="K2599">
        <v>0</v>
      </c>
      <c r="L2599">
        <v>0</v>
      </c>
      <c r="M2599">
        <v>97.73</v>
      </c>
      <c r="N2599">
        <v>0</v>
      </c>
      <c r="O2599">
        <v>97.73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98.53</v>
      </c>
      <c r="Y2599">
        <v>0</v>
      </c>
      <c r="Z2599">
        <v>0</v>
      </c>
      <c r="AA2599">
        <v>950448</v>
      </c>
      <c r="AB2599">
        <v>0</v>
      </c>
      <c r="AC2599">
        <v>0</v>
      </c>
      <c r="AD2599" t="s">
        <v>94</v>
      </c>
      <c r="AE2599" t="s">
        <v>94</v>
      </c>
      <c r="AF2599" t="s">
        <v>304</v>
      </c>
      <c r="AG2599" t="s">
        <v>226</v>
      </c>
      <c r="AH2599">
        <v>0</v>
      </c>
      <c r="AI2599" t="s">
        <v>3537</v>
      </c>
      <c r="AJ2599" t="s">
        <v>1976</v>
      </c>
      <c r="AK2599" t="s">
        <v>2426</v>
      </c>
      <c r="AL2599" t="s">
        <v>272</v>
      </c>
    </row>
    <row r="2600" spans="1:38">
      <c r="A2600" t="s">
        <v>10993</v>
      </c>
      <c r="B2600" t="s">
        <v>10994</v>
      </c>
      <c r="C2600" t="s">
        <v>10995</v>
      </c>
      <c r="D2600" t="s">
        <v>10995</v>
      </c>
      <c r="E2600" t="s">
        <v>10996</v>
      </c>
      <c r="F2600" t="s">
        <v>2425</v>
      </c>
      <c r="G2600">
        <v>3</v>
      </c>
      <c r="H2600">
        <v>1</v>
      </c>
      <c r="I2600">
        <v>0.01</v>
      </c>
      <c r="J2600">
        <v>1000</v>
      </c>
      <c r="K2600">
        <v>0</v>
      </c>
      <c r="L2600">
        <v>0</v>
      </c>
      <c r="M2600">
        <v>8.51</v>
      </c>
      <c r="N2600">
        <v>12.88</v>
      </c>
      <c r="O2600">
        <v>8.51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9.1999999999999993</v>
      </c>
      <c r="Y2600">
        <v>10</v>
      </c>
      <c r="Z2600">
        <v>0</v>
      </c>
      <c r="AA2600">
        <v>51674</v>
      </c>
      <c r="AB2600">
        <v>0</v>
      </c>
      <c r="AC2600">
        <v>0</v>
      </c>
      <c r="AD2600" t="s">
        <v>94</v>
      </c>
      <c r="AE2600" t="s">
        <v>94</v>
      </c>
      <c r="AF2600" t="s">
        <v>304</v>
      </c>
      <c r="AG2600" t="s">
        <v>226</v>
      </c>
      <c r="AH2600">
        <v>0</v>
      </c>
      <c r="AI2600" t="s">
        <v>3537</v>
      </c>
      <c r="AJ2600" t="s">
        <v>1976</v>
      </c>
      <c r="AK2600" t="s">
        <v>2426</v>
      </c>
      <c r="AL2600" t="s">
        <v>272</v>
      </c>
    </row>
    <row r="2601" spans="1:38">
      <c r="A2601" t="s">
        <v>10997</v>
      </c>
      <c r="B2601" t="s">
        <v>10998</v>
      </c>
      <c r="C2601" t="s">
        <v>10999</v>
      </c>
      <c r="D2601" t="s">
        <v>10999</v>
      </c>
      <c r="E2601" t="s">
        <v>11000</v>
      </c>
      <c r="F2601" t="s">
        <v>2425</v>
      </c>
      <c r="G2601">
        <v>3</v>
      </c>
      <c r="H2601">
        <v>1</v>
      </c>
      <c r="I2601">
        <v>0.01</v>
      </c>
      <c r="J2601">
        <v>1000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98.26</v>
      </c>
      <c r="Y2601">
        <v>0</v>
      </c>
      <c r="Z2601">
        <v>0</v>
      </c>
      <c r="AA2601">
        <v>218028</v>
      </c>
      <c r="AB2601">
        <v>0</v>
      </c>
      <c r="AC2601">
        <v>0</v>
      </c>
      <c r="AD2601" t="s">
        <v>94</v>
      </c>
      <c r="AE2601" t="s">
        <v>94</v>
      </c>
      <c r="AF2601" t="s">
        <v>304</v>
      </c>
      <c r="AG2601" t="s">
        <v>226</v>
      </c>
      <c r="AH2601">
        <v>0</v>
      </c>
      <c r="AI2601" t="s">
        <v>3537</v>
      </c>
      <c r="AJ2601" t="s">
        <v>1976</v>
      </c>
      <c r="AK2601" t="s">
        <v>2426</v>
      </c>
      <c r="AL2601" t="s">
        <v>272</v>
      </c>
    </row>
    <row r="2602" spans="1:38">
      <c r="A2602" t="s">
        <v>11001</v>
      </c>
      <c r="B2602" t="s">
        <v>11002</v>
      </c>
      <c r="C2602" t="s">
        <v>11003</v>
      </c>
      <c r="D2602" t="s">
        <v>11003</v>
      </c>
      <c r="E2602" t="s">
        <v>11004</v>
      </c>
      <c r="F2602" t="s">
        <v>2425</v>
      </c>
      <c r="G2602">
        <v>3</v>
      </c>
      <c r="H2602">
        <v>1</v>
      </c>
      <c r="I2602">
        <v>0.01</v>
      </c>
      <c r="J2602">
        <v>1000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98.21</v>
      </c>
      <c r="Y2602">
        <v>0</v>
      </c>
      <c r="Z2602">
        <v>0</v>
      </c>
      <c r="AA2602">
        <v>503518</v>
      </c>
      <c r="AB2602">
        <v>0</v>
      </c>
      <c r="AC2602">
        <v>0</v>
      </c>
      <c r="AD2602" t="s">
        <v>94</v>
      </c>
      <c r="AE2602" t="s">
        <v>94</v>
      </c>
      <c r="AF2602" t="s">
        <v>304</v>
      </c>
      <c r="AG2602" t="s">
        <v>226</v>
      </c>
      <c r="AH2602">
        <v>0</v>
      </c>
      <c r="AI2602" t="s">
        <v>3537</v>
      </c>
      <c r="AJ2602" t="s">
        <v>1976</v>
      </c>
      <c r="AK2602" t="s">
        <v>2426</v>
      </c>
      <c r="AL2602" t="s">
        <v>272</v>
      </c>
    </row>
    <row r="2603" spans="1:38">
      <c r="A2603" t="s">
        <v>11005</v>
      </c>
      <c r="B2603" t="s">
        <v>11006</v>
      </c>
      <c r="C2603" t="s">
        <v>11007</v>
      </c>
      <c r="D2603" t="s">
        <v>11007</v>
      </c>
      <c r="E2603" t="s">
        <v>11008</v>
      </c>
      <c r="F2603" t="s">
        <v>2425</v>
      </c>
      <c r="G2603">
        <v>3</v>
      </c>
      <c r="H2603">
        <v>1</v>
      </c>
      <c r="I2603">
        <v>0.01</v>
      </c>
      <c r="J2603">
        <v>1000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104.69</v>
      </c>
      <c r="Y2603">
        <v>0</v>
      </c>
      <c r="Z2603">
        <v>0</v>
      </c>
      <c r="AA2603">
        <v>164379</v>
      </c>
      <c r="AB2603">
        <v>0</v>
      </c>
      <c r="AC2603">
        <v>0</v>
      </c>
      <c r="AD2603" t="s">
        <v>94</v>
      </c>
      <c r="AE2603" t="s">
        <v>94</v>
      </c>
      <c r="AF2603" t="s">
        <v>304</v>
      </c>
      <c r="AG2603" t="s">
        <v>226</v>
      </c>
      <c r="AH2603">
        <v>0</v>
      </c>
      <c r="AI2603" t="s">
        <v>3537</v>
      </c>
      <c r="AJ2603" t="s">
        <v>1976</v>
      </c>
      <c r="AK2603" t="s">
        <v>2426</v>
      </c>
      <c r="AL2603" t="s">
        <v>272</v>
      </c>
    </row>
    <row r="2604" spans="1:38">
      <c r="A2604" t="s">
        <v>11009</v>
      </c>
      <c r="B2604" t="s">
        <v>11010</v>
      </c>
      <c r="C2604" t="s">
        <v>11011</v>
      </c>
      <c r="D2604" t="s">
        <v>11011</v>
      </c>
      <c r="E2604" t="s">
        <v>11012</v>
      </c>
      <c r="F2604" t="s">
        <v>2425</v>
      </c>
      <c r="G2604">
        <v>3</v>
      </c>
      <c r="H2604">
        <v>1</v>
      </c>
      <c r="I2604">
        <v>0.01</v>
      </c>
      <c r="J2604">
        <v>1000</v>
      </c>
      <c r="K2604">
        <v>0</v>
      </c>
      <c r="L2604">
        <v>0</v>
      </c>
      <c r="M2604">
        <v>100</v>
      </c>
      <c r="N2604">
        <v>0</v>
      </c>
      <c r="O2604">
        <v>100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103.25</v>
      </c>
      <c r="Y2604">
        <v>0</v>
      </c>
      <c r="Z2604">
        <v>0</v>
      </c>
      <c r="AA2604">
        <v>635315</v>
      </c>
      <c r="AB2604">
        <v>0</v>
      </c>
      <c r="AC2604">
        <v>0</v>
      </c>
      <c r="AD2604" t="s">
        <v>94</v>
      </c>
      <c r="AE2604" t="s">
        <v>94</v>
      </c>
      <c r="AF2604" t="s">
        <v>304</v>
      </c>
      <c r="AG2604" t="s">
        <v>226</v>
      </c>
      <c r="AH2604">
        <v>0</v>
      </c>
      <c r="AI2604" t="s">
        <v>3537</v>
      </c>
      <c r="AJ2604" t="s">
        <v>1976</v>
      </c>
      <c r="AK2604" t="s">
        <v>2426</v>
      </c>
      <c r="AL2604" t="s">
        <v>272</v>
      </c>
    </row>
    <row r="2605" spans="1:38">
      <c r="A2605" t="s">
        <v>11013</v>
      </c>
      <c r="B2605" t="s">
        <v>11014</v>
      </c>
      <c r="C2605" t="s">
        <v>11015</v>
      </c>
      <c r="D2605" t="s">
        <v>11015</v>
      </c>
      <c r="E2605" t="s">
        <v>11016</v>
      </c>
      <c r="F2605" t="s">
        <v>2425</v>
      </c>
      <c r="G2605">
        <v>3</v>
      </c>
      <c r="H2605">
        <v>1</v>
      </c>
      <c r="I2605">
        <v>0.01</v>
      </c>
      <c r="J2605">
        <v>1000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102.05</v>
      </c>
      <c r="Y2605">
        <v>0</v>
      </c>
      <c r="Z2605">
        <v>0</v>
      </c>
      <c r="AA2605">
        <v>137767</v>
      </c>
      <c r="AB2605">
        <v>0</v>
      </c>
      <c r="AC2605">
        <v>0</v>
      </c>
      <c r="AD2605" t="s">
        <v>94</v>
      </c>
      <c r="AE2605" t="s">
        <v>94</v>
      </c>
      <c r="AF2605" t="s">
        <v>304</v>
      </c>
      <c r="AG2605" t="s">
        <v>226</v>
      </c>
      <c r="AH2605">
        <v>0</v>
      </c>
      <c r="AI2605" t="s">
        <v>3537</v>
      </c>
      <c r="AJ2605" t="s">
        <v>1976</v>
      </c>
      <c r="AK2605" t="s">
        <v>2426</v>
      </c>
      <c r="AL2605" t="s">
        <v>272</v>
      </c>
    </row>
    <row r="2606" spans="1:38">
      <c r="A2606" t="s">
        <v>11017</v>
      </c>
      <c r="B2606" t="s">
        <v>11018</v>
      </c>
      <c r="C2606" t="s">
        <v>11019</v>
      </c>
      <c r="D2606" t="s">
        <v>11019</v>
      </c>
      <c r="E2606" t="s">
        <v>11020</v>
      </c>
      <c r="F2606" t="s">
        <v>2425</v>
      </c>
      <c r="G2606">
        <v>3</v>
      </c>
      <c r="H2606">
        <v>1</v>
      </c>
      <c r="I2606">
        <v>0.01</v>
      </c>
      <c r="J2606">
        <v>1000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102.04</v>
      </c>
      <c r="Y2606">
        <v>0</v>
      </c>
      <c r="Z2606">
        <v>0</v>
      </c>
      <c r="AA2606">
        <v>76891</v>
      </c>
      <c r="AB2606">
        <v>0</v>
      </c>
      <c r="AC2606">
        <v>0</v>
      </c>
      <c r="AD2606" t="s">
        <v>94</v>
      </c>
      <c r="AE2606" t="s">
        <v>94</v>
      </c>
      <c r="AF2606" t="s">
        <v>304</v>
      </c>
      <c r="AG2606" t="s">
        <v>226</v>
      </c>
      <c r="AH2606">
        <v>0</v>
      </c>
      <c r="AI2606" t="s">
        <v>3537</v>
      </c>
      <c r="AJ2606" t="s">
        <v>1976</v>
      </c>
      <c r="AK2606" t="s">
        <v>2426</v>
      </c>
      <c r="AL2606" t="s">
        <v>272</v>
      </c>
    </row>
    <row r="2607" spans="1:38">
      <c r="A2607" t="s">
        <v>11021</v>
      </c>
      <c r="B2607" t="s">
        <v>11022</v>
      </c>
      <c r="C2607" t="s">
        <v>11023</v>
      </c>
      <c r="D2607" t="s">
        <v>11023</v>
      </c>
      <c r="E2607" t="s">
        <v>11024</v>
      </c>
      <c r="F2607" t="s">
        <v>2425</v>
      </c>
      <c r="G2607">
        <v>3</v>
      </c>
      <c r="H2607">
        <v>1</v>
      </c>
      <c r="I2607">
        <v>0.01</v>
      </c>
      <c r="J2607">
        <v>1000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104.16</v>
      </c>
      <c r="Y2607">
        <v>0</v>
      </c>
      <c r="Z2607">
        <v>0</v>
      </c>
      <c r="AA2607">
        <v>980000</v>
      </c>
      <c r="AB2607">
        <v>0</v>
      </c>
      <c r="AC2607">
        <v>0</v>
      </c>
      <c r="AD2607" t="s">
        <v>94</v>
      </c>
      <c r="AE2607" t="s">
        <v>94</v>
      </c>
      <c r="AF2607" t="s">
        <v>304</v>
      </c>
      <c r="AG2607" t="s">
        <v>226</v>
      </c>
      <c r="AH2607">
        <v>0</v>
      </c>
      <c r="AI2607" t="s">
        <v>3537</v>
      </c>
      <c r="AJ2607" t="s">
        <v>1976</v>
      </c>
      <c r="AK2607" t="s">
        <v>2426</v>
      </c>
      <c r="AL2607" t="s">
        <v>272</v>
      </c>
    </row>
    <row r="2608" spans="1:38">
      <c r="A2608" t="s">
        <v>11025</v>
      </c>
      <c r="B2608" t="s">
        <v>11026</v>
      </c>
      <c r="C2608" t="s">
        <v>11027</v>
      </c>
      <c r="D2608" t="s">
        <v>11027</v>
      </c>
      <c r="E2608" t="s">
        <v>11028</v>
      </c>
      <c r="F2608" t="s">
        <v>2425</v>
      </c>
      <c r="G2608">
        <v>3</v>
      </c>
      <c r="H2608">
        <v>1</v>
      </c>
      <c r="I2608">
        <v>0.01</v>
      </c>
      <c r="J2608">
        <v>1000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105.57</v>
      </c>
      <c r="Y2608">
        <v>0</v>
      </c>
      <c r="Z2608">
        <v>0</v>
      </c>
      <c r="AA2608">
        <v>635001</v>
      </c>
      <c r="AB2608">
        <v>0</v>
      </c>
      <c r="AC2608">
        <v>0</v>
      </c>
      <c r="AD2608" t="s">
        <v>94</v>
      </c>
      <c r="AE2608" t="s">
        <v>94</v>
      </c>
      <c r="AF2608" t="s">
        <v>304</v>
      </c>
      <c r="AG2608" t="s">
        <v>226</v>
      </c>
      <c r="AH2608">
        <v>0</v>
      </c>
      <c r="AI2608" t="s">
        <v>3537</v>
      </c>
      <c r="AJ2608" t="s">
        <v>1976</v>
      </c>
      <c r="AK2608" t="s">
        <v>2426</v>
      </c>
      <c r="AL2608" t="s">
        <v>272</v>
      </c>
    </row>
    <row r="2609" spans="1:38">
      <c r="A2609" t="s">
        <v>11029</v>
      </c>
      <c r="B2609" t="s">
        <v>11030</v>
      </c>
      <c r="C2609" t="s">
        <v>11031</v>
      </c>
      <c r="D2609" t="s">
        <v>11031</v>
      </c>
      <c r="E2609" t="s">
        <v>11032</v>
      </c>
      <c r="F2609" t="s">
        <v>2425</v>
      </c>
      <c r="G2609">
        <v>3</v>
      </c>
      <c r="H2609">
        <v>1</v>
      </c>
      <c r="I2609">
        <v>0.01</v>
      </c>
      <c r="J2609">
        <v>1000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99.68</v>
      </c>
      <c r="Y2609">
        <v>0</v>
      </c>
      <c r="Z2609">
        <v>0</v>
      </c>
      <c r="AA2609">
        <v>28840</v>
      </c>
      <c r="AB2609">
        <v>0</v>
      </c>
      <c r="AC2609">
        <v>0</v>
      </c>
      <c r="AD2609" t="s">
        <v>94</v>
      </c>
      <c r="AE2609" t="s">
        <v>94</v>
      </c>
      <c r="AF2609" t="s">
        <v>304</v>
      </c>
      <c r="AG2609" t="s">
        <v>226</v>
      </c>
      <c r="AH2609">
        <v>0</v>
      </c>
      <c r="AI2609" t="s">
        <v>3537</v>
      </c>
      <c r="AJ2609" t="s">
        <v>1976</v>
      </c>
      <c r="AK2609" t="s">
        <v>2426</v>
      </c>
      <c r="AL2609" t="s">
        <v>272</v>
      </c>
    </row>
    <row r="2610" spans="1:38">
      <c r="A2610" t="s">
        <v>11033</v>
      </c>
      <c r="B2610" t="s">
        <v>11034</v>
      </c>
      <c r="C2610" t="s">
        <v>11035</v>
      </c>
      <c r="D2610" t="s">
        <v>11035</v>
      </c>
      <c r="E2610" t="s">
        <v>11036</v>
      </c>
      <c r="F2610" t="s">
        <v>2425</v>
      </c>
      <c r="G2610">
        <v>3</v>
      </c>
      <c r="H2610">
        <v>1</v>
      </c>
      <c r="I2610">
        <v>0.01</v>
      </c>
      <c r="J2610">
        <v>1000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101.56</v>
      </c>
      <c r="Y2610">
        <v>0</v>
      </c>
      <c r="Z2610">
        <v>0</v>
      </c>
      <c r="AA2610">
        <v>978312</v>
      </c>
      <c r="AB2610">
        <v>0</v>
      </c>
      <c r="AC2610">
        <v>0</v>
      </c>
      <c r="AD2610" t="s">
        <v>94</v>
      </c>
      <c r="AE2610" t="s">
        <v>94</v>
      </c>
      <c r="AF2610" t="s">
        <v>304</v>
      </c>
      <c r="AG2610" t="s">
        <v>226</v>
      </c>
      <c r="AH2610">
        <v>0</v>
      </c>
      <c r="AI2610" t="s">
        <v>3537</v>
      </c>
      <c r="AJ2610" t="s">
        <v>1976</v>
      </c>
      <c r="AK2610" t="s">
        <v>2426</v>
      </c>
      <c r="AL2610" t="s">
        <v>272</v>
      </c>
    </row>
    <row r="2611" spans="1:38">
      <c r="A2611" t="s">
        <v>11037</v>
      </c>
      <c r="B2611" t="s">
        <v>11038</v>
      </c>
      <c r="C2611" t="s">
        <v>11039</v>
      </c>
      <c r="D2611" t="s">
        <v>11039</v>
      </c>
      <c r="E2611" t="s">
        <v>11040</v>
      </c>
      <c r="F2611" t="s">
        <v>2425</v>
      </c>
      <c r="G2611">
        <v>3</v>
      </c>
      <c r="H2611">
        <v>1</v>
      </c>
      <c r="I2611">
        <v>0.01</v>
      </c>
      <c r="J2611">
        <v>1000</v>
      </c>
      <c r="K2611">
        <v>0</v>
      </c>
      <c r="L2611">
        <v>0</v>
      </c>
      <c r="M2611">
        <v>97.92</v>
      </c>
      <c r="N2611">
        <v>0</v>
      </c>
      <c r="O2611">
        <v>97.92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96.69</v>
      </c>
      <c r="Y2611">
        <v>0</v>
      </c>
      <c r="Z2611">
        <v>0</v>
      </c>
      <c r="AA2611">
        <v>960398</v>
      </c>
      <c r="AB2611">
        <v>0</v>
      </c>
      <c r="AC2611">
        <v>0</v>
      </c>
      <c r="AD2611" t="s">
        <v>94</v>
      </c>
      <c r="AE2611" t="s">
        <v>94</v>
      </c>
      <c r="AF2611" t="s">
        <v>304</v>
      </c>
      <c r="AG2611" t="s">
        <v>226</v>
      </c>
      <c r="AH2611">
        <v>0</v>
      </c>
      <c r="AI2611" t="s">
        <v>3537</v>
      </c>
      <c r="AJ2611" t="s">
        <v>1976</v>
      </c>
      <c r="AK2611" t="s">
        <v>2426</v>
      </c>
      <c r="AL2611" t="s">
        <v>272</v>
      </c>
    </row>
    <row r="2612" spans="1:38">
      <c r="A2612" t="s">
        <v>11041</v>
      </c>
      <c r="B2612" t="s">
        <v>11042</v>
      </c>
      <c r="C2612" t="s">
        <v>11043</v>
      </c>
      <c r="D2612" t="s">
        <v>11043</v>
      </c>
      <c r="E2612" t="s">
        <v>11044</v>
      </c>
      <c r="F2612" t="s">
        <v>2425</v>
      </c>
      <c r="G2612">
        <v>3</v>
      </c>
      <c r="H2612">
        <v>1</v>
      </c>
      <c r="I2612">
        <v>0.01</v>
      </c>
      <c r="J2612">
        <v>1000</v>
      </c>
      <c r="K2612">
        <v>0</v>
      </c>
      <c r="L2612">
        <v>0</v>
      </c>
      <c r="M2612">
        <v>97.84</v>
      </c>
      <c r="N2612">
        <v>0</v>
      </c>
      <c r="O2612">
        <v>97.84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98.17</v>
      </c>
      <c r="Y2612">
        <v>0</v>
      </c>
      <c r="Z2612">
        <v>0</v>
      </c>
      <c r="AA2612">
        <v>779679</v>
      </c>
      <c r="AB2612">
        <v>0</v>
      </c>
      <c r="AC2612">
        <v>0</v>
      </c>
      <c r="AD2612" t="s">
        <v>94</v>
      </c>
      <c r="AE2612" t="s">
        <v>94</v>
      </c>
      <c r="AF2612" t="s">
        <v>304</v>
      </c>
      <c r="AG2612" t="s">
        <v>226</v>
      </c>
      <c r="AH2612">
        <v>0</v>
      </c>
      <c r="AI2612" t="s">
        <v>3537</v>
      </c>
      <c r="AJ2612" t="s">
        <v>1976</v>
      </c>
      <c r="AK2612" t="s">
        <v>2426</v>
      </c>
      <c r="AL2612" t="s">
        <v>272</v>
      </c>
    </row>
    <row r="2613" spans="1:38">
      <c r="A2613" t="s">
        <v>11045</v>
      </c>
      <c r="B2613" t="s">
        <v>11046</v>
      </c>
      <c r="C2613" t="s">
        <v>11047</v>
      </c>
      <c r="D2613" t="s">
        <v>11047</v>
      </c>
      <c r="E2613" t="s">
        <v>11048</v>
      </c>
      <c r="F2613" t="s">
        <v>2425</v>
      </c>
      <c r="G2613">
        <v>3</v>
      </c>
      <c r="H2613">
        <v>1</v>
      </c>
      <c r="I2613">
        <v>0.01</v>
      </c>
      <c r="J2613">
        <v>1000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97.95</v>
      </c>
      <c r="Y2613">
        <v>0</v>
      </c>
      <c r="Z2613">
        <v>0</v>
      </c>
      <c r="AA2613">
        <v>934284</v>
      </c>
      <c r="AB2613">
        <v>0</v>
      </c>
      <c r="AC2613">
        <v>0</v>
      </c>
      <c r="AD2613" t="s">
        <v>94</v>
      </c>
      <c r="AE2613" t="s">
        <v>94</v>
      </c>
      <c r="AF2613" t="s">
        <v>304</v>
      </c>
      <c r="AG2613" t="s">
        <v>226</v>
      </c>
      <c r="AH2613">
        <v>0</v>
      </c>
      <c r="AI2613" t="s">
        <v>3537</v>
      </c>
      <c r="AJ2613" t="s">
        <v>1976</v>
      </c>
      <c r="AK2613" t="s">
        <v>2426</v>
      </c>
      <c r="AL2613" t="s">
        <v>272</v>
      </c>
    </row>
    <row r="2614" spans="1:38">
      <c r="A2614" t="s">
        <v>11049</v>
      </c>
      <c r="B2614" t="s">
        <v>11050</v>
      </c>
      <c r="C2614" t="s">
        <v>11051</v>
      </c>
      <c r="D2614" t="s">
        <v>11051</v>
      </c>
      <c r="E2614" t="s">
        <v>11052</v>
      </c>
      <c r="F2614" t="s">
        <v>2425</v>
      </c>
      <c r="G2614">
        <v>3</v>
      </c>
      <c r="H2614">
        <v>1</v>
      </c>
      <c r="I2614">
        <v>0.01</v>
      </c>
      <c r="J2614">
        <v>1000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97.94</v>
      </c>
      <c r="Y2614">
        <v>0</v>
      </c>
      <c r="Z2614">
        <v>0</v>
      </c>
      <c r="AA2614">
        <v>392360</v>
      </c>
      <c r="AB2614">
        <v>0</v>
      </c>
      <c r="AC2614">
        <v>0</v>
      </c>
      <c r="AD2614" t="s">
        <v>94</v>
      </c>
      <c r="AE2614" t="s">
        <v>94</v>
      </c>
      <c r="AF2614" t="s">
        <v>304</v>
      </c>
      <c r="AG2614" t="s">
        <v>226</v>
      </c>
      <c r="AH2614">
        <v>0</v>
      </c>
      <c r="AI2614" t="s">
        <v>3537</v>
      </c>
      <c r="AJ2614" t="s">
        <v>1976</v>
      </c>
      <c r="AK2614" t="s">
        <v>2426</v>
      </c>
      <c r="AL2614" t="s">
        <v>272</v>
      </c>
    </row>
    <row r="2615" spans="1:38">
      <c r="A2615" t="s">
        <v>11053</v>
      </c>
      <c r="B2615" t="s">
        <v>11054</v>
      </c>
      <c r="C2615" t="s">
        <v>11055</v>
      </c>
      <c r="D2615" t="s">
        <v>11055</v>
      </c>
      <c r="E2615" t="s">
        <v>11056</v>
      </c>
      <c r="F2615" t="s">
        <v>2425</v>
      </c>
      <c r="G2615">
        <v>3</v>
      </c>
      <c r="H2615">
        <v>1</v>
      </c>
      <c r="I2615">
        <v>0.01</v>
      </c>
      <c r="J2615">
        <v>1000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98.23</v>
      </c>
      <c r="Y2615">
        <v>0</v>
      </c>
      <c r="Z2615">
        <v>0</v>
      </c>
      <c r="AA2615">
        <v>442471</v>
      </c>
      <c r="AB2615">
        <v>0</v>
      </c>
      <c r="AC2615">
        <v>0</v>
      </c>
      <c r="AD2615" t="s">
        <v>94</v>
      </c>
      <c r="AE2615" t="s">
        <v>94</v>
      </c>
      <c r="AF2615" t="s">
        <v>304</v>
      </c>
      <c r="AG2615" t="s">
        <v>226</v>
      </c>
      <c r="AH2615">
        <v>0</v>
      </c>
      <c r="AI2615" t="s">
        <v>3537</v>
      </c>
      <c r="AJ2615" t="s">
        <v>1976</v>
      </c>
      <c r="AK2615" t="s">
        <v>2426</v>
      </c>
      <c r="AL2615" t="s">
        <v>272</v>
      </c>
    </row>
    <row r="2616" spans="1:38">
      <c r="A2616" t="s">
        <v>11057</v>
      </c>
      <c r="B2616" t="s">
        <v>11058</v>
      </c>
      <c r="C2616" t="s">
        <v>11059</v>
      </c>
      <c r="D2616" t="s">
        <v>11059</v>
      </c>
      <c r="E2616" t="s">
        <v>11060</v>
      </c>
      <c r="F2616" t="s">
        <v>2425</v>
      </c>
      <c r="G2616">
        <v>3</v>
      </c>
      <c r="H2616">
        <v>1</v>
      </c>
      <c r="I2616">
        <v>0.01</v>
      </c>
      <c r="J2616">
        <v>1000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101.24</v>
      </c>
      <c r="Y2616">
        <v>0</v>
      </c>
      <c r="Z2616">
        <v>0</v>
      </c>
      <c r="AA2616">
        <v>171385</v>
      </c>
      <c r="AB2616">
        <v>0</v>
      </c>
      <c r="AC2616">
        <v>0</v>
      </c>
      <c r="AD2616" t="s">
        <v>94</v>
      </c>
      <c r="AE2616" t="s">
        <v>94</v>
      </c>
      <c r="AF2616" t="s">
        <v>304</v>
      </c>
      <c r="AG2616" t="s">
        <v>226</v>
      </c>
      <c r="AH2616">
        <v>0</v>
      </c>
      <c r="AI2616" t="s">
        <v>3537</v>
      </c>
      <c r="AJ2616" t="s">
        <v>1976</v>
      </c>
      <c r="AK2616" t="s">
        <v>2426</v>
      </c>
      <c r="AL2616" t="s">
        <v>272</v>
      </c>
    </row>
    <row r="2617" spans="1:38">
      <c r="A2617" t="s">
        <v>11061</v>
      </c>
      <c r="B2617" t="s">
        <v>11062</v>
      </c>
      <c r="C2617" t="s">
        <v>11063</v>
      </c>
      <c r="D2617" t="s">
        <v>11063</v>
      </c>
      <c r="E2617" t="s">
        <v>11064</v>
      </c>
      <c r="F2617" t="s">
        <v>2425</v>
      </c>
      <c r="G2617">
        <v>3</v>
      </c>
      <c r="H2617">
        <v>1</v>
      </c>
      <c r="I2617">
        <v>0.01</v>
      </c>
      <c r="J2617">
        <v>1000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100.64</v>
      </c>
      <c r="Y2617">
        <v>0</v>
      </c>
      <c r="Z2617">
        <v>0</v>
      </c>
      <c r="AA2617">
        <v>50501</v>
      </c>
      <c r="AB2617">
        <v>0</v>
      </c>
      <c r="AC2617">
        <v>0</v>
      </c>
      <c r="AD2617" t="s">
        <v>94</v>
      </c>
      <c r="AE2617" t="s">
        <v>94</v>
      </c>
      <c r="AF2617" t="s">
        <v>304</v>
      </c>
      <c r="AG2617" t="s">
        <v>226</v>
      </c>
      <c r="AH2617">
        <v>0</v>
      </c>
      <c r="AI2617" t="s">
        <v>3537</v>
      </c>
      <c r="AJ2617" t="s">
        <v>1976</v>
      </c>
      <c r="AK2617" t="s">
        <v>2426</v>
      </c>
      <c r="AL2617" t="s">
        <v>272</v>
      </c>
    </row>
    <row r="2618" spans="1:38">
      <c r="A2618" t="s">
        <v>11065</v>
      </c>
      <c r="B2618" t="s">
        <v>11066</v>
      </c>
      <c r="C2618" t="s">
        <v>11067</v>
      </c>
      <c r="D2618" t="s">
        <v>11067</v>
      </c>
      <c r="E2618" t="s">
        <v>11068</v>
      </c>
      <c r="F2618" t="s">
        <v>2425</v>
      </c>
      <c r="G2618">
        <v>3</v>
      </c>
      <c r="H2618">
        <v>1</v>
      </c>
      <c r="I2618">
        <v>0.01</v>
      </c>
      <c r="J2618">
        <v>1000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96.08</v>
      </c>
      <c r="Y2618">
        <v>0</v>
      </c>
      <c r="Z2618">
        <v>0</v>
      </c>
      <c r="AA2618">
        <v>245293</v>
      </c>
      <c r="AB2618">
        <v>0</v>
      </c>
      <c r="AC2618">
        <v>0</v>
      </c>
      <c r="AD2618" t="s">
        <v>94</v>
      </c>
      <c r="AE2618" t="s">
        <v>94</v>
      </c>
      <c r="AF2618" t="s">
        <v>304</v>
      </c>
      <c r="AG2618" t="s">
        <v>226</v>
      </c>
      <c r="AH2618">
        <v>0</v>
      </c>
      <c r="AI2618" t="s">
        <v>3537</v>
      </c>
      <c r="AJ2618" t="s">
        <v>1976</v>
      </c>
      <c r="AK2618" t="s">
        <v>2426</v>
      </c>
      <c r="AL2618" t="s">
        <v>272</v>
      </c>
    </row>
    <row r="2619" spans="1:38">
      <c r="A2619" t="s">
        <v>11069</v>
      </c>
      <c r="B2619" t="s">
        <v>11070</v>
      </c>
      <c r="C2619" t="s">
        <v>11071</v>
      </c>
      <c r="D2619" t="s">
        <v>11071</v>
      </c>
      <c r="E2619" t="s">
        <v>11072</v>
      </c>
      <c r="F2619" t="s">
        <v>2425</v>
      </c>
      <c r="G2619">
        <v>3</v>
      </c>
      <c r="H2619">
        <v>1</v>
      </c>
      <c r="I2619">
        <v>0.01</v>
      </c>
      <c r="J2619">
        <v>1000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95.8</v>
      </c>
      <c r="Y2619">
        <v>0</v>
      </c>
      <c r="Z2619">
        <v>0</v>
      </c>
      <c r="AA2619">
        <v>379898</v>
      </c>
      <c r="AB2619">
        <v>0</v>
      </c>
      <c r="AC2619">
        <v>0</v>
      </c>
      <c r="AD2619" t="s">
        <v>94</v>
      </c>
      <c r="AE2619" t="s">
        <v>94</v>
      </c>
      <c r="AF2619" t="s">
        <v>304</v>
      </c>
      <c r="AG2619" t="s">
        <v>226</v>
      </c>
      <c r="AH2619">
        <v>0</v>
      </c>
      <c r="AI2619" t="s">
        <v>3537</v>
      </c>
      <c r="AJ2619" t="s">
        <v>1976</v>
      </c>
      <c r="AK2619" t="s">
        <v>2426</v>
      </c>
      <c r="AL2619" t="s">
        <v>272</v>
      </c>
    </row>
    <row r="2620" spans="1:38">
      <c r="A2620" t="s">
        <v>11073</v>
      </c>
      <c r="B2620" t="s">
        <v>11074</v>
      </c>
      <c r="C2620" t="s">
        <v>11075</v>
      </c>
      <c r="D2620" t="s">
        <v>11075</v>
      </c>
      <c r="E2620" t="s">
        <v>11076</v>
      </c>
      <c r="F2620" t="s">
        <v>2425</v>
      </c>
      <c r="G2620">
        <v>3</v>
      </c>
      <c r="H2620">
        <v>1</v>
      </c>
      <c r="I2620">
        <v>0.01</v>
      </c>
      <c r="J2620">
        <v>1000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60.04</v>
      </c>
      <c r="Y2620">
        <v>0</v>
      </c>
      <c r="Z2620">
        <v>0</v>
      </c>
      <c r="AA2620">
        <v>45587</v>
      </c>
      <c r="AB2620">
        <v>0</v>
      </c>
      <c r="AC2620">
        <v>0</v>
      </c>
      <c r="AD2620" t="s">
        <v>94</v>
      </c>
      <c r="AE2620" t="s">
        <v>94</v>
      </c>
      <c r="AF2620" t="s">
        <v>304</v>
      </c>
      <c r="AG2620" t="s">
        <v>226</v>
      </c>
      <c r="AH2620">
        <v>0</v>
      </c>
      <c r="AI2620" t="s">
        <v>3537</v>
      </c>
      <c r="AJ2620" t="s">
        <v>1976</v>
      </c>
      <c r="AK2620" t="s">
        <v>2426</v>
      </c>
      <c r="AL2620" t="s">
        <v>272</v>
      </c>
    </row>
    <row r="2621" spans="1:38">
      <c r="A2621" t="s">
        <v>11077</v>
      </c>
      <c r="B2621" t="s">
        <v>11078</v>
      </c>
      <c r="C2621" t="s">
        <v>11079</v>
      </c>
      <c r="D2621" t="s">
        <v>11079</v>
      </c>
      <c r="E2621" t="s">
        <v>11080</v>
      </c>
      <c r="F2621" t="s">
        <v>3754</v>
      </c>
      <c r="G2621">
        <v>1</v>
      </c>
      <c r="H2621">
        <v>1</v>
      </c>
      <c r="I2621">
        <v>0.01</v>
      </c>
      <c r="J2621">
        <v>200</v>
      </c>
      <c r="K2621">
        <v>0.82</v>
      </c>
      <c r="L2621">
        <v>91</v>
      </c>
      <c r="M2621">
        <v>90.26</v>
      </c>
      <c r="N2621">
        <v>91.19</v>
      </c>
      <c r="O2621">
        <v>90.54</v>
      </c>
      <c r="P2621">
        <v>0</v>
      </c>
      <c r="Q2621">
        <v>0</v>
      </c>
      <c r="R2621">
        <v>0</v>
      </c>
      <c r="S2621">
        <v>91.31</v>
      </c>
      <c r="T2621">
        <v>92.61</v>
      </c>
      <c r="U2621">
        <v>89.85</v>
      </c>
      <c r="V2621">
        <v>92.61</v>
      </c>
      <c r="W2621">
        <v>102447</v>
      </c>
      <c r="X2621">
        <v>90.35</v>
      </c>
      <c r="Y2621">
        <v>90.99</v>
      </c>
      <c r="Z2621">
        <v>88</v>
      </c>
      <c r="AA2621">
        <v>10000000</v>
      </c>
      <c r="AB2621">
        <v>182</v>
      </c>
      <c r="AC2621">
        <v>0</v>
      </c>
      <c r="AD2621" t="s">
        <v>94</v>
      </c>
      <c r="AE2621" t="s">
        <v>94</v>
      </c>
      <c r="AF2621" t="s">
        <v>226</v>
      </c>
      <c r="AG2621" t="s">
        <v>226</v>
      </c>
      <c r="AH2621">
        <v>-100</v>
      </c>
      <c r="AI2621" t="s">
        <v>3537</v>
      </c>
      <c r="AJ2621" t="s">
        <v>1976</v>
      </c>
      <c r="AK2621" t="s">
        <v>3755</v>
      </c>
      <c r="AL2621" t="s">
        <v>272</v>
      </c>
    </row>
    <row r="2622" spans="1:38">
      <c r="A2622" t="s">
        <v>11081</v>
      </c>
      <c r="B2622" t="s">
        <v>11082</v>
      </c>
      <c r="C2622" t="s">
        <v>11083</v>
      </c>
      <c r="D2622" t="s">
        <v>11083</v>
      </c>
      <c r="E2622" t="s">
        <v>11084</v>
      </c>
      <c r="F2622" t="s">
        <v>3754</v>
      </c>
      <c r="G2622">
        <v>1</v>
      </c>
      <c r="H2622">
        <v>1</v>
      </c>
      <c r="I2622">
        <v>0.01</v>
      </c>
      <c r="J2622">
        <v>200</v>
      </c>
      <c r="K2622">
        <v>0</v>
      </c>
      <c r="L2622">
        <v>91.83</v>
      </c>
      <c r="M2622">
        <v>91.83</v>
      </c>
      <c r="N2622">
        <v>91.84</v>
      </c>
      <c r="O2622">
        <v>91.83</v>
      </c>
      <c r="P2622">
        <v>0</v>
      </c>
      <c r="Q2622">
        <v>0</v>
      </c>
      <c r="R2622">
        <v>0</v>
      </c>
      <c r="S2622">
        <v>91.84</v>
      </c>
      <c r="T2622">
        <v>91.93</v>
      </c>
      <c r="U2622">
        <v>91.82</v>
      </c>
      <c r="V2622">
        <v>91.93</v>
      </c>
      <c r="W2622">
        <v>4408</v>
      </c>
      <c r="X2622">
        <v>91.29</v>
      </c>
      <c r="Y2622">
        <v>91.83</v>
      </c>
      <c r="Z2622">
        <v>13</v>
      </c>
      <c r="AA2622">
        <v>5000000</v>
      </c>
      <c r="AB2622">
        <v>183.66</v>
      </c>
      <c r="AC2622">
        <v>0</v>
      </c>
      <c r="AD2622" t="s">
        <v>94</v>
      </c>
      <c r="AE2622" t="s">
        <v>94</v>
      </c>
      <c r="AF2622" t="s">
        <v>226</v>
      </c>
      <c r="AG2622" t="s">
        <v>226</v>
      </c>
      <c r="AH2622">
        <v>-100</v>
      </c>
      <c r="AI2622" t="s">
        <v>3537</v>
      </c>
      <c r="AJ2622" t="s">
        <v>1976</v>
      </c>
      <c r="AK2622" t="s">
        <v>3755</v>
      </c>
      <c r="AL2622" t="s">
        <v>272</v>
      </c>
    </row>
    <row r="2623" spans="1:38">
      <c r="A2623" t="s">
        <v>11085</v>
      </c>
      <c r="B2623" t="s">
        <v>11086</v>
      </c>
      <c r="C2623" t="s">
        <v>11087</v>
      </c>
      <c r="D2623" t="s">
        <v>11087</v>
      </c>
      <c r="E2623" t="s">
        <v>11088</v>
      </c>
      <c r="F2623" t="s">
        <v>3754</v>
      </c>
      <c r="G2623">
        <v>1</v>
      </c>
      <c r="H2623">
        <v>1</v>
      </c>
      <c r="I2623">
        <v>0.01</v>
      </c>
      <c r="J2623">
        <v>750</v>
      </c>
      <c r="K2623">
        <v>0.06</v>
      </c>
      <c r="L2623">
        <v>88.4</v>
      </c>
      <c r="M2623">
        <v>88.35</v>
      </c>
      <c r="N2623">
        <v>89</v>
      </c>
      <c r="O2623">
        <v>88.4</v>
      </c>
      <c r="P2623">
        <v>0</v>
      </c>
      <c r="Q2623">
        <v>0</v>
      </c>
      <c r="R2623">
        <v>0</v>
      </c>
      <c r="S2623">
        <v>88.38</v>
      </c>
      <c r="T2623">
        <v>88.36</v>
      </c>
      <c r="U2623">
        <v>88.36</v>
      </c>
      <c r="V2623">
        <v>88.4</v>
      </c>
      <c r="W2623">
        <v>2651</v>
      </c>
      <c r="X2623">
        <v>87.97</v>
      </c>
      <c r="Y2623">
        <v>88.4</v>
      </c>
      <c r="Z2623">
        <v>2</v>
      </c>
      <c r="AA2623">
        <v>5000000</v>
      </c>
      <c r="AB2623">
        <v>1326</v>
      </c>
      <c r="AC2623">
        <v>0</v>
      </c>
      <c r="AD2623" t="s">
        <v>94</v>
      </c>
      <c r="AE2623" t="s">
        <v>94</v>
      </c>
      <c r="AF2623" t="s">
        <v>226</v>
      </c>
      <c r="AG2623" t="s">
        <v>226</v>
      </c>
      <c r="AH2623">
        <v>-100</v>
      </c>
      <c r="AI2623" t="s">
        <v>3537</v>
      </c>
      <c r="AJ2623" t="s">
        <v>1976</v>
      </c>
      <c r="AK2623" t="s">
        <v>3755</v>
      </c>
      <c r="AL2623" t="s">
        <v>272</v>
      </c>
    </row>
    <row r="2624" spans="1:38">
      <c r="A2624" t="s">
        <v>11089</v>
      </c>
      <c r="B2624" t="s">
        <v>11090</v>
      </c>
      <c r="C2624" t="s">
        <v>11091</v>
      </c>
      <c r="D2624" t="s">
        <v>11091</v>
      </c>
      <c r="E2624" t="s">
        <v>11092</v>
      </c>
      <c r="F2624" t="s">
        <v>3754</v>
      </c>
      <c r="G2624">
        <v>1</v>
      </c>
      <c r="H2624">
        <v>1</v>
      </c>
      <c r="I2624">
        <v>0.01</v>
      </c>
      <c r="J2624">
        <v>500</v>
      </c>
      <c r="K2624">
        <v>0.02</v>
      </c>
      <c r="L2624">
        <v>95.42</v>
      </c>
      <c r="M2624">
        <v>95.4</v>
      </c>
      <c r="N2624">
        <v>95.44</v>
      </c>
      <c r="O2624">
        <v>95.42</v>
      </c>
      <c r="P2624">
        <v>0</v>
      </c>
      <c r="Q2624">
        <v>0</v>
      </c>
      <c r="R2624">
        <v>0</v>
      </c>
      <c r="S2624">
        <v>95.34</v>
      </c>
      <c r="T2624">
        <v>95.38</v>
      </c>
      <c r="U2624">
        <v>95.38</v>
      </c>
      <c r="V2624">
        <v>95.79</v>
      </c>
      <c r="W2624">
        <v>450936</v>
      </c>
      <c r="X2624">
        <v>95.41</v>
      </c>
      <c r="Y2624">
        <v>95.42</v>
      </c>
      <c r="Z2624">
        <v>25</v>
      </c>
      <c r="AA2624">
        <v>10000000</v>
      </c>
      <c r="AB2624">
        <v>954.2</v>
      </c>
      <c r="AC2624">
        <v>0</v>
      </c>
      <c r="AD2624" t="s">
        <v>94</v>
      </c>
      <c r="AE2624" t="s">
        <v>94</v>
      </c>
      <c r="AF2624" t="s">
        <v>226</v>
      </c>
      <c r="AG2624" t="s">
        <v>226</v>
      </c>
      <c r="AH2624">
        <v>-100</v>
      </c>
      <c r="AI2624" t="s">
        <v>3537</v>
      </c>
      <c r="AJ2624" t="s">
        <v>1976</v>
      </c>
      <c r="AK2624" t="s">
        <v>3755</v>
      </c>
      <c r="AL2624" t="s">
        <v>272</v>
      </c>
    </row>
    <row r="2625" spans="1:38">
      <c r="A2625" t="s">
        <v>11093</v>
      </c>
      <c r="B2625" t="s">
        <v>11094</v>
      </c>
      <c r="C2625" t="s">
        <v>11095</v>
      </c>
      <c r="D2625" t="s">
        <v>11095</v>
      </c>
      <c r="E2625" t="s">
        <v>11096</v>
      </c>
      <c r="F2625" t="s">
        <v>3754</v>
      </c>
      <c r="G2625">
        <v>1</v>
      </c>
      <c r="H2625">
        <v>1</v>
      </c>
      <c r="I2625">
        <v>0.01</v>
      </c>
      <c r="J2625">
        <v>1000</v>
      </c>
      <c r="K2625">
        <v>0.11</v>
      </c>
      <c r="L2625">
        <v>79</v>
      </c>
      <c r="M2625">
        <v>78.91</v>
      </c>
      <c r="N2625">
        <v>78.040000000000006</v>
      </c>
      <c r="O2625">
        <v>79.010000000000005</v>
      </c>
      <c r="P2625">
        <v>0</v>
      </c>
      <c r="Q2625">
        <v>0</v>
      </c>
      <c r="R2625">
        <v>0</v>
      </c>
      <c r="S2625">
        <v>78.94</v>
      </c>
      <c r="T2625">
        <v>78.900000000000006</v>
      </c>
      <c r="U2625">
        <v>78.569999999999993</v>
      </c>
      <c r="V2625">
        <v>79.459999999999994</v>
      </c>
      <c r="W2625">
        <v>197358</v>
      </c>
      <c r="X2625">
        <v>78.849999999999994</v>
      </c>
      <c r="Y2625">
        <v>79.12</v>
      </c>
      <c r="Z2625">
        <v>55</v>
      </c>
      <c r="AA2625">
        <v>12000000</v>
      </c>
      <c r="AB2625">
        <v>4740</v>
      </c>
      <c r="AC2625">
        <v>0</v>
      </c>
      <c r="AD2625" t="s">
        <v>94</v>
      </c>
      <c r="AE2625" t="s">
        <v>94</v>
      </c>
      <c r="AF2625" t="s">
        <v>226</v>
      </c>
      <c r="AG2625" t="s">
        <v>226</v>
      </c>
      <c r="AH2625">
        <v>-100</v>
      </c>
      <c r="AI2625" t="s">
        <v>3537</v>
      </c>
      <c r="AJ2625" t="s">
        <v>1976</v>
      </c>
      <c r="AK2625" t="s">
        <v>3755</v>
      </c>
      <c r="AL2625" t="s">
        <v>272</v>
      </c>
    </row>
    <row r="2626" spans="1:38">
      <c r="A2626" t="s">
        <v>11097</v>
      </c>
      <c r="B2626" t="s">
        <v>11098</v>
      </c>
      <c r="C2626" t="s">
        <v>11099</v>
      </c>
      <c r="D2626" t="s">
        <v>11099</v>
      </c>
      <c r="E2626" t="s">
        <v>11100</v>
      </c>
      <c r="F2626" t="s">
        <v>3754</v>
      </c>
      <c r="G2626">
        <v>1</v>
      </c>
      <c r="H2626">
        <v>1</v>
      </c>
      <c r="I2626">
        <v>0.01</v>
      </c>
      <c r="J2626">
        <v>600</v>
      </c>
      <c r="K2626">
        <v>-1.1399999999999999</v>
      </c>
      <c r="L2626">
        <v>76.61</v>
      </c>
      <c r="M2626">
        <v>77.489999999999995</v>
      </c>
      <c r="N2626">
        <v>76.91</v>
      </c>
      <c r="O2626">
        <v>76.61</v>
      </c>
      <c r="P2626">
        <v>0</v>
      </c>
      <c r="Q2626">
        <v>0</v>
      </c>
      <c r="R2626">
        <v>0</v>
      </c>
      <c r="S2626">
        <v>77.09</v>
      </c>
      <c r="T2626">
        <v>77.45</v>
      </c>
      <c r="U2626">
        <v>76.599999999999994</v>
      </c>
      <c r="V2626">
        <v>77.510000000000005</v>
      </c>
      <c r="W2626">
        <v>38852</v>
      </c>
      <c r="X2626">
        <v>76.53</v>
      </c>
      <c r="Y2626">
        <v>76.61</v>
      </c>
      <c r="Z2626">
        <v>36</v>
      </c>
      <c r="AA2626">
        <v>8000000</v>
      </c>
      <c r="AB2626">
        <v>919.32</v>
      </c>
      <c r="AC2626">
        <v>0</v>
      </c>
      <c r="AD2626" t="s">
        <v>94</v>
      </c>
      <c r="AE2626" t="s">
        <v>94</v>
      </c>
      <c r="AF2626" t="s">
        <v>226</v>
      </c>
      <c r="AG2626" t="s">
        <v>226</v>
      </c>
      <c r="AH2626">
        <v>-100</v>
      </c>
      <c r="AI2626" t="s">
        <v>3537</v>
      </c>
      <c r="AJ2626" t="s">
        <v>1976</v>
      </c>
      <c r="AK2626" t="s">
        <v>3755</v>
      </c>
      <c r="AL2626" t="s">
        <v>272</v>
      </c>
    </row>
    <row r="2627" spans="1:38">
      <c r="A2627" t="s">
        <v>11101</v>
      </c>
      <c r="B2627" t="s">
        <v>11102</v>
      </c>
      <c r="C2627" t="s">
        <v>11103</v>
      </c>
      <c r="D2627" t="s">
        <v>11103</v>
      </c>
      <c r="E2627" t="s">
        <v>11104</v>
      </c>
      <c r="F2627" t="s">
        <v>2413</v>
      </c>
      <c r="G2627">
        <v>3</v>
      </c>
      <c r="H2627">
        <v>1</v>
      </c>
      <c r="I2627">
        <v>0.01</v>
      </c>
      <c r="J2627">
        <v>400</v>
      </c>
      <c r="K2627">
        <v>-0.09</v>
      </c>
      <c r="L2627">
        <v>92.51</v>
      </c>
      <c r="M2627">
        <v>92.59</v>
      </c>
      <c r="N2627">
        <v>92.53</v>
      </c>
      <c r="O2627">
        <v>92.51</v>
      </c>
      <c r="P2627">
        <v>0</v>
      </c>
      <c r="Q2627">
        <v>0</v>
      </c>
      <c r="R2627">
        <v>0</v>
      </c>
      <c r="S2627">
        <v>92.46</v>
      </c>
      <c r="T2627">
        <v>91.94</v>
      </c>
      <c r="U2627">
        <v>91.94</v>
      </c>
      <c r="V2627">
        <v>92.68</v>
      </c>
      <c r="W2627">
        <v>19602</v>
      </c>
      <c r="X2627">
        <v>92.51</v>
      </c>
      <c r="Y2627">
        <v>92.58</v>
      </c>
      <c r="Z2627">
        <v>22</v>
      </c>
      <c r="AA2627">
        <v>200000</v>
      </c>
      <c r="AB2627">
        <v>370.04</v>
      </c>
      <c r="AC2627">
        <v>0</v>
      </c>
      <c r="AD2627" t="s">
        <v>94</v>
      </c>
      <c r="AE2627" t="s">
        <v>94</v>
      </c>
      <c r="AF2627" t="s">
        <v>226</v>
      </c>
      <c r="AG2627" t="s">
        <v>226</v>
      </c>
      <c r="AH2627">
        <v>6</v>
      </c>
      <c r="AI2627" t="s">
        <v>3537</v>
      </c>
      <c r="AJ2627" t="s">
        <v>1976</v>
      </c>
      <c r="AK2627" t="s">
        <v>2416</v>
      </c>
      <c r="AL2627" t="s">
        <v>272</v>
      </c>
    </row>
    <row r="2628" spans="1:38">
      <c r="A2628" t="s">
        <v>11105</v>
      </c>
      <c r="B2628" t="s">
        <v>11106</v>
      </c>
      <c r="C2628" t="s">
        <v>11107</v>
      </c>
      <c r="D2628" t="s">
        <v>11107</v>
      </c>
      <c r="E2628" t="s">
        <v>11108</v>
      </c>
      <c r="F2628" t="s">
        <v>2413</v>
      </c>
      <c r="G2628">
        <v>2</v>
      </c>
      <c r="H2628">
        <v>1</v>
      </c>
      <c r="I2628">
        <v>0.01</v>
      </c>
      <c r="J2628">
        <v>1000</v>
      </c>
      <c r="K2628">
        <v>0.21</v>
      </c>
      <c r="L2628">
        <v>84.59</v>
      </c>
      <c r="M2628">
        <v>84.41</v>
      </c>
      <c r="N2628">
        <v>84.21</v>
      </c>
      <c r="O2628">
        <v>84.26</v>
      </c>
      <c r="P2628">
        <v>0</v>
      </c>
      <c r="Q2628">
        <v>0</v>
      </c>
      <c r="R2628">
        <v>0</v>
      </c>
      <c r="S2628">
        <v>84.31</v>
      </c>
      <c r="T2628">
        <v>84.41</v>
      </c>
      <c r="U2628">
        <v>83.63</v>
      </c>
      <c r="V2628">
        <v>84.62</v>
      </c>
      <c r="W2628">
        <v>44683</v>
      </c>
      <c r="X2628">
        <v>84.16</v>
      </c>
      <c r="Y2628">
        <v>84.57</v>
      </c>
      <c r="Z2628">
        <v>21</v>
      </c>
      <c r="AA2628">
        <v>10000000</v>
      </c>
      <c r="AB2628">
        <v>2537.6999999999998</v>
      </c>
      <c r="AC2628">
        <v>0</v>
      </c>
      <c r="AD2628" t="s">
        <v>94</v>
      </c>
      <c r="AE2628" t="s">
        <v>94</v>
      </c>
      <c r="AF2628" t="s">
        <v>226</v>
      </c>
      <c r="AG2628" t="s">
        <v>226</v>
      </c>
      <c r="AH2628">
        <v>-100</v>
      </c>
      <c r="AI2628" t="s">
        <v>3537</v>
      </c>
      <c r="AJ2628" t="s">
        <v>1976</v>
      </c>
      <c r="AK2628" t="s">
        <v>2416</v>
      </c>
      <c r="AL2628" t="s">
        <v>272</v>
      </c>
    </row>
    <row r="2629" spans="1:38">
      <c r="A2629" t="s">
        <v>11109</v>
      </c>
      <c r="B2629" t="s">
        <v>11110</v>
      </c>
      <c r="C2629" t="s">
        <v>11111</v>
      </c>
      <c r="D2629" t="s">
        <v>11111</v>
      </c>
      <c r="E2629" t="s">
        <v>11112</v>
      </c>
      <c r="F2629" t="s">
        <v>2413</v>
      </c>
      <c r="G2629">
        <v>2</v>
      </c>
      <c r="H2629">
        <v>1</v>
      </c>
      <c r="I2629">
        <v>0.01</v>
      </c>
      <c r="J2629">
        <v>1000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15000000</v>
      </c>
      <c r="AB2629">
        <v>0</v>
      </c>
      <c r="AC2629">
        <v>0</v>
      </c>
      <c r="AD2629" t="s">
        <v>94</v>
      </c>
      <c r="AE2629" t="s">
        <v>94</v>
      </c>
      <c r="AF2629" t="s">
        <v>226</v>
      </c>
      <c r="AG2629" t="s">
        <v>226</v>
      </c>
      <c r="AH2629">
        <v>-100</v>
      </c>
      <c r="AI2629" t="s">
        <v>3537</v>
      </c>
      <c r="AJ2629" t="s">
        <v>1976</v>
      </c>
      <c r="AK2629" t="s">
        <v>2416</v>
      </c>
      <c r="AL2629" t="s">
        <v>272</v>
      </c>
    </row>
    <row r="2630" spans="1:38">
      <c r="A2630" t="s">
        <v>11113</v>
      </c>
      <c r="B2630" t="s">
        <v>11114</v>
      </c>
      <c r="C2630" t="s">
        <v>11115</v>
      </c>
      <c r="D2630" t="s">
        <v>11115</v>
      </c>
      <c r="E2630" t="s">
        <v>11116</v>
      </c>
      <c r="F2630" t="s">
        <v>2413</v>
      </c>
      <c r="G2630">
        <v>3</v>
      </c>
      <c r="H2630">
        <v>1</v>
      </c>
      <c r="I2630">
        <v>0.01</v>
      </c>
      <c r="J2630">
        <v>1000</v>
      </c>
      <c r="K2630">
        <v>2.44</v>
      </c>
      <c r="L2630">
        <v>60.81</v>
      </c>
      <c r="M2630">
        <v>59.36</v>
      </c>
      <c r="N2630">
        <v>59.26</v>
      </c>
      <c r="O2630">
        <v>60.81</v>
      </c>
      <c r="P2630">
        <v>0</v>
      </c>
      <c r="Q2630">
        <v>0</v>
      </c>
      <c r="R2630">
        <v>0</v>
      </c>
      <c r="S2630">
        <v>59.99</v>
      </c>
      <c r="T2630">
        <v>59.52</v>
      </c>
      <c r="U2630">
        <v>58.57</v>
      </c>
      <c r="V2630">
        <v>61.22</v>
      </c>
      <c r="W2630">
        <v>356913</v>
      </c>
      <c r="X2630">
        <v>60.81</v>
      </c>
      <c r="Y2630">
        <v>61.11</v>
      </c>
      <c r="Z2630">
        <v>59</v>
      </c>
      <c r="AA2630">
        <v>10000000</v>
      </c>
      <c r="AB2630">
        <v>3648.6</v>
      </c>
      <c r="AC2630">
        <v>0</v>
      </c>
      <c r="AD2630" t="s">
        <v>94</v>
      </c>
      <c r="AE2630" t="s">
        <v>94</v>
      </c>
      <c r="AF2630" t="s">
        <v>226</v>
      </c>
      <c r="AG2630" t="s">
        <v>226</v>
      </c>
      <c r="AH2630">
        <v>6</v>
      </c>
      <c r="AI2630" t="s">
        <v>3537</v>
      </c>
      <c r="AJ2630" t="s">
        <v>1976</v>
      </c>
      <c r="AK2630" t="s">
        <v>2416</v>
      </c>
      <c r="AL2630" t="s">
        <v>272</v>
      </c>
    </row>
    <row r="2631" spans="1:38">
      <c r="A2631" t="s">
        <v>11117</v>
      </c>
      <c r="B2631" t="s">
        <v>11118</v>
      </c>
      <c r="C2631" t="s">
        <v>11119</v>
      </c>
      <c r="D2631" t="s">
        <v>11119</v>
      </c>
      <c r="E2631" t="s">
        <v>11120</v>
      </c>
      <c r="F2631" t="s">
        <v>2413</v>
      </c>
      <c r="G2631">
        <v>3</v>
      </c>
      <c r="H2631">
        <v>1</v>
      </c>
      <c r="I2631">
        <v>0.01</v>
      </c>
      <c r="J2631">
        <v>1000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10000000</v>
      </c>
      <c r="AB2631">
        <v>0</v>
      </c>
      <c r="AC2631">
        <v>0</v>
      </c>
      <c r="AD2631" t="s">
        <v>94</v>
      </c>
      <c r="AE2631" t="s">
        <v>94</v>
      </c>
      <c r="AF2631" t="s">
        <v>226</v>
      </c>
      <c r="AG2631" t="s">
        <v>226</v>
      </c>
      <c r="AH2631">
        <v>6</v>
      </c>
      <c r="AI2631" t="s">
        <v>3537</v>
      </c>
      <c r="AJ2631" t="s">
        <v>1976</v>
      </c>
      <c r="AK2631" t="s">
        <v>2416</v>
      </c>
      <c r="AL2631" t="s">
        <v>272</v>
      </c>
    </row>
    <row r="2632" spans="1:38">
      <c r="A2632" t="s">
        <v>11121</v>
      </c>
      <c r="B2632" t="s">
        <v>11122</v>
      </c>
      <c r="C2632" t="s">
        <v>11123</v>
      </c>
      <c r="D2632" t="s">
        <v>11123</v>
      </c>
      <c r="E2632" t="s">
        <v>11124</v>
      </c>
      <c r="F2632" t="s">
        <v>2413</v>
      </c>
      <c r="G2632">
        <v>3</v>
      </c>
      <c r="H2632">
        <v>1</v>
      </c>
      <c r="I2632">
        <v>0.01</v>
      </c>
      <c r="J2632">
        <v>1000</v>
      </c>
      <c r="K2632">
        <v>0.14000000000000001</v>
      </c>
      <c r="L2632">
        <v>97.13</v>
      </c>
      <c r="M2632">
        <v>96.99</v>
      </c>
      <c r="N2632">
        <v>97.24</v>
      </c>
      <c r="O2632">
        <v>97.13</v>
      </c>
      <c r="P2632">
        <v>0</v>
      </c>
      <c r="Q2632">
        <v>0</v>
      </c>
      <c r="R2632">
        <v>0</v>
      </c>
      <c r="S2632">
        <v>98.25</v>
      </c>
      <c r="T2632">
        <v>98.2</v>
      </c>
      <c r="U2632">
        <v>97.13</v>
      </c>
      <c r="V2632">
        <v>98.45</v>
      </c>
      <c r="W2632">
        <v>992369</v>
      </c>
      <c r="X2632">
        <v>97.1</v>
      </c>
      <c r="Y2632">
        <v>97.3</v>
      </c>
      <c r="Z2632">
        <v>22</v>
      </c>
      <c r="AA2632">
        <v>9000000</v>
      </c>
      <c r="AB2632">
        <v>1942.6</v>
      </c>
      <c r="AC2632">
        <v>0</v>
      </c>
      <c r="AD2632" t="s">
        <v>94</v>
      </c>
      <c r="AE2632" t="s">
        <v>94</v>
      </c>
      <c r="AF2632" t="s">
        <v>226</v>
      </c>
      <c r="AG2632" t="s">
        <v>226</v>
      </c>
      <c r="AH2632">
        <v>6</v>
      </c>
      <c r="AI2632" t="s">
        <v>3537</v>
      </c>
      <c r="AJ2632" t="s">
        <v>1976</v>
      </c>
      <c r="AK2632" t="s">
        <v>2416</v>
      </c>
      <c r="AL2632" t="s">
        <v>272</v>
      </c>
    </row>
    <row r="2633" spans="1:38">
      <c r="A2633" t="s">
        <v>11125</v>
      </c>
      <c r="B2633" t="s">
        <v>11126</v>
      </c>
      <c r="C2633" t="s">
        <v>11127</v>
      </c>
      <c r="D2633" t="s">
        <v>11127</v>
      </c>
      <c r="E2633" t="s">
        <v>11128</v>
      </c>
      <c r="F2633" t="s">
        <v>2413</v>
      </c>
      <c r="G2633">
        <v>3</v>
      </c>
      <c r="H2633">
        <v>1</v>
      </c>
      <c r="I2633">
        <v>0.01</v>
      </c>
      <c r="J2633">
        <v>1000</v>
      </c>
      <c r="K2633">
        <v>0.22</v>
      </c>
      <c r="L2633">
        <v>88.52</v>
      </c>
      <c r="M2633">
        <v>88.33</v>
      </c>
      <c r="N2633">
        <v>88.5</v>
      </c>
      <c r="O2633">
        <v>88.52</v>
      </c>
      <c r="P2633">
        <v>0</v>
      </c>
      <c r="Q2633">
        <v>0</v>
      </c>
      <c r="R2633">
        <v>0</v>
      </c>
      <c r="S2633">
        <v>88.33</v>
      </c>
      <c r="T2633">
        <v>89.08</v>
      </c>
      <c r="U2633">
        <v>87.95</v>
      </c>
      <c r="V2633">
        <v>89.08</v>
      </c>
      <c r="W2633">
        <v>118366</v>
      </c>
      <c r="X2633">
        <v>88.27</v>
      </c>
      <c r="Y2633">
        <v>88.52</v>
      </c>
      <c r="Z2633">
        <v>23</v>
      </c>
      <c r="AA2633">
        <v>8200000</v>
      </c>
      <c r="AB2633">
        <v>38063.599999999999</v>
      </c>
      <c r="AC2633">
        <v>0</v>
      </c>
      <c r="AD2633" t="s">
        <v>94</v>
      </c>
      <c r="AE2633" t="s">
        <v>94</v>
      </c>
      <c r="AF2633" t="s">
        <v>226</v>
      </c>
      <c r="AG2633" t="s">
        <v>226</v>
      </c>
      <c r="AH2633">
        <v>6</v>
      </c>
      <c r="AI2633" t="s">
        <v>3537</v>
      </c>
      <c r="AJ2633" t="s">
        <v>1976</v>
      </c>
      <c r="AK2633" t="s">
        <v>2416</v>
      </c>
      <c r="AL2633" t="s">
        <v>272</v>
      </c>
    </row>
    <row r="2634" spans="1:38">
      <c r="A2634" t="s">
        <v>11129</v>
      </c>
      <c r="B2634" t="s">
        <v>11130</v>
      </c>
      <c r="C2634" t="s">
        <v>11131</v>
      </c>
      <c r="D2634" t="s">
        <v>11131</v>
      </c>
      <c r="E2634" t="s">
        <v>11132</v>
      </c>
      <c r="F2634" t="s">
        <v>2413</v>
      </c>
      <c r="G2634">
        <v>3</v>
      </c>
      <c r="H2634">
        <v>1</v>
      </c>
      <c r="I2634">
        <v>0.01</v>
      </c>
      <c r="J2634">
        <v>1000</v>
      </c>
      <c r="K2634">
        <v>1.1399999999999999</v>
      </c>
      <c r="L2634">
        <v>70.849999999999994</v>
      </c>
      <c r="M2634">
        <v>70.05</v>
      </c>
      <c r="N2634">
        <v>69.180000000000007</v>
      </c>
      <c r="O2634">
        <v>70.91</v>
      </c>
      <c r="P2634">
        <v>0</v>
      </c>
      <c r="Q2634">
        <v>0</v>
      </c>
      <c r="R2634">
        <v>0</v>
      </c>
      <c r="S2634">
        <v>70.709999999999994</v>
      </c>
      <c r="T2634">
        <v>70.05</v>
      </c>
      <c r="U2634">
        <v>69.86</v>
      </c>
      <c r="V2634">
        <v>71.41</v>
      </c>
      <c r="W2634">
        <v>3549591</v>
      </c>
      <c r="X2634">
        <v>70.7</v>
      </c>
      <c r="Y2634">
        <v>70.84</v>
      </c>
      <c r="Z2634">
        <v>202</v>
      </c>
      <c r="AA2634">
        <v>10000000</v>
      </c>
      <c r="AB2634">
        <v>32591</v>
      </c>
      <c r="AC2634">
        <v>0</v>
      </c>
      <c r="AD2634" t="s">
        <v>94</v>
      </c>
      <c r="AE2634" t="s">
        <v>94</v>
      </c>
      <c r="AF2634" t="s">
        <v>226</v>
      </c>
      <c r="AG2634" t="s">
        <v>226</v>
      </c>
      <c r="AH2634">
        <v>6</v>
      </c>
      <c r="AI2634" t="s">
        <v>3537</v>
      </c>
      <c r="AJ2634" t="s">
        <v>1976</v>
      </c>
      <c r="AK2634" t="s">
        <v>2416</v>
      </c>
      <c r="AL2634" t="s">
        <v>272</v>
      </c>
    </row>
    <row r="2635" spans="1:38">
      <c r="A2635" t="s">
        <v>11133</v>
      </c>
      <c r="B2635" t="s">
        <v>11134</v>
      </c>
      <c r="C2635" t="s">
        <v>11135</v>
      </c>
      <c r="D2635" t="s">
        <v>11135</v>
      </c>
      <c r="E2635" t="s">
        <v>11136</v>
      </c>
      <c r="F2635" t="s">
        <v>2413</v>
      </c>
      <c r="G2635">
        <v>3</v>
      </c>
      <c r="H2635">
        <v>1</v>
      </c>
      <c r="I2635">
        <v>0.01</v>
      </c>
      <c r="J2635">
        <v>1000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5000000</v>
      </c>
      <c r="AB2635">
        <v>0</v>
      </c>
      <c r="AC2635">
        <v>0</v>
      </c>
      <c r="AD2635" t="s">
        <v>94</v>
      </c>
      <c r="AE2635" t="s">
        <v>94</v>
      </c>
      <c r="AF2635" t="s">
        <v>226</v>
      </c>
      <c r="AG2635" t="s">
        <v>226</v>
      </c>
      <c r="AH2635">
        <v>6</v>
      </c>
      <c r="AI2635" t="s">
        <v>3537</v>
      </c>
      <c r="AJ2635" t="s">
        <v>1976</v>
      </c>
      <c r="AK2635" t="s">
        <v>2416</v>
      </c>
      <c r="AL2635" t="s">
        <v>272</v>
      </c>
    </row>
    <row r="2636" spans="1:38">
      <c r="A2636" t="s">
        <v>11137</v>
      </c>
      <c r="B2636" t="s">
        <v>2531</v>
      </c>
      <c r="C2636" t="s">
        <v>2532</v>
      </c>
      <c r="D2636" t="s">
        <v>2532</v>
      </c>
      <c r="E2636" t="s">
        <v>2533</v>
      </c>
      <c r="F2636" t="s">
        <v>2413</v>
      </c>
      <c r="G2636">
        <v>3</v>
      </c>
      <c r="H2636">
        <v>1</v>
      </c>
      <c r="I2636">
        <v>1E-4</v>
      </c>
      <c r="J2636">
        <v>1000</v>
      </c>
      <c r="K2636">
        <v>3.41</v>
      </c>
      <c r="L2636">
        <v>71.971000000000004</v>
      </c>
      <c r="M2636">
        <v>70.025000000000006</v>
      </c>
      <c r="N2636">
        <v>70.268600000000006</v>
      </c>
      <c r="O2636">
        <v>71.971000000000004</v>
      </c>
      <c r="P2636">
        <v>0</v>
      </c>
      <c r="Q2636">
        <v>0</v>
      </c>
      <c r="R2636">
        <v>0</v>
      </c>
      <c r="S2636">
        <v>69.944199999999995</v>
      </c>
      <c r="T2636">
        <v>69</v>
      </c>
      <c r="U2636">
        <v>68.5</v>
      </c>
      <c r="V2636">
        <v>71.971000000000004</v>
      </c>
      <c r="W2636">
        <v>897180</v>
      </c>
      <c r="X2636">
        <v>70.999899999999997</v>
      </c>
      <c r="Y2636">
        <v>71.821299999999994</v>
      </c>
      <c r="Z2636">
        <v>47</v>
      </c>
      <c r="AA2636">
        <v>500000</v>
      </c>
      <c r="AB2636">
        <v>10475.02</v>
      </c>
      <c r="AC2636">
        <v>0</v>
      </c>
      <c r="AD2636" t="s">
        <v>1663</v>
      </c>
      <c r="AE2636" t="s">
        <v>94</v>
      </c>
      <c r="AF2636" t="s">
        <v>226</v>
      </c>
      <c r="AG2636" t="s">
        <v>226</v>
      </c>
      <c r="AH2636">
        <v>6</v>
      </c>
      <c r="AI2636" t="s">
        <v>3537</v>
      </c>
      <c r="AJ2636" t="s">
        <v>1976</v>
      </c>
      <c r="AK2636" t="s">
        <v>2416</v>
      </c>
      <c r="AL2636" t="s">
        <v>272</v>
      </c>
    </row>
    <row r="2637" spans="1:38">
      <c r="A2637" t="s">
        <v>11138</v>
      </c>
      <c r="B2637" t="s">
        <v>11139</v>
      </c>
      <c r="C2637" t="s">
        <v>11140</v>
      </c>
      <c r="D2637" t="s">
        <v>11140</v>
      </c>
      <c r="E2637" t="s">
        <v>11141</v>
      </c>
      <c r="F2637" t="s">
        <v>2413</v>
      </c>
      <c r="G2637">
        <v>3</v>
      </c>
      <c r="H2637">
        <v>1</v>
      </c>
      <c r="I2637">
        <v>0.01</v>
      </c>
      <c r="J2637">
        <v>1000</v>
      </c>
      <c r="K2637">
        <v>0.97</v>
      </c>
      <c r="L2637">
        <v>88.24</v>
      </c>
      <c r="M2637">
        <v>87.41</v>
      </c>
      <c r="N2637">
        <v>87.63</v>
      </c>
      <c r="O2637">
        <v>88.24</v>
      </c>
      <c r="P2637">
        <v>0</v>
      </c>
      <c r="Q2637">
        <v>0</v>
      </c>
      <c r="R2637">
        <v>0</v>
      </c>
      <c r="S2637">
        <v>88.26</v>
      </c>
      <c r="T2637">
        <v>87.38</v>
      </c>
      <c r="U2637">
        <v>86.76</v>
      </c>
      <c r="V2637">
        <v>88.71</v>
      </c>
      <c r="W2637">
        <v>3762729</v>
      </c>
      <c r="X2637">
        <v>88.21</v>
      </c>
      <c r="Y2637">
        <v>88.24</v>
      </c>
      <c r="Z2637">
        <v>138</v>
      </c>
      <c r="AA2637">
        <v>6000000</v>
      </c>
      <c r="AB2637">
        <v>882.4</v>
      </c>
      <c r="AC2637">
        <v>0</v>
      </c>
      <c r="AD2637" t="s">
        <v>94</v>
      </c>
      <c r="AE2637" t="s">
        <v>94</v>
      </c>
      <c r="AF2637" t="s">
        <v>226</v>
      </c>
      <c r="AG2637" t="s">
        <v>226</v>
      </c>
      <c r="AH2637">
        <v>6</v>
      </c>
      <c r="AI2637" t="s">
        <v>3537</v>
      </c>
      <c r="AJ2637" t="s">
        <v>1976</v>
      </c>
      <c r="AK2637" t="s">
        <v>2416</v>
      </c>
      <c r="AL2637" t="s">
        <v>272</v>
      </c>
    </row>
    <row r="2638" spans="1:38">
      <c r="A2638" t="s">
        <v>11142</v>
      </c>
      <c r="B2638" t="s">
        <v>11143</v>
      </c>
      <c r="C2638" t="s">
        <v>11144</v>
      </c>
      <c r="D2638" t="s">
        <v>11144</v>
      </c>
      <c r="E2638" t="s">
        <v>11145</v>
      </c>
      <c r="F2638" t="s">
        <v>2413</v>
      </c>
      <c r="G2638">
        <v>3</v>
      </c>
      <c r="H2638">
        <v>1</v>
      </c>
      <c r="I2638">
        <v>0.01</v>
      </c>
      <c r="J2638">
        <v>1000</v>
      </c>
      <c r="K2638">
        <v>0.78</v>
      </c>
      <c r="L2638">
        <v>83.83</v>
      </c>
      <c r="M2638">
        <v>83.18</v>
      </c>
      <c r="N2638">
        <v>82.93</v>
      </c>
      <c r="O2638">
        <v>83.83</v>
      </c>
      <c r="P2638">
        <v>0</v>
      </c>
      <c r="Q2638">
        <v>0</v>
      </c>
      <c r="R2638">
        <v>0</v>
      </c>
      <c r="S2638">
        <v>83.38</v>
      </c>
      <c r="T2638">
        <v>82.77</v>
      </c>
      <c r="U2638">
        <v>80.69</v>
      </c>
      <c r="V2638">
        <v>83.9</v>
      </c>
      <c r="W2638">
        <v>298506</v>
      </c>
      <c r="X2638">
        <v>83</v>
      </c>
      <c r="Y2638">
        <v>83.83</v>
      </c>
      <c r="Z2638">
        <v>49</v>
      </c>
      <c r="AA2638">
        <v>4544179</v>
      </c>
      <c r="AB2638">
        <v>1676.6</v>
      </c>
      <c r="AC2638">
        <v>0</v>
      </c>
      <c r="AD2638" t="s">
        <v>94</v>
      </c>
      <c r="AE2638" t="s">
        <v>94</v>
      </c>
      <c r="AF2638" t="s">
        <v>226</v>
      </c>
      <c r="AG2638" t="s">
        <v>226</v>
      </c>
      <c r="AH2638">
        <v>800</v>
      </c>
      <c r="AI2638" t="s">
        <v>3537</v>
      </c>
      <c r="AJ2638" t="s">
        <v>1976</v>
      </c>
      <c r="AK2638" t="s">
        <v>2416</v>
      </c>
      <c r="AL2638" t="s">
        <v>272</v>
      </c>
    </row>
    <row r="2639" spans="1:38">
      <c r="A2639" t="s">
        <v>11146</v>
      </c>
      <c r="B2639" t="s">
        <v>11147</v>
      </c>
      <c r="C2639" t="s">
        <v>11148</v>
      </c>
      <c r="D2639" t="s">
        <v>11148</v>
      </c>
      <c r="E2639" t="s">
        <v>11149</v>
      </c>
      <c r="F2639" t="s">
        <v>2413</v>
      </c>
      <c r="G2639">
        <v>3</v>
      </c>
      <c r="H2639">
        <v>1</v>
      </c>
      <c r="I2639">
        <v>0.01</v>
      </c>
      <c r="J2639">
        <v>1000</v>
      </c>
      <c r="K2639">
        <v>-0.38</v>
      </c>
      <c r="L2639">
        <v>83.38</v>
      </c>
      <c r="M2639">
        <v>83.71</v>
      </c>
      <c r="N2639">
        <v>85.56</v>
      </c>
      <c r="O2639">
        <v>83.38</v>
      </c>
      <c r="P2639">
        <v>0</v>
      </c>
      <c r="Q2639">
        <v>0</v>
      </c>
      <c r="R2639">
        <v>0</v>
      </c>
      <c r="S2639">
        <v>83.38</v>
      </c>
      <c r="T2639">
        <v>83.38</v>
      </c>
      <c r="U2639">
        <v>83.38</v>
      </c>
      <c r="V2639">
        <v>83.38</v>
      </c>
      <c r="W2639">
        <v>834</v>
      </c>
      <c r="X2639">
        <v>83.6</v>
      </c>
      <c r="Y2639">
        <v>84.58</v>
      </c>
      <c r="Z2639">
        <v>1</v>
      </c>
      <c r="AA2639">
        <v>10000000</v>
      </c>
      <c r="AB2639">
        <v>833.8</v>
      </c>
      <c r="AC2639">
        <v>0</v>
      </c>
      <c r="AD2639" t="s">
        <v>94</v>
      </c>
      <c r="AE2639" t="s">
        <v>94</v>
      </c>
      <c r="AF2639" t="s">
        <v>226</v>
      </c>
      <c r="AG2639" t="s">
        <v>226</v>
      </c>
      <c r="AH2639">
        <v>800</v>
      </c>
      <c r="AI2639" t="s">
        <v>3537</v>
      </c>
      <c r="AJ2639" t="s">
        <v>1976</v>
      </c>
      <c r="AK2639" t="s">
        <v>2416</v>
      </c>
      <c r="AL2639" t="s">
        <v>272</v>
      </c>
    </row>
    <row r="2640" spans="1:38">
      <c r="A2640" t="s">
        <v>11150</v>
      </c>
      <c r="B2640" t="s">
        <v>11151</v>
      </c>
      <c r="C2640" t="s">
        <v>11152</v>
      </c>
      <c r="D2640" t="s">
        <v>11152</v>
      </c>
      <c r="E2640" t="s">
        <v>11153</v>
      </c>
      <c r="F2640" t="s">
        <v>2413</v>
      </c>
      <c r="G2640">
        <v>2</v>
      </c>
      <c r="H2640">
        <v>1</v>
      </c>
      <c r="I2640">
        <v>0.01</v>
      </c>
      <c r="J2640">
        <v>1000</v>
      </c>
      <c r="K2640">
        <v>0.03</v>
      </c>
      <c r="L2640">
        <v>88.48</v>
      </c>
      <c r="M2640">
        <v>88.45</v>
      </c>
      <c r="N2640">
        <v>88.65</v>
      </c>
      <c r="O2640">
        <v>88.48</v>
      </c>
      <c r="P2640">
        <v>0</v>
      </c>
      <c r="Q2640">
        <v>0</v>
      </c>
      <c r="R2640">
        <v>0</v>
      </c>
      <c r="S2640">
        <v>88.31</v>
      </c>
      <c r="T2640">
        <v>88.5</v>
      </c>
      <c r="U2640">
        <v>88</v>
      </c>
      <c r="V2640">
        <v>88.5</v>
      </c>
      <c r="W2640">
        <v>2545869</v>
      </c>
      <c r="X2640">
        <v>88.45</v>
      </c>
      <c r="Y2640">
        <v>88.48</v>
      </c>
      <c r="Z2640">
        <v>228</v>
      </c>
      <c r="AA2640">
        <v>10000000</v>
      </c>
      <c r="AB2640">
        <v>3539.2</v>
      </c>
      <c r="AC2640">
        <v>0</v>
      </c>
      <c r="AD2640" t="s">
        <v>94</v>
      </c>
      <c r="AE2640" t="s">
        <v>94</v>
      </c>
      <c r="AF2640" t="s">
        <v>226</v>
      </c>
      <c r="AG2640" t="s">
        <v>226</v>
      </c>
      <c r="AH2640">
        <v>6</v>
      </c>
      <c r="AI2640" t="s">
        <v>3537</v>
      </c>
      <c r="AJ2640" t="s">
        <v>1976</v>
      </c>
      <c r="AK2640" t="s">
        <v>2416</v>
      </c>
      <c r="AL2640" t="s">
        <v>272</v>
      </c>
    </row>
    <row r="2641" spans="1:38">
      <c r="A2641" t="s">
        <v>11154</v>
      </c>
      <c r="B2641" t="s">
        <v>11155</v>
      </c>
      <c r="C2641" t="s">
        <v>11156</v>
      </c>
      <c r="D2641" t="s">
        <v>11156</v>
      </c>
      <c r="E2641" t="s">
        <v>11157</v>
      </c>
      <c r="F2641" t="s">
        <v>2413</v>
      </c>
      <c r="G2641">
        <v>3</v>
      </c>
      <c r="H2641">
        <v>1</v>
      </c>
      <c r="I2641">
        <v>0.01</v>
      </c>
      <c r="J2641">
        <v>1000</v>
      </c>
      <c r="K2641">
        <v>-0.5</v>
      </c>
      <c r="L2641">
        <v>99.5</v>
      </c>
      <c r="M2641">
        <v>100</v>
      </c>
      <c r="N2641">
        <v>99.95</v>
      </c>
      <c r="O2641">
        <v>99.5</v>
      </c>
      <c r="P2641">
        <v>0</v>
      </c>
      <c r="Q2641">
        <v>0</v>
      </c>
      <c r="R2641">
        <v>0</v>
      </c>
      <c r="S2641">
        <v>99.63</v>
      </c>
      <c r="T2641">
        <v>99.99</v>
      </c>
      <c r="U2641">
        <v>99.5</v>
      </c>
      <c r="V2641">
        <v>99.99</v>
      </c>
      <c r="W2641">
        <v>49813</v>
      </c>
      <c r="X2641">
        <v>99.51</v>
      </c>
      <c r="Y2641">
        <v>100</v>
      </c>
      <c r="Z2641">
        <v>10</v>
      </c>
      <c r="AA2641">
        <v>100000</v>
      </c>
      <c r="AB2641">
        <v>2985</v>
      </c>
      <c r="AC2641">
        <v>0</v>
      </c>
      <c r="AD2641" t="s">
        <v>94</v>
      </c>
      <c r="AE2641" t="s">
        <v>94</v>
      </c>
      <c r="AF2641" t="s">
        <v>226</v>
      </c>
      <c r="AG2641" t="s">
        <v>226</v>
      </c>
      <c r="AH2641">
        <v>800</v>
      </c>
      <c r="AI2641" t="s">
        <v>3537</v>
      </c>
      <c r="AJ2641" t="s">
        <v>1976</v>
      </c>
      <c r="AK2641" t="s">
        <v>2416</v>
      </c>
      <c r="AL2641" t="s">
        <v>272</v>
      </c>
    </row>
    <row r="2642" spans="1:38">
      <c r="A2642" t="s">
        <v>11158</v>
      </c>
      <c r="B2642" t="s">
        <v>11159</v>
      </c>
      <c r="C2642" t="s">
        <v>11160</v>
      </c>
      <c r="D2642" t="s">
        <v>11160</v>
      </c>
      <c r="E2642" t="s">
        <v>11161</v>
      </c>
      <c r="F2642" t="s">
        <v>2413</v>
      </c>
      <c r="G2642">
        <v>3</v>
      </c>
      <c r="H2642">
        <v>1</v>
      </c>
      <c r="I2642">
        <v>0.01</v>
      </c>
      <c r="J2642">
        <v>1000</v>
      </c>
      <c r="K2642">
        <v>0.3</v>
      </c>
      <c r="L2642">
        <v>76.33</v>
      </c>
      <c r="M2642">
        <v>76.13</v>
      </c>
      <c r="N2642">
        <v>78.02</v>
      </c>
      <c r="O2642">
        <v>76.33</v>
      </c>
      <c r="P2642">
        <v>0</v>
      </c>
      <c r="Q2642">
        <v>0</v>
      </c>
      <c r="R2642">
        <v>0</v>
      </c>
      <c r="S2642">
        <v>76.37</v>
      </c>
      <c r="T2642">
        <v>76.48</v>
      </c>
      <c r="U2642">
        <v>76.099999999999994</v>
      </c>
      <c r="V2642">
        <v>76.540000000000006</v>
      </c>
      <c r="W2642">
        <v>59570</v>
      </c>
      <c r="X2642">
        <v>76.11</v>
      </c>
      <c r="Y2642">
        <v>76.319999999999993</v>
      </c>
      <c r="Z2642">
        <v>26</v>
      </c>
      <c r="AA2642">
        <v>300000</v>
      </c>
      <c r="AB2642">
        <v>763.3</v>
      </c>
      <c r="AC2642">
        <v>0</v>
      </c>
      <c r="AD2642" t="s">
        <v>94</v>
      </c>
      <c r="AE2642" t="s">
        <v>94</v>
      </c>
      <c r="AF2642" t="s">
        <v>226</v>
      </c>
      <c r="AG2642" t="s">
        <v>226</v>
      </c>
      <c r="AH2642">
        <v>6</v>
      </c>
      <c r="AI2642" t="s">
        <v>3537</v>
      </c>
      <c r="AJ2642" t="s">
        <v>1976</v>
      </c>
      <c r="AK2642" t="s">
        <v>2416</v>
      </c>
      <c r="AL2642" t="s">
        <v>272</v>
      </c>
    </row>
    <row r="2643" spans="1:38">
      <c r="A2643" t="s">
        <v>11162</v>
      </c>
      <c r="B2643" t="s">
        <v>11163</v>
      </c>
      <c r="C2643" t="s">
        <v>11164</v>
      </c>
      <c r="D2643" t="s">
        <v>11164</v>
      </c>
      <c r="E2643" t="s">
        <v>11165</v>
      </c>
      <c r="F2643" t="s">
        <v>2413</v>
      </c>
      <c r="G2643">
        <v>3</v>
      </c>
      <c r="H2643">
        <v>1</v>
      </c>
      <c r="I2643">
        <v>0.01</v>
      </c>
      <c r="J2643">
        <v>5000</v>
      </c>
      <c r="K2643">
        <v>0.33</v>
      </c>
      <c r="L2643">
        <v>94.9</v>
      </c>
      <c r="M2643">
        <v>94.59</v>
      </c>
      <c r="N2643">
        <v>94.86</v>
      </c>
      <c r="O2643">
        <v>94.9</v>
      </c>
      <c r="P2643">
        <v>0</v>
      </c>
      <c r="Q2643">
        <v>0</v>
      </c>
      <c r="R2643">
        <v>0</v>
      </c>
      <c r="S2643">
        <v>94.93</v>
      </c>
      <c r="T2643">
        <v>94.51</v>
      </c>
      <c r="U2643">
        <v>94.51</v>
      </c>
      <c r="V2643">
        <v>95.15</v>
      </c>
      <c r="W2643">
        <v>33227</v>
      </c>
      <c r="X2643">
        <v>94.9</v>
      </c>
      <c r="Y2643">
        <v>95.43</v>
      </c>
      <c r="Z2643">
        <v>5</v>
      </c>
      <c r="AA2643">
        <v>12500</v>
      </c>
      <c r="AB2643">
        <v>4745</v>
      </c>
      <c r="AC2643">
        <v>0</v>
      </c>
      <c r="AD2643" t="s">
        <v>94</v>
      </c>
      <c r="AE2643" t="s">
        <v>94</v>
      </c>
      <c r="AF2643" t="s">
        <v>226</v>
      </c>
      <c r="AG2643" t="s">
        <v>226</v>
      </c>
      <c r="AH2643">
        <v>6</v>
      </c>
      <c r="AI2643" t="s">
        <v>3537</v>
      </c>
      <c r="AJ2643" t="s">
        <v>1976</v>
      </c>
      <c r="AK2643" t="s">
        <v>2416</v>
      </c>
      <c r="AL2643" t="s">
        <v>272</v>
      </c>
    </row>
    <row r="2644" spans="1:38">
      <c r="A2644" t="s">
        <v>11166</v>
      </c>
      <c r="B2644" t="s">
        <v>11167</v>
      </c>
      <c r="C2644" t="s">
        <v>11168</v>
      </c>
      <c r="D2644" t="s">
        <v>11168</v>
      </c>
      <c r="E2644" t="s">
        <v>11169</v>
      </c>
      <c r="F2644" t="s">
        <v>2413</v>
      </c>
      <c r="G2644">
        <v>3</v>
      </c>
      <c r="H2644">
        <v>1</v>
      </c>
      <c r="I2644">
        <v>0.01</v>
      </c>
      <c r="J2644">
        <v>1000</v>
      </c>
      <c r="K2644">
        <v>0.03</v>
      </c>
      <c r="L2644">
        <v>99.98</v>
      </c>
      <c r="M2644">
        <v>99.98</v>
      </c>
      <c r="N2644">
        <v>100</v>
      </c>
      <c r="O2644">
        <v>99.99</v>
      </c>
      <c r="P2644">
        <v>0</v>
      </c>
      <c r="Q2644">
        <v>0</v>
      </c>
      <c r="R2644">
        <v>0</v>
      </c>
      <c r="S2644">
        <v>99.99</v>
      </c>
      <c r="T2644">
        <v>99.95</v>
      </c>
      <c r="U2644">
        <v>99.95</v>
      </c>
      <c r="V2644">
        <v>100</v>
      </c>
      <c r="W2644">
        <v>1034947</v>
      </c>
      <c r="X2644">
        <v>99.98</v>
      </c>
      <c r="Y2644">
        <v>100</v>
      </c>
      <c r="Z2644">
        <v>135</v>
      </c>
      <c r="AA2644">
        <v>300000</v>
      </c>
      <c r="AB2644">
        <v>999.8</v>
      </c>
      <c r="AC2644">
        <v>0</v>
      </c>
      <c r="AD2644" t="s">
        <v>94</v>
      </c>
      <c r="AE2644" t="s">
        <v>94</v>
      </c>
      <c r="AF2644" t="s">
        <v>226</v>
      </c>
      <c r="AG2644" t="s">
        <v>226</v>
      </c>
      <c r="AH2644">
        <v>6</v>
      </c>
      <c r="AI2644" t="s">
        <v>3537</v>
      </c>
      <c r="AJ2644" t="s">
        <v>1976</v>
      </c>
      <c r="AK2644" t="s">
        <v>2416</v>
      </c>
      <c r="AL2644" t="s">
        <v>272</v>
      </c>
    </row>
    <row r="2645" spans="1:38">
      <c r="A2645" t="s">
        <v>11170</v>
      </c>
      <c r="B2645" t="s">
        <v>11171</v>
      </c>
      <c r="C2645" t="s">
        <v>11172</v>
      </c>
      <c r="D2645" t="s">
        <v>11172</v>
      </c>
      <c r="E2645" t="s">
        <v>11173</v>
      </c>
      <c r="F2645" t="s">
        <v>2413</v>
      </c>
      <c r="G2645">
        <v>3</v>
      </c>
      <c r="H2645">
        <v>1</v>
      </c>
      <c r="I2645">
        <v>0.01</v>
      </c>
      <c r="J2645">
        <v>1000</v>
      </c>
      <c r="K2645">
        <v>0.95</v>
      </c>
      <c r="L2645">
        <v>90.99</v>
      </c>
      <c r="M2645">
        <v>90.13</v>
      </c>
      <c r="N2645">
        <v>90.11</v>
      </c>
      <c r="O2645">
        <v>90.64</v>
      </c>
      <c r="P2645">
        <v>0</v>
      </c>
      <c r="Q2645">
        <v>0</v>
      </c>
      <c r="R2645">
        <v>0</v>
      </c>
      <c r="S2645">
        <v>90.45</v>
      </c>
      <c r="T2645">
        <v>90.11</v>
      </c>
      <c r="U2645">
        <v>89.99</v>
      </c>
      <c r="V2645">
        <v>91</v>
      </c>
      <c r="W2645">
        <v>446813</v>
      </c>
      <c r="X2645">
        <v>90.67</v>
      </c>
      <c r="Y2645">
        <v>90.99</v>
      </c>
      <c r="Z2645">
        <v>53</v>
      </c>
      <c r="AA2645">
        <v>300000</v>
      </c>
      <c r="AB2645">
        <v>909.9</v>
      </c>
      <c r="AC2645">
        <v>0</v>
      </c>
      <c r="AD2645" t="s">
        <v>94</v>
      </c>
      <c r="AE2645" t="s">
        <v>94</v>
      </c>
      <c r="AF2645" t="s">
        <v>226</v>
      </c>
      <c r="AG2645" t="s">
        <v>226</v>
      </c>
      <c r="AH2645">
        <v>6</v>
      </c>
      <c r="AI2645" t="s">
        <v>3537</v>
      </c>
      <c r="AJ2645" t="s">
        <v>1976</v>
      </c>
      <c r="AK2645" t="s">
        <v>2416</v>
      </c>
      <c r="AL2645" t="s">
        <v>272</v>
      </c>
    </row>
    <row r="2646" spans="1:38">
      <c r="A2646" t="s">
        <v>11174</v>
      </c>
      <c r="B2646" t="s">
        <v>11175</v>
      </c>
      <c r="C2646" t="s">
        <v>11176</v>
      </c>
      <c r="D2646" t="s">
        <v>11176</v>
      </c>
      <c r="E2646" t="s">
        <v>11177</v>
      </c>
      <c r="F2646" t="s">
        <v>2425</v>
      </c>
      <c r="G2646">
        <v>3</v>
      </c>
      <c r="H2646">
        <v>1</v>
      </c>
      <c r="I2646">
        <v>0.01</v>
      </c>
      <c r="J2646">
        <v>1000</v>
      </c>
      <c r="K2646">
        <v>0.72</v>
      </c>
      <c r="L2646">
        <v>98</v>
      </c>
      <c r="M2646">
        <v>97.35</v>
      </c>
      <c r="N2646">
        <v>97.43</v>
      </c>
      <c r="O2646">
        <v>98</v>
      </c>
      <c r="P2646">
        <v>0</v>
      </c>
      <c r="Q2646">
        <v>0</v>
      </c>
      <c r="R2646">
        <v>0</v>
      </c>
      <c r="S2646">
        <v>98.05</v>
      </c>
      <c r="T2646">
        <v>97.81</v>
      </c>
      <c r="U2646">
        <v>97.68</v>
      </c>
      <c r="V2646">
        <v>98.48</v>
      </c>
      <c r="W2646">
        <v>827511</v>
      </c>
      <c r="X2646">
        <v>97.93</v>
      </c>
      <c r="Y2646">
        <v>98.24</v>
      </c>
      <c r="Z2646">
        <v>29</v>
      </c>
      <c r="AA2646">
        <v>300000</v>
      </c>
      <c r="AB2646">
        <v>38220</v>
      </c>
      <c r="AC2646">
        <v>0</v>
      </c>
      <c r="AD2646" t="s">
        <v>94</v>
      </c>
      <c r="AE2646" t="s">
        <v>94</v>
      </c>
      <c r="AF2646" t="s">
        <v>304</v>
      </c>
      <c r="AG2646" t="s">
        <v>226</v>
      </c>
      <c r="AH2646">
        <v>0</v>
      </c>
      <c r="AI2646" t="s">
        <v>3537</v>
      </c>
      <c r="AJ2646" t="s">
        <v>1976</v>
      </c>
      <c r="AK2646" t="s">
        <v>2426</v>
      </c>
      <c r="AL2646" t="s">
        <v>272</v>
      </c>
    </row>
    <row r="2647" spans="1:38">
      <c r="A2647" t="s">
        <v>11178</v>
      </c>
      <c r="B2647" t="s">
        <v>11179</v>
      </c>
      <c r="C2647" t="s">
        <v>11180</v>
      </c>
      <c r="D2647" t="s">
        <v>11180</v>
      </c>
      <c r="E2647" t="s">
        <v>11181</v>
      </c>
      <c r="F2647" t="s">
        <v>2413</v>
      </c>
      <c r="G2647">
        <v>2</v>
      </c>
      <c r="H2647">
        <v>1</v>
      </c>
      <c r="I2647">
        <v>0.01</v>
      </c>
      <c r="J2647">
        <v>1000</v>
      </c>
      <c r="K2647">
        <v>0.14000000000000001</v>
      </c>
      <c r="L2647">
        <v>91.88</v>
      </c>
      <c r="M2647">
        <v>91.75</v>
      </c>
      <c r="N2647">
        <v>90.89</v>
      </c>
      <c r="O2647">
        <v>91.88</v>
      </c>
      <c r="P2647">
        <v>0</v>
      </c>
      <c r="Q2647">
        <v>0</v>
      </c>
      <c r="R2647">
        <v>0</v>
      </c>
      <c r="S2647">
        <v>92.41</v>
      </c>
      <c r="T2647">
        <v>92.59</v>
      </c>
      <c r="U2647">
        <v>91.88</v>
      </c>
      <c r="V2647">
        <v>92.84</v>
      </c>
      <c r="W2647">
        <v>9241</v>
      </c>
      <c r="X2647">
        <v>91.36</v>
      </c>
      <c r="Y2647">
        <v>91.91</v>
      </c>
      <c r="Z2647">
        <v>7</v>
      </c>
      <c r="AA2647">
        <v>10000000</v>
      </c>
      <c r="AB2647">
        <v>918.8</v>
      </c>
      <c r="AC2647">
        <v>0</v>
      </c>
      <c r="AD2647" t="s">
        <v>94</v>
      </c>
      <c r="AE2647" t="s">
        <v>94</v>
      </c>
      <c r="AF2647" t="s">
        <v>226</v>
      </c>
      <c r="AG2647" t="s">
        <v>226</v>
      </c>
      <c r="AH2647">
        <v>-100</v>
      </c>
      <c r="AI2647" t="s">
        <v>3537</v>
      </c>
      <c r="AJ2647" t="s">
        <v>1976</v>
      </c>
      <c r="AK2647" t="s">
        <v>2416</v>
      </c>
      <c r="AL2647" t="s">
        <v>272</v>
      </c>
    </row>
    <row r="2648" spans="1:38">
      <c r="A2648" t="s">
        <v>11182</v>
      </c>
      <c r="B2648" t="s">
        <v>11183</v>
      </c>
      <c r="C2648" t="s">
        <v>11184</v>
      </c>
      <c r="D2648" t="s">
        <v>11184</v>
      </c>
      <c r="E2648" t="s">
        <v>11185</v>
      </c>
      <c r="F2648" t="s">
        <v>2413</v>
      </c>
      <c r="G2648">
        <v>3</v>
      </c>
      <c r="H2648">
        <v>1</v>
      </c>
      <c r="I2648">
        <v>0.01</v>
      </c>
      <c r="J2648">
        <v>1000</v>
      </c>
      <c r="K2648">
        <v>0.06</v>
      </c>
      <c r="L2648">
        <v>89.3</v>
      </c>
      <c r="M2648">
        <v>89.24</v>
      </c>
      <c r="N2648">
        <v>87.72</v>
      </c>
      <c r="O2648">
        <v>89.3</v>
      </c>
      <c r="P2648">
        <v>0</v>
      </c>
      <c r="Q2648">
        <v>0</v>
      </c>
      <c r="R2648">
        <v>0</v>
      </c>
      <c r="S2648">
        <v>89.32</v>
      </c>
      <c r="T2648">
        <v>89.34</v>
      </c>
      <c r="U2648">
        <v>88.81</v>
      </c>
      <c r="V2648">
        <v>89.69</v>
      </c>
      <c r="W2648">
        <v>142909</v>
      </c>
      <c r="X2648">
        <v>89.08</v>
      </c>
      <c r="Y2648">
        <v>89.3</v>
      </c>
      <c r="Z2648">
        <v>31</v>
      </c>
      <c r="AA2648">
        <v>15000000</v>
      </c>
      <c r="AB2648">
        <v>33041</v>
      </c>
      <c r="AC2648">
        <v>0</v>
      </c>
      <c r="AD2648" t="s">
        <v>94</v>
      </c>
      <c r="AE2648" t="s">
        <v>94</v>
      </c>
      <c r="AF2648" t="s">
        <v>226</v>
      </c>
      <c r="AG2648" t="s">
        <v>226</v>
      </c>
      <c r="AH2648">
        <v>-100</v>
      </c>
      <c r="AI2648" t="s">
        <v>3537</v>
      </c>
      <c r="AJ2648" t="s">
        <v>1976</v>
      </c>
      <c r="AK2648" t="s">
        <v>2416</v>
      </c>
      <c r="AL2648" t="s">
        <v>272</v>
      </c>
    </row>
    <row r="2649" spans="1:38">
      <c r="A2649" t="s">
        <v>11186</v>
      </c>
      <c r="B2649" t="s">
        <v>11187</v>
      </c>
      <c r="C2649" t="s">
        <v>11188</v>
      </c>
      <c r="D2649" t="s">
        <v>11188</v>
      </c>
      <c r="E2649" t="s">
        <v>11189</v>
      </c>
      <c r="F2649" t="s">
        <v>2413</v>
      </c>
      <c r="G2649">
        <v>3</v>
      </c>
      <c r="H2649">
        <v>1</v>
      </c>
      <c r="I2649">
        <v>0.01</v>
      </c>
      <c r="J2649">
        <v>1000</v>
      </c>
      <c r="K2649">
        <v>0.05</v>
      </c>
      <c r="L2649">
        <v>100.2</v>
      </c>
      <c r="M2649">
        <v>100.15</v>
      </c>
      <c r="N2649">
        <v>100.15</v>
      </c>
      <c r="O2649">
        <v>100.2</v>
      </c>
      <c r="P2649">
        <v>0</v>
      </c>
      <c r="Q2649">
        <v>0</v>
      </c>
      <c r="R2649">
        <v>0</v>
      </c>
      <c r="S2649">
        <v>100.2</v>
      </c>
      <c r="T2649">
        <v>100.2</v>
      </c>
      <c r="U2649">
        <v>100.18</v>
      </c>
      <c r="V2649">
        <v>100.21</v>
      </c>
      <c r="W2649">
        <v>141969330</v>
      </c>
      <c r="X2649">
        <v>100.19</v>
      </c>
      <c r="Y2649">
        <v>100.2</v>
      </c>
      <c r="Z2649">
        <v>357</v>
      </c>
      <c r="AA2649">
        <v>9900000</v>
      </c>
      <c r="AB2649">
        <v>2004</v>
      </c>
      <c r="AC2649">
        <v>0</v>
      </c>
      <c r="AD2649" t="s">
        <v>94</v>
      </c>
      <c r="AE2649" t="s">
        <v>94</v>
      </c>
      <c r="AF2649" t="s">
        <v>226</v>
      </c>
      <c r="AG2649" t="s">
        <v>226</v>
      </c>
      <c r="AH2649">
        <v>8</v>
      </c>
      <c r="AI2649" t="s">
        <v>3537</v>
      </c>
      <c r="AJ2649" t="s">
        <v>1976</v>
      </c>
      <c r="AK2649" t="s">
        <v>2416</v>
      </c>
      <c r="AL2649" t="s">
        <v>272</v>
      </c>
    </row>
    <row r="2650" spans="1:38">
      <c r="A2650" t="s">
        <v>11190</v>
      </c>
      <c r="B2650" t="s">
        <v>2692</v>
      </c>
      <c r="C2650" t="s">
        <v>2693</v>
      </c>
      <c r="D2650" t="s">
        <v>2693</v>
      </c>
      <c r="E2650" t="s">
        <v>2694</v>
      </c>
      <c r="F2650" t="s">
        <v>2413</v>
      </c>
      <c r="G2650">
        <v>2</v>
      </c>
      <c r="H2650">
        <v>1</v>
      </c>
      <c r="I2650">
        <v>1E-4</v>
      </c>
      <c r="J2650">
        <v>1000</v>
      </c>
      <c r="K2650">
        <v>0</v>
      </c>
      <c r="L2650">
        <v>0</v>
      </c>
      <c r="M2650">
        <v>92.55</v>
      </c>
      <c r="N2650">
        <v>0</v>
      </c>
      <c r="O2650">
        <v>92.55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210000</v>
      </c>
      <c r="AB2650">
        <v>0</v>
      </c>
      <c r="AC2650">
        <v>0</v>
      </c>
      <c r="AD2650" t="s">
        <v>2</v>
      </c>
      <c r="AE2650" t="s">
        <v>94</v>
      </c>
      <c r="AF2650" t="s">
        <v>226</v>
      </c>
      <c r="AG2650" t="s">
        <v>226</v>
      </c>
      <c r="AH2650">
        <v>-100</v>
      </c>
      <c r="AI2650" t="s">
        <v>3537</v>
      </c>
      <c r="AJ2650" t="s">
        <v>1976</v>
      </c>
      <c r="AK2650" t="s">
        <v>2416</v>
      </c>
      <c r="AL2650" t="s">
        <v>272</v>
      </c>
    </row>
    <row r="2651" spans="1:38">
      <c r="A2651" t="s">
        <v>11191</v>
      </c>
      <c r="B2651" t="s">
        <v>2696</v>
      </c>
      <c r="C2651" t="s">
        <v>2697</v>
      </c>
      <c r="D2651" t="s">
        <v>2697</v>
      </c>
      <c r="E2651" t="s">
        <v>2698</v>
      </c>
      <c r="F2651" t="s">
        <v>2413</v>
      </c>
      <c r="G2651">
        <v>2</v>
      </c>
      <c r="H2651">
        <v>1</v>
      </c>
      <c r="I2651">
        <v>1E-4</v>
      </c>
      <c r="J2651">
        <v>1000</v>
      </c>
      <c r="K2651">
        <v>0</v>
      </c>
      <c r="L2651">
        <v>0</v>
      </c>
      <c r="M2651">
        <v>88.05</v>
      </c>
      <c r="N2651">
        <v>0</v>
      </c>
      <c r="O2651">
        <v>88.05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300000</v>
      </c>
      <c r="AB2651">
        <v>0</v>
      </c>
      <c r="AC2651">
        <v>0</v>
      </c>
      <c r="AD2651" t="s">
        <v>2</v>
      </c>
      <c r="AE2651" t="s">
        <v>94</v>
      </c>
      <c r="AF2651" t="s">
        <v>226</v>
      </c>
      <c r="AG2651" t="s">
        <v>226</v>
      </c>
      <c r="AH2651">
        <v>-100</v>
      </c>
      <c r="AI2651" t="s">
        <v>3537</v>
      </c>
      <c r="AJ2651" t="s">
        <v>1976</v>
      </c>
      <c r="AK2651" t="s">
        <v>2416</v>
      </c>
      <c r="AL2651" t="s">
        <v>272</v>
      </c>
    </row>
    <row r="2652" spans="1:38">
      <c r="A2652" t="s">
        <v>11192</v>
      </c>
      <c r="B2652" t="s">
        <v>2700</v>
      </c>
      <c r="C2652" t="s">
        <v>2701</v>
      </c>
      <c r="D2652" t="s">
        <v>2701</v>
      </c>
      <c r="E2652" t="s">
        <v>2702</v>
      </c>
      <c r="F2652" t="s">
        <v>2413</v>
      </c>
      <c r="G2652">
        <v>2</v>
      </c>
      <c r="H2652">
        <v>1</v>
      </c>
      <c r="I2652">
        <v>1E-4</v>
      </c>
      <c r="J2652">
        <v>1000</v>
      </c>
      <c r="K2652">
        <v>0</v>
      </c>
      <c r="L2652">
        <v>0</v>
      </c>
      <c r="M2652">
        <v>84.05</v>
      </c>
      <c r="N2652">
        <v>0</v>
      </c>
      <c r="O2652">
        <v>84.05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300000</v>
      </c>
      <c r="AB2652">
        <v>0</v>
      </c>
      <c r="AC2652">
        <v>0</v>
      </c>
      <c r="AD2652" t="s">
        <v>2</v>
      </c>
      <c r="AE2652" t="s">
        <v>94</v>
      </c>
      <c r="AF2652" t="s">
        <v>226</v>
      </c>
      <c r="AG2652" t="s">
        <v>226</v>
      </c>
      <c r="AH2652">
        <v>-100</v>
      </c>
      <c r="AI2652" t="s">
        <v>3537</v>
      </c>
      <c r="AJ2652" t="s">
        <v>1976</v>
      </c>
      <c r="AK2652" t="s">
        <v>2416</v>
      </c>
      <c r="AL2652" t="s">
        <v>272</v>
      </c>
    </row>
    <row r="2653" spans="1:38">
      <c r="A2653" t="s">
        <v>11193</v>
      </c>
      <c r="B2653" t="s">
        <v>2704</v>
      </c>
      <c r="C2653" t="s">
        <v>2705</v>
      </c>
      <c r="D2653" t="s">
        <v>2705</v>
      </c>
      <c r="E2653" t="s">
        <v>2706</v>
      </c>
      <c r="F2653" t="s">
        <v>2413</v>
      </c>
      <c r="G2653">
        <v>2</v>
      </c>
      <c r="H2653">
        <v>1</v>
      </c>
      <c r="I2653">
        <v>1E-4</v>
      </c>
      <c r="J2653">
        <v>1000</v>
      </c>
      <c r="K2653">
        <v>0</v>
      </c>
      <c r="L2653">
        <v>0</v>
      </c>
      <c r="M2653">
        <v>80.05</v>
      </c>
      <c r="N2653">
        <v>0</v>
      </c>
      <c r="O2653">
        <v>80.05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400000</v>
      </c>
      <c r="AB2653">
        <v>0</v>
      </c>
      <c r="AC2653">
        <v>0</v>
      </c>
      <c r="AD2653" t="s">
        <v>2</v>
      </c>
      <c r="AE2653" t="s">
        <v>94</v>
      </c>
      <c r="AF2653" t="s">
        <v>226</v>
      </c>
      <c r="AG2653" t="s">
        <v>226</v>
      </c>
      <c r="AH2653">
        <v>-100</v>
      </c>
      <c r="AI2653" t="s">
        <v>3537</v>
      </c>
      <c r="AJ2653" t="s">
        <v>1976</v>
      </c>
      <c r="AK2653" t="s">
        <v>2416</v>
      </c>
      <c r="AL2653" t="s">
        <v>272</v>
      </c>
    </row>
    <row r="2654" spans="1:38">
      <c r="A2654" t="s">
        <v>11194</v>
      </c>
      <c r="B2654" t="s">
        <v>2708</v>
      </c>
      <c r="C2654" t="s">
        <v>2709</v>
      </c>
      <c r="D2654" t="s">
        <v>2709</v>
      </c>
      <c r="E2654" t="s">
        <v>2710</v>
      </c>
      <c r="F2654" t="s">
        <v>2413</v>
      </c>
      <c r="G2654">
        <v>2</v>
      </c>
      <c r="H2654">
        <v>1</v>
      </c>
      <c r="I2654">
        <v>1E-4</v>
      </c>
      <c r="J2654">
        <v>1000</v>
      </c>
      <c r="K2654">
        <v>0</v>
      </c>
      <c r="L2654">
        <v>0</v>
      </c>
      <c r="M2654">
        <v>76.55</v>
      </c>
      <c r="N2654">
        <v>0</v>
      </c>
      <c r="O2654">
        <v>76.55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400000</v>
      </c>
      <c r="AB2654">
        <v>0</v>
      </c>
      <c r="AC2654">
        <v>0</v>
      </c>
      <c r="AD2654" t="s">
        <v>2</v>
      </c>
      <c r="AE2654" t="s">
        <v>94</v>
      </c>
      <c r="AF2654" t="s">
        <v>226</v>
      </c>
      <c r="AG2654" t="s">
        <v>226</v>
      </c>
      <c r="AH2654">
        <v>-100</v>
      </c>
      <c r="AI2654" t="s">
        <v>3537</v>
      </c>
      <c r="AJ2654" t="s">
        <v>1976</v>
      </c>
      <c r="AK2654" t="s">
        <v>2416</v>
      </c>
      <c r="AL2654" t="s">
        <v>272</v>
      </c>
    </row>
    <row r="2655" spans="1:38">
      <c r="A2655" t="s">
        <v>11195</v>
      </c>
      <c r="B2655" t="s">
        <v>2712</v>
      </c>
      <c r="C2655" t="s">
        <v>2713</v>
      </c>
      <c r="D2655" t="s">
        <v>2713</v>
      </c>
      <c r="E2655" t="s">
        <v>2714</v>
      </c>
      <c r="F2655" t="s">
        <v>2413</v>
      </c>
      <c r="G2655">
        <v>2</v>
      </c>
      <c r="H2655">
        <v>1</v>
      </c>
      <c r="I2655">
        <v>1E-4</v>
      </c>
      <c r="J2655">
        <v>1000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400000</v>
      </c>
      <c r="AB2655">
        <v>0</v>
      </c>
      <c r="AC2655">
        <v>0</v>
      </c>
      <c r="AD2655" t="s">
        <v>2</v>
      </c>
      <c r="AE2655" t="s">
        <v>94</v>
      </c>
      <c r="AF2655" t="s">
        <v>226</v>
      </c>
      <c r="AG2655" t="s">
        <v>226</v>
      </c>
      <c r="AH2655">
        <v>-100</v>
      </c>
      <c r="AI2655" t="s">
        <v>3537</v>
      </c>
      <c r="AJ2655" t="s">
        <v>1976</v>
      </c>
      <c r="AK2655" t="s">
        <v>2416</v>
      </c>
      <c r="AL2655" t="s">
        <v>272</v>
      </c>
    </row>
    <row r="2656" spans="1:38">
      <c r="A2656" t="s">
        <v>11196</v>
      </c>
      <c r="B2656" t="s">
        <v>2716</v>
      </c>
      <c r="C2656" t="s">
        <v>2717</v>
      </c>
      <c r="D2656" t="s">
        <v>2717</v>
      </c>
      <c r="E2656" t="s">
        <v>2718</v>
      </c>
      <c r="F2656" t="s">
        <v>2413</v>
      </c>
      <c r="G2656">
        <v>2</v>
      </c>
      <c r="H2656">
        <v>1</v>
      </c>
      <c r="I2656">
        <v>1E-4</v>
      </c>
      <c r="J2656">
        <v>1000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400000</v>
      </c>
      <c r="AB2656">
        <v>0</v>
      </c>
      <c r="AC2656">
        <v>0</v>
      </c>
      <c r="AD2656" t="s">
        <v>2</v>
      </c>
      <c r="AE2656" t="s">
        <v>94</v>
      </c>
      <c r="AF2656" t="s">
        <v>226</v>
      </c>
      <c r="AG2656" t="s">
        <v>226</v>
      </c>
      <c r="AH2656">
        <v>-100</v>
      </c>
      <c r="AI2656" t="s">
        <v>3537</v>
      </c>
      <c r="AJ2656" t="s">
        <v>1976</v>
      </c>
      <c r="AK2656" t="s">
        <v>2416</v>
      </c>
      <c r="AL2656" t="s">
        <v>272</v>
      </c>
    </row>
    <row r="2657" spans="1:38">
      <c r="A2657" t="s">
        <v>11197</v>
      </c>
      <c r="B2657" t="s">
        <v>2720</v>
      </c>
      <c r="C2657" t="s">
        <v>2721</v>
      </c>
      <c r="D2657" t="s">
        <v>2721</v>
      </c>
      <c r="E2657" t="s">
        <v>2722</v>
      </c>
      <c r="F2657" t="s">
        <v>2413</v>
      </c>
      <c r="G2657">
        <v>2</v>
      </c>
      <c r="H2657">
        <v>1</v>
      </c>
      <c r="I2657">
        <v>1E-4</v>
      </c>
      <c r="J2657">
        <v>1000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280900</v>
      </c>
      <c r="AB2657">
        <v>0</v>
      </c>
      <c r="AC2657">
        <v>0</v>
      </c>
      <c r="AD2657" t="s">
        <v>2</v>
      </c>
      <c r="AE2657" t="s">
        <v>94</v>
      </c>
      <c r="AF2657" t="s">
        <v>226</v>
      </c>
      <c r="AG2657" t="s">
        <v>226</v>
      </c>
      <c r="AH2657">
        <v>-100</v>
      </c>
      <c r="AI2657" t="s">
        <v>3537</v>
      </c>
      <c r="AJ2657" t="s">
        <v>1976</v>
      </c>
      <c r="AK2657" t="s">
        <v>2416</v>
      </c>
      <c r="AL2657" t="s">
        <v>272</v>
      </c>
    </row>
    <row r="2658" spans="1:38">
      <c r="A2658" t="s">
        <v>11198</v>
      </c>
      <c r="B2658" t="s">
        <v>11199</v>
      </c>
      <c r="C2658" t="s">
        <v>11200</v>
      </c>
      <c r="D2658" t="s">
        <v>11200</v>
      </c>
      <c r="E2658" t="s">
        <v>11201</v>
      </c>
      <c r="F2658" t="s">
        <v>2413</v>
      </c>
      <c r="G2658">
        <v>1</v>
      </c>
      <c r="H2658">
        <v>1</v>
      </c>
      <c r="I2658">
        <v>0.01</v>
      </c>
      <c r="J2658">
        <v>1000</v>
      </c>
      <c r="K2658">
        <v>0.66</v>
      </c>
      <c r="L2658">
        <v>83.95</v>
      </c>
      <c r="M2658">
        <v>83.4</v>
      </c>
      <c r="N2658">
        <v>83.69</v>
      </c>
      <c r="O2658">
        <v>83.94</v>
      </c>
      <c r="P2658">
        <v>0</v>
      </c>
      <c r="Q2658">
        <v>0</v>
      </c>
      <c r="R2658">
        <v>0</v>
      </c>
      <c r="S2658">
        <v>83.8</v>
      </c>
      <c r="T2658">
        <v>83.64</v>
      </c>
      <c r="U2658">
        <v>83.57</v>
      </c>
      <c r="V2658">
        <v>83.95</v>
      </c>
      <c r="W2658">
        <v>432405</v>
      </c>
      <c r="X2658">
        <v>83.97</v>
      </c>
      <c r="Y2658">
        <v>84.05</v>
      </c>
      <c r="Z2658">
        <v>56</v>
      </c>
      <c r="AA2658">
        <v>10000000</v>
      </c>
      <c r="AB2658">
        <v>8395</v>
      </c>
      <c r="AC2658">
        <v>0</v>
      </c>
      <c r="AD2658" t="s">
        <v>94</v>
      </c>
      <c r="AE2658" t="s">
        <v>94</v>
      </c>
      <c r="AF2658" t="s">
        <v>226</v>
      </c>
      <c r="AG2658" t="s">
        <v>226</v>
      </c>
      <c r="AH2658">
        <v>6</v>
      </c>
      <c r="AI2658" t="s">
        <v>3537</v>
      </c>
      <c r="AJ2658" t="s">
        <v>1976</v>
      </c>
      <c r="AK2658" t="s">
        <v>2416</v>
      </c>
      <c r="AL2658" t="s">
        <v>272</v>
      </c>
    </row>
    <row r="2659" spans="1:38">
      <c r="A2659" t="s">
        <v>11202</v>
      </c>
      <c r="B2659" t="s">
        <v>11203</v>
      </c>
      <c r="C2659" t="s">
        <v>11204</v>
      </c>
      <c r="D2659" t="s">
        <v>11204</v>
      </c>
      <c r="E2659" t="s">
        <v>11205</v>
      </c>
      <c r="F2659" t="s">
        <v>2413</v>
      </c>
      <c r="G2659">
        <v>1</v>
      </c>
      <c r="H2659">
        <v>1</v>
      </c>
      <c r="I2659">
        <v>0.01</v>
      </c>
      <c r="J2659">
        <v>1000</v>
      </c>
      <c r="K2659">
        <v>-0.06</v>
      </c>
      <c r="L2659">
        <v>63.35</v>
      </c>
      <c r="M2659">
        <v>63.39</v>
      </c>
      <c r="N2659">
        <v>63.35</v>
      </c>
      <c r="O2659">
        <v>63.35</v>
      </c>
      <c r="P2659">
        <v>0</v>
      </c>
      <c r="Q2659">
        <v>0</v>
      </c>
      <c r="R2659">
        <v>0</v>
      </c>
      <c r="S2659">
        <v>63.24</v>
      </c>
      <c r="T2659">
        <v>63.58</v>
      </c>
      <c r="U2659">
        <v>63.02</v>
      </c>
      <c r="V2659">
        <v>63.58</v>
      </c>
      <c r="W2659">
        <v>524275</v>
      </c>
      <c r="X2659">
        <v>63.17</v>
      </c>
      <c r="Y2659">
        <v>63.35</v>
      </c>
      <c r="Z2659">
        <v>73</v>
      </c>
      <c r="AA2659">
        <v>10000000</v>
      </c>
      <c r="AB2659">
        <v>25340</v>
      </c>
      <c r="AC2659">
        <v>0</v>
      </c>
      <c r="AD2659" t="s">
        <v>94</v>
      </c>
      <c r="AE2659" t="s">
        <v>94</v>
      </c>
      <c r="AF2659" t="s">
        <v>226</v>
      </c>
      <c r="AG2659" t="s">
        <v>226</v>
      </c>
      <c r="AH2659">
        <v>6</v>
      </c>
      <c r="AI2659" t="s">
        <v>3537</v>
      </c>
      <c r="AJ2659" t="s">
        <v>1976</v>
      </c>
      <c r="AK2659" t="s">
        <v>2416</v>
      </c>
      <c r="AL2659" t="s">
        <v>272</v>
      </c>
    </row>
    <row r="2660" spans="1:38">
      <c r="A2660" t="s">
        <v>11206</v>
      </c>
      <c r="B2660" t="s">
        <v>11207</v>
      </c>
      <c r="C2660" t="s">
        <v>11208</v>
      </c>
      <c r="D2660" t="s">
        <v>11208</v>
      </c>
      <c r="E2660" t="s">
        <v>11209</v>
      </c>
      <c r="F2660" t="s">
        <v>2413</v>
      </c>
      <c r="G2660">
        <v>1</v>
      </c>
      <c r="H2660">
        <v>1</v>
      </c>
      <c r="I2660">
        <v>0.01</v>
      </c>
      <c r="J2660">
        <v>1000</v>
      </c>
      <c r="K2660">
        <v>0</v>
      </c>
      <c r="L2660">
        <v>91.2</v>
      </c>
      <c r="M2660">
        <v>91.2</v>
      </c>
      <c r="N2660">
        <v>90.84</v>
      </c>
      <c r="O2660">
        <v>91.42</v>
      </c>
      <c r="P2660">
        <v>0</v>
      </c>
      <c r="Q2660">
        <v>0</v>
      </c>
      <c r="R2660">
        <v>0</v>
      </c>
      <c r="S2660">
        <v>91.12</v>
      </c>
      <c r="T2660">
        <v>91.12</v>
      </c>
      <c r="U2660">
        <v>90.83</v>
      </c>
      <c r="V2660">
        <v>91.44</v>
      </c>
      <c r="W2660">
        <v>178602</v>
      </c>
      <c r="X2660">
        <v>91.14</v>
      </c>
      <c r="Y2660">
        <v>91.36</v>
      </c>
      <c r="Z2660">
        <v>38</v>
      </c>
      <c r="AA2660">
        <v>10000000</v>
      </c>
      <c r="AB2660">
        <v>912</v>
      </c>
      <c r="AC2660">
        <v>0</v>
      </c>
      <c r="AD2660" t="s">
        <v>94</v>
      </c>
      <c r="AE2660" t="s">
        <v>94</v>
      </c>
      <c r="AF2660" t="s">
        <v>226</v>
      </c>
      <c r="AG2660" t="s">
        <v>226</v>
      </c>
      <c r="AH2660">
        <v>6</v>
      </c>
      <c r="AI2660" t="s">
        <v>3537</v>
      </c>
      <c r="AJ2660" t="s">
        <v>1976</v>
      </c>
      <c r="AK2660" t="s">
        <v>2416</v>
      </c>
      <c r="AL2660" t="s">
        <v>272</v>
      </c>
    </row>
    <row r="2661" spans="1:38">
      <c r="A2661" t="s">
        <v>11210</v>
      </c>
      <c r="B2661" t="s">
        <v>11211</v>
      </c>
      <c r="C2661" t="s">
        <v>11212</v>
      </c>
      <c r="D2661" t="s">
        <v>11212</v>
      </c>
      <c r="E2661" t="s">
        <v>11213</v>
      </c>
      <c r="F2661" t="s">
        <v>2413</v>
      </c>
      <c r="G2661">
        <v>1</v>
      </c>
      <c r="H2661">
        <v>1</v>
      </c>
      <c r="I2661">
        <v>0.01</v>
      </c>
      <c r="J2661">
        <v>1000</v>
      </c>
      <c r="K2661">
        <v>-0.51</v>
      </c>
      <c r="L2661">
        <v>85.62</v>
      </c>
      <c r="M2661">
        <v>86.08</v>
      </c>
      <c r="N2661">
        <v>85.95</v>
      </c>
      <c r="O2661">
        <v>85.62</v>
      </c>
      <c r="P2661">
        <v>0</v>
      </c>
      <c r="Q2661">
        <v>0</v>
      </c>
      <c r="R2661">
        <v>0</v>
      </c>
      <c r="S2661">
        <v>85.69</v>
      </c>
      <c r="T2661">
        <v>86.3</v>
      </c>
      <c r="U2661">
        <v>85.35</v>
      </c>
      <c r="V2661">
        <v>86.3</v>
      </c>
      <c r="W2661">
        <v>1429359</v>
      </c>
      <c r="X2661">
        <v>85.39</v>
      </c>
      <c r="Y2661">
        <v>85.65</v>
      </c>
      <c r="Z2661">
        <v>62</v>
      </c>
      <c r="AA2661">
        <v>15000000</v>
      </c>
      <c r="AB2661">
        <v>17980.2</v>
      </c>
      <c r="AC2661">
        <v>0</v>
      </c>
      <c r="AD2661" t="s">
        <v>94</v>
      </c>
      <c r="AE2661" t="s">
        <v>94</v>
      </c>
      <c r="AF2661" t="s">
        <v>226</v>
      </c>
      <c r="AG2661" t="s">
        <v>226</v>
      </c>
      <c r="AH2661">
        <v>6</v>
      </c>
      <c r="AI2661" t="s">
        <v>3537</v>
      </c>
      <c r="AJ2661" t="s">
        <v>1976</v>
      </c>
      <c r="AK2661" t="s">
        <v>2416</v>
      </c>
      <c r="AL2661" t="s">
        <v>272</v>
      </c>
    </row>
    <row r="2662" spans="1:38">
      <c r="A2662" t="s">
        <v>11214</v>
      </c>
      <c r="B2662" t="s">
        <v>11215</v>
      </c>
      <c r="C2662" t="s">
        <v>11216</v>
      </c>
      <c r="D2662" t="s">
        <v>11216</v>
      </c>
      <c r="E2662" t="s">
        <v>11217</v>
      </c>
      <c r="F2662" t="s">
        <v>2413</v>
      </c>
      <c r="G2662">
        <v>1</v>
      </c>
      <c r="H2662">
        <v>1</v>
      </c>
      <c r="I2662">
        <v>0.01</v>
      </c>
      <c r="J2662">
        <v>1000</v>
      </c>
      <c r="K2662">
        <v>0</v>
      </c>
      <c r="L2662">
        <v>65.97</v>
      </c>
      <c r="M2662">
        <v>65.97</v>
      </c>
      <c r="N2662">
        <v>66.290000000000006</v>
      </c>
      <c r="O2662">
        <v>65.97</v>
      </c>
      <c r="P2662">
        <v>0</v>
      </c>
      <c r="Q2662">
        <v>0</v>
      </c>
      <c r="R2662">
        <v>0</v>
      </c>
      <c r="S2662">
        <v>65.81</v>
      </c>
      <c r="T2662">
        <v>66.06</v>
      </c>
      <c r="U2662">
        <v>65.510000000000005</v>
      </c>
      <c r="V2662">
        <v>66.069999999999993</v>
      </c>
      <c r="W2662">
        <v>50673</v>
      </c>
      <c r="X2662">
        <v>65.680000000000007</v>
      </c>
      <c r="Y2662">
        <v>65.98</v>
      </c>
      <c r="Z2662">
        <v>25</v>
      </c>
      <c r="AA2662">
        <v>10000000</v>
      </c>
      <c r="AB2662">
        <v>659.7</v>
      </c>
      <c r="AC2662">
        <v>0</v>
      </c>
      <c r="AD2662" t="s">
        <v>94</v>
      </c>
      <c r="AE2662" t="s">
        <v>94</v>
      </c>
      <c r="AF2662" t="s">
        <v>226</v>
      </c>
      <c r="AG2662" t="s">
        <v>226</v>
      </c>
      <c r="AH2662">
        <v>6</v>
      </c>
      <c r="AI2662" t="s">
        <v>3537</v>
      </c>
      <c r="AJ2662" t="s">
        <v>1976</v>
      </c>
      <c r="AK2662" t="s">
        <v>2416</v>
      </c>
      <c r="AL2662" t="s">
        <v>272</v>
      </c>
    </row>
    <row r="2663" spans="1:38">
      <c r="A2663" t="s">
        <v>11218</v>
      </c>
      <c r="B2663" t="s">
        <v>11219</v>
      </c>
      <c r="C2663" t="s">
        <v>11220</v>
      </c>
      <c r="D2663" t="s">
        <v>11220</v>
      </c>
      <c r="E2663" t="s">
        <v>11221</v>
      </c>
      <c r="F2663" t="s">
        <v>2413</v>
      </c>
      <c r="G2663">
        <v>1</v>
      </c>
      <c r="H2663">
        <v>1</v>
      </c>
      <c r="I2663">
        <v>0.01</v>
      </c>
      <c r="J2663">
        <v>1000</v>
      </c>
      <c r="K2663">
        <v>-0.28000000000000003</v>
      </c>
      <c r="L2663">
        <v>90.49</v>
      </c>
      <c r="M2663">
        <v>90.74</v>
      </c>
      <c r="N2663">
        <v>90.84</v>
      </c>
      <c r="O2663">
        <v>90.49</v>
      </c>
      <c r="P2663">
        <v>0</v>
      </c>
      <c r="Q2663">
        <v>0</v>
      </c>
      <c r="R2663">
        <v>0</v>
      </c>
      <c r="S2663">
        <v>90.36</v>
      </c>
      <c r="T2663">
        <v>90.49</v>
      </c>
      <c r="U2663">
        <v>90.2</v>
      </c>
      <c r="V2663">
        <v>92.35</v>
      </c>
      <c r="W2663">
        <v>400279</v>
      </c>
      <c r="X2663">
        <v>90.33</v>
      </c>
      <c r="Y2663">
        <v>90.49</v>
      </c>
      <c r="Z2663">
        <v>31</v>
      </c>
      <c r="AA2663">
        <v>10000000</v>
      </c>
      <c r="AB2663">
        <v>904.9</v>
      </c>
      <c r="AC2663">
        <v>0</v>
      </c>
      <c r="AD2663" t="s">
        <v>94</v>
      </c>
      <c r="AE2663" t="s">
        <v>94</v>
      </c>
      <c r="AF2663" t="s">
        <v>226</v>
      </c>
      <c r="AG2663" t="s">
        <v>226</v>
      </c>
      <c r="AH2663">
        <v>6</v>
      </c>
      <c r="AI2663" t="s">
        <v>3537</v>
      </c>
      <c r="AJ2663" t="s">
        <v>1976</v>
      </c>
      <c r="AK2663" t="s">
        <v>2416</v>
      </c>
      <c r="AL2663" t="s">
        <v>272</v>
      </c>
    </row>
    <row r="2664" spans="1:38">
      <c r="A2664" t="s">
        <v>11222</v>
      </c>
      <c r="B2664" t="s">
        <v>11223</v>
      </c>
      <c r="C2664" t="s">
        <v>11224</v>
      </c>
      <c r="D2664" t="s">
        <v>11224</v>
      </c>
      <c r="E2664" t="s">
        <v>11225</v>
      </c>
      <c r="F2664" t="s">
        <v>2413</v>
      </c>
      <c r="G2664">
        <v>1</v>
      </c>
      <c r="H2664">
        <v>1</v>
      </c>
      <c r="I2664">
        <v>0.01</v>
      </c>
      <c r="J2664">
        <v>1000</v>
      </c>
      <c r="K2664">
        <v>0.01</v>
      </c>
      <c r="L2664">
        <v>74</v>
      </c>
      <c r="M2664">
        <v>73.989999999999995</v>
      </c>
      <c r="N2664">
        <v>71.400000000000006</v>
      </c>
      <c r="O2664">
        <v>74</v>
      </c>
      <c r="P2664">
        <v>0</v>
      </c>
      <c r="Q2664">
        <v>0</v>
      </c>
      <c r="R2664">
        <v>0</v>
      </c>
      <c r="S2664">
        <v>73.989999999999995</v>
      </c>
      <c r="T2664">
        <v>73.989999999999995</v>
      </c>
      <c r="U2664">
        <v>73.989999999999995</v>
      </c>
      <c r="V2664">
        <v>74</v>
      </c>
      <c r="W2664">
        <v>2220</v>
      </c>
      <c r="X2664">
        <v>73.319999999999993</v>
      </c>
      <c r="Y2664">
        <v>73.94</v>
      </c>
      <c r="Z2664">
        <v>3</v>
      </c>
      <c r="AA2664">
        <v>5000000</v>
      </c>
      <c r="AB2664">
        <v>740</v>
      </c>
      <c r="AC2664">
        <v>0</v>
      </c>
      <c r="AD2664" t="s">
        <v>94</v>
      </c>
      <c r="AE2664" t="s">
        <v>94</v>
      </c>
      <c r="AF2664" t="s">
        <v>226</v>
      </c>
      <c r="AG2664" t="s">
        <v>226</v>
      </c>
      <c r="AH2664">
        <v>6</v>
      </c>
      <c r="AI2664" t="s">
        <v>3537</v>
      </c>
      <c r="AJ2664" t="s">
        <v>1976</v>
      </c>
      <c r="AK2664" t="s">
        <v>2416</v>
      </c>
      <c r="AL2664" t="s">
        <v>272</v>
      </c>
    </row>
    <row r="2665" spans="1:38">
      <c r="A2665" t="s">
        <v>11226</v>
      </c>
      <c r="B2665" t="s">
        <v>11227</v>
      </c>
      <c r="C2665" t="s">
        <v>11228</v>
      </c>
      <c r="D2665" t="s">
        <v>11228</v>
      </c>
      <c r="E2665" t="s">
        <v>11229</v>
      </c>
      <c r="F2665" t="s">
        <v>2413</v>
      </c>
      <c r="G2665">
        <v>1</v>
      </c>
      <c r="H2665">
        <v>1</v>
      </c>
      <c r="I2665">
        <v>0.01</v>
      </c>
      <c r="J2665">
        <v>1000</v>
      </c>
      <c r="K2665">
        <v>0.86</v>
      </c>
      <c r="L2665">
        <v>90.29</v>
      </c>
      <c r="M2665">
        <v>89.3</v>
      </c>
      <c r="N2665">
        <v>89.46</v>
      </c>
      <c r="O2665">
        <v>89.63</v>
      </c>
      <c r="P2665">
        <v>0</v>
      </c>
      <c r="Q2665">
        <v>0</v>
      </c>
      <c r="R2665">
        <v>0</v>
      </c>
      <c r="S2665">
        <v>89.49</v>
      </c>
      <c r="T2665">
        <v>89.45</v>
      </c>
      <c r="U2665">
        <v>89.13</v>
      </c>
      <c r="V2665">
        <v>90.29</v>
      </c>
      <c r="W2665">
        <v>2266818</v>
      </c>
      <c r="X2665">
        <v>89.22</v>
      </c>
      <c r="Y2665">
        <v>89.55</v>
      </c>
      <c r="Z2665">
        <v>44</v>
      </c>
      <c r="AA2665">
        <v>14000000</v>
      </c>
      <c r="AB2665">
        <v>8126.1</v>
      </c>
      <c r="AC2665">
        <v>0</v>
      </c>
      <c r="AD2665" t="s">
        <v>94</v>
      </c>
      <c r="AE2665" t="s">
        <v>94</v>
      </c>
      <c r="AF2665" t="s">
        <v>226</v>
      </c>
      <c r="AG2665" t="s">
        <v>226</v>
      </c>
      <c r="AH2665">
        <v>6</v>
      </c>
      <c r="AI2665" t="s">
        <v>3537</v>
      </c>
      <c r="AJ2665" t="s">
        <v>1976</v>
      </c>
      <c r="AK2665" t="s">
        <v>2416</v>
      </c>
      <c r="AL2665" t="s">
        <v>272</v>
      </c>
    </row>
    <row r="2666" spans="1:38">
      <c r="A2666" t="s">
        <v>11230</v>
      </c>
      <c r="B2666" t="s">
        <v>11231</v>
      </c>
      <c r="C2666" t="s">
        <v>11232</v>
      </c>
      <c r="D2666" t="s">
        <v>11232</v>
      </c>
      <c r="E2666" t="s">
        <v>11233</v>
      </c>
      <c r="F2666" t="s">
        <v>2413</v>
      </c>
      <c r="G2666">
        <v>1</v>
      </c>
      <c r="H2666">
        <v>1</v>
      </c>
      <c r="I2666">
        <v>0.01</v>
      </c>
      <c r="J2666">
        <v>1000</v>
      </c>
      <c r="K2666">
        <v>1.1299999999999999</v>
      </c>
      <c r="L2666">
        <v>92.98</v>
      </c>
      <c r="M2666">
        <v>91.93</v>
      </c>
      <c r="N2666">
        <v>93.15</v>
      </c>
      <c r="O2666">
        <v>92.98</v>
      </c>
      <c r="P2666">
        <v>0</v>
      </c>
      <c r="Q2666">
        <v>0</v>
      </c>
      <c r="R2666">
        <v>0</v>
      </c>
      <c r="S2666">
        <v>92.17</v>
      </c>
      <c r="T2666">
        <v>90.74</v>
      </c>
      <c r="U2666">
        <v>90.34</v>
      </c>
      <c r="V2666">
        <v>92.98</v>
      </c>
      <c r="W2666">
        <v>86637</v>
      </c>
      <c r="X2666">
        <v>92.63</v>
      </c>
      <c r="Y2666">
        <v>93.02</v>
      </c>
      <c r="Z2666">
        <v>28</v>
      </c>
      <c r="AA2666">
        <v>5000000</v>
      </c>
      <c r="AB2666">
        <v>1859.6</v>
      </c>
      <c r="AC2666">
        <v>0</v>
      </c>
      <c r="AD2666" t="s">
        <v>94</v>
      </c>
      <c r="AE2666" t="s">
        <v>94</v>
      </c>
      <c r="AF2666" t="s">
        <v>226</v>
      </c>
      <c r="AG2666" t="s">
        <v>226</v>
      </c>
      <c r="AH2666">
        <v>6</v>
      </c>
      <c r="AI2666" t="s">
        <v>3537</v>
      </c>
      <c r="AJ2666" t="s">
        <v>1976</v>
      </c>
      <c r="AK2666" t="s">
        <v>2416</v>
      </c>
      <c r="AL2666" t="s">
        <v>272</v>
      </c>
    </row>
    <row r="2667" spans="1:38">
      <c r="A2667" t="s">
        <v>11234</v>
      </c>
      <c r="B2667" t="s">
        <v>11235</v>
      </c>
      <c r="C2667" t="s">
        <v>11236</v>
      </c>
      <c r="D2667" t="s">
        <v>11236</v>
      </c>
      <c r="E2667" t="s">
        <v>11237</v>
      </c>
      <c r="F2667" t="s">
        <v>2413</v>
      </c>
      <c r="G2667">
        <v>1</v>
      </c>
      <c r="H2667">
        <v>1</v>
      </c>
      <c r="I2667">
        <v>0.01</v>
      </c>
      <c r="J2667">
        <v>1000</v>
      </c>
      <c r="K2667">
        <v>0.38</v>
      </c>
      <c r="L2667">
        <v>96.35</v>
      </c>
      <c r="M2667">
        <v>96</v>
      </c>
      <c r="N2667">
        <v>96.17</v>
      </c>
      <c r="O2667">
        <v>96.35</v>
      </c>
      <c r="P2667">
        <v>0</v>
      </c>
      <c r="Q2667">
        <v>0</v>
      </c>
      <c r="R2667">
        <v>0</v>
      </c>
      <c r="S2667">
        <v>96.17</v>
      </c>
      <c r="T2667">
        <v>95.88</v>
      </c>
      <c r="U2667">
        <v>95.88</v>
      </c>
      <c r="V2667">
        <v>96.44</v>
      </c>
      <c r="W2667">
        <v>93280</v>
      </c>
      <c r="X2667">
        <v>96.23</v>
      </c>
      <c r="Y2667">
        <v>96.35</v>
      </c>
      <c r="Z2667">
        <v>16</v>
      </c>
      <c r="AA2667">
        <v>12500000</v>
      </c>
      <c r="AB2667">
        <v>4817.5</v>
      </c>
      <c r="AC2667">
        <v>0</v>
      </c>
      <c r="AD2667" t="s">
        <v>94</v>
      </c>
      <c r="AE2667" t="s">
        <v>94</v>
      </c>
      <c r="AF2667" t="s">
        <v>226</v>
      </c>
      <c r="AG2667" t="s">
        <v>226</v>
      </c>
      <c r="AH2667">
        <v>6</v>
      </c>
      <c r="AI2667" t="s">
        <v>3537</v>
      </c>
      <c r="AJ2667" t="s">
        <v>1976</v>
      </c>
      <c r="AK2667" t="s">
        <v>2416</v>
      </c>
      <c r="AL2667" t="s">
        <v>272</v>
      </c>
    </row>
    <row r="2668" spans="1:38">
      <c r="A2668" t="s">
        <v>11238</v>
      </c>
      <c r="B2668" t="s">
        <v>11239</v>
      </c>
      <c r="C2668" t="s">
        <v>11240</v>
      </c>
      <c r="D2668" t="s">
        <v>11240</v>
      </c>
      <c r="E2668" t="s">
        <v>11241</v>
      </c>
      <c r="F2668" t="s">
        <v>2413</v>
      </c>
      <c r="G2668">
        <v>1</v>
      </c>
      <c r="H2668">
        <v>1</v>
      </c>
      <c r="I2668">
        <v>0.01</v>
      </c>
      <c r="J2668">
        <v>1000</v>
      </c>
      <c r="K2668">
        <v>-0.37</v>
      </c>
      <c r="L2668">
        <v>72.7</v>
      </c>
      <c r="M2668">
        <v>72.81</v>
      </c>
      <c r="N2668">
        <v>74.53</v>
      </c>
      <c r="O2668">
        <v>72.7</v>
      </c>
      <c r="P2668">
        <v>0</v>
      </c>
      <c r="Q2668">
        <v>0</v>
      </c>
      <c r="R2668">
        <v>0</v>
      </c>
      <c r="S2668">
        <v>72.7</v>
      </c>
      <c r="T2668">
        <v>72.7</v>
      </c>
      <c r="U2668">
        <v>72.7</v>
      </c>
      <c r="V2668">
        <v>72.7</v>
      </c>
      <c r="W2668">
        <v>1454</v>
      </c>
      <c r="X2668">
        <v>72.34</v>
      </c>
      <c r="Y2668">
        <v>72.7</v>
      </c>
      <c r="Z2668">
        <v>2</v>
      </c>
      <c r="AA2668">
        <v>10000000</v>
      </c>
      <c r="AB2668">
        <v>727</v>
      </c>
      <c r="AC2668">
        <v>0</v>
      </c>
      <c r="AD2668" t="s">
        <v>94</v>
      </c>
      <c r="AE2668" t="s">
        <v>94</v>
      </c>
      <c r="AF2668" t="s">
        <v>226</v>
      </c>
      <c r="AG2668" t="s">
        <v>226</v>
      </c>
      <c r="AH2668">
        <v>6</v>
      </c>
      <c r="AI2668" t="s">
        <v>3537</v>
      </c>
      <c r="AJ2668" t="s">
        <v>1976</v>
      </c>
      <c r="AK2668" t="s">
        <v>2416</v>
      </c>
      <c r="AL2668" t="s">
        <v>272</v>
      </c>
    </row>
    <row r="2669" spans="1:38">
      <c r="A2669" t="s">
        <v>11242</v>
      </c>
      <c r="B2669" t="s">
        <v>11243</v>
      </c>
      <c r="C2669" t="s">
        <v>11244</v>
      </c>
      <c r="D2669" t="s">
        <v>11244</v>
      </c>
      <c r="E2669" t="s">
        <v>11245</v>
      </c>
      <c r="F2669" t="s">
        <v>2413</v>
      </c>
      <c r="G2669">
        <v>1</v>
      </c>
      <c r="H2669">
        <v>1</v>
      </c>
      <c r="I2669">
        <v>0.01</v>
      </c>
      <c r="J2669">
        <v>1000</v>
      </c>
      <c r="K2669">
        <v>-1.56</v>
      </c>
      <c r="L2669">
        <v>70.83</v>
      </c>
      <c r="M2669">
        <v>71.95</v>
      </c>
      <c r="N2669">
        <v>72.069999999999993</v>
      </c>
      <c r="O2669">
        <v>70.83</v>
      </c>
      <c r="P2669">
        <v>0</v>
      </c>
      <c r="Q2669">
        <v>0</v>
      </c>
      <c r="R2669">
        <v>0</v>
      </c>
      <c r="S2669">
        <v>71.5</v>
      </c>
      <c r="T2669">
        <v>72.47</v>
      </c>
      <c r="U2669">
        <v>70.53</v>
      </c>
      <c r="V2669">
        <v>72.47</v>
      </c>
      <c r="W2669">
        <v>335351</v>
      </c>
      <c r="X2669">
        <v>70.599999999999994</v>
      </c>
      <c r="Y2669">
        <v>70.83</v>
      </c>
      <c r="Z2669">
        <v>78</v>
      </c>
      <c r="AA2669">
        <v>15000000</v>
      </c>
      <c r="AB2669">
        <v>2124.9</v>
      </c>
      <c r="AC2669">
        <v>0</v>
      </c>
      <c r="AD2669" t="s">
        <v>94</v>
      </c>
      <c r="AE2669" t="s">
        <v>94</v>
      </c>
      <c r="AF2669" t="s">
        <v>226</v>
      </c>
      <c r="AG2669" t="s">
        <v>226</v>
      </c>
      <c r="AH2669">
        <v>6</v>
      </c>
      <c r="AI2669" t="s">
        <v>3537</v>
      </c>
      <c r="AJ2669" t="s">
        <v>1976</v>
      </c>
      <c r="AK2669" t="s">
        <v>2416</v>
      </c>
      <c r="AL2669" t="s">
        <v>272</v>
      </c>
    </row>
    <row r="2670" spans="1:38">
      <c r="A2670" t="s">
        <v>11246</v>
      </c>
      <c r="B2670" t="s">
        <v>11247</v>
      </c>
      <c r="C2670" t="s">
        <v>11248</v>
      </c>
      <c r="D2670" t="s">
        <v>11248</v>
      </c>
      <c r="E2670" t="s">
        <v>11249</v>
      </c>
      <c r="F2670" t="s">
        <v>2413</v>
      </c>
      <c r="G2670">
        <v>1</v>
      </c>
      <c r="H2670">
        <v>1</v>
      </c>
      <c r="I2670">
        <v>0.01</v>
      </c>
      <c r="J2670">
        <v>1000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54.7</v>
      </c>
      <c r="Y2670">
        <v>0</v>
      </c>
      <c r="Z2670">
        <v>0</v>
      </c>
      <c r="AA2670">
        <v>15000000</v>
      </c>
      <c r="AB2670">
        <v>0</v>
      </c>
      <c r="AC2670">
        <v>0</v>
      </c>
      <c r="AD2670" t="s">
        <v>94</v>
      </c>
      <c r="AE2670" t="s">
        <v>94</v>
      </c>
      <c r="AF2670" t="s">
        <v>226</v>
      </c>
      <c r="AG2670" t="s">
        <v>226</v>
      </c>
      <c r="AH2670">
        <v>6</v>
      </c>
      <c r="AI2670" t="s">
        <v>3537</v>
      </c>
      <c r="AJ2670" t="s">
        <v>1976</v>
      </c>
      <c r="AK2670" t="s">
        <v>2416</v>
      </c>
      <c r="AL2670" t="s">
        <v>272</v>
      </c>
    </row>
    <row r="2671" spans="1:38">
      <c r="A2671" t="s">
        <v>11250</v>
      </c>
      <c r="B2671" t="s">
        <v>11251</v>
      </c>
      <c r="C2671" t="s">
        <v>11252</v>
      </c>
      <c r="D2671" t="s">
        <v>11252</v>
      </c>
      <c r="E2671" t="s">
        <v>11253</v>
      </c>
      <c r="F2671" t="s">
        <v>2413</v>
      </c>
      <c r="G2671">
        <v>1</v>
      </c>
      <c r="H2671">
        <v>1</v>
      </c>
      <c r="I2671">
        <v>0.01</v>
      </c>
      <c r="J2671">
        <v>1000</v>
      </c>
      <c r="K2671">
        <v>-2.25</v>
      </c>
      <c r="L2671">
        <v>76.510000000000005</v>
      </c>
      <c r="M2671">
        <v>78.27</v>
      </c>
      <c r="N2671">
        <v>78.62</v>
      </c>
      <c r="O2671">
        <v>76.77</v>
      </c>
      <c r="P2671">
        <v>0</v>
      </c>
      <c r="Q2671">
        <v>0</v>
      </c>
      <c r="R2671">
        <v>0</v>
      </c>
      <c r="S2671">
        <v>77.78</v>
      </c>
      <c r="T2671">
        <v>79.05</v>
      </c>
      <c r="U2671">
        <v>76.510000000000005</v>
      </c>
      <c r="V2671">
        <v>79.05</v>
      </c>
      <c r="W2671">
        <v>336767</v>
      </c>
      <c r="X2671">
        <v>76.66</v>
      </c>
      <c r="Y2671">
        <v>77.11</v>
      </c>
      <c r="Z2671">
        <v>132</v>
      </c>
      <c r="AA2671">
        <v>5000000</v>
      </c>
      <c r="AB2671">
        <v>4590.6000000000004</v>
      </c>
      <c r="AC2671">
        <v>0</v>
      </c>
      <c r="AD2671" t="s">
        <v>94</v>
      </c>
      <c r="AE2671" t="s">
        <v>94</v>
      </c>
      <c r="AF2671" t="s">
        <v>226</v>
      </c>
      <c r="AG2671" t="s">
        <v>226</v>
      </c>
      <c r="AH2671">
        <v>6</v>
      </c>
      <c r="AI2671" t="s">
        <v>3537</v>
      </c>
      <c r="AJ2671" t="s">
        <v>1976</v>
      </c>
      <c r="AK2671" t="s">
        <v>2416</v>
      </c>
      <c r="AL2671" t="s">
        <v>272</v>
      </c>
    </row>
    <row r="2672" spans="1:38">
      <c r="A2672" t="s">
        <v>11254</v>
      </c>
      <c r="B2672" t="s">
        <v>11255</v>
      </c>
      <c r="C2672" t="s">
        <v>11256</v>
      </c>
      <c r="D2672" t="s">
        <v>11256</v>
      </c>
      <c r="E2672" t="s">
        <v>11257</v>
      </c>
      <c r="F2672" t="s">
        <v>2413</v>
      </c>
      <c r="G2672">
        <v>1</v>
      </c>
      <c r="H2672">
        <v>1</v>
      </c>
      <c r="I2672">
        <v>0.01</v>
      </c>
      <c r="J2672">
        <v>1000</v>
      </c>
      <c r="K2672">
        <v>-0.55000000000000004</v>
      </c>
      <c r="L2672">
        <v>81.489999999999995</v>
      </c>
      <c r="M2672">
        <v>81.94</v>
      </c>
      <c r="N2672">
        <v>81.790000000000006</v>
      </c>
      <c r="O2672">
        <v>81.31</v>
      </c>
      <c r="P2672">
        <v>0</v>
      </c>
      <c r="Q2672">
        <v>0</v>
      </c>
      <c r="R2672">
        <v>0</v>
      </c>
      <c r="S2672">
        <v>81.430000000000007</v>
      </c>
      <c r="T2672">
        <v>81.790000000000006</v>
      </c>
      <c r="U2672">
        <v>81.260000000000005</v>
      </c>
      <c r="V2672">
        <v>81.92</v>
      </c>
      <c r="W2672">
        <v>437304</v>
      </c>
      <c r="X2672">
        <v>81.25</v>
      </c>
      <c r="Y2672">
        <v>81.47</v>
      </c>
      <c r="Z2672">
        <v>67</v>
      </c>
      <c r="AA2672">
        <v>10000000</v>
      </c>
      <c r="AB2672">
        <v>3259.6</v>
      </c>
      <c r="AC2672">
        <v>0</v>
      </c>
      <c r="AD2672" t="s">
        <v>94</v>
      </c>
      <c r="AE2672" t="s">
        <v>94</v>
      </c>
      <c r="AF2672" t="s">
        <v>226</v>
      </c>
      <c r="AG2672" t="s">
        <v>226</v>
      </c>
      <c r="AH2672">
        <v>6</v>
      </c>
      <c r="AI2672" t="s">
        <v>3537</v>
      </c>
      <c r="AJ2672" t="s">
        <v>1976</v>
      </c>
      <c r="AK2672" t="s">
        <v>2416</v>
      </c>
      <c r="AL2672" t="s">
        <v>272</v>
      </c>
    </row>
    <row r="2673" spans="1:38">
      <c r="A2673" t="s">
        <v>11258</v>
      </c>
      <c r="B2673" t="s">
        <v>11259</v>
      </c>
      <c r="C2673" t="s">
        <v>11260</v>
      </c>
      <c r="D2673" t="s">
        <v>11260</v>
      </c>
      <c r="E2673" t="s">
        <v>11261</v>
      </c>
      <c r="F2673" t="s">
        <v>2413</v>
      </c>
      <c r="G2673">
        <v>1</v>
      </c>
      <c r="H2673">
        <v>1</v>
      </c>
      <c r="I2673">
        <v>0.01</v>
      </c>
      <c r="J2673">
        <v>1000</v>
      </c>
      <c r="K2673">
        <v>-0.34</v>
      </c>
      <c r="L2673">
        <v>80.2</v>
      </c>
      <c r="M2673">
        <v>80.069999999999993</v>
      </c>
      <c r="N2673">
        <v>80.69</v>
      </c>
      <c r="O2673">
        <v>80.150000000000006</v>
      </c>
      <c r="P2673">
        <v>0</v>
      </c>
      <c r="Q2673">
        <v>0</v>
      </c>
      <c r="R2673">
        <v>0</v>
      </c>
      <c r="S2673">
        <v>79.83</v>
      </c>
      <c r="T2673">
        <v>80.010000000000005</v>
      </c>
      <c r="U2673">
        <v>79.3</v>
      </c>
      <c r="V2673">
        <v>80.239999999999995</v>
      </c>
      <c r="W2673">
        <v>1196609</v>
      </c>
      <c r="X2673">
        <v>80</v>
      </c>
      <c r="Y2673">
        <v>80.069999999999993</v>
      </c>
      <c r="Z2673">
        <v>149</v>
      </c>
      <c r="AA2673">
        <v>15000000</v>
      </c>
      <c r="AB2673">
        <v>802</v>
      </c>
      <c r="AC2673">
        <v>0</v>
      </c>
      <c r="AD2673" t="s">
        <v>94</v>
      </c>
      <c r="AE2673" t="s">
        <v>94</v>
      </c>
      <c r="AF2673" t="s">
        <v>226</v>
      </c>
      <c r="AG2673" t="s">
        <v>226</v>
      </c>
      <c r="AH2673">
        <v>8</v>
      </c>
      <c r="AI2673" t="s">
        <v>3537</v>
      </c>
      <c r="AJ2673" t="s">
        <v>1976</v>
      </c>
      <c r="AK2673" t="s">
        <v>2416</v>
      </c>
      <c r="AL2673" t="s">
        <v>272</v>
      </c>
    </row>
    <row r="2674" spans="1:38">
      <c r="A2674" t="s">
        <v>11262</v>
      </c>
      <c r="B2674" t="s">
        <v>11263</v>
      </c>
      <c r="C2674" t="s">
        <v>11264</v>
      </c>
      <c r="D2674" t="s">
        <v>11264</v>
      </c>
      <c r="E2674" t="s">
        <v>11265</v>
      </c>
      <c r="F2674" t="s">
        <v>2413</v>
      </c>
      <c r="G2674">
        <v>1</v>
      </c>
      <c r="H2674">
        <v>1</v>
      </c>
      <c r="I2674">
        <v>0.01</v>
      </c>
      <c r="J2674">
        <v>1000</v>
      </c>
      <c r="K2674">
        <v>-0.19</v>
      </c>
      <c r="L2674">
        <v>79.819999999999993</v>
      </c>
      <c r="M2674">
        <v>79.97</v>
      </c>
      <c r="N2674">
        <v>80.22</v>
      </c>
      <c r="O2674">
        <v>79.81</v>
      </c>
      <c r="P2674">
        <v>0</v>
      </c>
      <c r="Q2674">
        <v>0</v>
      </c>
      <c r="R2674">
        <v>0</v>
      </c>
      <c r="S2674">
        <v>79.510000000000005</v>
      </c>
      <c r="T2674">
        <v>79.78</v>
      </c>
      <c r="U2674">
        <v>79.2</v>
      </c>
      <c r="V2674">
        <v>79.849999999999994</v>
      </c>
      <c r="W2674">
        <v>791164</v>
      </c>
      <c r="X2674">
        <v>79.819999999999993</v>
      </c>
      <c r="Y2674">
        <v>79.83</v>
      </c>
      <c r="Z2674">
        <v>56</v>
      </c>
      <c r="AA2674">
        <v>7000000</v>
      </c>
      <c r="AB2674">
        <v>35120.800000000003</v>
      </c>
      <c r="AC2674">
        <v>0</v>
      </c>
      <c r="AD2674" t="s">
        <v>94</v>
      </c>
      <c r="AE2674" t="s">
        <v>94</v>
      </c>
      <c r="AF2674" t="s">
        <v>226</v>
      </c>
      <c r="AG2674" t="s">
        <v>226</v>
      </c>
      <c r="AH2674">
        <v>8</v>
      </c>
      <c r="AI2674" t="s">
        <v>3537</v>
      </c>
      <c r="AJ2674" t="s">
        <v>1976</v>
      </c>
      <c r="AK2674" t="s">
        <v>2416</v>
      </c>
      <c r="AL2674" t="s">
        <v>272</v>
      </c>
    </row>
    <row r="2675" spans="1:38">
      <c r="A2675" t="s">
        <v>11266</v>
      </c>
      <c r="B2675" t="s">
        <v>11267</v>
      </c>
      <c r="C2675" t="s">
        <v>11268</v>
      </c>
      <c r="D2675" t="s">
        <v>11268</v>
      </c>
      <c r="E2675" t="s">
        <v>11269</v>
      </c>
      <c r="F2675" t="s">
        <v>2413</v>
      </c>
      <c r="G2675">
        <v>1</v>
      </c>
      <c r="H2675">
        <v>1</v>
      </c>
      <c r="I2675">
        <v>0.01</v>
      </c>
      <c r="J2675">
        <v>1000</v>
      </c>
      <c r="K2675">
        <v>-0.16</v>
      </c>
      <c r="L2675">
        <v>80.38</v>
      </c>
      <c r="M2675">
        <v>80.400000000000006</v>
      </c>
      <c r="N2675">
        <v>80.63</v>
      </c>
      <c r="O2675">
        <v>80.38</v>
      </c>
      <c r="P2675">
        <v>0</v>
      </c>
      <c r="Q2675">
        <v>0</v>
      </c>
      <c r="R2675">
        <v>0</v>
      </c>
      <c r="S2675">
        <v>79.98</v>
      </c>
      <c r="T2675">
        <v>80.5</v>
      </c>
      <c r="U2675">
        <v>79.489999999999995</v>
      </c>
      <c r="V2675">
        <v>80.7</v>
      </c>
      <c r="W2675">
        <v>738969</v>
      </c>
      <c r="X2675">
        <v>79.73</v>
      </c>
      <c r="Y2675">
        <v>80.33</v>
      </c>
      <c r="Z2675">
        <v>96</v>
      </c>
      <c r="AA2675">
        <v>7500000</v>
      </c>
      <c r="AB2675">
        <v>5626.6</v>
      </c>
      <c r="AC2675">
        <v>0</v>
      </c>
      <c r="AD2675" t="s">
        <v>94</v>
      </c>
      <c r="AE2675" t="s">
        <v>94</v>
      </c>
      <c r="AF2675" t="s">
        <v>226</v>
      </c>
      <c r="AG2675" t="s">
        <v>226</v>
      </c>
      <c r="AH2675">
        <v>8</v>
      </c>
      <c r="AI2675" t="s">
        <v>3537</v>
      </c>
      <c r="AJ2675" t="s">
        <v>1976</v>
      </c>
      <c r="AK2675" t="s">
        <v>2416</v>
      </c>
      <c r="AL2675" t="s">
        <v>272</v>
      </c>
    </row>
    <row r="2676" spans="1:38">
      <c r="A2676" t="s">
        <v>11270</v>
      </c>
      <c r="B2676" t="s">
        <v>11271</v>
      </c>
      <c r="C2676" t="s">
        <v>11272</v>
      </c>
      <c r="D2676" t="s">
        <v>11272</v>
      </c>
      <c r="E2676" t="s">
        <v>11273</v>
      </c>
      <c r="F2676" t="s">
        <v>2413</v>
      </c>
      <c r="G2676">
        <v>1</v>
      </c>
      <c r="H2676">
        <v>1</v>
      </c>
      <c r="I2676">
        <v>0.01</v>
      </c>
      <c r="J2676">
        <v>1000</v>
      </c>
      <c r="K2676">
        <v>-0.27</v>
      </c>
      <c r="L2676">
        <v>80.510000000000005</v>
      </c>
      <c r="M2676">
        <v>80.73</v>
      </c>
      <c r="N2676">
        <v>80.91</v>
      </c>
      <c r="O2676">
        <v>80.52</v>
      </c>
      <c r="P2676">
        <v>0</v>
      </c>
      <c r="Q2676">
        <v>0</v>
      </c>
      <c r="R2676">
        <v>0</v>
      </c>
      <c r="S2676">
        <v>80.680000000000007</v>
      </c>
      <c r="T2676">
        <v>80.8</v>
      </c>
      <c r="U2676">
        <v>80.3</v>
      </c>
      <c r="V2676">
        <v>81.260000000000005</v>
      </c>
      <c r="W2676">
        <v>1404646</v>
      </c>
      <c r="X2676">
        <v>80.5</v>
      </c>
      <c r="Y2676">
        <v>80.84</v>
      </c>
      <c r="Z2676">
        <v>167</v>
      </c>
      <c r="AA2676">
        <v>12000000</v>
      </c>
      <c r="AB2676">
        <v>24153</v>
      </c>
      <c r="AC2676">
        <v>0</v>
      </c>
      <c r="AD2676" t="s">
        <v>94</v>
      </c>
      <c r="AE2676" t="s">
        <v>94</v>
      </c>
      <c r="AF2676" t="s">
        <v>226</v>
      </c>
      <c r="AG2676" t="s">
        <v>226</v>
      </c>
      <c r="AH2676">
        <v>8</v>
      </c>
      <c r="AI2676" t="s">
        <v>3537</v>
      </c>
      <c r="AJ2676" t="s">
        <v>1976</v>
      </c>
      <c r="AK2676" t="s">
        <v>2416</v>
      </c>
      <c r="AL2676" t="s">
        <v>272</v>
      </c>
    </row>
    <row r="2677" spans="1:38">
      <c r="A2677" t="s">
        <v>11274</v>
      </c>
      <c r="B2677" t="s">
        <v>11275</v>
      </c>
      <c r="C2677" t="s">
        <v>11276</v>
      </c>
      <c r="D2677" t="s">
        <v>11276</v>
      </c>
      <c r="E2677" t="s">
        <v>11277</v>
      </c>
      <c r="F2677" t="s">
        <v>2413</v>
      </c>
      <c r="G2677">
        <v>1</v>
      </c>
      <c r="H2677">
        <v>1</v>
      </c>
      <c r="I2677">
        <v>0.01</v>
      </c>
      <c r="J2677">
        <v>1000</v>
      </c>
      <c r="K2677">
        <v>-0.84</v>
      </c>
      <c r="L2677">
        <v>80.2</v>
      </c>
      <c r="M2677">
        <v>80.88</v>
      </c>
      <c r="N2677">
        <v>81.58</v>
      </c>
      <c r="O2677">
        <v>80.2</v>
      </c>
      <c r="P2677">
        <v>0</v>
      </c>
      <c r="Q2677">
        <v>0</v>
      </c>
      <c r="R2677">
        <v>0</v>
      </c>
      <c r="S2677">
        <v>80.61</v>
      </c>
      <c r="T2677">
        <v>81.05</v>
      </c>
      <c r="U2677">
        <v>80.099999999999994</v>
      </c>
      <c r="V2677">
        <v>81.78</v>
      </c>
      <c r="W2677">
        <v>9792998</v>
      </c>
      <c r="X2677">
        <v>80.17</v>
      </c>
      <c r="Y2677">
        <v>80.2</v>
      </c>
      <c r="Z2677">
        <v>372</v>
      </c>
      <c r="AA2677">
        <v>12000000</v>
      </c>
      <c r="AB2677">
        <v>4812</v>
      </c>
      <c r="AC2677">
        <v>0</v>
      </c>
      <c r="AD2677" t="s">
        <v>94</v>
      </c>
      <c r="AE2677" t="s">
        <v>94</v>
      </c>
      <c r="AF2677" t="s">
        <v>226</v>
      </c>
      <c r="AG2677" t="s">
        <v>226</v>
      </c>
      <c r="AH2677">
        <v>8</v>
      </c>
      <c r="AI2677" t="s">
        <v>3537</v>
      </c>
      <c r="AJ2677" t="s">
        <v>1976</v>
      </c>
      <c r="AK2677" t="s">
        <v>2416</v>
      </c>
      <c r="AL2677" t="s">
        <v>272</v>
      </c>
    </row>
    <row r="2678" spans="1:38">
      <c r="A2678" t="s">
        <v>11278</v>
      </c>
      <c r="B2678" t="s">
        <v>11279</v>
      </c>
      <c r="C2678" t="s">
        <v>11280</v>
      </c>
      <c r="D2678" t="s">
        <v>11280</v>
      </c>
      <c r="E2678" t="s">
        <v>11281</v>
      </c>
      <c r="F2678" t="s">
        <v>2413</v>
      </c>
      <c r="G2678">
        <v>1</v>
      </c>
      <c r="H2678">
        <v>1</v>
      </c>
      <c r="I2678">
        <v>0.01</v>
      </c>
      <c r="J2678">
        <v>1000</v>
      </c>
      <c r="K2678">
        <v>-0.49</v>
      </c>
      <c r="L2678">
        <v>80.599999999999994</v>
      </c>
      <c r="M2678">
        <v>81</v>
      </c>
      <c r="N2678">
        <v>81.48</v>
      </c>
      <c r="O2678">
        <v>80.63</v>
      </c>
      <c r="P2678">
        <v>0</v>
      </c>
      <c r="Q2678">
        <v>0</v>
      </c>
      <c r="R2678">
        <v>0</v>
      </c>
      <c r="S2678">
        <v>80.760000000000005</v>
      </c>
      <c r="T2678">
        <v>81.97</v>
      </c>
      <c r="U2678">
        <v>79.5</v>
      </c>
      <c r="V2678">
        <v>81.97</v>
      </c>
      <c r="W2678">
        <v>998244</v>
      </c>
      <c r="X2678">
        <v>80.58</v>
      </c>
      <c r="Y2678">
        <v>80.77</v>
      </c>
      <c r="Z2678">
        <v>148</v>
      </c>
      <c r="AA2678">
        <v>11500000</v>
      </c>
      <c r="AB2678">
        <v>7254</v>
      </c>
      <c r="AC2678">
        <v>0</v>
      </c>
      <c r="AD2678" t="s">
        <v>94</v>
      </c>
      <c r="AE2678" t="s">
        <v>94</v>
      </c>
      <c r="AF2678" t="s">
        <v>226</v>
      </c>
      <c r="AG2678" t="s">
        <v>226</v>
      </c>
      <c r="AH2678">
        <v>8</v>
      </c>
      <c r="AI2678" t="s">
        <v>3537</v>
      </c>
      <c r="AJ2678" t="s">
        <v>1976</v>
      </c>
      <c r="AK2678" t="s">
        <v>2416</v>
      </c>
      <c r="AL2678" t="s">
        <v>272</v>
      </c>
    </row>
    <row r="2679" spans="1:38">
      <c r="A2679" t="s">
        <v>11282</v>
      </c>
      <c r="B2679" t="s">
        <v>11283</v>
      </c>
      <c r="C2679" t="s">
        <v>11284</v>
      </c>
      <c r="D2679" t="s">
        <v>11284</v>
      </c>
      <c r="E2679" t="s">
        <v>11285</v>
      </c>
      <c r="F2679" t="s">
        <v>2413</v>
      </c>
      <c r="G2679">
        <v>1</v>
      </c>
      <c r="H2679">
        <v>1</v>
      </c>
      <c r="I2679">
        <v>0.01</v>
      </c>
      <c r="J2679">
        <v>1000</v>
      </c>
      <c r="K2679">
        <v>1.18</v>
      </c>
      <c r="L2679">
        <v>92.13</v>
      </c>
      <c r="M2679">
        <v>91.06</v>
      </c>
      <c r="N2679">
        <v>90.97</v>
      </c>
      <c r="O2679">
        <v>92.13</v>
      </c>
      <c r="P2679">
        <v>0</v>
      </c>
      <c r="Q2679">
        <v>0</v>
      </c>
      <c r="R2679">
        <v>0</v>
      </c>
      <c r="S2679">
        <v>91.91</v>
      </c>
      <c r="T2679">
        <v>91.52</v>
      </c>
      <c r="U2679">
        <v>91.39</v>
      </c>
      <c r="V2679">
        <v>92.66</v>
      </c>
      <c r="W2679">
        <v>179231</v>
      </c>
      <c r="X2679">
        <v>91.85</v>
      </c>
      <c r="Y2679">
        <v>92.19</v>
      </c>
      <c r="Z2679">
        <v>31</v>
      </c>
      <c r="AA2679">
        <v>5000000</v>
      </c>
      <c r="AB2679">
        <v>921.3</v>
      </c>
      <c r="AC2679">
        <v>0</v>
      </c>
      <c r="AD2679" t="s">
        <v>94</v>
      </c>
      <c r="AE2679" t="s">
        <v>94</v>
      </c>
      <c r="AF2679" t="s">
        <v>226</v>
      </c>
      <c r="AG2679" t="s">
        <v>226</v>
      </c>
      <c r="AH2679">
        <v>6</v>
      </c>
      <c r="AI2679" t="s">
        <v>3537</v>
      </c>
      <c r="AJ2679" t="s">
        <v>1976</v>
      </c>
      <c r="AK2679" t="s">
        <v>2416</v>
      </c>
      <c r="AL2679" t="s">
        <v>272</v>
      </c>
    </row>
    <row r="2680" spans="1:38">
      <c r="A2680" t="s">
        <v>11286</v>
      </c>
      <c r="B2680" t="s">
        <v>11287</v>
      </c>
      <c r="C2680" t="s">
        <v>11288</v>
      </c>
      <c r="D2680" t="s">
        <v>11288</v>
      </c>
      <c r="E2680" t="s">
        <v>11289</v>
      </c>
      <c r="F2680" t="s">
        <v>2413</v>
      </c>
      <c r="G2680">
        <v>2</v>
      </c>
      <c r="H2680">
        <v>1</v>
      </c>
      <c r="I2680">
        <v>0.01</v>
      </c>
      <c r="J2680">
        <v>1000</v>
      </c>
      <c r="K2680">
        <v>0</v>
      </c>
      <c r="L2680">
        <v>0</v>
      </c>
      <c r="M2680">
        <v>97</v>
      </c>
      <c r="N2680">
        <v>0</v>
      </c>
      <c r="O2680">
        <v>97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85.01</v>
      </c>
      <c r="Y2680">
        <v>0</v>
      </c>
      <c r="Z2680">
        <v>0</v>
      </c>
      <c r="AA2680">
        <v>1700000</v>
      </c>
      <c r="AB2680">
        <v>0</v>
      </c>
      <c r="AC2680">
        <v>0</v>
      </c>
      <c r="AD2680" t="s">
        <v>94</v>
      </c>
      <c r="AE2680" t="s">
        <v>94</v>
      </c>
      <c r="AF2680" t="s">
        <v>226</v>
      </c>
      <c r="AG2680" t="s">
        <v>226</v>
      </c>
      <c r="AH2680">
        <v>6</v>
      </c>
      <c r="AI2680" t="s">
        <v>3537</v>
      </c>
      <c r="AJ2680" t="s">
        <v>1976</v>
      </c>
      <c r="AK2680" t="s">
        <v>2416</v>
      </c>
      <c r="AL2680" t="s">
        <v>272</v>
      </c>
    </row>
    <row r="2681" spans="1:38">
      <c r="A2681" t="s">
        <v>11290</v>
      </c>
      <c r="B2681" t="s">
        <v>11291</v>
      </c>
      <c r="C2681" t="s">
        <v>11292</v>
      </c>
      <c r="D2681" t="s">
        <v>11292</v>
      </c>
      <c r="E2681" t="s">
        <v>11293</v>
      </c>
      <c r="F2681" t="s">
        <v>2413</v>
      </c>
      <c r="G2681">
        <v>1</v>
      </c>
      <c r="H2681">
        <v>1</v>
      </c>
      <c r="I2681">
        <v>0.01</v>
      </c>
      <c r="J2681">
        <v>1000</v>
      </c>
      <c r="K2681">
        <v>1.48</v>
      </c>
      <c r="L2681">
        <v>96.05</v>
      </c>
      <c r="M2681">
        <v>95</v>
      </c>
      <c r="N2681">
        <v>96.45</v>
      </c>
      <c r="O2681">
        <v>96.05</v>
      </c>
      <c r="P2681">
        <v>0</v>
      </c>
      <c r="Q2681">
        <v>0</v>
      </c>
      <c r="R2681">
        <v>0</v>
      </c>
      <c r="S2681">
        <v>95.55</v>
      </c>
      <c r="T2681">
        <v>94.71</v>
      </c>
      <c r="U2681">
        <v>94.66</v>
      </c>
      <c r="V2681">
        <v>96.1</v>
      </c>
      <c r="W2681">
        <v>235044</v>
      </c>
      <c r="X2681">
        <v>95.49</v>
      </c>
      <c r="Y2681">
        <v>96.05</v>
      </c>
      <c r="Z2681">
        <v>19</v>
      </c>
      <c r="AA2681">
        <v>6500000</v>
      </c>
      <c r="AB2681">
        <v>960.5</v>
      </c>
      <c r="AC2681">
        <v>0</v>
      </c>
      <c r="AD2681" t="s">
        <v>94</v>
      </c>
      <c r="AE2681" t="s">
        <v>94</v>
      </c>
      <c r="AF2681" t="s">
        <v>226</v>
      </c>
      <c r="AG2681" t="s">
        <v>226</v>
      </c>
      <c r="AH2681">
        <v>6</v>
      </c>
      <c r="AI2681" t="s">
        <v>3537</v>
      </c>
      <c r="AJ2681" t="s">
        <v>1976</v>
      </c>
      <c r="AK2681" t="s">
        <v>2416</v>
      </c>
      <c r="AL2681" t="s">
        <v>272</v>
      </c>
    </row>
    <row r="2682" spans="1:38">
      <c r="A2682" t="s">
        <v>11294</v>
      </c>
      <c r="B2682" t="s">
        <v>11295</v>
      </c>
      <c r="C2682" t="s">
        <v>11296</v>
      </c>
      <c r="D2682" t="s">
        <v>11296</v>
      </c>
      <c r="E2682" t="s">
        <v>11297</v>
      </c>
      <c r="F2682" t="s">
        <v>2413</v>
      </c>
      <c r="G2682">
        <v>1</v>
      </c>
      <c r="H2682">
        <v>1</v>
      </c>
      <c r="I2682">
        <v>0.01</v>
      </c>
      <c r="J2682">
        <v>1000</v>
      </c>
      <c r="K2682">
        <v>0.34</v>
      </c>
      <c r="L2682">
        <v>90.64</v>
      </c>
      <c r="M2682">
        <v>90.33</v>
      </c>
      <c r="N2682">
        <v>90.1</v>
      </c>
      <c r="O2682">
        <v>90.64</v>
      </c>
      <c r="P2682">
        <v>0</v>
      </c>
      <c r="Q2682">
        <v>0</v>
      </c>
      <c r="R2682">
        <v>0</v>
      </c>
      <c r="S2682">
        <v>90.63</v>
      </c>
      <c r="T2682">
        <v>90.69</v>
      </c>
      <c r="U2682">
        <v>90.46</v>
      </c>
      <c r="V2682">
        <v>90.77</v>
      </c>
      <c r="W2682">
        <v>119626</v>
      </c>
      <c r="X2682">
        <v>90.41</v>
      </c>
      <c r="Y2682">
        <v>90.74</v>
      </c>
      <c r="Z2682">
        <v>20</v>
      </c>
      <c r="AA2682">
        <v>10000000</v>
      </c>
      <c r="AB2682">
        <v>5438.4</v>
      </c>
      <c r="AC2682">
        <v>0</v>
      </c>
      <c r="AD2682" t="s">
        <v>94</v>
      </c>
      <c r="AE2682" t="s">
        <v>94</v>
      </c>
      <c r="AF2682" t="s">
        <v>226</v>
      </c>
      <c r="AG2682" t="s">
        <v>226</v>
      </c>
      <c r="AH2682">
        <v>6</v>
      </c>
      <c r="AI2682" t="s">
        <v>3537</v>
      </c>
      <c r="AJ2682" t="s">
        <v>1976</v>
      </c>
      <c r="AK2682" t="s">
        <v>2416</v>
      </c>
      <c r="AL2682" t="s">
        <v>272</v>
      </c>
    </row>
    <row r="2683" spans="1:38">
      <c r="A2683" t="s">
        <v>11298</v>
      </c>
      <c r="B2683" t="s">
        <v>11299</v>
      </c>
      <c r="C2683" t="s">
        <v>11300</v>
      </c>
      <c r="D2683" t="s">
        <v>11300</v>
      </c>
      <c r="E2683" t="s">
        <v>11301</v>
      </c>
      <c r="F2683" t="s">
        <v>2413</v>
      </c>
      <c r="G2683">
        <v>1</v>
      </c>
      <c r="H2683">
        <v>1</v>
      </c>
      <c r="I2683">
        <v>0.01</v>
      </c>
      <c r="J2683">
        <v>1000</v>
      </c>
      <c r="K2683">
        <v>0.38</v>
      </c>
      <c r="L2683">
        <v>78.3</v>
      </c>
      <c r="M2683">
        <v>78</v>
      </c>
      <c r="N2683">
        <v>77.7</v>
      </c>
      <c r="O2683">
        <v>78.3</v>
      </c>
      <c r="P2683">
        <v>0</v>
      </c>
      <c r="Q2683">
        <v>0</v>
      </c>
      <c r="R2683">
        <v>0</v>
      </c>
      <c r="S2683">
        <v>78.099999999999994</v>
      </c>
      <c r="T2683">
        <v>78</v>
      </c>
      <c r="U2683">
        <v>77.89</v>
      </c>
      <c r="V2683">
        <v>78.31</v>
      </c>
      <c r="W2683">
        <v>99193</v>
      </c>
      <c r="X2683">
        <v>78.05</v>
      </c>
      <c r="Y2683">
        <v>78.27</v>
      </c>
      <c r="Z2683">
        <v>26</v>
      </c>
      <c r="AA2683">
        <v>15000000</v>
      </c>
      <c r="AB2683">
        <v>783</v>
      </c>
      <c r="AC2683">
        <v>0</v>
      </c>
      <c r="AD2683" t="s">
        <v>94</v>
      </c>
      <c r="AE2683" t="s">
        <v>94</v>
      </c>
      <c r="AF2683" t="s">
        <v>226</v>
      </c>
      <c r="AG2683" t="s">
        <v>226</v>
      </c>
      <c r="AH2683">
        <v>6</v>
      </c>
      <c r="AI2683" t="s">
        <v>3537</v>
      </c>
      <c r="AJ2683" t="s">
        <v>1976</v>
      </c>
      <c r="AK2683" t="s">
        <v>2416</v>
      </c>
      <c r="AL2683" t="s">
        <v>272</v>
      </c>
    </row>
    <row r="2684" spans="1:38">
      <c r="A2684" t="s">
        <v>11302</v>
      </c>
      <c r="B2684" t="s">
        <v>11303</v>
      </c>
      <c r="C2684" t="s">
        <v>11304</v>
      </c>
      <c r="D2684" t="s">
        <v>11304</v>
      </c>
      <c r="E2684" t="s">
        <v>11305</v>
      </c>
      <c r="F2684" t="s">
        <v>2413</v>
      </c>
      <c r="G2684">
        <v>1</v>
      </c>
      <c r="H2684">
        <v>1</v>
      </c>
      <c r="I2684">
        <v>0.01</v>
      </c>
      <c r="J2684">
        <v>1000</v>
      </c>
      <c r="K2684">
        <v>-0.37</v>
      </c>
      <c r="L2684">
        <v>86</v>
      </c>
      <c r="M2684">
        <v>86.32</v>
      </c>
      <c r="N2684">
        <v>86.5</v>
      </c>
      <c r="O2684">
        <v>86</v>
      </c>
      <c r="P2684">
        <v>0</v>
      </c>
      <c r="Q2684">
        <v>0</v>
      </c>
      <c r="R2684">
        <v>0</v>
      </c>
      <c r="S2684">
        <v>86.07</v>
      </c>
      <c r="T2684">
        <v>86.33</v>
      </c>
      <c r="U2684">
        <v>85.8</v>
      </c>
      <c r="V2684">
        <v>86.56</v>
      </c>
      <c r="W2684">
        <v>3094073</v>
      </c>
      <c r="X2684">
        <v>85.9</v>
      </c>
      <c r="Y2684">
        <v>86</v>
      </c>
      <c r="Z2684">
        <v>62</v>
      </c>
      <c r="AA2684">
        <v>10000000</v>
      </c>
      <c r="AB2684">
        <v>1916940</v>
      </c>
      <c r="AC2684">
        <v>0</v>
      </c>
      <c r="AD2684" t="s">
        <v>94</v>
      </c>
      <c r="AE2684" t="s">
        <v>94</v>
      </c>
      <c r="AF2684" t="s">
        <v>226</v>
      </c>
      <c r="AG2684" t="s">
        <v>226</v>
      </c>
      <c r="AH2684">
        <v>6</v>
      </c>
      <c r="AI2684" t="s">
        <v>3537</v>
      </c>
      <c r="AJ2684" t="s">
        <v>1976</v>
      </c>
      <c r="AK2684" t="s">
        <v>2416</v>
      </c>
      <c r="AL2684" t="s">
        <v>272</v>
      </c>
    </row>
    <row r="2685" spans="1:38">
      <c r="A2685" t="s">
        <v>11306</v>
      </c>
      <c r="B2685" t="s">
        <v>11307</v>
      </c>
      <c r="C2685" t="s">
        <v>11308</v>
      </c>
      <c r="D2685" t="s">
        <v>11308</v>
      </c>
      <c r="E2685" t="s">
        <v>11309</v>
      </c>
      <c r="F2685" t="s">
        <v>2413</v>
      </c>
      <c r="G2685">
        <v>1</v>
      </c>
      <c r="H2685">
        <v>1</v>
      </c>
      <c r="I2685">
        <v>0.01</v>
      </c>
      <c r="J2685">
        <v>1000</v>
      </c>
      <c r="K2685">
        <v>-0.34</v>
      </c>
      <c r="L2685">
        <v>93.12</v>
      </c>
      <c r="M2685">
        <v>93.44</v>
      </c>
      <c r="N2685">
        <v>93.47</v>
      </c>
      <c r="O2685">
        <v>93.12</v>
      </c>
      <c r="P2685">
        <v>0</v>
      </c>
      <c r="Q2685">
        <v>0</v>
      </c>
      <c r="R2685">
        <v>0</v>
      </c>
      <c r="S2685">
        <v>93.25</v>
      </c>
      <c r="T2685">
        <v>91.63</v>
      </c>
      <c r="U2685">
        <v>91.63</v>
      </c>
      <c r="V2685">
        <v>97.32</v>
      </c>
      <c r="W2685">
        <v>80192</v>
      </c>
      <c r="X2685">
        <v>93.13</v>
      </c>
      <c r="Y2685">
        <v>93.53</v>
      </c>
      <c r="Z2685">
        <v>21</v>
      </c>
      <c r="AA2685">
        <v>15000000</v>
      </c>
      <c r="AB2685">
        <v>931.2</v>
      </c>
      <c r="AC2685">
        <v>0</v>
      </c>
      <c r="AD2685" t="s">
        <v>94</v>
      </c>
      <c r="AE2685" t="s">
        <v>94</v>
      </c>
      <c r="AF2685" t="s">
        <v>226</v>
      </c>
      <c r="AG2685" t="s">
        <v>226</v>
      </c>
      <c r="AH2685">
        <v>6</v>
      </c>
      <c r="AI2685" t="s">
        <v>3537</v>
      </c>
      <c r="AJ2685" t="s">
        <v>1976</v>
      </c>
      <c r="AK2685" t="s">
        <v>2416</v>
      </c>
      <c r="AL2685" t="s">
        <v>272</v>
      </c>
    </row>
    <row r="2686" spans="1:38">
      <c r="A2686" t="s">
        <v>11310</v>
      </c>
      <c r="B2686" t="s">
        <v>11311</v>
      </c>
      <c r="C2686" t="s">
        <v>11312</v>
      </c>
      <c r="D2686" t="s">
        <v>11312</v>
      </c>
      <c r="E2686" t="s">
        <v>11313</v>
      </c>
      <c r="F2686" t="s">
        <v>2413</v>
      </c>
      <c r="G2686">
        <v>1</v>
      </c>
      <c r="H2686">
        <v>1</v>
      </c>
      <c r="I2686">
        <v>0.01</v>
      </c>
      <c r="J2686">
        <v>1000</v>
      </c>
      <c r="K2686">
        <v>-0.3</v>
      </c>
      <c r="L2686">
        <v>79.06</v>
      </c>
      <c r="M2686">
        <v>79.3</v>
      </c>
      <c r="N2686">
        <v>79.3</v>
      </c>
      <c r="O2686">
        <v>79.14</v>
      </c>
      <c r="P2686">
        <v>0</v>
      </c>
      <c r="Q2686">
        <v>0</v>
      </c>
      <c r="R2686">
        <v>0</v>
      </c>
      <c r="S2686">
        <v>79.349999999999994</v>
      </c>
      <c r="T2686">
        <v>79.31</v>
      </c>
      <c r="U2686">
        <v>78.650000000000006</v>
      </c>
      <c r="V2686">
        <v>79.97</v>
      </c>
      <c r="W2686">
        <v>192815</v>
      </c>
      <c r="X2686">
        <v>79.03</v>
      </c>
      <c r="Y2686">
        <v>79.22</v>
      </c>
      <c r="Z2686">
        <v>42</v>
      </c>
      <c r="AA2686">
        <v>10000000</v>
      </c>
      <c r="AB2686">
        <v>1581.2</v>
      </c>
      <c r="AC2686">
        <v>0</v>
      </c>
      <c r="AD2686" t="s">
        <v>94</v>
      </c>
      <c r="AE2686" t="s">
        <v>94</v>
      </c>
      <c r="AF2686" t="s">
        <v>226</v>
      </c>
      <c r="AG2686" t="s">
        <v>226</v>
      </c>
      <c r="AH2686">
        <v>6</v>
      </c>
      <c r="AI2686" t="s">
        <v>3537</v>
      </c>
      <c r="AJ2686" t="s">
        <v>1976</v>
      </c>
      <c r="AK2686" t="s">
        <v>2416</v>
      </c>
      <c r="AL2686" t="s">
        <v>272</v>
      </c>
    </row>
    <row r="2687" spans="1:38">
      <c r="A2687" t="s">
        <v>11314</v>
      </c>
      <c r="B2687" t="s">
        <v>11315</v>
      </c>
      <c r="C2687" t="s">
        <v>11316</v>
      </c>
      <c r="D2687" t="s">
        <v>11316</v>
      </c>
      <c r="E2687" t="s">
        <v>11317</v>
      </c>
      <c r="F2687" t="s">
        <v>2413</v>
      </c>
      <c r="G2687">
        <v>3</v>
      </c>
      <c r="H2687">
        <v>1</v>
      </c>
      <c r="I2687">
        <v>0.01</v>
      </c>
      <c r="J2687">
        <v>1000</v>
      </c>
      <c r="K2687">
        <v>-1.31</v>
      </c>
      <c r="L2687">
        <v>89.21</v>
      </c>
      <c r="M2687">
        <v>90.07</v>
      </c>
      <c r="N2687">
        <v>91.43</v>
      </c>
      <c r="O2687">
        <v>89.23</v>
      </c>
      <c r="P2687">
        <v>0</v>
      </c>
      <c r="Q2687">
        <v>0</v>
      </c>
      <c r="R2687">
        <v>0</v>
      </c>
      <c r="S2687">
        <v>88.29</v>
      </c>
      <c r="T2687">
        <v>92.95</v>
      </c>
      <c r="U2687">
        <v>86.15</v>
      </c>
      <c r="V2687">
        <v>92.95</v>
      </c>
      <c r="W2687">
        <v>1070095</v>
      </c>
      <c r="X2687">
        <v>88.71</v>
      </c>
      <c r="Y2687">
        <v>89.27</v>
      </c>
      <c r="Z2687">
        <v>130</v>
      </c>
      <c r="AA2687">
        <v>300000</v>
      </c>
      <c r="AB2687">
        <v>13381.5</v>
      </c>
      <c r="AC2687">
        <v>0</v>
      </c>
      <c r="AD2687" t="s">
        <v>94</v>
      </c>
      <c r="AE2687" t="s">
        <v>94</v>
      </c>
      <c r="AF2687" t="s">
        <v>226</v>
      </c>
      <c r="AG2687" t="s">
        <v>226</v>
      </c>
      <c r="AH2687">
        <v>6</v>
      </c>
      <c r="AI2687" t="s">
        <v>3537</v>
      </c>
      <c r="AJ2687" t="s">
        <v>1976</v>
      </c>
      <c r="AK2687" t="s">
        <v>2416</v>
      </c>
      <c r="AL2687" t="s">
        <v>272</v>
      </c>
    </row>
    <row r="2688" spans="1:38">
      <c r="A2688" t="s">
        <v>11318</v>
      </c>
      <c r="B2688" t="s">
        <v>11319</v>
      </c>
      <c r="C2688" t="s">
        <v>11320</v>
      </c>
      <c r="D2688" t="s">
        <v>11320</v>
      </c>
      <c r="E2688" t="s">
        <v>11321</v>
      </c>
      <c r="F2688" t="s">
        <v>2413</v>
      </c>
      <c r="G2688">
        <v>3</v>
      </c>
      <c r="H2688">
        <v>1</v>
      </c>
      <c r="I2688">
        <v>0.01</v>
      </c>
      <c r="J2688">
        <v>1000</v>
      </c>
      <c r="K2688">
        <v>0.67</v>
      </c>
      <c r="L2688">
        <v>75.2</v>
      </c>
      <c r="M2688">
        <v>74.760000000000005</v>
      </c>
      <c r="N2688">
        <v>75.38</v>
      </c>
      <c r="O2688">
        <v>75.2</v>
      </c>
      <c r="P2688">
        <v>0</v>
      </c>
      <c r="Q2688">
        <v>0</v>
      </c>
      <c r="R2688">
        <v>0</v>
      </c>
      <c r="S2688">
        <v>74.930000000000007</v>
      </c>
      <c r="T2688">
        <v>80.44</v>
      </c>
      <c r="U2688">
        <v>74.709999999999994</v>
      </c>
      <c r="V2688">
        <v>80.44</v>
      </c>
      <c r="W2688">
        <v>26975</v>
      </c>
      <c r="X2688">
        <v>75.069999999999993</v>
      </c>
      <c r="Y2688">
        <v>75.2</v>
      </c>
      <c r="Z2688">
        <v>7</v>
      </c>
      <c r="AA2688">
        <v>3000000</v>
      </c>
      <c r="AB2688">
        <v>2256</v>
      </c>
      <c r="AC2688">
        <v>0</v>
      </c>
      <c r="AD2688" t="s">
        <v>94</v>
      </c>
      <c r="AE2688" t="s">
        <v>94</v>
      </c>
      <c r="AF2688" t="s">
        <v>226</v>
      </c>
      <c r="AG2688" t="s">
        <v>226</v>
      </c>
      <c r="AH2688">
        <v>6</v>
      </c>
      <c r="AI2688" t="s">
        <v>3537</v>
      </c>
      <c r="AJ2688" t="s">
        <v>1976</v>
      </c>
      <c r="AK2688" t="s">
        <v>2416</v>
      </c>
      <c r="AL2688" t="s">
        <v>272</v>
      </c>
    </row>
    <row r="2689" spans="1:38">
      <c r="A2689" t="s">
        <v>11322</v>
      </c>
      <c r="B2689" t="s">
        <v>11323</v>
      </c>
      <c r="C2689" t="s">
        <v>11324</v>
      </c>
      <c r="D2689" t="s">
        <v>11324</v>
      </c>
      <c r="E2689" t="s">
        <v>11325</v>
      </c>
      <c r="F2689" t="s">
        <v>2413</v>
      </c>
      <c r="G2689">
        <v>2</v>
      </c>
      <c r="H2689">
        <v>1</v>
      </c>
      <c r="I2689">
        <v>0.01</v>
      </c>
      <c r="J2689">
        <v>1000</v>
      </c>
      <c r="K2689">
        <v>0</v>
      </c>
      <c r="L2689">
        <v>0</v>
      </c>
      <c r="M2689">
        <v>91.2</v>
      </c>
      <c r="N2689">
        <v>90.64</v>
      </c>
      <c r="O2689">
        <v>91.2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86.87</v>
      </c>
      <c r="Y2689">
        <v>91.76</v>
      </c>
      <c r="Z2689">
        <v>0</v>
      </c>
      <c r="AA2689">
        <v>10000000</v>
      </c>
      <c r="AB2689">
        <v>0</v>
      </c>
      <c r="AC2689">
        <v>0</v>
      </c>
      <c r="AD2689" t="s">
        <v>94</v>
      </c>
      <c r="AE2689" t="s">
        <v>94</v>
      </c>
      <c r="AF2689" t="s">
        <v>226</v>
      </c>
      <c r="AG2689" t="s">
        <v>226</v>
      </c>
      <c r="AH2689">
        <v>6</v>
      </c>
      <c r="AI2689" t="s">
        <v>3537</v>
      </c>
      <c r="AJ2689" t="s">
        <v>1976</v>
      </c>
      <c r="AK2689" t="s">
        <v>2416</v>
      </c>
      <c r="AL2689" t="s">
        <v>272</v>
      </c>
    </row>
    <row r="2690" spans="1:38">
      <c r="A2690" t="s">
        <v>11326</v>
      </c>
      <c r="B2690" t="s">
        <v>11327</v>
      </c>
      <c r="C2690" t="s">
        <v>11328</v>
      </c>
      <c r="D2690" t="s">
        <v>11328</v>
      </c>
      <c r="E2690" t="s">
        <v>11329</v>
      </c>
      <c r="F2690" t="s">
        <v>2413</v>
      </c>
      <c r="G2690">
        <v>2</v>
      </c>
      <c r="H2690">
        <v>1</v>
      </c>
      <c r="I2690">
        <v>0.01</v>
      </c>
      <c r="J2690">
        <v>1000</v>
      </c>
      <c r="K2690">
        <v>0</v>
      </c>
      <c r="L2690">
        <v>0</v>
      </c>
      <c r="M2690">
        <v>83.19</v>
      </c>
      <c r="N2690">
        <v>85.52</v>
      </c>
      <c r="O2690">
        <v>83.19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83.12</v>
      </c>
      <c r="Y2690">
        <v>85.51</v>
      </c>
      <c r="Z2690">
        <v>0</v>
      </c>
      <c r="AA2690">
        <v>10000000</v>
      </c>
      <c r="AB2690">
        <v>0</v>
      </c>
      <c r="AC2690">
        <v>0</v>
      </c>
      <c r="AD2690" t="s">
        <v>94</v>
      </c>
      <c r="AE2690" t="s">
        <v>94</v>
      </c>
      <c r="AF2690" t="s">
        <v>226</v>
      </c>
      <c r="AG2690" t="s">
        <v>226</v>
      </c>
      <c r="AH2690">
        <v>6</v>
      </c>
      <c r="AI2690" t="s">
        <v>3537</v>
      </c>
      <c r="AJ2690" t="s">
        <v>1976</v>
      </c>
      <c r="AK2690" t="s">
        <v>2416</v>
      </c>
      <c r="AL2690" t="s">
        <v>272</v>
      </c>
    </row>
    <row r="2691" spans="1:38">
      <c r="A2691" t="s">
        <v>11330</v>
      </c>
      <c r="B2691" t="s">
        <v>11331</v>
      </c>
      <c r="C2691" t="s">
        <v>11332</v>
      </c>
      <c r="D2691" t="s">
        <v>11332</v>
      </c>
      <c r="E2691" t="s">
        <v>11333</v>
      </c>
      <c r="F2691" t="s">
        <v>2413</v>
      </c>
      <c r="G2691">
        <v>2</v>
      </c>
      <c r="H2691">
        <v>1</v>
      </c>
      <c r="I2691">
        <v>0.01</v>
      </c>
      <c r="J2691">
        <v>1000</v>
      </c>
      <c r="K2691">
        <v>0</v>
      </c>
      <c r="L2691">
        <v>0</v>
      </c>
      <c r="M2691">
        <v>90.11</v>
      </c>
      <c r="N2691">
        <v>0</v>
      </c>
      <c r="O2691">
        <v>90.11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89.27</v>
      </c>
      <c r="Y2691">
        <v>90.58</v>
      </c>
      <c r="Z2691">
        <v>0</v>
      </c>
      <c r="AA2691">
        <v>10000000</v>
      </c>
      <c r="AB2691">
        <v>0</v>
      </c>
      <c r="AC2691">
        <v>0</v>
      </c>
      <c r="AD2691" t="s">
        <v>94</v>
      </c>
      <c r="AE2691" t="s">
        <v>94</v>
      </c>
      <c r="AF2691" t="s">
        <v>226</v>
      </c>
      <c r="AG2691" t="s">
        <v>226</v>
      </c>
      <c r="AH2691">
        <v>6</v>
      </c>
      <c r="AI2691" t="s">
        <v>3537</v>
      </c>
      <c r="AJ2691" t="s">
        <v>1976</v>
      </c>
      <c r="AK2691" t="s">
        <v>2416</v>
      </c>
      <c r="AL2691" t="s">
        <v>272</v>
      </c>
    </row>
    <row r="2692" spans="1:38">
      <c r="A2692" t="s">
        <v>11334</v>
      </c>
      <c r="B2692" t="s">
        <v>11335</v>
      </c>
      <c r="C2692" t="s">
        <v>11336</v>
      </c>
      <c r="D2692" t="s">
        <v>11336</v>
      </c>
      <c r="E2692" t="s">
        <v>11337</v>
      </c>
      <c r="F2692" t="s">
        <v>2413</v>
      </c>
      <c r="G2692">
        <v>2</v>
      </c>
      <c r="H2692">
        <v>1</v>
      </c>
      <c r="I2692">
        <v>0.01</v>
      </c>
      <c r="J2692">
        <v>1000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5000000</v>
      </c>
      <c r="AB2692">
        <v>0</v>
      </c>
      <c r="AC2692">
        <v>0</v>
      </c>
      <c r="AD2692" t="s">
        <v>94</v>
      </c>
      <c r="AE2692" t="s">
        <v>94</v>
      </c>
      <c r="AF2692" t="s">
        <v>226</v>
      </c>
      <c r="AG2692" t="s">
        <v>226</v>
      </c>
      <c r="AH2692">
        <v>6</v>
      </c>
      <c r="AI2692" t="s">
        <v>3537</v>
      </c>
      <c r="AJ2692" t="s">
        <v>1976</v>
      </c>
      <c r="AK2692" t="s">
        <v>2416</v>
      </c>
      <c r="AL2692" t="s">
        <v>272</v>
      </c>
    </row>
    <row r="2693" spans="1:38">
      <c r="A2693" t="s">
        <v>11338</v>
      </c>
      <c r="B2693" t="s">
        <v>11339</v>
      </c>
      <c r="C2693" t="s">
        <v>11340</v>
      </c>
      <c r="D2693" t="s">
        <v>11340</v>
      </c>
      <c r="E2693" t="s">
        <v>11341</v>
      </c>
      <c r="F2693" t="s">
        <v>2413</v>
      </c>
      <c r="G2693">
        <v>2</v>
      </c>
      <c r="H2693">
        <v>1</v>
      </c>
      <c r="I2693">
        <v>0.01</v>
      </c>
      <c r="J2693">
        <v>1000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10000000</v>
      </c>
      <c r="AB2693">
        <v>0</v>
      </c>
      <c r="AC2693">
        <v>0</v>
      </c>
      <c r="AD2693" t="s">
        <v>94</v>
      </c>
      <c r="AE2693" t="s">
        <v>94</v>
      </c>
      <c r="AF2693" t="s">
        <v>226</v>
      </c>
      <c r="AG2693" t="s">
        <v>226</v>
      </c>
      <c r="AH2693">
        <v>6</v>
      </c>
      <c r="AI2693" t="s">
        <v>3537</v>
      </c>
      <c r="AJ2693" t="s">
        <v>1976</v>
      </c>
      <c r="AK2693" t="s">
        <v>2416</v>
      </c>
      <c r="AL2693" t="s">
        <v>272</v>
      </c>
    </row>
    <row r="2694" spans="1:38">
      <c r="A2694" t="s">
        <v>11342</v>
      </c>
      <c r="B2694" t="s">
        <v>11343</v>
      </c>
      <c r="C2694" t="s">
        <v>11344</v>
      </c>
      <c r="D2694" t="s">
        <v>11344</v>
      </c>
      <c r="E2694" t="s">
        <v>11345</v>
      </c>
      <c r="F2694" t="s">
        <v>2413</v>
      </c>
      <c r="G2694">
        <v>2</v>
      </c>
      <c r="H2694">
        <v>1</v>
      </c>
      <c r="I2694">
        <v>0.01</v>
      </c>
      <c r="J2694">
        <v>1000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15000000</v>
      </c>
      <c r="AB2694">
        <v>0</v>
      </c>
      <c r="AC2694">
        <v>0</v>
      </c>
      <c r="AD2694" t="s">
        <v>94</v>
      </c>
      <c r="AE2694" t="s">
        <v>94</v>
      </c>
      <c r="AF2694" t="s">
        <v>226</v>
      </c>
      <c r="AG2694" t="s">
        <v>226</v>
      </c>
      <c r="AH2694">
        <v>6</v>
      </c>
      <c r="AI2694" t="s">
        <v>3537</v>
      </c>
      <c r="AJ2694" t="s">
        <v>1976</v>
      </c>
      <c r="AK2694" t="s">
        <v>2416</v>
      </c>
      <c r="AL2694" t="s">
        <v>272</v>
      </c>
    </row>
    <row r="2695" spans="1:38">
      <c r="A2695" t="s">
        <v>11346</v>
      </c>
      <c r="B2695" t="s">
        <v>11347</v>
      </c>
      <c r="C2695" t="s">
        <v>11348</v>
      </c>
      <c r="D2695" t="s">
        <v>11348</v>
      </c>
      <c r="E2695" t="s">
        <v>11349</v>
      </c>
      <c r="F2695" t="s">
        <v>2413</v>
      </c>
      <c r="G2695">
        <v>3</v>
      </c>
      <c r="H2695">
        <v>1</v>
      </c>
      <c r="I2695">
        <v>0.01</v>
      </c>
      <c r="J2695">
        <v>1000</v>
      </c>
      <c r="K2695">
        <v>-0.62</v>
      </c>
      <c r="L2695">
        <v>92.76</v>
      </c>
      <c r="M2695">
        <v>93.34</v>
      </c>
      <c r="N2695">
        <v>92.7</v>
      </c>
      <c r="O2695">
        <v>92.86</v>
      </c>
      <c r="P2695">
        <v>0</v>
      </c>
      <c r="Q2695">
        <v>0</v>
      </c>
      <c r="R2695">
        <v>0</v>
      </c>
      <c r="S2695">
        <v>93.08</v>
      </c>
      <c r="T2695">
        <v>92.85</v>
      </c>
      <c r="U2695">
        <v>92.76</v>
      </c>
      <c r="V2695">
        <v>93.28</v>
      </c>
      <c r="W2695">
        <v>64225</v>
      </c>
      <c r="X2695">
        <v>92.63</v>
      </c>
      <c r="Y2695">
        <v>93.18</v>
      </c>
      <c r="Z2695">
        <v>15</v>
      </c>
      <c r="AA2695">
        <v>10000000</v>
      </c>
      <c r="AB2695">
        <v>4638</v>
      </c>
      <c r="AC2695">
        <v>0</v>
      </c>
      <c r="AD2695" t="s">
        <v>94</v>
      </c>
      <c r="AE2695" t="s">
        <v>94</v>
      </c>
      <c r="AF2695" t="s">
        <v>226</v>
      </c>
      <c r="AG2695" t="s">
        <v>226</v>
      </c>
      <c r="AH2695">
        <v>6</v>
      </c>
      <c r="AI2695" t="s">
        <v>3537</v>
      </c>
      <c r="AJ2695" t="s">
        <v>1976</v>
      </c>
      <c r="AK2695" t="s">
        <v>2416</v>
      </c>
      <c r="AL2695" t="s">
        <v>272</v>
      </c>
    </row>
    <row r="2696" spans="1:38">
      <c r="A2696" t="s">
        <v>11350</v>
      </c>
      <c r="B2696" t="s">
        <v>11351</v>
      </c>
      <c r="C2696" t="s">
        <v>11352</v>
      </c>
      <c r="D2696" t="s">
        <v>11352</v>
      </c>
      <c r="E2696" t="s">
        <v>11353</v>
      </c>
      <c r="F2696" t="s">
        <v>2413</v>
      </c>
      <c r="G2696">
        <v>3</v>
      </c>
      <c r="H2696">
        <v>1</v>
      </c>
      <c r="I2696">
        <v>0.01</v>
      </c>
      <c r="J2696">
        <v>1000</v>
      </c>
      <c r="K2696">
        <v>-0.34</v>
      </c>
      <c r="L2696">
        <v>97.12</v>
      </c>
      <c r="M2696">
        <v>97.43</v>
      </c>
      <c r="N2696">
        <v>97.16</v>
      </c>
      <c r="O2696">
        <v>96.92</v>
      </c>
      <c r="P2696">
        <v>0</v>
      </c>
      <c r="Q2696">
        <v>0</v>
      </c>
      <c r="R2696">
        <v>0</v>
      </c>
      <c r="S2696">
        <v>96.72</v>
      </c>
      <c r="T2696">
        <v>98.05</v>
      </c>
      <c r="U2696">
        <v>96.33</v>
      </c>
      <c r="V2696">
        <v>98.05</v>
      </c>
      <c r="W2696">
        <v>1674222</v>
      </c>
      <c r="X2696">
        <v>96.62</v>
      </c>
      <c r="Y2696">
        <v>97.11</v>
      </c>
      <c r="Z2696">
        <v>168</v>
      </c>
      <c r="AA2696">
        <v>10000000</v>
      </c>
      <c r="AB2696">
        <v>971.2</v>
      </c>
      <c r="AC2696">
        <v>0</v>
      </c>
      <c r="AD2696" t="s">
        <v>94</v>
      </c>
      <c r="AE2696" t="s">
        <v>94</v>
      </c>
      <c r="AF2696" t="s">
        <v>226</v>
      </c>
      <c r="AG2696" t="s">
        <v>226</v>
      </c>
      <c r="AH2696">
        <v>8</v>
      </c>
      <c r="AI2696" t="s">
        <v>3537</v>
      </c>
      <c r="AJ2696" t="s">
        <v>1976</v>
      </c>
      <c r="AK2696" t="s">
        <v>2416</v>
      </c>
      <c r="AL2696" t="s">
        <v>272</v>
      </c>
    </row>
    <row r="2697" spans="1:38">
      <c r="A2697" t="s">
        <v>11354</v>
      </c>
      <c r="B2697" t="s">
        <v>11355</v>
      </c>
      <c r="C2697" t="s">
        <v>11356</v>
      </c>
      <c r="D2697" t="s">
        <v>11356</v>
      </c>
      <c r="E2697" t="s">
        <v>11357</v>
      </c>
      <c r="F2697" t="s">
        <v>2413</v>
      </c>
      <c r="G2697">
        <v>3</v>
      </c>
      <c r="H2697">
        <v>1</v>
      </c>
      <c r="I2697">
        <v>0.01</v>
      </c>
      <c r="J2697">
        <v>1000</v>
      </c>
      <c r="K2697">
        <v>2.88</v>
      </c>
      <c r="L2697">
        <v>75.11</v>
      </c>
      <c r="M2697">
        <v>72.63</v>
      </c>
      <c r="N2697">
        <v>70.92</v>
      </c>
      <c r="O2697">
        <v>75.11</v>
      </c>
      <c r="P2697">
        <v>0</v>
      </c>
      <c r="Q2697">
        <v>0</v>
      </c>
      <c r="R2697">
        <v>0</v>
      </c>
      <c r="S2697">
        <v>73.790000000000006</v>
      </c>
      <c r="T2697">
        <v>70.16</v>
      </c>
      <c r="U2697">
        <v>70.16</v>
      </c>
      <c r="V2697">
        <v>78.56</v>
      </c>
      <c r="W2697">
        <v>296645</v>
      </c>
      <c r="X2697">
        <v>75.150000000000006</v>
      </c>
      <c r="Y2697">
        <v>75.709999999999994</v>
      </c>
      <c r="Z2697">
        <v>93</v>
      </c>
      <c r="AA2697">
        <v>150000</v>
      </c>
      <c r="AB2697">
        <v>751.1</v>
      </c>
      <c r="AC2697">
        <v>0</v>
      </c>
      <c r="AD2697" t="s">
        <v>94</v>
      </c>
      <c r="AE2697" t="s">
        <v>94</v>
      </c>
      <c r="AF2697" t="s">
        <v>226</v>
      </c>
      <c r="AG2697" t="s">
        <v>226</v>
      </c>
      <c r="AH2697">
        <v>6</v>
      </c>
      <c r="AI2697" t="s">
        <v>3537</v>
      </c>
      <c r="AJ2697" t="s">
        <v>1976</v>
      </c>
      <c r="AK2697" t="s">
        <v>2416</v>
      </c>
      <c r="AL2697" t="s">
        <v>272</v>
      </c>
    </row>
    <row r="2698" spans="1:38">
      <c r="A2698" t="s">
        <v>11358</v>
      </c>
      <c r="B2698" t="s">
        <v>11359</v>
      </c>
      <c r="C2698" t="s">
        <v>11360</v>
      </c>
      <c r="D2698" t="s">
        <v>11360</v>
      </c>
      <c r="E2698" t="s">
        <v>11361</v>
      </c>
      <c r="F2698" t="s">
        <v>2413</v>
      </c>
      <c r="G2698">
        <v>3</v>
      </c>
      <c r="H2698">
        <v>1</v>
      </c>
      <c r="I2698">
        <v>0.01</v>
      </c>
      <c r="J2698">
        <v>1000</v>
      </c>
      <c r="K2698">
        <v>0.04</v>
      </c>
      <c r="L2698">
        <v>78.959999999999994</v>
      </c>
      <c r="M2698">
        <v>78.97</v>
      </c>
      <c r="N2698">
        <v>79.2</v>
      </c>
      <c r="O2698">
        <v>78.959999999999994</v>
      </c>
      <c r="P2698">
        <v>0</v>
      </c>
      <c r="Q2698">
        <v>0</v>
      </c>
      <c r="R2698">
        <v>0</v>
      </c>
      <c r="S2698">
        <v>78.900000000000006</v>
      </c>
      <c r="T2698">
        <v>79.91</v>
      </c>
      <c r="U2698">
        <v>78.239999999999995</v>
      </c>
      <c r="V2698">
        <v>79.91</v>
      </c>
      <c r="W2698">
        <v>80473</v>
      </c>
      <c r="X2698">
        <v>78.7</v>
      </c>
      <c r="Y2698">
        <v>78.97</v>
      </c>
      <c r="Z2698">
        <v>31</v>
      </c>
      <c r="AA2698">
        <v>200000</v>
      </c>
      <c r="AB2698">
        <v>789.6</v>
      </c>
      <c r="AC2698">
        <v>0</v>
      </c>
      <c r="AD2698" t="s">
        <v>94</v>
      </c>
      <c r="AE2698" t="s">
        <v>94</v>
      </c>
      <c r="AF2698" t="s">
        <v>226</v>
      </c>
      <c r="AG2698" t="s">
        <v>226</v>
      </c>
      <c r="AH2698">
        <v>6</v>
      </c>
      <c r="AI2698" t="s">
        <v>3537</v>
      </c>
      <c r="AJ2698" t="s">
        <v>1976</v>
      </c>
      <c r="AK2698" t="s">
        <v>2416</v>
      </c>
      <c r="AL2698" t="s">
        <v>272</v>
      </c>
    </row>
    <row r="2699" spans="1:38">
      <c r="A2699" t="s">
        <v>11362</v>
      </c>
      <c r="B2699" t="s">
        <v>11363</v>
      </c>
      <c r="C2699" t="s">
        <v>11364</v>
      </c>
      <c r="D2699" t="s">
        <v>11364</v>
      </c>
      <c r="E2699" t="s">
        <v>11365</v>
      </c>
      <c r="F2699" t="s">
        <v>2413</v>
      </c>
      <c r="G2699">
        <v>3</v>
      </c>
      <c r="H2699">
        <v>1</v>
      </c>
      <c r="I2699">
        <v>0.01</v>
      </c>
      <c r="J2699">
        <v>1000</v>
      </c>
      <c r="K2699">
        <v>0.18</v>
      </c>
      <c r="L2699">
        <v>95.1</v>
      </c>
      <c r="M2699">
        <v>94.93</v>
      </c>
      <c r="N2699">
        <v>94.37</v>
      </c>
      <c r="O2699">
        <v>94.99</v>
      </c>
      <c r="P2699">
        <v>0</v>
      </c>
      <c r="Q2699">
        <v>0</v>
      </c>
      <c r="R2699">
        <v>0</v>
      </c>
      <c r="S2699">
        <v>94.81</v>
      </c>
      <c r="T2699">
        <v>94.93</v>
      </c>
      <c r="U2699">
        <v>94.02</v>
      </c>
      <c r="V2699">
        <v>95.1</v>
      </c>
      <c r="W2699">
        <v>432339</v>
      </c>
      <c r="X2699">
        <v>94.97</v>
      </c>
      <c r="Y2699">
        <v>95.1</v>
      </c>
      <c r="Z2699">
        <v>103</v>
      </c>
      <c r="AA2699">
        <v>200000</v>
      </c>
      <c r="AB2699">
        <v>1902</v>
      </c>
      <c r="AC2699">
        <v>0</v>
      </c>
      <c r="AD2699" t="s">
        <v>94</v>
      </c>
      <c r="AE2699" t="s">
        <v>94</v>
      </c>
      <c r="AF2699" t="s">
        <v>226</v>
      </c>
      <c r="AG2699" t="s">
        <v>226</v>
      </c>
      <c r="AH2699">
        <v>800</v>
      </c>
      <c r="AI2699" t="s">
        <v>3537</v>
      </c>
      <c r="AJ2699" t="s">
        <v>1976</v>
      </c>
      <c r="AK2699" t="s">
        <v>2416</v>
      </c>
      <c r="AL2699" t="s">
        <v>272</v>
      </c>
    </row>
    <row r="2700" spans="1:38">
      <c r="A2700" t="s">
        <v>11366</v>
      </c>
      <c r="B2700" t="s">
        <v>11367</v>
      </c>
      <c r="C2700" t="s">
        <v>11368</v>
      </c>
      <c r="D2700" t="s">
        <v>11368</v>
      </c>
      <c r="E2700" t="s">
        <v>11369</v>
      </c>
      <c r="F2700" t="s">
        <v>2413</v>
      </c>
      <c r="G2700">
        <v>2</v>
      </c>
      <c r="H2700">
        <v>1</v>
      </c>
      <c r="I2700">
        <v>0.01</v>
      </c>
      <c r="J2700">
        <v>360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80.2</v>
      </c>
      <c r="Y2700">
        <v>0</v>
      </c>
      <c r="Z2700">
        <v>0</v>
      </c>
      <c r="AA2700">
        <v>4500000</v>
      </c>
      <c r="AB2700">
        <v>0</v>
      </c>
      <c r="AC2700">
        <v>0</v>
      </c>
      <c r="AD2700" t="s">
        <v>94</v>
      </c>
      <c r="AE2700" t="s">
        <v>94</v>
      </c>
      <c r="AF2700" t="s">
        <v>226</v>
      </c>
      <c r="AG2700" t="s">
        <v>226</v>
      </c>
      <c r="AH2700">
        <v>6</v>
      </c>
      <c r="AI2700" t="s">
        <v>3537</v>
      </c>
      <c r="AJ2700" t="s">
        <v>1976</v>
      </c>
      <c r="AK2700" t="s">
        <v>2416</v>
      </c>
      <c r="AL2700" t="s">
        <v>272</v>
      </c>
    </row>
    <row r="2701" spans="1:38">
      <c r="A2701" t="s">
        <v>11370</v>
      </c>
      <c r="B2701" t="s">
        <v>11371</v>
      </c>
      <c r="C2701" t="s">
        <v>11372</v>
      </c>
      <c r="D2701" t="s">
        <v>11372</v>
      </c>
      <c r="E2701" t="s">
        <v>11373</v>
      </c>
      <c r="F2701" t="s">
        <v>2413</v>
      </c>
      <c r="G2701">
        <v>3</v>
      </c>
      <c r="H2701">
        <v>1</v>
      </c>
      <c r="I2701">
        <v>0.01</v>
      </c>
      <c r="J2701">
        <v>1000</v>
      </c>
      <c r="K2701">
        <v>0.48</v>
      </c>
      <c r="L2701">
        <v>91.32</v>
      </c>
      <c r="M2701">
        <v>90.74</v>
      </c>
      <c r="N2701">
        <v>89.82</v>
      </c>
      <c r="O2701">
        <v>91.32</v>
      </c>
      <c r="P2701">
        <v>0</v>
      </c>
      <c r="Q2701">
        <v>0</v>
      </c>
      <c r="R2701">
        <v>0</v>
      </c>
      <c r="S2701">
        <v>91.32</v>
      </c>
      <c r="T2701">
        <v>91.32</v>
      </c>
      <c r="U2701">
        <v>91.32</v>
      </c>
      <c r="V2701">
        <v>91.32</v>
      </c>
      <c r="W2701">
        <v>9132</v>
      </c>
      <c r="X2701">
        <v>90.41</v>
      </c>
      <c r="Y2701">
        <v>91.33</v>
      </c>
      <c r="Z2701">
        <v>3</v>
      </c>
      <c r="AA2701">
        <v>1343331</v>
      </c>
      <c r="AB2701">
        <v>3652.8</v>
      </c>
      <c r="AC2701">
        <v>0</v>
      </c>
      <c r="AD2701" t="s">
        <v>94</v>
      </c>
      <c r="AE2701" t="s">
        <v>94</v>
      </c>
      <c r="AF2701" t="s">
        <v>226</v>
      </c>
      <c r="AG2701" t="s">
        <v>226</v>
      </c>
      <c r="AH2701">
        <v>6</v>
      </c>
      <c r="AI2701" t="s">
        <v>3537</v>
      </c>
      <c r="AJ2701" t="s">
        <v>1976</v>
      </c>
      <c r="AK2701" t="s">
        <v>2416</v>
      </c>
      <c r="AL2701" t="s">
        <v>272</v>
      </c>
    </row>
    <row r="2702" spans="1:38">
      <c r="A2702" t="s">
        <v>11374</v>
      </c>
      <c r="B2702" t="s">
        <v>11375</v>
      </c>
      <c r="C2702" t="s">
        <v>11376</v>
      </c>
      <c r="D2702" t="s">
        <v>11376</v>
      </c>
      <c r="E2702" t="s">
        <v>11377</v>
      </c>
      <c r="F2702" t="s">
        <v>2413</v>
      </c>
      <c r="G2702">
        <v>2</v>
      </c>
      <c r="H2702">
        <v>1</v>
      </c>
      <c r="I2702">
        <v>0.01</v>
      </c>
      <c r="J2702">
        <v>1000</v>
      </c>
      <c r="K2702">
        <v>0.28999999999999998</v>
      </c>
      <c r="L2702">
        <v>98.28</v>
      </c>
      <c r="M2702">
        <v>97.99</v>
      </c>
      <c r="N2702">
        <v>97.96</v>
      </c>
      <c r="O2702">
        <v>98.3</v>
      </c>
      <c r="P2702">
        <v>0</v>
      </c>
      <c r="Q2702">
        <v>0</v>
      </c>
      <c r="R2702">
        <v>0</v>
      </c>
      <c r="S2702">
        <v>97.9</v>
      </c>
      <c r="T2702">
        <v>98.3</v>
      </c>
      <c r="U2702">
        <v>97</v>
      </c>
      <c r="V2702">
        <v>98.3</v>
      </c>
      <c r="W2702">
        <v>3811430</v>
      </c>
      <c r="X2702">
        <v>98.28</v>
      </c>
      <c r="Y2702">
        <v>98.29</v>
      </c>
      <c r="Z2702">
        <v>250</v>
      </c>
      <c r="AA2702">
        <v>6000000</v>
      </c>
      <c r="AB2702">
        <v>982.8</v>
      </c>
      <c r="AC2702">
        <v>0</v>
      </c>
      <c r="AD2702" t="s">
        <v>94</v>
      </c>
      <c r="AE2702" t="s">
        <v>94</v>
      </c>
      <c r="AF2702" t="s">
        <v>226</v>
      </c>
      <c r="AG2702" t="s">
        <v>226</v>
      </c>
      <c r="AH2702">
        <v>8</v>
      </c>
      <c r="AI2702" t="s">
        <v>3537</v>
      </c>
      <c r="AJ2702" t="s">
        <v>1976</v>
      </c>
      <c r="AK2702" t="s">
        <v>2416</v>
      </c>
      <c r="AL2702" t="s">
        <v>272</v>
      </c>
    </row>
    <row r="2703" spans="1:38">
      <c r="A2703" t="s">
        <v>11378</v>
      </c>
      <c r="B2703" t="s">
        <v>2724</v>
      </c>
      <c r="C2703" t="s">
        <v>2725</v>
      </c>
      <c r="D2703" t="s">
        <v>2725</v>
      </c>
      <c r="E2703" t="s">
        <v>2726</v>
      </c>
      <c r="F2703" t="s">
        <v>2425</v>
      </c>
      <c r="G2703">
        <v>1</v>
      </c>
      <c r="H2703">
        <v>100</v>
      </c>
      <c r="I2703">
        <v>1E-4</v>
      </c>
      <c r="J2703">
        <v>100</v>
      </c>
      <c r="K2703">
        <v>0</v>
      </c>
      <c r="L2703">
        <v>0</v>
      </c>
      <c r="M2703">
        <v>66</v>
      </c>
      <c r="N2703">
        <v>0</v>
      </c>
      <c r="O2703">
        <v>66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51.000100000000003</v>
      </c>
      <c r="Y2703">
        <v>71.571399999999997</v>
      </c>
      <c r="Z2703">
        <v>0</v>
      </c>
      <c r="AA2703">
        <v>1000000</v>
      </c>
      <c r="AB2703">
        <v>0</v>
      </c>
      <c r="AC2703">
        <v>0</v>
      </c>
      <c r="AD2703" t="s">
        <v>2</v>
      </c>
      <c r="AE2703" t="s">
        <v>94</v>
      </c>
      <c r="AF2703" t="s">
        <v>226</v>
      </c>
      <c r="AG2703" t="s">
        <v>226</v>
      </c>
      <c r="AH2703">
        <v>800</v>
      </c>
      <c r="AI2703" t="s">
        <v>3537</v>
      </c>
      <c r="AJ2703" t="s">
        <v>1976</v>
      </c>
      <c r="AK2703" t="s">
        <v>2426</v>
      </c>
      <c r="AL2703" t="s">
        <v>272</v>
      </c>
    </row>
    <row r="2704" spans="1:38">
      <c r="A2704" t="s">
        <v>11379</v>
      </c>
      <c r="B2704" t="s">
        <v>2728</v>
      </c>
      <c r="C2704" t="s">
        <v>2729</v>
      </c>
      <c r="D2704" t="s">
        <v>2729</v>
      </c>
      <c r="E2704" t="s">
        <v>2730</v>
      </c>
      <c r="F2704" t="s">
        <v>2425</v>
      </c>
      <c r="G2704">
        <v>1</v>
      </c>
      <c r="H2704">
        <v>100</v>
      </c>
      <c r="I2704">
        <v>1E-4</v>
      </c>
      <c r="J2704">
        <v>100</v>
      </c>
      <c r="K2704">
        <v>0</v>
      </c>
      <c r="L2704">
        <v>0</v>
      </c>
      <c r="M2704">
        <v>90</v>
      </c>
      <c r="N2704">
        <v>0</v>
      </c>
      <c r="O2704">
        <v>90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1500000</v>
      </c>
      <c r="AB2704">
        <v>0</v>
      </c>
      <c r="AC2704">
        <v>0</v>
      </c>
      <c r="AD2704" t="s">
        <v>2</v>
      </c>
      <c r="AE2704" t="s">
        <v>94</v>
      </c>
      <c r="AF2704" t="s">
        <v>226</v>
      </c>
      <c r="AG2704" t="s">
        <v>226</v>
      </c>
      <c r="AH2704">
        <v>6</v>
      </c>
      <c r="AI2704" t="s">
        <v>3537</v>
      </c>
      <c r="AJ2704" t="s">
        <v>1976</v>
      </c>
      <c r="AK2704" t="s">
        <v>2426</v>
      </c>
      <c r="AL2704" t="s">
        <v>272</v>
      </c>
    </row>
    <row r="2705" spans="1:38">
      <c r="A2705" t="s">
        <v>11380</v>
      </c>
      <c r="B2705" t="s">
        <v>11381</v>
      </c>
      <c r="C2705" t="s">
        <v>11382</v>
      </c>
      <c r="D2705" t="s">
        <v>11382</v>
      </c>
      <c r="E2705" t="s">
        <v>11383</v>
      </c>
      <c r="F2705" t="s">
        <v>2413</v>
      </c>
      <c r="G2705">
        <v>1</v>
      </c>
      <c r="H2705">
        <v>1</v>
      </c>
      <c r="I2705">
        <v>0.01</v>
      </c>
      <c r="J2705">
        <v>1000</v>
      </c>
      <c r="K2705">
        <v>-0.04</v>
      </c>
      <c r="L2705">
        <v>96.79</v>
      </c>
      <c r="M2705">
        <v>96.83</v>
      </c>
      <c r="N2705">
        <v>96.67</v>
      </c>
      <c r="O2705">
        <v>96.79</v>
      </c>
      <c r="P2705">
        <v>0</v>
      </c>
      <c r="Q2705">
        <v>0</v>
      </c>
      <c r="R2705">
        <v>0</v>
      </c>
      <c r="S2705">
        <v>96.7</v>
      </c>
      <c r="T2705">
        <v>96.83</v>
      </c>
      <c r="U2705">
        <v>96.21</v>
      </c>
      <c r="V2705">
        <v>96.83</v>
      </c>
      <c r="W2705">
        <v>9670</v>
      </c>
      <c r="X2705">
        <v>96.49</v>
      </c>
      <c r="Y2705">
        <v>96.79</v>
      </c>
      <c r="Z2705">
        <v>10</v>
      </c>
      <c r="AA2705">
        <v>9982652</v>
      </c>
      <c r="AB2705">
        <v>967.9</v>
      </c>
      <c r="AC2705">
        <v>0</v>
      </c>
      <c r="AD2705" t="s">
        <v>94</v>
      </c>
      <c r="AE2705" t="s">
        <v>94</v>
      </c>
      <c r="AF2705" t="s">
        <v>226</v>
      </c>
      <c r="AG2705" t="s">
        <v>226</v>
      </c>
      <c r="AH2705">
        <v>6</v>
      </c>
      <c r="AI2705" t="s">
        <v>3537</v>
      </c>
      <c r="AJ2705" t="s">
        <v>1976</v>
      </c>
      <c r="AK2705" t="s">
        <v>2416</v>
      </c>
      <c r="AL2705" t="s">
        <v>272</v>
      </c>
    </row>
    <row r="2706" spans="1:38">
      <c r="A2706" t="s">
        <v>11384</v>
      </c>
      <c r="B2706" t="s">
        <v>11385</v>
      </c>
      <c r="C2706" t="s">
        <v>11386</v>
      </c>
      <c r="D2706" t="s">
        <v>11386</v>
      </c>
      <c r="E2706" t="s">
        <v>11387</v>
      </c>
      <c r="F2706" t="s">
        <v>2413</v>
      </c>
      <c r="G2706">
        <v>3</v>
      </c>
      <c r="H2706">
        <v>1</v>
      </c>
      <c r="I2706">
        <v>0.01</v>
      </c>
      <c r="J2706">
        <v>1000</v>
      </c>
      <c r="K2706">
        <v>0</v>
      </c>
      <c r="L2706">
        <v>0</v>
      </c>
      <c r="M2706">
        <v>100</v>
      </c>
      <c r="N2706">
        <v>0</v>
      </c>
      <c r="O2706">
        <v>100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38680</v>
      </c>
      <c r="AB2706">
        <v>0</v>
      </c>
      <c r="AC2706">
        <v>0</v>
      </c>
      <c r="AD2706" t="s">
        <v>94</v>
      </c>
      <c r="AE2706" t="s">
        <v>94</v>
      </c>
      <c r="AF2706" t="s">
        <v>226</v>
      </c>
      <c r="AG2706" t="s">
        <v>226</v>
      </c>
      <c r="AH2706">
        <v>8</v>
      </c>
      <c r="AI2706" t="s">
        <v>3537</v>
      </c>
      <c r="AJ2706" t="s">
        <v>1976</v>
      </c>
      <c r="AK2706" t="s">
        <v>2416</v>
      </c>
      <c r="AL2706" t="s">
        <v>272</v>
      </c>
    </row>
    <row r="2707" spans="1:38">
      <c r="A2707" t="s">
        <v>11388</v>
      </c>
      <c r="B2707" t="s">
        <v>11389</v>
      </c>
      <c r="C2707" t="s">
        <v>11390</v>
      </c>
      <c r="D2707" t="s">
        <v>11390</v>
      </c>
      <c r="E2707" t="s">
        <v>11391</v>
      </c>
      <c r="F2707" t="s">
        <v>2413</v>
      </c>
      <c r="G2707">
        <v>1</v>
      </c>
      <c r="H2707">
        <v>1</v>
      </c>
      <c r="I2707">
        <v>0.01</v>
      </c>
      <c r="J2707">
        <v>1000</v>
      </c>
      <c r="K2707">
        <v>-0.02</v>
      </c>
      <c r="L2707">
        <v>96.28</v>
      </c>
      <c r="M2707">
        <v>96.21</v>
      </c>
      <c r="N2707">
        <v>95.59</v>
      </c>
      <c r="O2707">
        <v>96.28</v>
      </c>
      <c r="P2707">
        <v>0</v>
      </c>
      <c r="Q2707">
        <v>0</v>
      </c>
      <c r="R2707">
        <v>0</v>
      </c>
      <c r="S2707">
        <v>96.03</v>
      </c>
      <c r="T2707">
        <v>96.06</v>
      </c>
      <c r="U2707">
        <v>96.02</v>
      </c>
      <c r="V2707">
        <v>96.28</v>
      </c>
      <c r="W2707">
        <v>44173</v>
      </c>
      <c r="X2707">
        <v>96.14</v>
      </c>
      <c r="Y2707">
        <v>96.29</v>
      </c>
      <c r="Z2707">
        <v>4</v>
      </c>
      <c r="AA2707">
        <v>9948644</v>
      </c>
      <c r="AB2707">
        <v>962.8</v>
      </c>
      <c r="AC2707">
        <v>0</v>
      </c>
      <c r="AD2707" t="s">
        <v>94</v>
      </c>
      <c r="AE2707" t="s">
        <v>94</v>
      </c>
      <c r="AF2707" t="s">
        <v>226</v>
      </c>
      <c r="AG2707" t="s">
        <v>226</v>
      </c>
      <c r="AH2707">
        <v>6</v>
      </c>
      <c r="AI2707" t="s">
        <v>3537</v>
      </c>
      <c r="AJ2707" t="s">
        <v>1976</v>
      </c>
      <c r="AK2707" t="s">
        <v>2416</v>
      </c>
      <c r="AL2707" t="s">
        <v>272</v>
      </c>
    </row>
    <row r="2708" spans="1:38">
      <c r="A2708" t="s">
        <v>11392</v>
      </c>
      <c r="B2708" t="s">
        <v>11393</v>
      </c>
      <c r="C2708" t="s">
        <v>11394</v>
      </c>
      <c r="D2708" t="s">
        <v>11394</v>
      </c>
      <c r="E2708" t="s">
        <v>11395</v>
      </c>
      <c r="F2708" t="s">
        <v>2413</v>
      </c>
      <c r="G2708">
        <v>1</v>
      </c>
      <c r="H2708">
        <v>1</v>
      </c>
      <c r="I2708">
        <v>0.01</v>
      </c>
      <c r="J2708">
        <v>1000</v>
      </c>
      <c r="K2708">
        <v>0.3</v>
      </c>
      <c r="L2708">
        <v>96.59</v>
      </c>
      <c r="M2708">
        <v>96.31</v>
      </c>
      <c r="N2708">
        <v>95.93</v>
      </c>
      <c r="O2708">
        <v>96.59</v>
      </c>
      <c r="P2708">
        <v>0</v>
      </c>
      <c r="Q2708">
        <v>0</v>
      </c>
      <c r="R2708">
        <v>0</v>
      </c>
      <c r="S2708">
        <v>96.59</v>
      </c>
      <c r="T2708">
        <v>96.59</v>
      </c>
      <c r="U2708">
        <v>96.59</v>
      </c>
      <c r="V2708">
        <v>96.59</v>
      </c>
      <c r="W2708">
        <v>3864</v>
      </c>
      <c r="X2708">
        <v>96.59</v>
      </c>
      <c r="Y2708">
        <v>96.72</v>
      </c>
      <c r="Z2708">
        <v>1</v>
      </c>
      <c r="AA2708">
        <v>11933358</v>
      </c>
      <c r="AB2708">
        <v>3863.6</v>
      </c>
      <c r="AC2708">
        <v>0</v>
      </c>
      <c r="AD2708" t="s">
        <v>94</v>
      </c>
      <c r="AE2708" t="s">
        <v>94</v>
      </c>
      <c r="AF2708" t="s">
        <v>226</v>
      </c>
      <c r="AG2708" t="s">
        <v>226</v>
      </c>
      <c r="AH2708">
        <v>6</v>
      </c>
      <c r="AI2708" t="s">
        <v>3537</v>
      </c>
      <c r="AJ2708" t="s">
        <v>1976</v>
      </c>
      <c r="AK2708" t="s">
        <v>2416</v>
      </c>
      <c r="AL2708" t="s">
        <v>272</v>
      </c>
    </row>
    <row r="2709" spans="1:38">
      <c r="A2709" t="s">
        <v>11396</v>
      </c>
      <c r="B2709" t="s">
        <v>11397</v>
      </c>
      <c r="C2709" t="s">
        <v>11398</v>
      </c>
      <c r="D2709" t="s">
        <v>11398</v>
      </c>
      <c r="E2709" t="s">
        <v>11399</v>
      </c>
      <c r="F2709" t="s">
        <v>2413</v>
      </c>
      <c r="G2709">
        <v>1</v>
      </c>
      <c r="H2709">
        <v>1</v>
      </c>
      <c r="I2709">
        <v>0.01</v>
      </c>
      <c r="J2709">
        <v>1000</v>
      </c>
      <c r="K2709">
        <v>0.11</v>
      </c>
      <c r="L2709">
        <v>98.9</v>
      </c>
      <c r="M2709">
        <v>98.79</v>
      </c>
      <c r="N2709">
        <v>98.81</v>
      </c>
      <c r="O2709">
        <v>98.9</v>
      </c>
      <c r="P2709">
        <v>0</v>
      </c>
      <c r="Q2709">
        <v>0</v>
      </c>
      <c r="R2709">
        <v>0</v>
      </c>
      <c r="S2709">
        <v>98.91</v>
      </c>
      <c r="T2709">
        <v>98.89</v>
      </c>
      <c r="U2709">
        <v>98.8</v>
      </c>
      <c r="V2709">
        <v>99.19</v>
      </c>
      <c r="W2709">
        <v>12992677</v>
      </c>
      <c r="X2709">
        <v>98.89</v>
      </c>
      <c r="Y2709">
        <v>98.9</v>
      </c>
      <c r="Z2709">
        <v>468</v>
      </c>
      <c r="AA2709">
        <v>22000000</v>
      </c>
      <c r="AB2709">
        <v>9890</v>
      </c>
      <c r="AC2709">
        <v>0</v>
      </c>
      <c r="AD2709" t="s">
        <v>94</v>
      </c>
      <c r="AE2709" t="s">
        <v>94</v>
      </c>
      <c r="AF2709" t="s">
        <v>226</v>
      </c>
      <c r="AG2709" t="s">
        <v>226</v>
      </c>
      <c r="AH2709">
        <v>8</v>
      </c>
      <c r="AI2709" t="s">
        <v>3537</v>
      </c>
      <c r="AJ2709" t="s">
        <v>1976</v>
      </c>
      <c r="AK2709" t="s">
        <v>2416</v>
      </c>
      <c r="AL2709" t="s">
        <v>272</v>
      </c>
    </row>
    <row r="2710" spans="1:38">
      <c r="A2710" t="s">
        <v>11400</v>
      </c>
      <c r="B2710" t="s">
        <v>11401</v>
      </c>
      <c r="C2710" t="s">
        <v>11402</v>
      </c>
      <c r="D2710" t="s">
        <v>11402</v>
      </c>
      <c r="E2710" t="s">
        <v>11403</v>
      </c>
      <c r="F2710" t="s">
        <v>2425</v>
      </c>
      <c r="G2710">
        <v>3</v>
      </c>
      <c r="H2710">
        <v>1</v>
      </c>
      <c r="I2710">
        <v>1E-4</v>
      </c>
      <c r="J2710">
        <v>1000</v>
      </c>
      <c r="K2710">
        <v>-0.26</v>
      </c>
      <c r="L2710">
        <v>61.589300000000001</v>
      </c>
      <c r="M2710">
        <v>61.750100000000003</v>
      </c>
      <c r="N2710">
        <v>63.207700000000003</v>
      </c>
      <c r="O2710">
        <v>61.589300000000001</v>
      </c>
      <c r="P2710">
        <v>0</v>
      </c>
      <c r="Q2710">
        <v>0</v>
      </c>
      <c r="R2710">
        <v>0</v>
      </c>
      <c r="S2710">
        <v>61.589300000000001</v>
      </c>
      <c r="T2710">
        <v>61.589399999999998</v>
      </c>
      <c r="U2710">
        <v>61.589300000000001</v>
      </c>
      <c r="V2710">
        <v>61.589399999999998</v>
      </c>
      <c r="W2710">
        <v>196201</v>
      </c>
      <c r="X2710">
        <v>60.000500000000002</v>
      </c>
      <c r="Y2710">
        <v>61.966500000000003</v>
      </c>
      <c r="Z2710">
        <v>3</v>
      </c>
      <c r="AA2710">
        <v>113051</v>
      </c>
      <c r="AB2710">
        <v>65400.32</v>
      </c>
      <c r="AC2710">
        <v>0</v>
      </c>
      <c r="AD2710" t="s">
        <v>2</v>
      </c>
      <c r="AE2710" t="s">
        <v>94</v>
      </c>
      <c r="AF2710" t="s">
        <v>304</v>
      </c>
      <c r="AG2710" t="s">
        <v>226</v>
      </c>
      <c r="AH2710">
        <v>0</v>
      </c>
      <c r="AI2710" t="s">
        <v>3537</v>
      </c>
      <c r="AJ2710" t="s">
        <v>1976</v>
      </c>
      <c r="AK2710" t="s">
        <v>2426</v>
      </c>
      <c r="AL2710" t="s">
        <v>272</v>
      </c>
    </row>
    <row r="2711" spans="1:38">
      <c r="A2711" t="s">
        <v>11404</v>
      </c>
      <c r="B2711" t="s">
        <v>11405</v>
      </c>
      <c r="C2711" t="s">
        <v>11406</v>
      </c>
      <c r="D2711" t="s">
        <v>11406</v>
      </c>
      <c r="E2711" t="s">
        <v>11407</v>
      </c>
      <c r="F2711" t="s">
        <v>2425</v>
      </c>
      <c r="G2711">
        <v>3</v>
      </c>
      <c r="H2711">
        <v>1</v>
      </c>
      <c r="I2711">
        <v>1E-4</v>
      </c>
      <c r="J2711">
        <v>1000</v>
      </c>
      <c r="K2711">
        <v>0</v>
      </c>
      <c r="L2711">
        <v>0</v>
      </c>
      <c r="M2711">
        <v>75.819199999999995</v>
      </c>
      <c r="N2711">
        <v>72.645499999999998</v>
      </c>
      <c r="O2711">
        <v>75.819199999999995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71.5715</v>
      </c>
      <c r="Y2711">
        <v>74.068799999999996</v>
      </c>
      <c r="Z2711">
        <v>0</v>
      </c>
      <c r="AA2711">
        <v>8120</v>
      </c>
      <c r="AB2711">
        <v>0</v>
      </c>
      <c r="AC2711">
        <v>0</v>
      </c>
      <c r="AD2711" t="s">
        <v>2</v>
      </c>
      <c r="AE2711" t="s">
        <v>94</v>
      </c>
      <c r="AF2711" t="s">
        <v>304</v>
      </c>
      <c r="AG2711" t="s">
        <v>226</v>
      </c>
      <c r="AH2711">
        <v>0</v>
      </c>
      <c r="AI2711" t="s">
        <v>3537</v>
      </c>
      <c r="AJ2711" t="s">
        <v>1976</v>
      </c>
      <c r="AK2711" t="s">
        <v>2426</v>
      </c>
      <c r="AL2711" t="s">
        <v>272</v>
      </c>
    </row>
    <row r="2712" spans="1:38">
      <c r="A2712" t="s">
        <v>11408</v>
      </c>
      <c r="B2712" t="s">
        <v>11409</v>
      </c>
      <c r="C2712" t="s">
        <v>11410</v>
      </c>
      <c r="D2712" t="s">
        <v>11410</v>
      </c>
      <c r="E2712" t="s">
        <v>11411</v>
      </c>
      <c r="F2712" t="s">
        <v>2425</v>
      </c>
      <c r="G2712">
        <v>3</v>
      </c>
      <c r="H2712">
        <v>1</v>
      </c>
      <c r="I2712">
        <v>1E-4</v>
      </c>
      <c r="J2712">
        <v>1000</v>
      </c>
      <c r="K2712">
        <v>0</v>
      </c>
      <c r="L2712">
        <v>0</v>
      </c>
      <c r="M2712">
        <v>35.024700000000003</v>
      </c>
      <c r="N2712">
        <v>39.895200000000003</v>
      </c>
      <c r="O2712">
        <v>35.024700000000003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32.100299999999997</v>
      </c>
      <c r="Y2712">
        <v>44.908900000000003</v>
      </c>
      <c r="Z2712">
        <v>0</v>
      </c>
      <c r="AA2712">
        <v>4875</v>
      </c>
      <c r="AB2712">
        <v>0</v>
      </c>
      <c r="AC2712">
        <v>0</v>
      </c>
      <c r="AD2712" t="s">
        <v>2</v>
      </c>
      <c r="AE2712" t="s">
        <v>94</v>
      </c>
      <c r="AF2712" t="s">
        <v>304</v>
      </c>
      <c r="AG2712" t="s">
        <v>226</v>
      </c>
      <c r="AH2712">
        <v>0</v>
      </c>
      <c r="AI2712" t="s">
        <v>3537</v>
      </c>
      <c r="AJ2712" t="s">
        <v>1976</v>
      </c>
      <c r="AK2712" t="s">
        <v>2426</v>
      </c>
      <c r="AL2712" t="s">
        <v>272</v>
      </c>
    </row>
    <row r="2713" spans="1:38">
      <c r="A2713" t="s">
        <v>11412</v>
      </c>
      <c r="B2713" t="s">
        <v>11413</v>
      </c>
      <c r="C2713" t="s">
        <v>11414</v>
      </c>
      <c r="D2713" t="s">
        <v>11414</v>
      </c>
      <c r="E2713" t="s">
        <v>11415</v>
      </c>
      <c r="F2713" t="s">
        <v>2425</v>
      </c>
      <c r="G2713">
        <v>3</v>
      </c>
      <c r="H2713">
        <v>1</v>
      </c>
      <c r="I2713">
        <v>1E-4</v>
      </c>
      <c r="J2713">
        <v>1000</v>
      </c>
      <c r="K2713">
        <v>1.17</v>
      </c>
      <c r="L2713">
        <v>84.000900000000001</v>
      </c>
      <c r="M2713">
        <v>86.297200000000004</v>
      </c>
      <c r="N2713">
        <v>84.282499999999999</v>
      </c>
      <c r="O2713">
        <v>84.000900000000001</v>
      </c>
      <c r="P2713">
        <v>0</v>
      </c>
      <c r="Q2713">
        <v>0</v>
      </c>
      <c r="R2713">
        <v>0</v>
      </c>
      <c r="S2713">
        <v>84.000900000000001</v>
      </c>
      <c r="T2713">
        <v>84.000900000000001</v>
      </c>
      <c r="U2713">
        <v>84.000900000000001</v>
      </c>
      <c r="V2713">
        <v>84.000900000000001</v>
      </c>
      <c r="W2713">
        <v>89199</v>
      </c>
      <c r="X2713">
        <v>83.001099999999994</v>
      </c>
      <c r="Y2713">
        <v>84.000900000000001</v>
      </c>
      <c r="Z2713">
        <v>1</v>
      </c>
      <c r="AA2713">
        <v>22227</v>
      </c>
      <c r="AB2713">
        <v>89198.71</v>
      </c>
      <c r="AC2713">
        <v>0</v>
      </c>
      <c r="AD2713" t="s">
        <v>2</v>
      </c>
      <c r="AE2713" t="s">
        <v>94</v>
      </c>
      <c r="AF2713" t="s">
        <v>304</v>
      </c>
      <c r="AG2713" t="s">
        <v>226</v>
      </c>
      <c r="AH2713">
        <v>0</v>
      </c>
      <c r="AI2713" t="s">
        <v>3537</v>
      </c>
      <c r="AJ2713" t="s">
        <v>1976</v>
      </c>
      <c r="AK2713" t="s">
        <v>2426</v>
      </c>
      <c r="AL2713" t="s">
        <v>272</v>
      </c>
    </row>
    <row r="2714" spans="1:38">
      <c r="A2714" t="s">
        <v>11416</v>
      </c>
      <c r="B2714" t="s">
        <v>11417</v>
      </c>
      <c r="C2714" t="s">
        <v>11418</v>
      </c>
      <c r="D2714" t="s">
        <v>11418</v>
      </c>
      <c r="E2714" t="s">
        <v>11419</v>
      </c>
      <c r="F2714" t="s">
        <v>2425</v>
      </c>
      <c r="G2714">
        <v>3</v>
      </c>
      <c r="H2714">
        <v>1</v>
      </c>
      <c r="I2714">
        <v>1E-4</v>
      </c>
      <c r="J2714">
        <v>200000</v>
      </c>
      <c r="K2714">
        <v>0</v>
      </c>
      <c r="L2714">
        <v>0</v>
      </c>
      <c r="M2714">
        <v>76</v>
      </c>
      <c r="N2714">
        <v>0</v>
      </c>
      <c r="O2714">
        <v>76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68.400000000000006</v>
      </c>
      <c r="Z2714">
        <v>0</v>
      </c>
      <c r="AA2714">
        <v>818</v>
      </c>
      <c r="AB2714">
        <v>0</v>
      </c>
      <c r="AC2714">
        <v>0</v>
      </c>
      <c r="AD2714" t="s">
        <v>2</v>
      </c>
      <c r="AE2714" t="s">
        <v>94</v>
      </c>
      <c r="AF2714" t="s">
        <v>304</v>
      </c>
      <c r="AG2714" t="s">
        <v>226</v>
      </c>
      <c r="AH2714">
        <v>0</v>
      </c>
      <c r="AI2714" t="s">
        <v>3537</v>
      </c>
      <c r="AJ2714" t="s">
        <v>1976</v>
      </c>
      <c r="AK2714" t="s">
        <v>2426</v>
      </c>
      <c r="AL2714" t="s">
        <v>272</v>
      </c>
    </row>
    <row r="2715" spans="1:38">
      <c r="A2715" t="s">
        <v>11420</v>
      </c>
      <c r="B2715" t="s">
        <v>11421</v>
      </c>
      <c r="C2715" t="s">
        <v>11422</v>
      </c>
      <c r="D2715" t="s">
        <v>11422</v>
      </c>
      <c r="E2715" t="s">
        <v>11423</v>
      </c>
      <c r="F2715" t="s">
        <v>2413</v>
      </c>
      <c r="G2715">
        <v>3</v>
      </c>
      <c r="H2715">
        <v>1</v>
      </c>
      <c r="I2715">
        <v>0.01</v>
      </c>
      <c r="J2715">
        <v>960</v>
      </c>
      <c r="K2715">
        <v>-1.48</v>
      </c>
      <c r="L2715">
        <v>97.51</v>
      </c>
      <c r="M2715">
        <v>98.97</v>
      </c>
      <c r="N2715">
        <v>99.21</v>
      </c>
      <c r="O2715">
        <v>97.49</v>
      </c>
      <c r="P2715">
        <v>0</v>
      </c>
      <c r="Q2715">
        <v>0</v>
      </c>
      <c r="R2715">
        <v>0</v>
      </c>
      <c r="S2715">
        <v>98.18</v>
      </c>
      <c r="T2715">
        <v>99</v>
      </c>
      <c r="U2715">
        <v>96.51</v>
      </c>
      <c r="V2715">
        <v>99</v>
      </c>
      <c r="W2715">
        <v>379826</v>
      </c>
      <c r="X2715">
        <v>97.53</v>
      </c>
      <c r="Y2715">
        <v>97.84</v>
      </c>
      <c r="Z2715">
        <v>94</v>
      </c>
      <c r="AA2715">
        <v>500000</v>
      </c>
      <c r="AB2715">
        <v>6552.67</v>
      </c>
      <c r="AC2715">
        <v>0</v>
      </c>
      <c r="AD2715" t="s">
        <v>94</v>
      </c>
      <c r="AE2715" t="s">
        <v>94</v>
      </c>
      <c r="AF2715" t="s">
        <v>226</v>
      </c>
      <c r="AG2715" t="s">
        <v>226</v>
      </c>
      <c r="AH2715">
        <v>6</v>
      </c>
      <c r="AI2715" t="s">
        <v>3537</v>
      </c>
      <c r="AJ2715" t="s">
        <v>1976</v>
      </c>
      <c r="AK2715" t="s">
        <v>2416</v>
      </c>
      <c r="AL2715" t="s">
        <v>272</v>
      </c>
    </row>
    <row r="2716" spans="1:38">
      <c r="A2716" t="s">
        <v>11424</v>
      </c>
      <c r="B2716" t="s">
        <v>11425</v>
      </c>
      <c r="C2716" t="s">
        <v>11426</v>
      </c>
      <c r="D2716" t="s">
        <v>11426</v>
      </c>
      <c r="E2716" t="s">
        <v>11427</v>
      </c>
      <c r="F2716" t="s">
        <v>2413</v>
      </c>
      <c r="G2716">
        <v>3</v>
      </c>
      <c r="H2716">
        <v>1</v>
      </c>
      <c r="I2716">
        <v>0.01</v>
      </c>
      <c r="J2716">
        <v>1000</v>
      </c>
      <c r="K2716">
        <v>0</v>
      </c>
      <c r="L2716">
        <v>0</v>
      </c>
      <c r="M2716">
        <v>110</v>
      </c>
      <c r="N2716">
        <v>0</v>
      </c>
      <c r="O2716">
        <v>110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93</v>
      </c>
      <c r="Y2716">
        <v>110</v>
      </c>
      <c r="Z2716">
        <v>0</v>
      </c>
      <c r="AA2716">
        <v>1500000</v>
      </c>
      <c r="AB2716">
        <v>0</v>
      </c>
      <c r="AC2716">
        <v>0</v>
      </c>
      <c r="AD2716" t="s">
        <v>94</v>
      </c>
      <c r="AE2716" t="s">
        <v>94</v>
      </c>
      <c r="AF2716" t="s">
        <v>226</v>
      </c>
      <c r="AG2716" t="s">
        <v>226</v>
      </c>
      <c r="AH2716">
        <v>6</v>
      </c>
      <c r="AI2716" t="s">
        <v>3537</v>
      </c>
      <c r="AJ2716" t="s">
        <v>1976</v>
      </c>
      <c r="AK2716" t="s">
        <v>2416</v>
      </c>
      <c r="AL2716" t="s">
        <v>272</v>
      </c>
    </row>
    <row r="2717" spans="1:38">
      <c r="A2717" t="s">
        <v>11428</v>
      </c>
      <c r="B2717" t="s">
        <v>11429</v>
      </c>
      <c r="C2717" t="s">
        <v>11430</v>
      </c>
      <c r="D2717" t="s">
        <v>11430</v>
      </c>
      <c r="E2717" t="s">
        <v>11431</v>
      </c>
      <c r="F2717" t="s">
        <v>2413</v>
      </c>
      <c r="G2717">
        <v>3</v>
      </c>
      <c r="H2717">
        <v>1</v>
      </c>
      <c r="I2717">
        <v>0.01</v>
      </c>
      <c r="J2717">
        <v>1000</v>
      </c>
      <c r="K2717">
        <v>-1.1000000000000001</v>
      </c>
      <c r="L2717">
        <v>89</v>
      </c>
      <c r="M2717">
        <v>89.99</v>
      </c>
      <c r="N2717">
        <v>92.54</v>
      </c>
      <c r="O2717">
        <v>89</v>
      </c>
      <c r="P2717">
        <v>0</v>
      </c>
      <c r="Q2717">
        <v>0</v>
      </c>
      <c r="R2717">
        <v>0</v>
      </c>
      <c r="S2717">
        <v>89.56</v>
      </c>
      <c r="T2717">
        <v>93.99</v>
      </c>
      <c r="U2717">
        <v>88.76</v>
      </c>
      <c r="V2717">
        <v>93.99</v>
      </c>
      <c r="W2717">
        <v>51048</v>
      </c>
      <c r="X2717">
        <v>88.8</v>
      </c>
      <c r="Y2717">
        <v>89</v>
      </c>
      <c r="Z2717">
        <v>13</v>
      </c>
      <c r="AA2717">
        <v>63758</v>
      </c>
      <c r="AB2717">
        <v>890</v>
      </c>
      <c r="AC2717">
        <v>0</v>
      </c>
      <c r="AD2717" t="s">
        <v>94</v>
      </c>
      <c r="AE2717" t="s">
        <v>94</v>
      </c>
      <c r="AF2717" t="s">
        <v>226</v>
      </c>
      <c r="AG2717" t="s">
        <v>226</v>
      </c>
      <c r="AH2717">
        <v>800</v>
      </c>
      <c r="AI2717" t="s">
        <v>3537</v>
      </c>
      <c r="AJ2717" t="s">
        <v>1976</v>
      </c>
      <c r="AK2717" t="s">
        <v>2416</v>
      </c>
      <c r="AL2717" t="s">
        <v>272</v>
      </c>
    </row>
    <row r="2718" spans="1:38">
      <c r="A2718" t="s">
        <v>11432</v>
      </c>
      <c r="B2718" t="s">
        <v>11433</v>
      </c>
      <c r="C2718" t="s">
        <v>11434</v>
      </c>
      <c r="D2718" t="s">
        <v>11434</v>
      </c>
      <c r="E2718" t="s">
        <v>11435</v>
      </c>
      <c r="F2718" t="s">
        <v>3754</v>
      </c>
      <c r="G2718">
        <v>1</v>
      </c>
      <c r="H2718">
        <v>1</v>
      </c>
      <c r="I2718">
        <v>0.01</v>
      </c>
      <c r="J2718">
        <v>500</v>
      </c>
      <c r="K2718">
        <v>0.21</v>
      </c>
      <c r="L2718">
        <v>81.03</v>
      </c>
      <c r="M2718">
        <v>80.86</v>
      </c>
      <c r="N2718">
        <v>79.040000000000006</v>
      </c>
      <c r="O2718">
        <v>81.03</v>
      </c>
      <c r="P2718">
        <v>0</v>
      </c>
      <c r="Q2718">
        <v>0</v>
      </c>
      <c r="R2718">
        <v>0</v>
      </c>
      <c r="S2718">
        <v>80.36</v>
      </c>
      <c r="T2718">
        <v>80.22</v>
      </c>
      <c r="U2718">
        <v>80.22</v>
      </c>
      <c r="V2718">
        <v>81.03</v>
      </c>
      <c r="W2718">
        <v>20091</v>
      </c>
      <c r="X2718">
        <v>80.239999999999995</v>
      </c>
      <c r="Y2718">
        <v>81.06</v>
      </c>
      <c r="Z2718">
        <v>7</v>
      </c>
      <c r="AA2718">
        <v>10000000</v>
      </c>
      <c r="AB2718">
        <v>405.15</v>
      </c>
      <c r="AC2718">
        <v>0</v>
      </c>
      <c r="AD2718" t="s">
        <v>94</v>
      </c>
      <c r="AE2718" t="s">
        <v>94</v>
      </c>
      <c r="AF2718" t="s">
        <v>226</v>
      </c>
      <c r="AG2718" t="s">
        <v>226</v>
      </c>
      <c r="AH2718">
        <v>-100</v>
      </c>
      <c r="AI2718" t="s">
        <v>3537</v>
      </c>
      <c r="AJ2718" t="s">
        <v>1976</v>
      </c>
      <c r="AK2718" t="s">
        <v>3755</v>
      </c>
      <c r="AL2718" t="s">
        <v>272</v>
      </c>
    </row>
    <row r="2719" spans="1:38">
      <c r="A2719" t="s">
        <v>11436</v>
      </c>
      <c r="B2719" t="s">
        <v>11437</v>
      </c>
      <c r="C2719" t="s">
        <v>11438</v>
      </c>
      <c r="D2719" t="s">
        <v>11438</v>
      </c>
      <c r="E2719" t="s">
        <v>11439</v>
      </c>
      <c r="F2719" t="s">
        <v>2425</v>
      </c>
      <c r="G2719">
        <v>3</v>
      </c>
      <c r="H2719">
        <v>1</v>
      </c>
      <c r="I2719">
        <v>0.01</v>
      </c>
      <c r="J2719">
        <v>1000</v>
      </c>
      <c r="K2719">
        <v>1.46</v>
      </c>
      <c r="L2719">
        <v>81.400000000000006</v>
      </c>
      <c r="M2719">
        <v>80.23</v>
      </c>
      <c r="N2719">
        <v>80.260000000000005</v>
      </c>
      <c r="O2719">
        <v>81.400000000000006</v>
      </c>
      <c r="P2719">
        <v>0</v>
      </c>
      <c r="Q2719">
        <v>0</v>
      </c>
      <c r="R2719">
        <v>0</v>
      </c>
      <c r="S2719">
        <v>81.22</v>
      </c>
      <c r="T2719">
        <v>80.680000000000007</v>
      </c>
      <c r="U2719">
        <v>80.64</v>
      </c>
      <c r="V2719">
        <v>81.5</v>
      </c>
      <c r="W2719">
        <v>691987</v>
      </c>
      <c r="X2719">
        <v>81.39</v>
      </c>
      <c r="Y2719">
        <v>81.400000000000006</v>
      </c>
      <c r="Z2719">
        <v>125</v>
      </c>
      <c r="AA2719">
        <v>1000000</v>
      </c>
      <c r="AB2719">
        <v>814</v>
      </c>
      <c r="AC2719">
        <v>0</v>
      </c>
      <c r="AD2719" t="s">
        <v>94</v>
      </c>
      <c r="AE2719" t="s">
        <v>94</v>
      </c>
      <c r="AF2719" t="s">
        <v>226</v>
      </c>
      <c r="AG2719" t="s">
        <v>226</v>
      </c>
      <c r="AH2719">
        <v>6</v>
      </c>
      <c r="AI2719" t="s">
        <v>3537</v>
      </c>
      <c r="AJ2719" t="s">
        <v>1976</v>
      </c>
      <c r="AK2719" t="s">
        <v>2426</v>
      </c>
      <c r="AL2719" t="s">
        <v>272</v>
      </c>
    </row>
    <row r="2720" spans="1:38">
      <c r="A2720" t="s">
        <v>11440</v>
      </c>
      <c r="B2720" t="s">
        <v>11441</v>
      </c>
      <c r="C2720" t="s">
        <v>11442</v>
      </c>
      <c r="D2720" t="s">
        <v>11442</v>
      </c>
      <c r="E2720" t="s">
        <v>11443</v>
      </c>
      <c r="F2720" t="s">
        <v>2413</v>
      </c>
      <c r="G2720">
        <v>3</v>
      </c>
      <c r="H2720">
        <v>1</v>
      </c>
      <c r="I2720">
        <v>0.01</v>
      </c>
      <c r="J2720">
        <v>1000</v>
      </c>
      <c r="K2720">
        <v>-0.22</v>
      </c>
      <c r="L2720">
        <v>86.1</v>
      </c>
      <c r="M2720">
        <v>86.29</v>
      </c>
      <c r="N2720">
        <v>86.47</v>
      </c>
      <c r="O2720">
        <v>86.1</v>
      </c>
      <c r="P2720">
        <v>0</v>
      </c>
      <c r="Q2720">
        <v>0</v>
      </c>
      <c r="R2720">
        <v>0</v>
      </c>
      <c r="S2720">
        <v>85.74</v>
      </c>
      <c r="T2720">
        <v>86.91</v>
      </c>
      <c r="U2720">
        <v>85.23</v>
      </c>
      <c r="V2720">
        <v>86.91</v>
      </c>
      <c r="W2720">
        <v>1256046</v>
      </c>
      <c r="X2720">
        <v>85.83</v>
      </c>
      <c r="Y2720">
        <v>86.1</v>
      </c>
      <c r="Z2720">
        <v>152</v>
      </c>
      <c r="AA2720">
        <v>300000</v>
      </c>
      <c r="AB2720">
        <v>861</v>
      </c>
      <c r="AC2720">
        <v>0</v>
      </c>
      <c r="AD2720" t="s">
        <v>94</v>
      </c>
      <c r="AE2720" t="s">
        <v>94</v>
      </c>
      <c r="AF2720" t="s">
        <v>226</v>
      </c>
      <c r="AG2720" t="s">
        <v>226</v>
      </c>
      <c r="AH2720">
        <v>6</v>
      </c>
      <c r="AI2720" t="s">
        <v>3537</v>
      </c>
      <c r="AJ2720" t="s">
        <v>1976</v>
      </c>
      <c r="AK2720" t="s">
        <v>2416</v>
      </c>
      <c r="AL2720" t="s">
        <v>272</v>
      </c>
    </row>
    <row r="2721" spans="1:38">
      <c r="A2721" t="s">
        <v>11444</v>
      </c>
      <c r="B2721" t="s">
        <v>11445</v>
      </c>
      <c r="C2721" t="s">
        <v>11446</v>
      </c>
      <c r="D2721" t="s">
        <v>11446</v>
      </c>
      <c r="E2721" t="s">
        <v>11447</v>
      </c>
      <c r="F2721" t="s">
        <v>2413</v>
      </c>
      <c r="G2721">
        <v>3</v>
      </c>
      <c r="H2721">
        <v>1</v>
      </c>
      <c r="I2721">
        <v>0.01</v>
      </c>
      <c r="J2721">
        <v>1000</v>
      </c>
      <c r="K2721">
        <v>0</v>
      </c>
      <c r="L2721">
        <v>0</v>
      </c>
      <c r="M2721">
        <v>99.9</v>
      </c>
      <c r="N2721">
        <v>99.92</v>
      </c>
      <c r="O2721">
        <v>99.9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99.9</v>
      </c>
      <c r="Y2721">
        <v>99.99</v>
      </c>
      <c r="Z2721">
        <v>0</v>
      </c>
      <c r="AA2721">
        <v>1000000</v>
      </c>
      <c r="AB2721">
        <v>0</v>
      </c>
      <c r="AC2721">
        <v>0</v>
      </c>
      <c r="AD2721" t="s">
        <v>94</v>
      </c>
      <c r="AE2721" t="s">
        <v>94</v>
      </c>
      <c r="AF2721" t="s">
        <v>226</v>
      </c>
      <c r="AG2721" t="s">
        <v>226</v>
      </c>
      <c r="AH2721">
        <v>6</v>
      </c>
      <c r="AI2721" t="s">
        <v>3537</v>
      </c>
      <c r="AJ2721" t="s">
        <v>1976</v>
      </c>
      <c r="AK2721" t="s">
        <v>2416</v>
      </c>
      <c r="AL2721" t="s">
        <v>272</v>
      </c>
    </row>
    <row r="2722" spans="1:38">
      <c r="A2722" t="s">
        <v>11448</v>
      </c>
      <c r="B2722" t="s">
        <v>11449</v>
      </c>
      <c r="C2722" t="s">
        <v>11450</v>
      </c>
      <c r="D2722" t="s">
        <v>11450</v>
      </c>
      <c r="E2722" t="s">
        <v>11451</v>
      </c>
      <c r="F2722" t="s">
        <v>2413</v>
      </c>
      <c r="G2722">
        <v>3</v>
      </c>
      <c r="H2722">
        <v>1</v>
      </c>
      <c r="I2722">
        <v>0.01</v>
      </c>
      <c r="J2722">
        <v>1000</v>
      </c>
      <c r="K2722">
        <v>0</v>
      </c>
      <c r="L2722">
        <v>0</v>
      </c>
      <c r="M2722">
        <v>99.9</v>
      </c>
      <c r="N2722">
        <v>0</v>
      </c>
      <c r="O2722">
        <v>99.9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99.9</v>
      </c>
      <c r="Y2722">
        <v>100</v>
      </c>
      <c r="Z2722">
        <v>0</v>
      </c>
      <c r="AA2722">
        <v>1250000</v>
      </c>
      <c r="AB2722">
        <v>0</v>
      </c>
      <c r="AC2722">
        <v>0</v>
      </c>
      <c r="AD2722" t="s">
        <v>94</v>
      </c>
      <c r="AE2722" t="s">
        <v>94</v>
      </c>
      <c r="AF2722" t="s">
        <v>226</v>
      </c>
      <c r="AG2722" t="s">
        <v>226</v>
      </c>
      <c r="AH2722">
        <v>6</v>
      </c>
      <c r="AI2722" t="s">
        <v>3537</v>
      </c>
      <c r="AJ2722" t="s">
        <v>1976</v>
      </c>
      <c r="AK2722" t="s">
        <v>2416</v>
      </c>
      <c r="AL2722" t="s">
        <v>272</v>
      </c>
    </row>
    <row r="2723" spans="1:38">
      <c r="A2723" t="s">
        <v>11452</v>
      </c>
      <c r="B2723" t="s">
        <v>11453</v>
      </c>
      <c r="C2723" t="s">
        <v>11454</v>
      </c>
      <c r="D2723" t="s">
        <v>11454</v>
      </c>
      <c r="E2723" t="s">
        <v>11455</v>
      </c>
      <c r="F2723" t="s">
        <v>2413</v>
      </c>
      <c r="G2723">
        <v>3</v>
      </c>
      <c r="H2723">
        <v>1</v>
      </c>
      <c r="I2723">
        <v>0.01</v>
      </c>
      <c r="J2723">
        <v>1000</v>
      </c>
      <c r="K2723">
        <v>0</v>
      </c>
      <c r="L2723">
        <v>0</v>
      </c>
      <c r="M2723">
        <v>99.95</v>
      </c>
      <c r="N2723">
        <v>0</v>
      </c>
      <c r="O2723">
        <v>99.95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99.95</v>
      </c>
      <c r="Y2723">
        <v>100</v>
      </c>
      <c r="Z2723">
        <v>0</v>
      </c>
      <c r="AA2723">
        <v>250000</v>
      </c>
      <c r="AB2723">
        <v>0</v>
      </c>
      <c r="AC2723">
        <v>0</v>
      </c>
      <c r="AD2723" t="s">
        <v>94</v>
      </c>
      <c r="AE2723" t="s">
        <v>94</v>
      </c>
      <c r="AF2723" t="s">
        <v>226</v>
      </c>
      <c r="AG2723" t="s">
        <v>226</v>
      </c>
      <c r="AH2723">
        <v>6</v>
      </c>
      <c r="AI2723" t="s">
        <v>3537</v>
      </c>
      <c r="AJ2723" t="s">
        <v>1976</v>
      </c>
      <c r="AK2723" t="s">
        <v>2416</v>
      </c>
      <c r="AL2723" t="s">
        <v>272</v>
      </c>
    </row>
    <row r="2724" spans="1:38">
      <c r="A2724" t="s">
        <v>11456</v>
      </c>
      <c r="B2724" t="s">
        <v>11457</v>
      </c>
      <c r="C2724" t="s">
        <v>11458</v>
      </c>
      <c r="D2724" t="s">
        <v>11458</v>
      </c>
      <c r="E2724" t="s">
        <v>11459</v>
      </c>
      <c r="F2724" t="s">
        <v>2413</v>
      </c>
      <c r="G2724">
        <v>2</v>
      </c>
      <c r="H2724">
        <v>1</v>
      </c>
      <c r="I2724">
        <v>0.01</v>
      </c>
      <c r="J2724">
        <v>1000</v>
      </c>
      <c r="K2724">
        <v>0.02</v>
      </c>
      <c r="L2724">
        <v>94.48</v>
      </c>
      <c r="M2724">
        <v>94.47</v>
      </c>
      <c r="N2724">
        <v>94.12</v>
      </c>
      <c r="O2724">
        <v>94.48</v>
      </c>
      <c r="P2724">
        <v>0</v>
      </c>
      <c r="Q2724">
        <v>0</v>
      </c>
      <c r="R2724">
        <v>0</v>
      </c>
      <c r="S2724">
        <v>94.48</v>
      </c>
      <c r="T2724">
        <v>94.49</v>
      </c>
      <c r="U2724">
        <v>94.35</v>
      </c>
      <c r="V2724">
        <v>94.5</v>
      </c>
      <c r="W2724">
        <v>2122906</v>
      </c>
      <c r="X2724">
        <v>94.31</v>
      </c>
      <c r="Y2724">
        <v>94.48</v>
      </c>
      <c r="Z2724">
        <v>43</v>
      </c>
      <c r="AA2724">
        <v>7500000</v>
      </c>
      <c r="AB2724">
        <v>94480</v>
      </c>
      <c r="AC2724">
        <v>0</v>
      </c>
      <c r="AD2724" t="s">
        <v>94</v>
      </c>
      <c r="AE2724" t="s">
        <v>94</v>
      </c>
      <c r="AF2724" t="s">
        <v>226</v>
      </c>
      <c r="AG2724" t="s">
        <v>226</v>
      </c>
      <c r="AH2724">
        <v>6</v>
      </c>
      <c r="AI2724" t="s">
        <v>3537</v>
      </c>
      <c r="AJ2724" t="s">
        <v>1976</v>
      </c>
      <c r="AK2724" t="s">
        <v>2416</v>
      </c>
      <c r="AL2724" t="s">
        <v>272</v>
      </c>
    </row>
    <row r="2725" spans="1:38">
      <c r="A2725" t="s">
        <v>11460</v>
      </c>
      <c r="B2725" t="s">
        <v>11461</v>
      </c>
      <c r="C2725" t="s">
        <v>11462</v>
      </c>
      <c r="D2725" t="s">
        <v>11462</v>
      </c>
      <c r="E2725" t="s">
        <v>11463</v>
      </c>
      <c r="F2725" t="s">
        <v>2413</v>
      </c>
      <c r="G2725">
        <v>2</v>
      </c>
      <c r="H2725">
        <v>1</v>
      </c>
      <c r="I2725">
        <v>0.01</v>
      </c>
      <c r="J2725">
        <v>1000</v>
      </c>
      <c r="K2725">
        <v>-0.13</v>
      </c>
      <c r="L2725">
        <v>90.38</v>
      </c>
      <c r="M2725">
        <v>90.5</v>
      </c>
      <c r="N2725">
        <v>90.85</v>
      </c>
      <c r="O2725">
        <v>90.15</v>
      </c>
      <c r="P2725">
        <v>0</v>
      </c>
      <c r="Q2725">
        <v>0</v>
      </c>
      <c r="R2725">
        <v>0</v>
      </c>
      <c r="S2725">
        <v>90.55</v>
      </c>
      <c r="T2725">
        <v>90.77</v>
      </c>
      <c r="U2725">
        <v>90.12</v>
      </c>
      <c r="V2725">
        <v>90.79</v>
      </c>
      <c r="W2725">
        <v>1571862</v>
      </c>
      <c r="X2725">
        <v>90.22</v>
      </c>
      <c r="Y2725">
        <v>90.42</v>
      </c>
      <c r="Z2725">
        <v>128</v>
      </c>
      <c r="AA2725">
        <v>10000000</v>
      </c>
      <c r="AB2725">
        <v>903.8</v>
      </c>
      <c r="AC2725">
        <v>0</v>
      </c>
      <c r="AD2725" t="s">
        <v>94</v>
      </c>
      <c r="AE2725" t="s">
        <v>94</v>
      </c>
      <c r="AF2725" t="s">
        <v>226</v>
      </c>
      <c r="AG2725" t="s">
        <v>226</v>
      </c>
      <c r="AH2725">
        <v>6</v>
      </c>
      <c r="AI2725" t="s">
        <v>3537</v>
      </c>
      <c r="AJ2725" t="s">
        <v>1976</v>
      </c>
      <c r="AK2725" t="s">
        <v>2416</v>
      </c>
      <c r="AL2725" t="s">
        <v>272</v>
      </c>
    </row>
    <row r="2726" spans="1:38">
      <c r="A2726" t="s">
        <v>11464</v>
      </c>
      <c r="B2726" t="s">
        <v>11465</v>
      </c>
      <c r="C2726" t="s">
        <v>11466</v>
      </c>
      <c r="D2726" t="s">
        <v>11466</v>
      </c>
      <c r="E2726" t="s">
        <v>11467</v>
      </c>
      <c r="F2726" t="s">
        <v>2413</v>
      </c>
      <c r="G2726">
        <v>2</v>
      </c>
      <c r="H2726">
        <v>1</v>
      </c>
      <c r="I2726">
        <v>0.01</v>
      </c>
      <c r="J2726">
        <v>1000</v>
      </c>
      <c r="K2726">
        <v>0.91</v>
      </c>
      <c r="L2726">
        <v>83.98</v>
      </c>
      <c r="M2726">
        <v>83.22</v>
      </c>
      <c r="N2726">
        <v>83.13</v>
      </c>
      <c r="O2726">
        <v>83.97</v>
      </c>
      <c r="P2726">
        <v>0</v>
      </c>
      <c r="Q2726">
        <v>0</v>
      </c>
      <c r="R2726">
        <v>0</v>
      </c>
      <c r="S2726">
        <v>83.44</v>
      </c>
      <c r="T2726">
        <v>83.24</v>
      </c>
      <c r="U2726">
        <v>83.12</v>
      </c>
      <c r="V2726">
        <v>83.99</v>
      </c>
      <c r="W2726">
        <v>2792889</v>
      </c>
      <c r="X2726">
        <v>83.77</v>
      </c>
      <c r="Y2726">
        <v>83.98</v>
      </c>
      <c r="Z2726">
        <v>226</v>
      </c>
      <c r="AA2726">
        <v>5500000</v>
      </c>
      <c r="AB2726">
        <v>5878.6</v>
      </c>
      <c r="AC2726">
        <v>0</v>
      </c>
      <c r="AD2726" t="s">
        <v>94</v>
      </c>
      <c r="AE2726" t="s">
        <v>94</v>
      </c>
      <c r="AF2726" t="s">
        <v>226</v>
      </c>
      <c r="AG2726" t="s">
        <v>226</v>
      </c>
      <c r="AH2726">
        <v>6</v>
      </c>
      <c r="AI2726" t="s">
        <v>3537</v>
      </c>
      <c r="AJ2726" t="s">
        <v>1976</v>
      </c>
      <c r="AK2726" t="s">
        <v>2416</v>
      </c>
      <c r="AL2726" t="s">
        <v>272</v>
      </c>
    </row>
    <row r="2727" spans="1:38">
      <c r="A2727" t="s">
        <v>11468</v>
      </c>
      <c r="B2727" t="s">
        <v>11469</v>
      </c>
      <c r="C2727" t="s">
        <v>11470</v>
      </c>
      <c r="D2727" t="s">
        <v>11470</v>
      </c>
      <c r="E2727" t="s">
        <v>11471</v>
      </c>
      <c r="F2727" t="s">
        <v>2413</v>
      </c>
      <c r="G2727">
        <v>2</v>
      </c>
      <c r="H2727">
        <v>1</v>
      </c>
      <c r="I2727">
        <v>0.01</v>
      </c>
      <c r="J2727">
        <v>1000</v>
      </c>
      <c r="K2727">
        <v>-0.7</v>
      </c>
      <c r="L2727">
        <v>83.29</v>
      </c>
      <c r="M2727">
        <v>83.88</v>
      </c>
      <c r="N2727">
        <v>84.04</v>
      </c>
      <c r="O2727">
        <v>83.29</v>
      </c>
      <c r="P2727">
        <v>0</v>
      </c>
      <c r="Q2727">
        <v>0</v>
      </c>
      <c r="R2727">
        <v>0</v>
      </c>
      <c r="S2727">
        <v>83.3</v>
      </c>
      <c r="T2727">
        <v>84</v>
      </c>
      <c r="U2727">
        <v>83.12</v>
      </c>
      <c r="V2727">
        <v>84</v>
      </c>
      <c r="W2727">
        <v>8023704</v>
      </c>
      <c r="X2727">
        <v>83.28</v>
      </c>
      <c r="Y2727">
        <v>83.29</v>
      </c>
      <c r="Z2727">
        <v>378</v>
      </c>
      <c r="AA2727">
        <v>12000000</v>
      </c>
      <c r="AB2727">
        <v>832.9</v>
      </c>
      <c r="AC2727">
        <v>0</v>
      </c>
      <c r="AD2727" t="s">
        <v>94</v>
      </c>
      <c r="AE2727" t="s">
        <v>94</v>
      </c>
      <c r="AF2727" t="s">
        <v>226</v>
      </c>
      <c r="AG2727" t="s">
        <v>226</v>
      </c>
      <c r="AH2727">
        <v>6</v>
      </c>
      <c r="AI2727" t="s">
        <v>3537</v>
      </c>
      <c r="AJ2727" t="s">
        <v>1976</v>
      </c>
      <c r="AK2727" t="s">
        <v>2416</v>
      </c>
      <c r="AL2727" t="s">
        <v>272</v>
      </c>
    </row>
    <row r="2728" spans="1:38">
      <c r="A2728" t="s">
        <v>11472</v>
      </c>
      <c r="B2728" t="s">
        <v>11473</v>
      </c>
      <c r="C2728" t="s">
        <v>11474</v>
      </c>
      <c r="D2728" t="s">
        <v>11474</v>
      </c>
      <c r="E2728" t="s">
        <v>11475</v>
      </c>
      <c r="F2728" t="s">
        <v>2413</v>
      </c>
      <c r="G2728">
        <v>2</v>
      </c>
      <c r="H2728">
        <v>1</v>
      </c>
      <c r="I2728">
        <v>0.01</v>
      </c>
      <c r="J2728">
        <v>1000</v>
      </c>
      <c r="K2728">
        <v>0.15</v>
      </c>
      <c r="L2728">
        <v>96.35</v>
      </c>
      <c r="M2728">
        <v>96.21</v>
      </c>
      <c r="N2728">
        <v>96.27</v>
      </c>
      <c r="O2728">
        <v>96.34</v>
      </c>
      <c r="P2728">
        <v>0</v>
      </c>
      <c r="Q2728">
        <v>0</v>
      </c>
      <c r="R2728">
        <v>0</v>
      </c>
      <c r="S2728">
        <v>96.26</v>
      </c>
      <c r="T2728">
        <v>96.59</v>
      </c>
      <c r="U2728">
        <v>95.8</v>
      </c>
      <c r="V2728">
        <v>96.9</v>
      </c>
      <c r="W2728">
        <v>724829</v>
      </c>
      <c r="X2728">
        <v>96.15</v>
      </c>
      <c r="Y2728">
        <v>96.35</v>
      </c>
      <c r="Z2728">
        <v>59</v>
      </c>
      <c r="AA2728">
        <v>2000000</v>
      </c>
      <c r="AB2728">
        <v>2890.5</v>
      </c>
      <c r="AC2728">
        <v>0</v>
      </c>
      <c r="AD2728" t="s">
        <v>94</v>
      </c>
      <c r="AE2728" t="s">
        <v>94</v>
      </c>
      <c r="AF2728" t="s">
        <v>226</v>
      </c>
      <c r="AG2728" t="s">
        <v>226</v>
      </c>
      <c r="AH2728">
        <v>6</v>
      </c>
      <c r="AI2728" t="s">
        <v>3537</v>
      </c>
      <c r="AJ2728" t="s">
        <v>1976</v>
      </c>
      <c r="AK2728" t="s">
        <v>2416</v>
      </c>
      <c r="AL2728" t="s">
        <v>272</v>
      </c>
    </row>
    <row r="2729" spans="1:38">
      <c r="A2729" t="s">
        <v>11476</v>
      </c>
      <c r="B2729" t="s">
        <v>11477</v>
      </c>
      <c r="C2729" t="s">
        <v>11478</v>
      </c>
      <c r="D2729" t="s">
        <v>11478</v>
      </c>
      <c r="E2729" t="s">
        <v>11479</v>
      </c>
      <c r="F2729" t="s">
        <v>2413</v>
      </c>
      <c r="G2729">
        <v>3</v>
      </c>
      <c r="H2729">
        <v>1</v>
      </c>
      <c r="I2729">
        <v>0.01</v>
      </c>
      <c r="J2729">
        <v>400</v>
      </c>
      <c r="K2729">
        <v>-0.43</v>
      </c>
      <c r="L2729">
        <v>96.28</v>
      </c>
      <c r="M2729">
        <v>96.43</v>
      </c>
      <c r="N2729">
        <v>96.61</v>
      </c>
      <c r="O2729">
        <v>96.28</v>
      </c>
      <c r="P2729">
        <v>0</v>
      </c>
      <c r="Q2729">
        <v>0</v>
      </c>
      <c r="R2729">
        <v>0</v>
      </c>
      <c r="S2729">
        <v>96.11</v>
      </c>
      <c r="T2729">
        <v>95.79</v>
      </c>
      <c r="U2729">
        <v>95.78</v>
      </c>
      <c r="V2729">
        <v>96.29</v>
      </c>
      <c r="W2729">
        <v>697366</v>
      </c>
      <c r="X2729">
        <v>96.03</v>
      </c>
      <c r="Y2729">
        <v>96.28</v>
      </c>
      <c r="Z2729">
        <v>44</v>
      </c>
      <c r="AA2729">
        <v>1000000</v>
      </c>
      <c r="AB2729">
        <v>385.12</v>
      </c>
      <c r="AC2729">
        <v>0</v>
      </c>
      <c r="AD2729" t="s">
        <v>94</v>
      </c>
      <c r="AE2729" t="s">
        <v>94</v>
      </c>
      <c r="AF2729" t="s">
        <v>226</v>
      </c>
      <c r="AG2729" t="s">
        <v>226</v>
      </c>
      <c r="AH2729">
        <v>6</v>
      </c>
      <c r="AI2729" t="s">
        <v>3537</v>
      </c>
      <c r="AJ2729" t="s">
        <v>1976</v>
      </c>
      <c r="AK2729" t="s">
        <v>2416</v>
      </c>
      <c r="AL2729" t="s">
        <v>272</v>
      </c>
    </row>
    <row r="2730" spans="1:38">
      <c r="A2730" t="s">
        <v>11480</v>
      </c>
      <c r="B2730" t="s">
        <v>11481</v>
      </c>
      <c r="C2730" t="s">
        <v>11482</v>
      </c>
      <c r="D2730" t="s">
        <v>11482</v>
      </c>
      <c r="E2730" t="s">
        <v>11483</v>
      </c>
      <c r="F2730" t="s">
        <v>2413</v>
      </c>
      <c r="G2730">
        <v>3</v>
      </c>
      <c r="H2730">
        <v>1</v>
      </c>
      <c r="I2730">
        <v>0.01</v>
      </c>
      <c r="J2730">
        <v>1000</v>
      </c>
      <c r="K2730">
        <v>-0.2</v>
      </c>
      <c r="L2730">
        <v>81.650000000000006</v>
      </c>
      <c r="M2730">
        <v>82.2</v>
      </c>
      <c r="N2730">
        <v>81.44</v>
      </c>
      <c r="O2730">
        <v>81.62</v>
      </c>
      <c r="P2730">
        <v>0</v>
      </c>
      <c r="Q2730">
        <v>0</v>
      </c>
      <c r="R2730">
        <v>0</v>
      </c>
      <c r="S2730">
        <v>81.47</v>
      </c>
      <c r="T2730">
        <v>81.8</v>
      </c>
      <c r="U2730">
        <v>81.02</v>
      </c>
      <c r="V2730">
        <v>81.81</v>
      </c>
      <c r="W2730">
        <v>203679</v>
      </c>
      <c r="X2730">
        <v>81.2</v>
      </c>
      <c r="Y2730">
        <v>81.73</v>
      </c>
      <c r="Z2730">
        <v>39</v>
      </c>
      <c r="AA2730">
        <v>150000</v>
      </c>
      <c r="AB2730">
        <v>2449.5</v>
      </c>
      <c r="AC2730">
        <v>0</v>
      </c>
      <c r="AD2730" t="s">
        <v>94</v>
      </c>
      <c r="AE2730" t="s">
        <v>94</v>
      </c>
      <c r="AF2730" t="s">
        <v>226</v>
      </c>
      <c r="AG2730" t="s">
        <v>226</v>
      </c>
      <c r="AH2730">
        <v>6</v>
      </c>
      <c r="AI2730" t="s">
        <v>3537</v>
      </c>
      <c r="AJ2730" t="s">
        <v>1976</v>
      </c>
      <c r="AK2730" t="s">
        <v>2416</v>
      </c>
      <c r="AL2730" t="s">
        <v>272</v>
      </c>
    </row>
    <row r="2731" spans="1:38">
      <c r="A2731" t="s">
        <v>11484</v>
      </c>
      <c r="B2731" t="s">
        <v>11485</v>
      </c>
      <c r="C2731" t="s">
        <v>11486</v>
      </c>
      <c r="D2731" t="s">
        <v>11486</v>
      </c>
      <c r="E2731" t="s">
        <v>11487</v>
      </c>
      <c r="F2731" t="s">
        <v>2413</v>
      </c>
      <c r="G2731">
        <v>3</v>
      </c>
      <c r="H2731">
        <v>1</v>
      </c>
      <c r="I2731">
        <v>0.01</v>
      </c>
      <c r="J2731">
        <v>1000</v>
      </c>
      <c r="K2731">
        <v>2.52</v>
      </c>
      <c r="L2731">
        <v>96</v>
      </c>
      <c r="M2731">
        <v>93.64</v>
      </c>
      <c r="N2731">
        <v>97.8</v>
      </c>
      <c r="O2731">
        <v>96</v>
      </c>
      <c r="P2731">
        <v>0</v>
      </c>
      <c r="Q2731">
        <v>0</v>
      </c>
      <c r="R2731">
        <v>0</v>
      </c>
      <c r="S2731">
        <v>95.99</v>
      </c>
      <c r="T2731">
        <v>95.97</v>
      </c>
      <c r="U2731">
        <v>95.97</v>
      </c>
      <c r="V2731">
        <v>96</v>
      </c>
      <c r="W2731">
        <v>11519</v>
      </c>
      <c r="X2731">
        <v>94.16</v>
      </c>
      <c r="Y2731">
        <v>96</v>
      </c>
      <c r="Z2731">
        <v>4</v>
      </c>
      <c r="AA2731">
        <v>500000</v>
      </c>
      <c r="AB2731">
        <v>7680</v>
      </c>
      <c r="AC2731">
        <v>0</v>
      </c>
      <c r="AD2731" t="s">
        <v>94</v>
      </c>
      <c r="AE2731" t="s">
        <v>94</v>
      </c>
      <c r="AF2731" t="s">
        <v>226</v>
      </c>
      <c r="AG2731" t="s">
        <v>226</v>
      </c>
      <c r="AH2731">
        <v>6</v>
      </c>
      <c r="AI2731" t="s">
        <v>3537</v>
      </c>
      <c r="AJ2731" t="s">
        <v>1976</v>
      </c>
      <c r="AK2731" t="s">
        <v>2416</v>
      </c>
      <c r="AL2731" t="s">
        <v>272</v>
      </c>
    </row>
    <row r="2732" spans="1:38">
      <c r="A2732" t="s">
        <v>11488</v>
      </c>
      <c r="B2732" t="s">
        <v>11489</v>
      </c>
      <c r="C2732" t="s">
        <v>11490</v>
      </c>
      <c r="D2732" t="s">
        <v>11490</v>
      </c>
      <c r="E2732" t="s">
        <v>11491</v>
      </c>
      <c r="F2732" t="s">
        <v>2413</v>
      </c>
      <c r="G2732">
        <v>3</v>
      </c>
      <c r="H2732">
        <v>1</v>
      </c>
      <c r="I2732">
        <v>0.01</v>
      </c>
      <c r="J2732">
        <v>1000</v>
      </c>
      <c r="K2732">
        <v>-2.4</v>
      </c>
      <c r="L2732">
        <v>97.4</v>
      </c>
      <c r="M2732">
        <v>99.8</v>
      </c>
      <c r="N2732">
        <v>98.73</v>
      </c>
      <c r="O2732">
        <v>97.41</v>
      </c>
      <c r="P2732">
        <v>0</v>
      </c>
      <c r="Q2732">
        <v>0</v>
      </c>
      <c r="R2732">
        <v>0</v>
      </c>
      <c r="S2732">
        <v>100.19</v>
      </c>
      <c r="T2732">
        <v>98</v>
      </c>
      <c r="U2732">
        <v>97.4</v>
      </c>
      <c r="V2732">
        <v>103.49</v>
      </c>
      <c r="W2732">
        <v>12023</v>
      </c>
      <c r="X2732">
        <v>97.35</v>
      </c>
      <c r="Y2732">
        <v>103.49</v>
      </c>
      <c r="Z2732">
        <v>5</v>
      </c>
      <c r="AA2732">
        <v>350000</v>
      </c>
      <c r="AB2732">
        <v>974</v>
      </c>
      <c r="AC2732">
        <v>0</v>
      </c>
      <c r="AD2732" t="s">
        <v>94</v>
      </c>
      <c r="AE2732" t="s">
        <v>94</v>
      </c>
      <c r="AF2732" t="s">
        <v>226</v>
      </c>
      <c r="AG2732" t="s">
        <v>226</v>
      </c>
      <c r="AH2732">
        <v>800</v>
      </c>
      <c r="AI2732" t="s">
        <v>3537</v>
      </c>
      <c r="AJ2732" t="s">
        <v>1976</v>
      </c>
      <c r="AK2732" t="s">
        <v>2416</v>
      </c>
      <c r="AL2732" t="s">
        <v>272</v>
      </c>
    </row>
    <row r="2733" spans="1:38">
      <c r="A2733" t="s">
        <v>11492</v>
      </c>
      <c r="B2733" t="s">
        <v>11493</v>
      </c>
      <c r="C2733" t="s">
        <v>11494</v>
      </c>
      <c r="D2733" t="s">
        <v>11494</v>
      </c>
      <c r="E2733" t="s">
        <v>11495</v>
      </c>
      <c r="F2733" t="s">
        <v>2413</v>
      </c>
      <c r="G2733">
        <v>3</v>
      </c>
      <c r="H2733">
        <v>1</v>
      </c>
      <c r="I2733">
        <v>0.01</v>
      </c>
      <c r="J2733">
        <v>1000</v>
      </c>
      <c r="K2733">
        <v>0.97</v>
      </c>
      <c r="L2733">
        <v>86.39</v>
      </c>
      <c r="M2733">
        <v>85.56</v>
      </c>
      <c r="N2733">
        <v>85.37</v>
      </c>
      <c r="O2733">
        <v>86.39</v>
      </c>
      <c r="P2733">
        <v>0</v>
      </c>
      <c r="Q2733">
        <v>0</v>
      </c>
      <c r="R2733">
        <v>0</v>
      </c>
      <c r="S2733">
        <v>85.94</v>
      </c>
      <c r="T2733">
        <v>85.93</v>
      </c>
      <c r="U2733">
        <v>85.24</v>
      </c>
      <c r="V2733">
        <v>86.45</v>
      </c>
      <c r="W2733">
        <v>5071206</v>
      </c>
      <c r="X2733">
        <v>86.31</v>
      </c>
      <c r="Y2733">
        <v>86.37</v>
      </c>
      <c r="Z2733">
        <v>268</v>
      </c>
      <c r="AA2733">
        <v>3499999</v>
      </c>
      <c r="AB2733">
        <v>863.9</v>
      </c>
      <c r="AC2733">
        <v>0</v>
      </c>
      <c r="AD2733" t="s">
        <v>94</v>
      </c>
      <c r="AE2733" t="s">
        <v>94</v>
      </c>
      <c r="AF2733" t="s">
        <v>226</v>
      </c>
      <c r="AG2733" t="s">
        <v>226</v>
      </c>
      <c r="AH2733">
        <v>6</v>
      </c>
      <c r="AI2733" t="s">
        <v>3537</v>
      </c>
      <c r="AJ2733" t="s">
        <v>1976</v>
      </c>
      <c r="AK2733" t="s">
        <v>2416</v>
      </c>
      <c r="AL2733" t="s">
        <v>272</v>
      </c>
    </row>
    <row r="2734" spans="1:38">
      <c r="A2734" t="s">
        <v>11496</v>
      </c>
      <c r="B2734" t="s">
        <v>11497</v>
      </c>
      <c r="C2734" t="s">
        <v>11498</v>
      </c>
      <c r="D2734" t="s">
        <v>11498</v>
      </c>
      <c r="E2734" t="s">
        <v>11499</v>
      </c>
      <c r="F2734" t="s">
        <v>2413</v>
      </c>
      <c r="G2734">
        <v>2</v>
      </c>
      <c r="H2734">
        <v>1</v>
      </c>
      <c r="I2734">
        <v>0.01</v>
      </c>
      <c r="J2734">
        <v>1000</v>
      </c>
      <c r="K2734">
        <v>0.57999999999999996</v>
      </c>
      <c r="L2734">
        <v>76.63</v>
      </c>
      <c r="M2734">
        <v>76.19</v>
      </c>
      <c r="N2734">
        <v>76.48</v>
      </c>
      <c r="O2734">
        <v>76.73</v>
      </c>
      <c r="P2734">
        <v>0</v>
      </c>
      <c r="Q2734">
        <v>0</v>
      </c>
      <c r="R2734">
        <v>0</v>
      </c>
      <c r="S2734">
        <v>76.31</v>
      </c>
      <c r="T2734">
        <v>76.150000000000006</v>
      </c>
      <c r="U2734">
        <v>75.849999999999994</v>
      </c>
      <c r="V2734">
        <v>76.989999999999995</v>
      </c>
      <c r="W2734">
        <v>3494392</v>
      </c>
      <c r="X2734">
        <v>76.58</v>
      </c>
      <c r="Y2734">
        <v>76.83</v>
      </c>
      <c r="Z2734">
        <v>119</v>
      </c>
      <c r="AA2734">
        <v>1950000</v>
      </c>
      <c r="AB2734">
        <v>4597.8</v>
      </c>
      <c r="AC2734">
        <v>0</v>
      </c>
      <c r="AD2734" t="s">
        <v>94</v>
      </c>
      <c r="AE2734" t="s">
        <v>94</v>
      </c>
      <c r="AF2734" t="s">
        <v>226</v>
      </c>
      <c r="AG2734" t="s">
        <v>226</v>
      </c>
      <c r="AH2734">
        <v>6</v>
      </c>
      <c r="AI2734" t="s">
        <v>3537</v>
      </c>
      <c r="AJ2734" t="s">
        <v>1976</v>
      </c>
      <c r="AK2734" t="s">
        <v>2416</v>
      </c>
      <c r="AL2734" t="s">
        <v>272</v>
      </c>
    </row>
    <row r="2735" spans="1:38">
      <c r="A2735" t="s">
        <v>11500</v>
      </c>
      <c r="B2735" t="s">
        <v>11501</v>
      </c>
      <c r="C2735" t="s">
        <v>11502</v>
      </c>
      <c r="D2735" t="s">
        <v>11502</v>
      </c>
      <c r="E2735" t="s">
        <v>11503</v>
      </c>
      <c r="F2735" t="s">
        <v>2413</v>
      </c>
      <c r="G2735">
        <v>1</v>
      </c>
      <c r="H2735">
        <v>1</v>
      </c>
      <c r="I2735">
        <v>0.01</v>
      </c>
      <c r="J2735">
        <v>1000</v>
      </c>
      <c r="K2735">
        <v>-3.62</v>
      </c>
      <c r="L2735">
        <v>86</v>
      </c>
      <c r="M2735">
        <v>89.23</v>
      </c>
      <c r="N2735">
        <v>86.67</v>
      </c>
      <c r="O2735">
        <v>85.65</v>
      </c>
      <c r="P2735">
        <v>0</v>
      </c>
      <c r="Q2735">
        <v>0</v>
      </c>
      <c r="R2735">
        <v>0</v>
      </c>
      <c r="S2735">
        <v>85.65</v>
      </c>
      <c r="T2735">
        <v>85.54</v>
      </c>
      <c r="U2735">
        <v>85.49</v>
      </c>
      <c r="V2735">
        <v>86</v>
      </c>
      <c r="W2735">
        <v>14561</v>
      </c>
      <c r="X2735">
        <v>87.28</v>
      </c>
      <c r="Y2735">
        <v>88.34</v>
      </c>
      <c r="Z2735">
        <v>3</v>
      </c>
      <c r="AA2735">
        <v>5000000</v>
      </c>
      <c r="AB2735">
        <v>4300</v>
      </c>
      <c r="AC2735">
        <v>0</v>
      </c>
      <c r="AD2735" t="s">
        <v>94</v>
      </c>
      <c r="AE2735" t="s">
        <v>94</v>
      </c>
      <c r="AF2735" t="s">
        <v>226</v>
      </c>
      <c r="AG2735" t="s">
        <v>226</v>
      </c>
      <c r="AH2735">
        <v>6</v>
      </c>
      <c r="AI2735" t="s">
        <v>3537</v>
      </c>
      <c r="AJ2735" t="s">
        <v>1976</v>
      </c>
      <c r="AK2735" t="s">
        <v>2416</v>
      </c>
      <c r="AL2735" t="s">
        <v>272</v>
      </c>
    </row>
    <row r="2736" spans="1:38">
      <c r="A2736" t="s">
        <v>11504</v>
      </c>
      <c r="B2736" t="s">
        <v>11505</v>
      </c>
      <c r="C2736" t="s">
        <v>11506</v>
      </c>
      <c r="D2736" t="s">
        <v>11506</v>
      </c>
      <c r="E2736" t="s">
        <v>11507</v>
      </c>
      <c r="F2736" t="s">
        <v>2413</v>
      </c>
      <c r="G2736">
        <v>3</v>
      </c>
      <c r="H2736">
        <v>1</v>
      </c>
      <c r="I2736">
        <v>0.01</v>
      </c>
      <c r="J2736">
        <v>900</v>
      </c>
      <c r="K2736">
        <v>-0.06</v>
      </c>
      <c r="L2736">
        <v>89.37</v>
      </c>
      <c r="M2736">
        <v>89.08</v>
      </c>
      <c r="N2736">
        <v>88.74</v>
      </c>
      <c r="O2736">
        <v>89.37</v>
      </c>
      <c r="P2736">
        <v>0</v>
      </c>
      <c r="Q2736">
        <v>0</v>
      </c>
      <c r="R2736">
        <v>0</v>
      </c>
      <c r="S2736">
        <v>89.16</v>
      </c>
      <c r="T2736">
        <v>90.47</v>
      </c>
      <c r="U2736">
        <v>88.89</v>
      </c>
      <c r="V2736">
        <v>90.47</v>
      </c>
      <c r="W2736">
        <v>259187</v>
      </c>
      <c r="X2736">
        <v>89.2</v>
      </c>
      <c r="Y2736">
        <v>89.37</v>
      </c>
      <c r="Z2736">
        <v>43</v>
      </c>
      <c r="AA2736">
        <v>250000</v>
      </c>
      <c r="AB2736">
        <v>804.33</v>
      </c>
      <c r="AC2736">
        <v>0</v>
      </c>
      <c r="AD2736" t="s">
        <v>94</v>
      </c>
      <c r="AE2736" t="s">
        <v>94</v>
      </c>
      <c r="AF2736" t="s">
        <v>226</v>
      </c>
      <c r="AG2736" t="s">
        <v>226</v>
      </c>
      <c r="AH2736">
        <v>6</v>
      </c>
      <c r="AI2736" t="s">
        <v>3537</v>
      </c>
      <c r="AJ2736" t="s">
        <v>1976</v>
      </c>
      <c r="AK2736" t="s">
        <v>2416</v>
      </c>
      <c r="AL2736" t="s">
        <v>272</v>
      </c>
    </row>
    <row r="2737" spans="1:38">
      <c r="A2737" t="s">
        <v>11508</v>
      </c>
      <c r="B2737" t="s">
        <v>11509</v>
      </c>
      <c r="C2737" t="s">
        <v>11510</v>
      </c>
      <c r="D2737" t="s">
        <v>11510</v>
      </c>
      <c r="E2737" t="s">
        <v>11511</v>
      </c>
      <c r="F2737" t="s">
        <v>2413</v>
      </c>
      <c r="G2737">
        <v>3</v>
      </c>
      <c r="H2737">
        <v>1</v>
      </c>
      <c r="I2737">
        <v>0.01</v>
      </c>
      <c r="J2737">
        <v>1000</v>
      </c>
      <c r="K2737">
        <v>0.15</v>
      </c>
      <c r="L2737">
        <v>73.56</v>
      </c>
      <c r="M2737">
        <v>73.48</v>
      </c>
      <c r="N2737">
        <v>73.069999999999993</v>
      </c>
      <c r="O2737">
        <v>73.56</v>
      </c>
      <c r="P2737">
        <v>0</v>
      </c>
      <c r="Q2737">
        <v>0</v>
      </c>
      <c r="R2737">
        <v>0</v>
      </c>
      <c r="S2737">
        <v>73.28</v>
      </c>
      <c r="T2737">
        <v>73.599999999999994</v>
      </c>
      <c r="U2737">
        <v>73.03</v>
      </c>
      <c r="V2737">
        <v>73.7</v>
      </c>
      <c r="W2737">
        <v>142168</v>
      </c>
      <c r="X2737">
        <v>73.319999999999993</v>
      </c>
      <c r="Y2737">
        <v>73.540000000000006</v>
      </c>
      <c r="Z2737">
        <v>37</v>
      </c>
      <c r="AA2737">
        <v>500000</v>
      </c>
      <c r="AB2737">
        <v>735.6</v>
      </c>
      <c r="AC2737">
        <v>0</v>
      </c>
      <c r="AD2737" t="s">
        <v>94</v>
      </c>
      <c r="AE2737" t="s">
        <v>94</v>
      </c>
      <c r="AF2737" t="s">
        <v>226</v>
      </c>
      <c r="AG2737" t="s">
        <v>226</v>
      </c>
      <c r="AH2737">
        <v>6</v>
      </c>
      <c r="AI2737" t="s">
        <v>3537</v>
      </c>
      <c r="AJ2737" t="s">
        <v>1976</v>
      </c>
      <c r="AK2737" t="s">
        <v>2416</v>
      </c>
      <c r="AL2737" t="s">
        <v>272</v>
      </c>
    </row>
    <row r="2738" spans="1:38">
      <c r="A2738" t="s">
        <v>11512</v>
      </c>
      <c r="B2738" t="s">
        <v>11513</v>
      </c>
      <c r="C2738" t="s">
        <v>11514</v>
      </c>
      <c r="D2738" t="s">
        <v>11514</v>
      </c>
      <c r="E2738" t="s">
        <v>11515</v>
      </c>
      <c r="F2738" t="s">
        <v>2413</v>
      </c>
      <c r="G2738">
        <v>3</v>
      </c>
      <c r="H2738">
        <v>1</v>
      </c>
      <c r="I2738">
        <v>0.01</v>
      </c>
      <c r="J2738">
        <v>1000</v>
      </c>
      <c r="K2738">
        <v>-0.08</v>
      </c>
      <c r="L2738">
        <v>59.33</v>
      </c>
      <c r="M2738">
        <v>59.38</v>
      </c>
      <c r="N2738">
        <v>59.08</v>
      </c>
      <c r="O2738">
        <v>59.33</v>
      </c>
      <c r="P2738">
        <v>0</v>
      </c>
      <c r="Q2738">
        <v>0</v>
      </c>
      <c r="R2738">
        <v>0</v>
      </c>
      <c r="S2738">
        <v>59.13</v>
      </c>
      <c r="T2738">
        <v>59.01</v>
      </c>
      <c r="U2738">
        <v>58.99</v>
      </c>
      <c r="V2738">
        <v>59.37</v>
      </c>
      <c r="W2738">
        <v>107619</v>
      </c>
      <c r="X2738">
        <v>59.32</v>
      </c>
      <c r="Y2738">
        <v>59.33</v>
      </c>
      <c r="Z2738">
        <v>46</v>
      </c>
      <c r="AA2738">
        <v>423874</v>
      </c>
      <c r="AB2738">
        <v>1186.5999999999999</v>
      </c>
      <c r="AC2738">
        <v>0</v>
      </c>
      <c r="AD2738" t="s">
        <v>94</v>
      </c>
      <c r="AE2738" t="s">
        <v>94</v>
      </c>
      <c r="AF2738" t="s">
        <v>226</v>
      </c>
      <c r="AG2738" t="s">
        <v>226</v>
      </c>
      <c r="AH2738">
        <v>6</v>
      </c>
      <c r="AI2738" t="s">
        <v>3537</v>
      </c>
      <c r="AJ2738" t="s">
        <v>1976</v>
      </c>
      <c r="AK2738" t="s">
        <v>2416</v>
      </c>
      <c r="AL2738" t="s">
        <v>272</v>
      </c>
    </row>
    <row r="2739" spans="1:38">
      <c r="A2739" t="s">
        <v>11516</v>
      </c>
      <c r="B2739" t="s">
        <v>11517</v>
      </c>
      <c r="C2739" t="s">
        <v>11518</v>
      </c>
      <c r="D2739" t="s">
        <v>11518</v>
      </c>
      <c r="E2739" t="s">
        <v>11519</v>
      </c>
      <c r="F2739" t="s">
        <v>2413</v>
      </c>
      <c r="G2739">
        <v>3</v>
      </c>
      <c r="H2739">
        <v>1</v>
      </c>
      <c r="I2739">
        <v>0.01</v>
      </c>
      <c r="J2739">
        <v>1000</v>
      </c>
      <c r="K2739">
        <v>-1.01</v>
      </c>
      <c r="L2739">
        <v>70.55</v>
      </c>
      <c r="M2739">
        <v>71.28</v>
      </c>
      <c r="N2739">
        <v>70.92</v>
      </c>
      <c r="O2739">
        <v>69.45</v>
      </c>
      <c r="P2739">
        <v>0</v>
      </c>
      <c r="Q2739">
        <v>0</v>
      </c>
      <c r="R2739">
        <v>0</v>
      </c>
      <c r="S2739">
        <v>68.88</v>
      </c>
      <c r="T2739">
        <v>70.069999999999993</v>
      </c>
      <c r="U2739">
        <v>67</v>
      </c>
      <c r="V2739">
        <v>71.180000000000007</v>
      </c>
      <c r="W2739">
        <v>779007</v>
      </c>
      <c r="X2739">
        <v>69.69</v>
      </c>
      <c r="Y2739">
        <v>70.430000000000007</v>
      </c>
      <c r="Z2739">
        <v>139</v>
      </c>
      <c r="AA2739">
        <v>300000</v>
      </c>
      <c r="AB2739">
        <v>705.5</v>
      </c>
      <c r="AC2739">
        <v>0</v>
      </c>
      <c r="AD2739" t="s">
        <v>94</v>
      </c>
      <c r="AE2739" t="s">
        <v>94</v>
      </c>
      <c r="AF2739" t="s">
        <v>226</v>
      </c>
      <c r="AG2739" t="s">
        <v>226</v>
      </c>
      <c r="AH2739">
        <v>6</v>
      </c>
      <c r="AI2739" t="s">
        <v>3537</v>
      </c>
      <c r="AJ2739" t="s">
        <v>1976</v>
      </c>
      <c r="AK2739" t="s">
        <v>2416</v>
      </c>
      <c r="AL2739" t="s">
        <v>272</v>
      </c>
    </row>
    <row r="2740" spans="1:38">
      <c r="A2740" t="s">
        <v>11520</v>
      </c>
      <c r="B2740" t="s">
        <v>11521</v>
      </c>
      <c r="C2740" t="s">
        <v>11522</v>
      </c>
      <c r="D2740" t="s">
        <v>11522</v>
      </c>
      <c r="E2740" t="s">
        <v>11523</v>
      </c>
      <c r="F2740" t="s">
        <v>2413</v>
      </c>
      <c r="G2740">
        <v>3</v>
      </c>
      <c r="H2740">
        <v>1</v>
      </c>
      <c r="I2740">
        <v>0.01</v>
      </c>
      <c r="J2740">
        <v>1000</v>
      </c>
      <c r="K2740">
        <v>-0.17</v>
      </c>
      <c r="L2740">
        <v>96.47</v>
      </c>
      <c r="M2740">
        <v>96.63</v>
      </c>
      <c r="N2740">
        <v>96.9</v>
      </c>
      <c r="O2740">
        <v>96.46</v>
      </c>
      <c r="P2740">
        <v>0</v>
      </c>
      <c r="Q2740">
        <v>0</v>
      </c>
      <c r="R2740">
        <v>0</v>
      </c>
      <c r="S2740">
        <v>96.12</v>
      </c>
      <c r="T2740">
        <v>96.5</v>
      </c>
      <c r="U2740">
        <v>95.5</v>
      </c>
      <c r="V2740">
        <v>96.5</v>
      </c>
      <c r="W2740">
        <v>148990</v>
      </c>
      <c r="X2740">
        <v>96.24</v>
      </c>
      <c r="Y2740">
        <v>96.47</v>
      </c>
      <c r="Z2740">
        <v>37</v>
      </c>
      <c r="AA2740">
        <v>200000</v>
      </c>
      <c r="AB2740">
        <v>4823.5</v>
      </c>
      <c r="AC2740">
        <v>0</v>
      </c>
      <c r="AD2740" t="s">
        <v>94</v>
      </c>
      <c r="AE2740" t="s">
        <v>94</v>
      </c>
      <c r="AF2740" t="s">
        <v>226</v>
      </c>
      <c r="AG2740" t="s">
        <v>226</v>
      </c>
      <c r="AH2740">
        <v>6</v>
      </c>
      <c r="AI2740" t="s">
        <v>3537</v>
      </c>
      <c r="AJ2740" t="s">
        <v>1976</v>
      </c>
      <c r="AK2740" t="s">
        <v>2416</v>
      </c>
      <c r="AL2740" t="s">
        <v>272</v>
      </c>
    </row>
    <row r="2741" spans="1:38">
      <c r="A2741" t="s">
        <v>11524</v>
      </c>
      <c r="B2741" t="s">
        <v>11525</v>
      </c>
      <c r="C2741" t="s">
        <v>11526</v>
      </c>
      <c r="D2741" t="s">
        <v>11526</v>
      </c>
      <c r="E2741" t="s">
        <v>11527</v>
      </c>
      <c r="F2741" t="s">
        <v>2425</v>
      </c>
      <c r="G2741">
        <v>3</v>
      </c>
      <c r="H2741">
        <v>1</v>
      </c>
      <c r="I2741">
        <v>1E-4</v>
      </c>
      <c r="J2741">
        <v>1000</v>
      </c>
      <c r="K2741">
        <v>0</v>
      </c>
      <c r="L2741">
        <v>0</v>
      </c>
      <c r="M2741">
        <v>75</v>
      </c>
      <c r="N2741">
        <v>0</v>
      </c>
      <c r="O2741">
        <v>75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39</v>
      </c>
      <c r="Y2741">
        <v>75</v>
      </c>
      <c r="Z2741">
        <v>0</v>
      </c>
      <c r="AA2741">
        <v>59977</v>
      </c>
      <c r="AB2741">
        <v>0</v>
      </c>
      <c r="AC2741">
        <v>0</v>
      </c>
      <c r="AD2741" t="s">
        <v>2</v>
      </c>
      <c r="AE2741" t="s">
        <v>94</v>
      </c>
      <c r="AF2741" t="s">
        <v>304</v>
      </c>
      <c r="AG2741" t="s">
        <v>226</v>
      </c>
      <c r="AH2741">
        <v>0</v>
      </c>
      <c r="AI2741" t="s">
        <v>3537</v>
      </c>
      <c r="AJ2741" t="s">
        <v>1976</v>
      </c>
      <c r="AK2741" t="s">
        <v>2426</v>
      </c>
      <c r="AL2741" t="s">
        <v>272</v>
      </c>
    </row>
    <row r="2742" spans="1:38">
      <c r="A2742" t="s">
        <v>11528</v>
      </c>
      <c r="B2742" t="s">
        <v>11529</v>
      </c>
      <c r="C2742" t="s">
        <v>11530</v>
      </c>
      <c r="D2742" t="s">
        <v>11530</v>
      </c>
      <c r="E2742" t="s">
        <v>11531</v>
      </c>
      <c r="F2742" t="s">
        <v>2413</v>
      </c>
      <c r="G2742">
        <v>2</v>
      </c>
      <c r="H2742">
        <v>1</v>
      </c>
      <c r="I2742">
        <v>0.01</v>
      </c>
      <c r="J2742">
        <v>1000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5000000</v>
      </c>
      <c r="AB2742">
        <v>0</v>
      </c>
      <c r="AC2742">
        <v>0</v>
      </c>
      <c r="AD2742" t="s">
        <v>94</v>
      </c>
      <c r="AE2742" t="s">
        <v>94</v>
      </c>
      <c r="AF2742" t="s">
        <v>226</v>
      </c>
      <c r="AG2742" t="s">
        <v>226</v>
      </c>
      <c r="AH2742">
        <v>6</v>
      </c>
      <c r="AI2742" t="s">
        <v>3537</v>
      </c>
      <c r="AJ2742" t="s">
        <v>1976</v>
      </c>
      <c r="AK2742" t="s">
        <v>2416</v>
      </c>
      <c r="AL2742" t="s">
        <v>272</v>
      </c>
    </row>
    <row r="2743" spans="1:38">
      <c r="A2743" t="s">
        <v>11532</v>
      </c>
      <c r="B2743" t="s">
        <v>11533</v>
      </c>
      <c r="C2743" t="s">
        <v>11534</v>
      </c>
      <c r="D2743" t="s">
        <v>11534</v>
      </c>
      <c r="E2743" t="s">
        <v>11535</v>
      </c>
      <c r="F2743" t="s">
        <v>2413</v>
      </c>
      <c r="G2743">
        <v>3</v>
      </c>
      <c r="H2743">
        <v>1</v>
      </c>
      <c r="I2743">
        <v>0.01</v>
      </c>
      <c r="J2743">
        <v>1000</v>
      </c>
      <c r="K2743">
        <v>-0.76</v>
      </c>
      <c r="L2743">
        <v>93.77</v>
      </c>
      <c r="M2743">
        <v>94.49</v>
      </c>
      <c r="N2743">
        <v>94.57</v>
      </c>
      <c r="O2743">
        <v>93.77</v>
      </c>
      <c r="P2743">
        <v>0</v>
      </c>
      <c r="Q2743">
        <v>0</v>
      </c>
      <c r="R2743">
        <v>0</v>
      </c>
      <c r="S2743">
        <v>93.2</v>
      </c>
      <c r="T2743">
        <v>95.3</v>
      </c>
      <c r="U2743">
        <v>92.77</v>
      </c>
      <c r="V2743">
        <v>95.3</v>
      </c>
      <c r="W2743">
        <v>465085</v>
      </c>
      <c r="X2743">
        <v>93.67</v>
      </c>
      <c r="Y2743">
        <v>93.77</v>
      </c>
      <c r="Z2743">
        <v>71</v>
      </c>
      <c r="AA2743">
        <v>36847</v>
      </c>
      <c r="AB2743">
        <v>3750.8</v>
      </c>
      <c r="AC2743">
        <v>0</v>
      </c>
      <c r="AD2743" t="s">
        <v>94</v>
      </c>
      <c r="AE2743" t="s">
        <v>94</v>
      </c>
      <c r="AF2743" t="s">
        <v>226</v>
      </c>
      <c r="AG2743" t="s">
        <v>226</v>
      </c>
      <c r="AH2743">
        <v>6</v>
      </c>
      <c r="AI2743" t="s">
        <v>3537</v>
      </c>
      <c r="AJ2743" t="s">
        <v>1976</v>
      </c>
      <c r="AK2743" t="s">
        <v>2416</v>
      </c>
      <c r="AL2743" t="s">
        <v>272</v>
      </c>
    </row>
    <row r="2744" spans="1:38">
      <c r="A2744" t="s">
        <v>11536</v>
      </c>
      <c r="B2744" t="s">
        <v>11537</v>
      </c>
      <c r="C2744" t="s">
        <v>11538</v>
      </c>
      <c r="D2744" t="s">
        <v>11538</v>
      </c>
      <c r="E2744" t="s">
        <v>11539</v>
      </c>
      <c r="F2744" t="s">
        <v>2413</v>
      </c>
      <c r="G2744">
        <v>2</v>
      </c>
      <c r="H2744">
        <v>1</v>
      </c>
      <c r="I2744">
        <v>0.01</v>
      </c>
      <c r="J2744">
        <v>1000</v>
      </c>
      <c r="K2744">
        <v>0.1</v>
      </c>
      <c r="L2744">
        <v>98.6</v>
      </c>
      <c r="M2744">
        <v>98.5</v>
      </c>
      <c r="N2744">
        <v>97.44</v>
      </c>
      <c r="O2744">
        <v>98.6</v>
      </c>
      <c r="P2744">
        <v>0</v>
      </c>
      <c r="Q2744">
        <v>0</v>
      </c>
      <c r="R2744">
        <v>0</v>
      </c>
      <c r="S2744">
        <v>98.6</v>
      </c>
      <c r="T2744">
        <v>98</v>
      </c>
      <c r="U2744">
        <v>98</v>
      </c>
      <c r="V2744">
        <v>100</v>
      </c>
      <c r="W2744">
        <v>36481</v>
      </c>
      <c r="X2744">
        <v>98.6</v>
      </c>
      <c r="Y2744">
        <v>98.98</v>
      </c>
      <c r="Z2744">
        <v>11</v>
      </c>
      <c r="AA2744">
        <v>10000000</v>
      </c>
      <c r="AB2744">
        <v>7888</v>
      </c>
      <c r="AC2744">
        <v>0</v>
      </c>
      <c r="AD2744" t="s">
        <v>94</v>
      </c>
      <c r="AE2744" t="s">
        <v>94</v>
      </c>
      <c r="AF2744" t="s">
        <v>226</v>
      </c>
      <c r="AG2744" t="s">
        <v>226</v>
      </c>
      <c r="AH2744">
        <v>6</v>
      </c>
      <c r="AI2744" t="s">
        <v>3537</v>
      </c>
      <c r="AJ2744" t="s">
        <v>1976</v>
      </c>
      <c r="AK2744" t="s">
        <v>2416</v>
      </c>
      <c r="AL2744" t="s">
        <v>272</v>
      </c>
    </row>
    <row r="2745" spans="1:38">
      <c r="A2745" t="s">
        <v>11540</v>
      </c>
      <c r="B2745" t="s">
        <v>11541</v>
      </c>
      <c r="C2745" t="s">
        <v>11542</v>
      </c>
      <c r="D2745" t="s">
        <v>11542</v>
      </c>
      <c r="E2745" t="s">
        <v>11543</v>
      </c>
      <c r="F2745" t="s">
        <v>2413</v>
      </c>
      <c r="G2745">
        <v>2</v>
      </c>
      <c r="H2745">
        <v>1</v>
      </c>
      <c r="I2745">
        <v>0.01</v>
      </c>
      <c r="J2745">
        <v>1000</v>
      </c>
      <c r="K2745">
        <v>0.02</v>
      </c>
      <c r="L2745">
        <v>93.5</v>
      </c>
      <c r="M2745">
        <v>93.48</v>
      </c>
      <c r="N2745">
        <v>93.98</v>
      </c>
      <c r="O2745">
        <v>93.5</v>
      </c>
      <c r="P2745">
        <v>0</v>
      </c>
      <c r="Q2745">
        <v>0</v>
      </c>
      <c r="R2745">
        <v>0</v>
      </c>
      <c r="S2745">
        <v>93.5</v>
      </c>
      <c r="T2745">
        <v>93.5</v>
      </c>
      <c r="U2745">
        <v>93.5</v>
      </c>
      <c r="V2745">
        <v>93.5</v>
      </c>
      <c r="W2745">
        <v>109395</v>
      </c>
      <c r="X2745">
        <v>93.4</v>
      </c>
      <c r="Y2745">
        <v>93.5</v>
      </c>
      <c r="Z2745">
        <v>8</v>
      </c>
      <c r="AA2745">
        <v>10000000</v>
      </c>
      <c r="AB2745">
        <v>30855</v>
      </c>
      <c r="AC2745">
        <v>0</v>
      </c>
      <c r="AD2745" t="s">
        <v>94</v>
      </c>
      <c r="AE2745" t="s">
        <v>94</v>
      </c>
      <c r="AF2745" t="s">
        <v>226</v>
      </c>
      <c r="AG2745" t="s">
        <v>226</v>
      </c>
      <c r="AH2745">
        <v>6</v>
      </c>
      <c r="AI2745" t="s">
        <v>3537</v>
      </c>
      <c r="AJ2745" t="s">
        <v>1976</v>
      </c>
      <c r="AK2745" t="s">
        <v>2416</v>
      </c>
      <c r="AL2745" t="s">
        <v>272</v>
      </c>
    </row>
    <row r="2746" spans="1:38">
      <c r="A2746" t="s">
        <v>11544</v>
      </c>
      <c r="B2746" t="s">
        <v>11545</v>
      </c>
      <c r="C2746" t="s">
        <v>11546</v>
      </c>
      <c r="D2746" t="s">
        <v>11546</v>
      </c>
      <c r="E2746" t="s">
        <v>11547</v>
      </c>
      <c r="F2746" t="s">
        <v>2425</v>
      </c>
      <c r="G2746">
        <v>3</v>
      </c>
      <c r="H2746">
        <v>1</v>
      </c>
      <c r="I2746">
        <v>1E-4</v>
      </c>
      <c r="J2746">
        <v>1000</v>
      </c>
      <c r="K2746">
        <v>-0.96</v>
      </c>
      <c r="L2746">
        <v>83.69</v>
      </c>
      <c r="M2746">
        <v>82.727599999999995</v>
      </c>
      <c r="N2746">
        <v>83.248400000000004</v>
      </c>
      <c r="O2746">
        <v>82.182199999999995</v>
      </c>
      <c r="P2746">
        <v>0</v>
      </c>
      <c r="Q2746">
        <v>0</v>
      </c>
      <c r="R2746">
        <v>0</v>
      </c>
      <c r="S2746">
        <v>83.287199999999999</v>
      </c>
      <c r="T2746">
        <v>85.509699999999995</v>
      </c>
      <c r="U2746">
        <v>81.534499999999994</v>
      </c>
      <c r="V2746">
        <v>85.509699999999995</v>
      </c>
      <c r="W2746">
        <v>5394891</v>
      </c>
      <c r="X2746">
        <v>82.000100000000003</v>
      </c>
      <c r="Y2746">
        <v>83.689800000000005</v>
      </c>
      <c r="Z2746">
        <v>27</v>
      </c>
      <c r="AA2746">
        <v>349904</v>
      </c>
      <c r="AB2746">
        <v>88868.57</v>
      </c>
      <c r="AC2746">
        <v>0</v>
      </c>
      <c r="AD2746" t="s">
        <v>2</v>
      </c>
      <c r="AE2746" t="s">
        <v>94</v>
      </c>
      <c r="AF2746" t="s">
        <v>226</v>
      </c>
      <c r="AG2746" t="s">
        <v>226</v>
      </c>
      <c r="AH2746">
        <v>6</v>
      </c>
      <c r="AI2746" t="s">
        <v>3537</v>
      </c>
      <c r="AJ2746" t="s">
        <v>1976</v>
      </c>
      <c r="AK2746" t="s">
        <v>2426</v>
      </c>
      <c r="AL2746" t="s">
        <v>272</v>
      </c>
    </row>
    <row r="2747" spans="1:38">
      <c r="A2747" t="s">
        <v>11548</v>
      </c>
      <c r="B2747" t="s">
        <v>11549</v>
      </c>
      <c r="C2747" t="s">
        <v>11550</v>
      </c>
      <c r="D2747" t="s">
        <v>11550</v>
      </c>
      <c r="E2747" t="s">
        <v>11551</v>
      </c>
      <c r="F2747" t="s">
        <v>2413</v>
      </c>
      <c r="G2747">
        <v>3</v>
      </c>
      <c r="H2747">
        <v>1</v>
      </c>
      <c r="I2747">
        <v>0.01</v>
      </c>
      <c r="J2747">
        <v>1000</v>
      </c>
      <c r="K2747">
        <v>0.88</v>
      </c>
      <c r="L2747">
        <v>74.150000000000006</v>
      </c>
      <c r="M2747">
        <v>73.63</v>
      </c>
      <c r="N2747">
        <v>73.23</v>
      </c>
      <c r="O2747">
        <v>74.31</v>
      </c>
      <c r="P2747">
        <v>0</v>
      </c>
      <c r="Q2747">
        <v>0</v>
      </c>
      <c r="R2747">
        <v>0</v>
      </c>
      <c r="S2747">
        <v>74.25</v>
      </c>
      <c r="T2747">
        <v>74.069999999999993</v>
      </c>
      <c r="U2747">
        <v>73.67</v>
      </c>
      <c r="V2747">
        <v>76.34</v>
      </c>
      <c r="W2747">
        <v>94304</v>
      </c>
      <c r="X2747">
        <v>74.290000000000006</v>
      </c>
      <c r="Y2747">
        <v>75.39</v>
      </c>
      <c r="Z2747">
        <v>23</v>
      </c>
      <c r="AA2747">
        <v>100000</v>
      </c>
      <c r="AB2747">
        <v>26694</v>
      </c>
      <c r="AC2747">
        <v>0</v>
      </c>
      <c r="AD2747" t="s">
        <v>94</v>
      </c>
      <c r="AE2747" t="s">
        <v>94</v>
      </c>
      <c r="AF2747" t="s">
        <v>304</v>
      </c>
      <c r="AG2747" t="s">
        <v>226</v>
      </c>
      <c r="AH2747">
        <v>0</v>
      </c>
      <c r="AI2747" t="s">
        <v>3537</v>
      </c>
      <c r="AJ2747" t="s">
        <v>1976</v>
      </c>
      <c r="AK2747" t="s">
        <v>2416</v>
      </c>
      <c r="AL2747" t="s">
        <v>272</v>
      </c>
    </row>
    <row r="2748" spans="1:38">
      <c r="A2748" t="s">
        <v>11552</v>
      </c>
      <c r="B2748" t="s">
        <v>11553</v>
      </c>
      <c r="C2748" t="s">
        <v>11554</v>
      </c>
      <c r="D2748" t="s">
        <v>11554</v>
      </c>
      <c r="E2748" t="s">
        <v>11555</v>
      </c>
      <c r="F2748" t="s">
        <v>2413</v>
      </c>
      <c r="G2748">
        <v>3</v>
      </c>
      <c r="H2748">
        <v>1</v>
      </c>
      <c r="I2748">
        <v>0.01</v>
      </c>
      <c r="J2748">
        <v>1000</v>
      </c>
      <c r="K2748">
        <v>-0.35</v>
      </c>
      <c r="L2748">
        <v>98.16</v>
      </c>
      <c r="M2748">
        <v>98.5</v>
      </c>
      <c r="N2748">
        <v>98.27</v>
      </c>
      <c r="O2748">
        <v>98.16</v>
      </c>
      <c r="P2748">
        <v>0</v>
      </c>
      <c r="Q2748">
        <v>0</v>
      </c>
      <c r="R2748">
        <v>0</v>
      </c>
      <c r="S2748">
        <v>98.14</v>
      </c>
      <c r="T2748">
        <v>98.39</v>
      </c>
      <c r="U2748">
        <v>97.76</v>
      </c>
      <c r="V2748">
        <v>98.59</v>
      </c>
      <c r="W2748">
        <v>14542734</v>
      </c>
      <c r="X2748">
        <v>98.16</v>
      </c>
      <c r="Y2748">
        <v>98.24</v>
      </c>
      <c r="Z2748">
        <v>337</v>
      </c>
      <c r="AA2748">
        <v>10000000</v>
      </c>
      <c r="AB2748">
        <v>1963.2</v>
      </c>
      <c r="AC2748">
        <v>0</v>
      </c>
      <c r="AD2748" t="s">
        <v>94</v>
      </c>
      <c r="AE2748" t="s">
        <v>94</v>
      </c>
      <c r="AF2748" t="s">
        <v>304</v>
      </c>
      <c r="AG2748" t="s">
        <v>226</v>
      </c>
      <c r="AH2748">
        <v>0</v>
      </c>
      <c r="AI2748" t="s">
        <v>3537</v>
      </c>
      <c r="AJ2748" t="s">
        <v>1976</v>
      </c>
      <c r="AK2748" t="s">
        <v>2416</v>
      </c>
      <c r="AL2748" t="s">
        <v>272</v>
      </c>
    </row>
    <row r="2749" spans="1:38">
      <c r="A2749" t="s">
        <v>11556</v>
      </c>
      <c r="B2749" t="s">
        <v>11557</v>
      </c>
      <c r="C2749" t="s">
        <v>11558</v>
      </c>
      <c r="D2749" t="s">
        <v>11558</v>
      </c>
      <c r="E2749" t="s">
        <v>11559</v>
      </c>
      <c r="F2749" t="s">
        <v>3754</v>
      </c>
      <c r="G2749">
        <v>1</v>
      </c>
      <c r="H2749">
        <v>1</v>
      </c>
      <c r="I2749">
        <v>0.01</v>
      </c>
      <c r="J2749">
        <v>700</v>
      </c>
      <c r="K2749">
        <v>-0.88</v>
      </c>
      <c r="L2749">
        <v>90.6</v>
      </c>
      <c r="M2749">
        <v>91.4</v>
      </c>
      <c r="N2749">
        <v>91.98</v>
      </c>
      <c r="O2749">
        <v>90.6</v>
      </c>
      <c r="P2749">
        <v>0</v>
      </c>
      <c r="Q2749">
        <v>0</v>
      </c>
      <c r="R2749">
        <v>0</v>
      </c>
      <c r="S2749">
        <v>90.98</v>
      </c>
      <c r="T2749">
        <v>91</v>
      </c>
      <c r="U2749">
        <v>90.6</v>
      </c>
      <c r="V2749">
        <v>91.1</v>
      </c>
      <c r="W2749">
        <v>93621</v>
      </c>
      <c r="X2749">
        <v>90.5</v>
      </c>
      <c r="Y2749">
        <v>90.96</v>
      </c>
      <c r="Z2749">
        <v>8</v>
      </c>
      <c r="AA2749">
        <v>3000000</v>
      </c>
      <c r="AB2749">
        <v>634.20000000000005</v>
      </c>
      <c r="AC2749">
        <v>0</v>
      </c>
      <c r="AD2749" t="s">
        <v>94</v>
      </c>
      <c r="AE2749" t="s">
        <v>94</v>
      </c>
      <c r="AF2749" t="s">
        <v>226</v>
      </c>
      <c r="AG2749" t="s">
        <v>226</v>
      </c>
      <c r="AH2749">
        <v>-100</v>
      </c>
      <c r="AI2749" t="s">
        <v>3537</v>
      </c>
      <c r="AJ2749" t="s">
        <v>1976</v>
      </c>
      <c r="AK2749" t="s">
        <v>3755</v>
      </c>
      <c r="AL2749" t="s">
        <v>272</v>
      </c>
    </row>
    <row r="2750" spans="1:38">
      <c r="A2750" t="s">
        <v>11560</v>
      </c>
      <c r="B2750" t="s">
        <v>11561</v>
      </c>
      <c r="C2750" t="s">
        <v>11562</v>
      </c>
      <c r="D2750" t="s">
        <v>11562</v>
      </c>
      <c r="E2750" t="s">
        <v>11563</v>
      </c>
      <c r="F2750" t="s">
        <v>2413</v>
      </c>
      <c r="G2750">
        <v>3</v>
      </c>
      <c r="H2750">
        <v>1</v>
      </c>
      <c r="I2750">
        <v>0.01</v>
      </c>
      <c r="J2750">
        <v>1000</v>
      </c>
      <c r="K2750">
        <v>0.1</v>
      </c>
      <c r="L2750">
        <v>99.5</v>
      </c>
      <c r="M2750">
        <v>99.39</v>
      </c>
      <c r="N2750">
        <v>99.21</v>
      </c>
      <c r="O2750">
        <v>99.49</v>
      </c>
      <c r="P2750">
        <v>0</v>
      </c>
      <c r="Q2750">
        <v>0</v>
      </c>
      <c r="R2750">
        <v>0</v>
      </c>
      <c r="S2750">
        <v>99.14</v>
      </c>
      <c r="T2750">
        <v>99.4</v>
      </c>
      <c r="U2750">
        <v>98.5</v>
      </c>
      <c r="V2750">
        <v>99.63</v>
      </c>
      <c r="W2750">
        <v>374742</v>
      </c>
      <c r="X2750">
        <v>99.51</v>
      </c>
      <c r="Y2750">
        <v>99.6</v>
      </c>
      <c r="Z2750">
        <v>63</v>
      </c>
      <c r="AA2750">
        <v>300000</v>
      </c>
      <c r="AB2750">
        <v>995</v>
      </c>
      <c r="AC2750">
        <v>0</v>
      </c>
      <c r="AD2750" t="s">
        <v>94</v>
      </c>
      <c r="AE2750" t="s">
        <v>94</v>
      </c>
      <c r="AF2750" t="s">
        <v>226</v>
      </c>
      <c r="AG2750" t="s">
        <v>226</v>
      </c>
      <c r="AH2750">
        <v>6</v>
      </c>
      <c r="AI2750" t="s">
        <v>3537</v>
      </c>
      <c r="AJ2750" t="s">
        <v>1976</v>
      </c>
      <c r="AK2750" t="s">
        <v>2416</v>
      </c>
      <c r="AL2750" t="s">
        <v>272</v>
      </c>
    </row>
    <row r="2751" spans="1:38">
      <c r="A2751" t="s">
        <v>11564</v>
      </c>
      <c r="B2751" t="s">
        <v>11565</v>
      </c>
      <c r="C2751" t="s">
        <v>11566</v>
      </c>
      <c r="D2751" t="s">
        <v>11566</v>
      </c>
      <c r="E2751" t="s">
        <v>11567</v>
      </c>
      <c r="F2751" t="s">
        <v>2413</v>
      </c>
      <c r="G2751">
        <v>3</v>
      </c>
      <c r="H2751">
        <v>1</v>
      </c>
      <c r="I2751">
        <v>0.01</v>
      </c>
      <c r="J2751">
        <v>1000</v>
      </c>
      <c r="K2751">
        <v>0.44</v>
      </c>
      <c r="L2751">
        <v>92.2</v>
      </c>
      <c r="M2751">
        <v>91.78</v>
      </c>
      <c r="N2751">
        <v>91.4</v>
      </c>
      <c r="O2751">
        <v>92.13</v>
      </c>
      <c r="P2751">
        <v>0</v>
      </c>
      <c r="Q2751">
        <v>0</v>
      </c>
      <c r="R2751">
        <v>0</v>
      </c>
      <c r="S2751">
        <v>92.17</v>
      </c>
      <c r="T2751">
        <v>91.55</v>
      </c>
      <c r="U2751">
        <v>91.55</v>
      </c>
      <c r="V2751">
        <v>92.35</v>
      </c>
      <c r="W2751">
        <v>121658</v>
      </c>
      <c r="X2751">
        <v>91.91</v>
      </c>
      <c r="Y2751">
        <v>92.22</v>
      </c>
      <c r="Z2751">
        <v>44</v>
      </c>
      <c r="AA2751">
        <v>300000</v>
      </c>
      <c r="AB2751">
        <v>922</v>
      </c>
      <c r="AC2751">
        <v>0</v>
      </c>
      <c r="AD2751" t="s">
        <v>94</v>
      </c>
      <c r="AE2751" t="s">
        <v>94</v>
      </c>
      <c r="AF2751" t="s">
        <v>226</v>
      </c>
      <c r="AG2751" t="s">
        <v>226</v>
      </c>
      <c r="AH2751">
        <v>6</v>
      </c>
      <c r="AI2751" t="s">
        <v>3537</v>
      </c>
      <c r="AJ2751" t="s">
        <v>1976</v>
      </c>
      <c r="AK2751" t="s">
        <v>2416</v>
      </c>
      <c r="AL2751" t="s">
        <v>272</v>
      </c>
    </row>
    <row r="2752" spans="1:38">
      <c r="A2752" t="s">
        <v>11568</v>
      </c>
      <c r="B2752" t="s">
        <v>11569</v>
      </c>
      <c r="C2752" t="s">
        <v>11570</v>
      </c>
      <c r="D2752" t="s">
        <v>11570</v>
      </c>
      <c r="E2752" t="s">
        <v>11571</v>
      </c>
      <c r="F2752" t="s">
        <v>2413</v>
      </c>
      <c r="G2752">
        <v>2</v>
      </c>
      <c r="H2752">
        <v>1</v>
      </c>
      <c r="I2752">
        <v>0.01</v>
      </c>
      <c r="J2752">
        <v>1000</v>
      </c>
      <c r="K2752">
        <v>0.06</v>
      </c>
      <c r="L2752">
        <v>99.55</v>
      </c>
      <c r="M2752">
        <v>99.49</v>
      </c>
      <c r="N2752">
        <v>99.4</v>
      </c>
      <c r="O2752">
        <v>99.55</v>
      </c>
      <c r="P2752">
        <v>0</v>
      </c>
      <c r="Q2752">
        <v>0</v>
      </c>
      <c r="R2752">
        <v>0</v>
      </c>
      <c r="S2752">
        <v>99.51</v>
      </c>
      <c r="T2752">
        <v>99.37</v>
      </c>
      <c r="U2752">
        <v>99.37</v>
      </c>
      <c r="V2752">
        <v>99.55</v>
      </c>
      <c r="W2752">
        <v>531372</v>
      </c>
      <c r="X2752">
        <v>99.51</v>
      </c>
      <c r="Y2752">
        <v>99.55</v>
      </c>
      <c r="Z2752">
        <v>41</v>
      </c>
      <c r="AA2752">
        <v>9000000</v>
      </c>
      <c r="AB2752">
        <v>3982</v>
      </c>
      <c r="AC2752">
        <v>0</v>
      </c>
      <c r="AD2752" t="s">
        <v>94</v>
      </c>
      <c r="AE2752" t="s">
        <v>94</v>
      </c>
      <c r="AF2752" t="s">
        <v>226</v>
      </c>
      <c r="AG2752" t="s">
        <v>226</v>
      </c>
      <c r="AH2752">
        <v>6</v>
      </c>
      <c r="AI2752" t="s">
        <v>3537</v>
      </c>
      <c r="AJ2752" t="s">
        <v>1976</v>
      </c>
      <c r="AK2752" t="s">
        <v>2416</v>
      </c>
      <c r="AL2752" t="s">
        <v>272</v>
      </c>
    </row>
    <row r="2753" spans="1:38">
      <c r="A2753" t="s">
        <v>11572</v>
      </c>
      <c r="B2753" t="s">
        <v>11573</v>
      </c>
      <c r="C2753" t="s">
        <v>11574</v>
      </c>
      <c r="D2753" t="s">
        <v>11574</v>
      </c>
      <c r="E2753" t="s">
        <v>11575</v>
      </c>
      <c r="F2753" t="s">
        <v>2413</v>
      </c>
      <c r="G2753">
        <v>2</v>
      </c>
      <c r="H2753">
        <v>1</v>
      </c>
      <c r="I2753">
        <v>0.01</v>
      </c>
      <c r="J2753">
        <v>1000</v>
      </c>
      <c r="K2753">
        <v>-0.23</v>
      </c>
      <c r="L2753">
        <v>92.89</v>
      </c>
      <c r="M2753">
        <v>93.1</v>
      </c>
      <c r="N2753">
        <v>93.33</v>
      </c>
      <c r="O2753">
        <v>92.89</v>
      </c>
      <c r="P2753">
        <v>0</v>
      </c>
      <c r="Q2753">
        <v>0</v>
      </c>
      <c r="R2753">
        <v>0</v>
      </c>
      <c r="S2753">
        <v>93.06</v>
      </c>
      <c r="T2753">
        <v>92.69</v>
      </c>
      <c r="U2753">
        <v>92.56</v>
      </c>
      <c r="V2753">
        <v>93.99</v>
      </c>
      <c r="W2753">
        <v>2355236</v>
      </c>
      <c r="X2753">
        <v>92.85</v>
      </c>
      <c r="Y2753">
        <v>92.89</v>
      </c>
      <c r="Z2753">
        <v>127</v>
      </c>
      <c r="AA2753">
        <v>11000000</v>
      </c>
      <c r="AB2753">
        <v>1857.8</v>
      </c>
      <c r="AC2753">
        <v>0</v>
      </c>
      <c r="AD2753" t="s">
        <v>94</v>
      </c>
      <c r="AE2753" t="s">
        <v>94</v>
      </c>
      <c r="AF2753" t="s">
        <v>226</v>
      </c>
      <c r="AG2753" t="s">
        <v>226</v>
      </c>
      <c r="AH2753">
        <v>6</v>
      </c>
      <c r="AI2753" t="s">
        <v>3537</v>
      </c>
      <c r="AJ2753" t="s">
        <v>1976</v>
      </c>
      <c r="AK2753" t="s">
        <v>2416</v>
      </c>
      <c r="AL2753" t="s">
        <v>272</v>
      </c>
    </row>
    <row r="2754" spans="1:38">
      <c r="A2754" t="s">
        <v>11576</v>
      </c>
      <c r="B2754" t="s">
        <v>11577</v>
      </c>
      <c r="C2754" t="s">
        <v>11578</v>
      </c>
      <c r="D2754" t="s">
        <v>11578</v>
      </c>
      <c r="E2754" t="s">
        <v>11579</v>
      </c>
      <c r="F2754" t="s">
        <v>2413</v>
      </c>
      <c r="G2754">
        <v>2</v>
      </c>
      <c r="H2754">
        <v>1</v>
      </c>
      <c r="I2754">
        <v>0.01</v>
      </c>
      <c r="J2754">
        <v>1000</v>
      </c>
      <c r="K2754">
        <v>0</v>
      </c>
      <c r="L2754">
        <v>0</v>
      </c>
      <c r="M2754">
        <v>107.01</v>
      </c>
      <c r="N2754">
        <v>0</v>
      </c>
      <c r="O2754">
        <v>107.01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88.01</v>
      </c>
      <c r="Y2754">
        <v>107.01</v>
      </c>
      <c r="Z2754">
        <v>0</v>
      </c>
      <c r="AA2754">
        <v>10000000</v>
      </c>
      <c r="AB2754">
        <v>0</v>
      </c>
      <c r="AC2754">
        <v>0</v>
      </c>
      <c r="AD2754" t="s">
        <v>94</v>
      </c>
      <c r="AE2754" t="s">
        <v>94</v>
      </c>
      <c r="AF2754" t="s">
        <v>226</v>
      </c>
      <c r="AG2754" t="s">
        <v>226</v>
      </c>
      <c r="AH2754">
        <v>6</v>
      </c>
      <c r="AI2754" t="s">
        <v>3537</v>
      </c>
      <c r="AJ2754" t="s">
        <v>1976</v>
      </c>
      <c r="AK2754" t="s">
        <v>2416</v>
      </c>
      <c r="AL2754" t="s">
        <v>272</v>
      </c>
    </row>
    <row r="2755" spans="1:38">
      <c r="A2755" t="s">
        <v>11580</v>
      </c>
      <c r="B2755" t="s">
        <v>11581</v>
      </c>
      <c r="C2755" t="s">
        <v>11582</v>
      </c>
      <c r="D2755" t="s">
        <v>11582</v>
      </c>
      <c r="E2755" t="s">
        <v>11583</v>
      </c>
      <c r="F2755" t="s">
        <v>2413</v>
      </c>
      <c r="G2755">
        <v>2</v>
      </c>
      <c r="H2755">
        <v>1</v>
      </c>
      <c r="I2755">
        <v>0.01</v>
      </c>
      <c r="J2755">
        <v>1000</v>
      </c>
      <c r="K2755">
        <v>-0.11</v>
      </c>
      <c r="L2755">
        <v>97.54</v>
      </c>
      <c r="M2755">
        <v>97.65</v>
      </c>
      <c r="N2755">
        <v>97.64</v>
      </c>
      <c r="O2755">
        <v>97.54</v>
      </c>
      <c r="P2755">
        <v>0</v>
      </c>
      <c r="Q2755">
        <v>0</v>
      </c>
      <c r="R2755">
        <v>0</v>
      </c>
      <c r="S2755">
        <v>97.39</v>
      </c>
      <c r="T2755">
        <v>97.92</v>
      </c>
      <c r="U2755">
        <v>97</v>
      </c>
      <c r="V2755">
        <v>98.2</v>
      </c>
      <c r="W2755">
        <v>28151532</v>
      </c>
      <c r="X2755">
        <v>97.53</v>
      </c>
      <c r="Y2755">
        <v>97.54</v>
      </c>
      <c r="Z2755">
        <v>369</v>
      </c>
      <c r="AA2755">
        <v>6000000</v>
      </c>
      <c r="AB2755">
        <v>8778.6</v>
      </c>
      <c r="AC2755">
        <v>0</v>
      </c>
      <c r="AD2755" t="s">
        <v>94</v>
      </c>
      <c r="AE2755" t="s">
        <v>94</v>
      </c>
      <c r="AF2755" t="s">
        <v>226</v>
      </c>
      <c r="AG2755" t="s">
        <v>226</v>
      </c>
      <c r="AH2755">
        <v>6</v>
      </c>
      <c r="AI2755" t="s">
        <v>3537</v>
      </c>
      <c r="AJ2755" t="s">
        <v>1976</v>
      </c>
      <c r="AK2755" t="s">
        <v>2416</v>
      </c>
      <c r="AL2755" t="s">
        <v>272</v>
      </c>
    </row>
    <row r="2756" spans="1:38">
      <c r="A2756" t="s">
        <v>11584</v>
      </c>
      <c r="B2756" t="s">
        <v>11585</v>
      </c>
      <c r="C2756" t="s">
        <v>11586</v>
      </c>
      <c r="D2756" t="s">
        <v>11586</v>
      </c>
      <c r="E2756" t="s">
        <v>11587</v>
      </c>
      <c r="F2756" t="s">
        <v>2413</v>
      </c>
      <c r="G2756">
        <v>2</v>
      </c>
      <c r="H2756">
        <v>1</v>
      </c>
      <c r="I2756">
        <v>0.01</v>
      </c>
      <c r="J2756">
        <v>1000</v>
      </c>
      <c r="K2756">
        <v>0.23</v>
      </c>
      <c r="L2756">
        <v>86.7</v>
      </c>
      <c r="M2756">
        <v>86.5</v>
      </c>
      <c r="N2756">
        <v>86.91</v>
      </c>
      <c r="O2756">
        <v>86.7</v>
      </c>
      <c r="P2756">
        <v>0</v>
      </c>
      <c r="Q2756">
        <v>0</v>
      </c>
      <c r="R2756">
        <v>0</v>
      </c>
      <c r="S2756">
        <v>86.63</v>
      </c>
      <c r="T2756">
        <v>86.67</v>
      </c>
      <c r="U2756">
        <v>85.66</v>
      </c>
      <c r="V2756">
        <v>86.7</v>
      </c>
      <c r="W2756">
        <v>2277442</v>
      </c>
      <c r="X2756">
        <v>86.67</v>
      </c>
      <c r="Y2756">
        <v>86.69</v>
      </c>
      <c r="Z2756">
        <v>163</v>
      </c>
      <c r="AA2756">
        <v>8000000</v>
      </c>
      <c r="AB2756">
        <v>8670</v>
      </c>
      <c r="AC2756">
        <v>0</v>
      </c>
      <c r="AD2756" t="s">
        <v>94</v>
      </c>
      <c r="AE2756" t="s">
        <v>94</v>
      </c>
      <c r="AF2756" t="s">
        <v>226</v>
      </c>
      <c r="AG2756" t="s">
        <v>226</v>
      </c>
      <c r="AH2756">
        <v>6</v>
      </c>
      <c r="AI2756" t="s">
        <v>3537</v>
      </c>
      <c r="AJ2756" t="s">
        <v>1976</v>
      </c>
      <c r="AK2756" t="s">
        <v>2416</v>
      </c>
      <c r="AL2756" t="s">
        <v>272</v>
      </c>
    </row>
    <row r="2757" spans="1:38">
      <c r="A2757" t="s">
        <v>11588</v>
      </c>
      <c r="B2757" t="s">
        <v>11589</v>
      </c>
      <c r="C2757" t="s">
        <v>11590</v>
      </c>
      <c r="D2757" t="s">
        <v>11590</v>
      </c>
      <c r="E2757" t="s">
        <v>11591</v>
      </c>
      <c r="F2757" t="s">
        <v>2413</v>
      </c>
      <c r="G2757">
        <v>3</v>
      </c>
      <c r="H2757">
        <v>1</v>
      </c>
      <c r="I2757">
        <v>0.01</v>
      </c>
      <c r="J2757">
        <v>117.78</v>
      </c>
      <c r="K2757">
        <v>-0.95</v>
      </c>
      <c r="L2757">
        <v>90.08</v>
      </c>
      <c r="M2757">
        <v>90.94</v>
      </c>
      <c r="N2757">
        <v>90.1</v>
      </c>
      <c r="O2757">
        <v>90.08</v>
      </c>
      <c r="P2757">
        <v>0</v>
      </c>
      <c r="Q2757">
        <v>0</v>
      </c>
      <c r="R2757">
        <v>0</v>
      </c>
      <c r="S2757">
        <v>90.58</v>
      </c>
      <c r="T2757">
        <v>90.93</v>
      </c>
      <c r="U2757">
        <v>90.08</v>
      </c>
      <c r="V2757">
        <v>90.99</v>
      </c>
      <c r="W2757">
        <v>12589</v>
      </c>
      <c r="X2757">
        <v>90.09</v>
      </c>
      <c r="Y2757">
        <v>90.27</v>
      </c>
      <c r="Z2757">
        <v>28</v>
      </c>
      <c r="AA2757">
        <v>2275000</v>
      </c>
      <c r="AB2757">
        <v>742.67</v>
      </c>
      <c r="AC2757">
        <v>0</v>
      </c>
      <c r="AD2757" t="s">
        <v>94</v>
      </c>
      <c r="AE2757" t="s">
        <v>94</v>
      </c>
      <c r="AF2757" t="s">
        <v>226</v>
      </c>
      <c r="AG2757" t="s">
        <v>226</v>
      </c>
      <c r="AH2757">
        <v>-100</v>
      </c>
      <c r="AI2757" t="s">
        <v>3537</v>
      </c>
      <c r="AJ2757" t="s">
        <v>1976</v>
      </c>
      <c r="AK2757" t="s">
        <v>2416</v>
      </c>
      <c r="AL2757" t="s">
        <v>272</v>
      </c>
    </row>
    <row r="2758" spans="1:38">
      <c r="A2758" t="s">
        <v>11592</v>
      </c>
      <c r="B2758" t="s">
        <v>11593</v>
      </c>
      <c r="C2758" t="s">
        <v>11594</v>
      </c>
      <c r="D2758" t="s">
        <v>11594</v>
      </c>
      <c r="E2758" t="s">
        <v>11595</v>
      </c>
      <c r="F2758" t="s">
        <v>2413</v>
      </c>
      <c r="G2758">
        <v>3</v>
      </c>
      <c r="H2758">
        <v>1</v>
      </c>
      <c r="I2758">
        <v>0.01</v>
      </c>
      <c r="J2758">
        <v>1000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323614</v>
      </c>
      <c r="AB2758">
        <v>0</v>
      </c>
      <c r="AC2758">
        <v>0</v>
      </c>
      <c r="AD2758" t="s">
        <v>94</v>
      </c>
      <c r="AE2758" t="s">
        <v>94</v>
      </c>
      <c r="AF2758" t="s">
        <v>226</v>
      </c>
      <c r="AG2758" t="s">
        <v>226</v>
      </c>
      <c r="AH2758">
        <v>6</v>
      </c>
      <c r="AI2758" t="s">
        <v>3537</v>
      </c>
      <c r="AJ2758" t="s">
        <v>1976</v>
      </c>
      <c r="AK2758" t="s">
        <v>2416</v>
      </c>
      <c r="AL2758" t="s">
        <v>272</v>
      </c>
    </row>
    <row r="2759" spans="1:38">
      <c r="A2759" t="s">
        <v>11596</v>
      </c>
      <c r="B2759" t="s">
        <v>11597</v>
      </c>
      <c r="C2759" t="s">
        <v>11598</v>
      </c>
      <c r="D2759" t="s">
        <v>11598</v>
      </c>
      <c r="E2759" t="s">
        <v>11599</v>
      </c>
      <c r="F2759" t="s">
        <v>2413</v>
      </c>
      <c r="G2759">
        <v>3</v>
      </c>
      <c r="H2759">
        <v>1</v>
      </c>
      <c r="I2759">
        <v>0.01</v>
      </c>
      <c r="J2759">
        <v>1000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228923</v>
      </c>
      <c r="AB2759">
        <v>0</v>
      </c>
      <c r="AC2759">
        <v>0</v>
      </c>
      <c r="AD2759" t="s">
        <v>94</v>
      </c>
      <c r="AE2759" t="s">
        <v>94</v>
      </c>
      <c r="AF2759" t="s">
        <v>226</v>
      </c>
      <c r="AG2759" t="s">
        <v>226</v>
      </c>
      <c r="AH2759">
        <v>6</v>
      </c>
      <c r="AI2759" t="s">
        <v>3537</v>
      </c>
      <c r="AJ2759" t="s">
        <v>1976</v>
      </c>
      <c r="AK2759" t="s">
        <v>2416</v>
      </c>
      <c r="AL2759" t="s">
        <v>272</v>
      </c>
    </row>
    <row r="2760" spans="1:38">
      <c r="A2760" t="s">
        <v>11600</v>
      </c>
      <c r="B2760" t="s">
        <v>11601</v>
      </c>
      <c r="C2760" t="s">
        <v>11602</v>
      </c>
      <c r="D2760" t="s">
        <v>11602</v>
      </c>
      <c r="E2760" t="s">
        <v>11603</v>
      </c>
      <c r="F2760" t="s">
        <v>2413</v>
      </c>
      <c r="G2760">
        <v>3</v>
      </c>
      <c r="H2760">
        <v>1</v>
      </c>
      <c r="I2760">
        <v>0.01</v>
      </c>
      <c r="J2760">
        <v>587.73</v>
      </c>
      <c r="K2760">
        <v>1.8</v>
      </c>
      <c r="L2760">
        <v>76.349999999999994</v>
      </c>
      <c r="M2760">
        <v>75</v>
      </c>
      <c r="N2760">
        <v>75.16</v>
      </c>
      <c r="O2760">
        <v>76.36</v>
      </c>
      <c r="P2760">
        <v>0</v>
      </c>
      <c r="Q2760">
        <v>0</v>
      </c>
      <c r="R2760">
        <v>0</v>
      </c>
      <c r="S2760">
        <v>76.72</v>
      </c>
      <c r="T2760">
        <v>75</v>
      </c>
      <c r="U2760">
        <v>70.819999999999993</v>
      </c>
      <c r="V2760">
        <v>77</v>
      </c>
      <c r="W2760">
        <v>65378</v>
      </c>
      <c r="X2760">
        <v>76.319999999999993</v>
      </c>
      <c r="Y2760">
        <v>76.94</v>
      </c>
      <c r="Z2760">
        <v>36</v>
      </c>
      <c r="AA2760">
        <v>2540000</v>
      </c>
      <c r="AB2760">
        <v>1346.2</v>
      </c>
      <c r="AC2760">
        <v>0</v>
      </c>
      <c r="AD2760" t="s">
        <v>94</v>
      </c>
      <c r="AE2760" t="s">
        <v>94</v>
      </c>
      <c r="AF2760" t="s">
        <v>226</v>
      </c>
      <c r="AG2760" t="s">
        <v>226</v>
      </c>
      <c r="AH2760">
        <v>-100</v>
      </c>
      <c r="AI2760" t="s">
        <v>3537</v>
      </c>
      <c r="AJ2760" t="s">
        <v>1976</v>
      </c>
      <c r="AK2760" t="s">
        <v>2416</v>
      </c>
      <c r="AL2760" t="s">
        <v>272</v>
      </c>
    </row>
    <row r="2761" spans="1:38">
      <c r="A2761" t="s">
        <v>11604</v>
      </c>
      <c r="B2761" t="s">
        <v>11605</v>
      </c>
      <c r="C2761" t="s">
        <v>11606</v>
      </c>
      <c r="D2761" t="s">
        <v>11606</v>
      </c>
      <c r="E2761" t="s">
        <v>11607</v>
      </c>
      <c r="F2761" t="s">
        <v>2413</v>
      </c>
      <c r="G2761">
        <v>3</v>
      </c>
      <c r="H2761">
        <v>1</v>
      </c>
      <c r="I2761">
        <v>0.01</v>
      </c>
      <c r="J2761">
        <v>888.2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300000</v>
      </c>
      <c r="AB2761">
        <v>0</v>
      </c>
      <c r="AC2761">
        <v>0</v>
      </c>
      <c r="AD2761" t="s">
        <v>94</v>
      </c>
      <c r="AE2761" t="s">
        <v>94</v>
      </c>
      <c r="AF2761" t="s">
        <v>226</v>
      </c>
      <c r="AG2761" t="s">
        <v>226</v>
      </c>
      <c r="AH2761">
        <v>6</v>
      </c>
      <c r="AI2761" t="s">
        <v>3537</v>
      </c>
      <c r="AJ2761" t="s">
        <v>1976</v>
      </c>
      <c r="AK2761" t="s">
        <v>2416</v>
      </c>
      <c r="AL2761" t="s">
        <v>272</v>
      </c>
    </row>
    <row r="2762" spans="1:38">
      <c r="A2762" t="s">
        <v>11608</v>
      </c>
      <c r="B2762" t="s">
        <v>11609</v>
      </c>
      <c r="C2762" t="s">
        <v>11610</v>
      </c>
      <c r="D2762" t="s">
        <v>11610</v>
      </c>
      <c r="E2762" t="s">
        <v>11611</v>
      </c>
      <c r="F2762" t="s">
        <v>2413</v>
      </c>
      <c r="G2762">
        <v>3</v>
      </c>
      <c r="H2762">
        <v>1</v>
      </c>
      <c r="I2762">
        <v>0.01</v>
      </c>
      <c r="J2762">
        <v>1000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300000</v>
      </c>
      <c r="AB2762">
        <v>0</v>
      </c>
      <c r="AC2762">
        <v>0</v>
      </c>
      <c r="AD2762" t="s">
        <v>94</v>
      </c>
      <c r="AE2762" t="s">
        <v>94</v>
      </c>
      <c r="AF2762" t="s">
        <v>226</v>
      </c>
      <c r="AG2762" t="s">
        <v>226</v>
      </c>
      <c r="AH2762">
        <v>6</v>
      </c>
      <c r="AI2762" t="s">
        <v>3537</v>
      </c>
      <c r="AJ2762" t="s">
        <v>1976</v>
      </c>
      <c r="AK2762" t="s">
        <v>2416</v>
      </c>
      <c r="AL2762" t="s">
        <v>272</v>
      </c>
    </row>
    <row r="2763" spans="1:38">
      <c r="A2763" t="s">
        <v>11612</v>
      </c>
      <c r="B2763" t="s">
        <v>11613</v>
      </c>
      <c r="C2763" t="s">
        <v>11614</v>
      </c>
      <c r="D2763" t="s">
        <v>11614</v>
      </c>
      <c r="E2763" t="s">
        <v>11615</v>
      </c>
      <c r="F2763" t="s">
        <v>2413</v>
      </c>
      <c r="G2763">
        <v>2</v>
      </c>
      <c r="H2763">
        <v>1</v>
      </c>
      <c r="I2763">
        <v>0.01</v>
      </c>
      <c r="J2763">
        <v>1000</v>
      </c>
      <c r="K2763">
        <v>0.37</v>
      </c>
      <c r="L2763">
        <v>97.78</v>
      </c>
      <c r="M2763">
        <v>97.36</v>
      </c>
      <c r="N2763">
        <v>96.81</v>
      </c>
      <c r="O2763">
        <v>97.78</v>
      </c>
      <c r="P2763">
        <v>0</v>
      </c>
      <c r="Q2763">
        <v>0</v>
      </c>
      <c r="R2763">
        <v>0</v>
      </c>
      <c r="S2763">
        <v>97.64</v>
      </c>
      <c r="T2763">
        <v>97.69</v>
      </c>
      <c r="U2763">
        <v>97.45</v>
      </c>
      <c r="V2763">
        <v>97.78</v>
      </c>
      <c r="W2763">
        <v>680562</v>
      </c>
      <c r="X2763">
        <v>97.77</v>
      </c>
      <c r="Y2763">
        <v>97.78</v>
      </c>
      <c r="Z2763">
        <v>67</v>
      </c>
      <c r="AA2763">
        <v>5000000</v>
      </c>
      <c r="AB2763">
        <v>9778</v>
      </c>
      <c r="AC2763">
        <v>0</v>
      </c>
      <c r="AD2763" t="s">
        <v>94</v>
      </c>
      <c r="AE2763" t="s">
        <v>94</v>
      </c>
      <c r="AF2763" t="s">
        <v>226</v>
      </c>
      <c r="AG2763" t="s">
        <v>226</v>
      </c>
      <c r="AH2763">
        <v>-100</v>
      </c>
      <c r="AI2763" t="s">
        <v>3537</v>
      </c>
      <c r="AJ2763" t="s">
        <v>1976</v>
      </c>
      <c r="AK2763" t="s">
        <v>2416</v>
      </c>
      <c r="AL2763" t="s">
        <v>272</v>
      </c>
    </row>
    <row r="2764" spans="1:38">
      <c r="A2764" t="s">
        <v>11616</v>
      </c>
      <c r="B2764" t="s">
        <v>11617</v>
      </c>
      <c r="C2764" t="s">
        <v>11618</v>
      </c>
      <c r="D2764" t="s">
        <v>11618</v>
      </c>
      <c r="E2764" t="s">
        <v>11619</v>
      </c>
      <c r="F2764" t="s">
        <v>6910</v>
      </c>
      <c r="G2764">
        <v>1</v>
      </c>
      <c r="H2764">
        <v>1</v>
      </c>
      <c r="I2764">
        <v>0.01</v>
      </c>
      <c r="J2764">
        <v>200</v>
      </c>
      <c r="K2764">
        <v>0.05</v>
      </c>
      <c r="L2764">
        <v>99.9</v>
      </c>
      <c r="M2764">
        <v>99.85</v>
      </c>
      <c r="N2764">
        <v>99.83</v>
      </c>
      <c r="O2764">
        <v>99.9</v>
      </c>
      <c r="P2764">
        <v>0</v>
      </c>
      <c r="Q2764">
        <v>0</v>
      </c>
      <c r="R2764">
        <v>0</v>
      </c>
      <c r="S2764">
        <v>99.88</v>
      </c>
      <c r="T2764">
        <v>99.71</v>
      </c>
      <c r="U2764">
        <v>99.7</v>
      </c>
      <c r="V2764">
        <v>99.9</v>
      </c>
      <c r="W2764">
        <v>37156</v>
      </c>
      <c r="X2764">
        <v>99.78</v>
      </c>
      <c r="Y2764">
        <v>99.9</v>
      </c>
      <c r="Z2764">
        <v>15</v>
      </c>
      <c r="AA2764">
        <v>1000000</v>
      </c>
      <c r="AB2764">
        <v>999</v>
      </c>
      <c r="AC2764">
        <v>0</v>
      </c>
      <c r="AD2764" t="s">
        <v>94</v>
      </c>
      <c r="AE2764" t="s">
        <v>94</v>
      </c>
      <c r="AF2764" t="s">
        <v>226</v>
      </c>
      <c r="AG2764" t="s">
        <v>226</v>
      </c>
      <c r="AH2764">
        <v>6</v>
      </c>
      <c r="AI2764" t="s">
        <v>3537</v>
      </c>
      <c r="AJ2764" t="s">
        <v>1976</v>
      </c>
      <c r="AK2764" t="s">
        <v>6911</v>
      </c>
      <c r="AL2764" t="s">
        <v>272</v>
      </c>
    </row>
    <row r="2765" spans="1:38">
      <c r="A2765" t="s">
        <v>11620</v>
      </c>
      <c r="B2765" t="s">
        <v>11621</v>
      </c>
      <c r="C2765" t="s">
        <v>11622</v>
      </c>
      <c r="D2765" t="s">
        <v>11622</v>
      </c>
      <c r="E2765" t="s">
        <v>11623</v>
      </c>
      <c r="F2765" t="s">
        <v>6910</v>
      </c>
      <c r="G2765">
        <v>1</v>
      </c>
      <c r="H2765">
        <v>1</v>
      </c>
      <c r="I2765">
        <v>0.01</v>
      </c>
      <c r="J2765">
        <v>350</v>
      </c>
      <c r="K2765">
        <v>-0.01</v>
      </c>
      <c r="L2765">
        <v>90.49</v>
      </c>
      <c r="M2765">
        <v>90.5</v>
      </c>
      <c r="N2765">
        <v>90.4</v>
      </c>
      <c r="O2765">
        <v>90.49</v>
      </c>
      <c r="P2765">
        <v>0</v>
      </c>
      <c r="Q2765">
        <v>0</v>
      </c>
      <c r="R2765">
        <v>0</v>
      </c>
      <c r="S2765">
        <v>90.5</v>
      </c>
      <c r="T2765">
        <v>90.5</v>
      </c>
      <c r="U2765">
        <v>90.44</v>
      </c>
      <c r="V2765">
        <v>90.5</v>
      </c>
      <c r="W2765">
        <v>155207</v>
      </c>
      <c r="X2765">
        <v>90.44</v>
      </c>
      <c r="Y2765">
        <v>90.5</v>
      </c>
      <c r="Z2765">
        <v>18</v>
      </c>
      <c r="AA2765">
        <v>1000000</v>
      </c>
      <c r="AB2765">
        <v>316.72000000000003</v>
      </c>
      <c r="AC2765">
        <v>0</v>
      </c>
      <c r="AD2765" t="s">
        <v>94</v>
      </c>
      <c r="AE2765" t="s">
        <v>94</v>
      </c>
      <c r="AF2765" t="s">
        <v>226</v>
      </c>
      <c r="AG2765" t="s">
        <v>226</v>
      </c>
      <c r="AH2765">
        <v>6</v>
      </c>
      <c r="AI2765" t="s">
        <v>3537</v>
      </c>
      <c r="AJ2765" t="s">
        <v>1976</v>
      </c>
      <c r="AK2765" t="s">
        <v>6911</v>
      </c>
      <c r="AL2765" t="s">
        <v>272</v>
      </c>
    </row>
    <row r="2766" spans="1:38">
      <c r="A2766" t="s">
        <v>11624</v>
      </c>
      <c r="B2766" t="s">
        <v>11625</v>
      </c>
      <c r="C2766" t="s">
        <v>11626</v>
      </c>
      <c r="D2766" t="s">
        <v>11626</v>
      </c>
      <c r="E2766" t="s">
        <v>11627</v>
      </c>
      <c r="F2766" t="s">
        <v>6910</v>
      </c>
      <c r="G2766">
        <v>1</v>
      </c>
      <c r="H2766">
        <v>1</v>
      </c>
      <c r="I2766">
        <v>0.01</v>
      </c>
      <c r="J2766">
        <v>1000</v>
      </c>
      <c r="K2766">
        <v>0.04</v>
      </c>
      <c r="L2766">
        <v>100.68</v>
      </c>
      <c r="M2766">
        <v>100.64</v>
      </c>
      <c r="N2766">
        <v>100.55</v>
      </c>
      <c r="O2766">
        <v>100.68</v>
      </c>
      <c r="P2766">
        <v>0</v>
      </c>
      <c r="Q2766">
        <v>0</v>
      </c>
      <c r="R2766">
        <v>0</v>
      </c>
      <c r="S2766">
        <v>100.55</v>
      </c>
      <c r="T2766">
        <v>100.68</v>
      </c>
      <c r="U2766">
        <v>100.44</v>
      </c>
      <c r="V2766">
        <v>100.69</v>
      </c>
      <c r="W2766">
        <v>19432716</v>
      </c>
      <c r="X2766">
        <v>100.67</v>
      </c>
      <c r="Y2766">
        <v>100.68</v>
      </c>
      <c r="Z2766">
        <v>737</v>
      </c>
      <c r="AA2766">
        <v>1200000</v>
      </c>
      <c r="AB2766">
        <v>5034</v>
      </c>
      <c r="AC2766">
        <v>0</v>
      </c>
      <c r="AD2766" t="s">
        <v>94</v>
      </c>
      <c r="AE2766" t="s">
        <v>94</v>
      </c>
      <c r="AF2766" t="s">
        <v>226</v>
      </c>
      <c r="AG2766" t="s">
        <v>226</v>
      </c>
      <c r="AH2766">
        <v>6</v>
      </c>
      <c r="AI2766" t="s">
        <v>3537</v>
      </c>
      <c r="AJ2766" t="s">
        <v>1976</v>
      </c>
      <c r="AK2766" t="s">
        <v>6911</v>
      </c>
      <c r="AL2766" t="s">
        <v>272</v>
      </c>
    </row>
    <row r="2767" spans="1:38">
      <c r="A2767" t="s">
        <v>11628</v>
      </c>
      <c r="B2767" t="s">
        <v>11629</v>
      </c>
      <c r="C2767" t="s">
        <v>11630</v>
      </c>
      <c r="D2767" t="s">
        <v>11630</v>
      </c>
      <c r="E2767" t="s">
        <v>11631</v>
      </c>
      <c r="F2767" t="s">
        <v>3754</v>
      </c>
      <c r="G2767">
        <v>1</v>
      </c>
      <c r="H2767">
        <v>1</v>
      </c>
      <c r="I2767">
        <v>0.01</v>
      </c>
      <c r="J2767">
        <v>250</v>
      </c>
      <c r="K2767">
        <v>-0.01</v>
      </c>
      <c r="L2767">
        <v>101.99</v>
      </c>
      <c r="M2767">
        <v>102</v>
      </c>
      <c r="N2767">
        <v>99.47</v>
      </c>
      <c r="O2767">
        <v>101.99</v>
      </c>
      <c r="P2767">
        <v>0</v>
      </c>
      <c r="Q2767">
        <v>0</v>
      </c>
      <c r="R2767">
        <v>0</v>
      </c>
      <c r="S2767">
        <v>101.99</v>
      </c>
      <c r="T2767">
        <v>101.99</v>
      </c>
      <c r="U2767">
        <v>101.99</v>
      </c>
      <c r="V2767">
        <v>101.99</v>
      </c>
      <c r="W2767">
        <v>255</v>
      </c>
      <c r="X2767">
        <v>99.91</v>
      </c>
      <c r="Y2767">
        <v>101.99</v>
      </c>
      <c r="Z2767">
        <v>1</v>
      </c>
      <c r="AA2767">
        <v>7000000</v>
      </c>
      <c r="AB2767">
        <v>254.98</v>
      </c>
      <c r="AC2767">
        <v>0</v>
      </c>
      <c r="AD2767" t="s">
        <v>94</v>
      </c>
      <c r="AE2767" t="s">
        <v>94</v>
      </c>
      <c r="AF2767" t="s">
        <v>226</v>
      </c>
      <c r="AG2767" t="s">
        <v>226</v>
      </c>
      <c r="AH2767">
        <v>-100</v>
      </c>
      <c r="AI2767" t="s">
        <v>3537</v>
      </c>
      <c r="AJ2767" t="s">
        <v>1976</v>
      </c>
      <c r="AK2767" t="s">
        <v>3755</v>
      </c>
      <c r="AL2767" t="s">
        <v>272</v>
      </c>
    </row>
    <row r="2768" spans="1:38">
      <c r="A2768" t="s">
        <v>11632</v>
      </c>
      <c r="B2768" t="s">
        <v>11633</v>
      </c>
      <c r="C2768" t="s">
        <v>11634</v>
      </c>
      <c r="D2768" t="s">
        <v>11634</v>
      </c>
      <c r="E2768" t="s">
        <v>11635</v>
      </c>
      <c r="F2768" t="s">
        <v>3754</v>
      </c>
      <c r="G2768">
        <v>1</v>
      </c>
      <c r="H2768">
        <v>1</v>
      </c>
      <c r="I2768">
        <v>0.01</v>
      </c>
      <c r="J2768">
        <v>600</v>
      </c>
      <c r="K2768">
        <v>-0.25</v>
      </c>
      <c r="L2768">
        <v>79.91</v>
      </c>
      <c r="M2768">
        <v>80.11</v>
      </c>
      <c r="N2768">
        <v>80.28</v>
      </c>
      <c r="O2768">
        <v>79.91</v>
      </c>
      <c r="P2768">
        <v>0</v>
      </c>
      <c r="Q2768">
        <v>0</v>
      </c>
      <c r="R2768">
        <v>0</v>
      </c>
      <c r="S2768">
        <v>79.959999999999994</v>
      </c>
      <c r="T2768">
        <v>80.180000000000007</v>
      </c>
      <c r="U2768">
        <v>79.91</v>
      </c>
      <c r="V2768">
        <v>80.180000000000007</v>
      </c>
      <c r="W2768">
        <v>31184</v>
      </c>
      <c r="X2768">
        <v>79.900000000000006</v>
      </c>
      <c r="Y2768">
        <v>79.930000000000007</v>
      </c>
      <c r="Z2768">
        <v>11</v>
      </c>
      <c r="AA2768">
        <v>20000000</v>
      </c>
      <c r="AB2768">
        <v>479.46</v>
      </c>
      <c r="AC2768">
        <v>0</v>
      </c>
      <c r="AD2768" t="s">
        <v>94</v>
      </c>
      <c r="AE2768" t="s">
        <v>94</v>
      </c>
      <c r="AF2768" t="s">
        <v>226</v>
      </c>
      <c r="AG2768" t="s">
        <v>226</v>
      </c>
      <c r="AH2768">
        <v>-100</v>
      </c>
      <c r="AI2768" t="s">
        <v>3537</v>
      </c>
      <c r="AJ2768" t="s">
        <v>1976</v>
      </c>
      <c r="AK2768" t="s">
        <v>3755</v>
      </c>
      <c r="AL2768" t="s">
        <v>272</v>
      </c>
    </row>
    <row r="2769" spans="1:38">
      <c r="A2769" t="s">
        <v>11636</v>
      </c>
      <c r="B2769" t="s">
        <v>11637</v>
      </c>
      <c r="C2769" t="s">
        <v>11638</v>
      </c>
      <c r="D2769" t="s">
        <v>11638</v>
      </c>
      <c r="E2769" t="s">
        <v>11639</v>
      </c>
      <c r="F2769" t="s">
        <v>2413</v>
      </c>
      <c r="G2769">
        <v>2</v>
      </c>
      <c r="H2769">
        <v>1</v>
      </c>
      <c r="I2769">
        <v>0.01</v>
      </c>
      <c r="J2769">
        <v>1000</v>
      </c>
      <c r="K2769">
        <v>0.01</v>
      </c>
      <c r="L2769">
        <v>97.62</v>
      </c>
      <c r="M2769">
        <v>97.61</v>
      </c>
      <c r="N2769">
        <v>97.7</v>
      </c>
      <c r="O2769">
        <v>97.63</v>
      </c>
      <c r="P2769">
        <v>0</v>
      </c>
      <c r="Q2769">
        <v>0</v>
      </c>
      <c r="R2769">
        <v>0</v>
      </c>
      <c r="S2769">
        <v>97.75</v>
      </c>
      <c r="T2769">
        <v>98.26</v>
      </c>
      <c r="U2769">
        <v>97.49</v>
      </c>
      <c r="V2769">
        <v>98.26</v>
      </c>
      <c r="W2769">
        <v>4194387</v>
      </c>
      <c r="X2769">
        <v>97.62</v>
      </c>
      <c r="Y2769">
        <v>97.73</v>
      </c>
      <c r="Z2769">
        <v>406</v>
      </c>
      <c r="AA2769">
        <v>27000000</v>
      </c>
      <c r="AB2769">
        <v>1952.4</v>
      </c>
      <c r="AC2769">
        <v>0</v>
      </c>
      <c r="AD2769" t="s">
        <v>94</v>
      </c>
      <c r="AE2769" t="s">
        <v>94</v>
      </c>
      <c r="AF2769" t="s">
        <v>226</v>
      </c>
      <c r="AG2769" t="s">
        <v>226</v>
      </c>
      <c r="AH2769">
        <v>8</v>
      </c>
      <c r="AI2769" t="s">
        <v>3537</v>
      </c>
      <c r="AJ2769" t="s">
        <v>1976</v>
      </c>
      <c r="AK2769" t="s">
        <v>2416</v>
      </c>
      <c r="AL2769" t="s">
        <v>272</v>
      </c>
    </row>
    <row r="2770" spans="1:38">
      <c r="A2770" t="s">
        <v>11640</v>
      </c>
      <c r="B2770" t="s">
        <v>11641</v>
      </c>
      <c r="C2770" t="s">
        <v>11642</v>
      </c>
      <c r="D2770" t="s">
        <v>11642</v>
      </c>
      <c r="E2770" t="s">
        <v>11643</v>
      </c>
      <c r="F2770" t="s">
        <v>2413</v>
      </c>
      <c r="G2770">
        <v>3</v>
      </c>
      <c r="H2770">
        <v>1</v>
      </c>
      <c r="I2770">
        <v>0.01</v>
      </c>
      <c r="J2770">
        <v>940</v>
      </c>
      <c r="K2770">
        <v>1.48</v>
      </c>
      <c r="L2770">
        <v>96.57</v>
      </c>
      <c r="M2770">
        <v>95.14</v>
      </c>
      <c r="N2770">
        <v>94.28</v>
      </c>
      <c r="O2770">
        <v>96.57</v>
      </c>
      <c r="P2770">
        <v>0</v>
      </c>
      <c r="Q2770">
        <v>0</v>
      </c>
      <c r="R2770">
        <v>0</v>
      </c>
      <c r="S2770">
        <v>96.38</v>
      </c>
      <c r="T2770">
        <v>96</v>
      </c>
      <c r="U2770">
        <v>95.8</v>
      </c>
      <c r="V2770">
        <v>97.08</v>
      </c>
      <c r="W2770">
        <v>122310</v>
      </c>
      <c r="X2770">
        <v>96.37</v>
      </c>
      <c r="Y2770">
        <v>96.57</v>
      </c>
      <c r="Z2770">
        <v>32</v>
      </c>
      <c r="AA2770">
        <v>80000</v>
      </c>
      <c r="AB2770">
        <v>907.76</v>
      </c>
      <c r="AC2770">
        <v>0</v>
      </c>
      <c r="AD2770" t="s">
        <v>94</v>
      </c>
      <c r="AE2770" t="s">
        <v>94</v>
      </c>
      <c r="AF2770" t="s">
        <v>226</v>
      </c>
      <c r="AG2770" t="s">
        <v>226</v>
      </c>
      <c r="AH2770">
        <v>6</v>
      </c>
      <c r="AI2770" t="s">
        <v>3537</v>
      </c>
      <c r="AJ2770" t="s">
        <v>1976</v>
      </c>
      <c r="AK2770" t="s">
        <v>2416</v>
      </c>
      <c r="AL2770" t="s">
        <v>272</v>
      </c>
    </row>
    <row r="2771" spans="1:38">
      <c r="A2771" t="s">
        <v>11644</v>
      </c>
      <c r="B2771" t="s">
        <v>11645</v>
      </c>
      <c r="C2771" t="s">
        <v>11646</v>
      </c>
      <c r="D2771" t="s">
        <v>11646</v>
      </c>
      <c r="E2771" t="s">
        <v>11647</v>
      </c>
      <c r="F2771" t="s">
        <v>2413</v>
      </c>
      <c r="G2771">
        <v>3</v>
      </c>
      <c r="H2771">
        <v>1</v>
      </c>
      <c r="I2771">
        <v>0.01</v>
      </c>
      <c r="J2771">
        <v>1000</v>
      </c>
      <c r="K2771">
        <v>-0.15</v>
      </c>
      <c r="L2771">
        <v>97.71</v>
      </c>
      <c r="M2771">
        <v>97.67</v>
      </c>
      <c r="N2771">
        <v>97.58</v>
      </c>
      <c r="O2771">
        <v>97.71</v>
      </c>
      <c r="P2771">
        <v>0</v>
      </c>
      <c r="Q2771">
        <v>0</v>
      </c>
      <c r="R2771">
        <v>0</v>
      </c>
      <c r="S2771">
        <v>97.83</v>
      </c>
      <c r="T2771">
        <v>97.53</v>
      </c>
      <c r="U2771">
        <v>97.53</v>
      </c>
      <c r="V2771">
        <v>97.91</v>
      </c>
      <c r="W2771">
        <v>993912</v>
      </c>
      <c r="X2771">
        <v>97.7</v>
      </c>
      <c r="Y2771">
        <v>97.9</v>
      </c>
      <c r="Z2771">
        <v>105</v>
      </c>
      <c r="AA2771">
        <v>300000</v>
      </c>
      <c r="AB2771">
        <v>977.1</v>
      </c>
      <c r="AC2771">
        <v>0</v>
      </c>
      <c r="AD2771" t="s">
        <v>94</v>
      </c>
      <c r="AE2771" t="s">
        <v>94</v>
      </c>
      <c r="AF2771" t="s">
        <v>226</v>
      </c>
      <c r="AG2771" t="s">
        <v>226</v>
      </c>
      <c r="AH2771">
        <v>6</v>
      </c>
      <c r="AI2771" t="s">
        <v>3537</v>
      </c>
      <c r="AJ2771" t="s">
        <v>1976</v>
      </c>
      <c r="AK2771" t="s">
        <v>2416</v>
      </c>
      <c r="AL2771" t="s">
        <v>272</v>
      </c>
    </row>
    <row r="2772" spans="1:38">
      <c r="A2772" t="s">
        <v>11648</v>
      </c>
      <c r="B2772" t="s">
        <v>11649</v>
      </c>
      <c r="C2772" t="s">
        <v>11650</v>
      </c>
      <c r="D2772" t="s">
        <v>11650</v>
      </c>
      <c r="E2772" t="s">
        <v>11651</v>
      </c>
      <c r="F2772" t="s">
        <v>2413</v>
      </c>
      <c r="G2772">
        <v>3</v>
      </c>
      <c r="H2772">
        <v>1</v>
      </c>
      <c r="I2772">
        <v>0.01</v>
      </c>
      <c r="J2772">
        <v>1000</v>
      </c>
      <c r="K2772">
        <v>0</v>
      </c>
      <c r="L2772">
        <v>0</v>
      </c>
      <c r="M2772">
        <v>130</v>
      </c>
      <c r="N2772">
        <v>0</v>
      </c>
      <c r="O2772">
        <v>130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80.03</v>
      </c>
      <c r="Y2772">
        <v>0</v>
      </c>
      <c r="Z2772">
        <v>0</v>
      </c>
      <c r="AA2772">
        <v>2</v>
      </c>
      <c r="AB2772">
        <v>0</v>
      </c>
      <c r="AC2772">
        <v>0</v>
      </c>
      <c r="AD2772" t="s">
        <v>94</v>
      </c>
      <c r="AE2772" t="s">
        <v>94</v>
      </c>
      <c r="AF2772" t="s">
        <v>226</v>
      </c>
      <c r="AG2772" t="s">
        <v>226</v>
      </c>
      <c r="AH2772">
        <v>6</v>
      </c>
      <c r="AI2772" t="s">
        <v>3537</v>
      </c>
      <c r="AJ2772" t="s">
        <v>1976</v>
      </c>
      <c r="AK2772" t="s">
        <v>2416</v>
      </c>
      <c r="AL2772" t="s">
        <v>272</v>
      </c>
    </row>
    <row r="2773" spans="1:38">
      <c r="A2773" t="s">
        <v>11652</v>
      </c>
      <c r="B2773" t="s">
        <v>11653</v>
      </c>
      <c r="C2773" t="s">
        <v>11654</v>
      </c>
      <c r="D2773" t="s">
        <v>11654</v>
      </c>
      <c r="E2773" t="s">
        <v>11655</v>
      </c>
      <c r="F2773" t="s">
        <v>2413</v>
      </c>
      <c r="G2773">
        <v>2</v>
      </c>
      <c r="H2773">
        <v>1</v>
      </c>
      <c r="I2773">
        <v>0.01</v>
      </c>
      <c r="J2773">
        <v>1000</v>
      </c>
      <c r="K2773">
        <v>0.02</v>
      </c>
      <c r="L2773">
        <v>97.51</v>
      </c>
      <c r="M2773">
        <v>97.49</v>
      </c>
      <c r="N2773">
        <v>0</v>
      </c>
      <c r="O2773">
        <v>97.51</v>
      </c>
      <c r="P2773">
        <v>0</v>
      </c>
      <c r="Q2773">
        <v>0</v>
      </c>
      <c r="R2773">
        <v>0</v>
      </c>
      <c r="S2773">
        <v>97.51</v>
      </c>
      <c r="T2773">
        <v>97.51</v>
      </c>
      <c r="U2773">
        <v>97.51</v>
      </c>
      <c r="V2773">
        <v>97.51</v>
      </c>
      <c r="W2773">
        <v>975</v>
      </c>
      <c r="X2773">
        <v>97.51</v>
      </c>
      <c r="Y2773">
        <v>98.01</v>
      </c>
      <c r="Z2773">
        <v>1</v>
      </c>
      <c r="AA2773">
        <v>689874</v>
      </c>
      <c r="AB2773">
        <v>975.1</v>
      </c>
      <c r="AC2773">
        <v>0</v>
      </c>
      <c r="AD2773" t="s">
        <v>94</v>
      </c>
      <c r="AE2773" t="s">
        <v>94</v>
      </c>
      <c r="AF2773" t="s">
        <v>226</v>
      </c>
      <c r="AG2773" t="s">
        <v>226</v>
      </c>
      <c r="AH2773">
        <v>800</v>
      </c>
      <c r="AI2773" t="s">
        <v>3537</v>
      </c>
      <c r="AJ2773" t="s">
        <v>1976</v>
      </c>
      <c r="AK2773" t="s">
        <v>2416</v>
      </c>
      <c r="AL2773" t="s">
        <v>272</v>
      </c>
    </row>
    <row r="2774" spans="1:38">
      <c r="A2774" t="s">
        <v>11656</v>
      </c>
      <c r="B2774" t="s">
        <v>11657</v>
      </c>
      <c r="C2774" t="s">
        <v>11658</v>
      </c>
      <c r="D2774" t="s">
        <v>11658</v>
      </c>
      <c r="E2774" t="s">
        <v>11659</v>
      </c>
      <c r="F2774" t="s">
        <v>2413</v>
      </c>
      <c r="G2774">
        <v>2</v>
      </c>
      <c r="H2774">
        <v>1</v>
      </c>
      <c r="I2774">
        <v>0.01</v>
      </c>
      <c r="J2774">
        <v>1000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500000</v>
      </c>
      <c r="AB2774">
        <v>0</v>
      </c>
      <c r="AC2774">
        <v>0</v>
      </c>
      <c r="AD2774" t="s">
        <v>94</v>
      </c>
      <c r="AE2774" t="s">
        <v>94</v>
      </c>
      <c r="AF2774" t="s">
        <v>226</v>
      </c>
      <c r="AG2774" t="s">
        <v>226</v>
      </c>
      <c r="AH2774">
        <v>6</v>
      </c>
      <c r="AI2774" t="s">
        <v>3537</v>
      </c>
      <c r="AJ2774" t="s">
        <v>1976</v>
      </c>
      <c r="AK2774" t="s">
        <v>2416</v>
      </c>
      <c r="AL2774" t="s">
        <v>272</v>
      </c>
    </row>
    <row r="2775" spans="1:38">
      <c r="A2775" t="s">
        <v>11660</v>
      </c>
      <c r="B2775" t="s">
        <v>11661</v>
      </c>
      <c r="C2775" t="s">
        <v>11662</v>
      </c>
      <c r="D2775" t="s">
        <v>11662</v>
      </c>
      <c r="E2775" t="s">
        <v>11663</v>
      </c>
      <c r="F2775" t="s">
        <v>2413</v>
      </c>
      <c r="G2775">
        <v>2</v>
      </c>
      <c r="H2775">
        <v>1</v>
      </c>
      <c r="I2775">
        <v>0.01</v>
      </c>
      <c r="J2775">
        <v>1000</v>
      </c>
      <c r="K2775">
        <v>1.54</v>
      </c>
      <c r="L2775">
        <v>73.7</v>
      </c>
      <c r="M2775">
        <v>72.58</v>
      </c>
      <c r="N2775">
        <v>73.45</v>
      </c>
      <c r="O2775">
        <v>73.84</v>
      </c>
      <c r="P2775">
        <v>0</v>
      </c>
      <c r="Q2775">
        <v>0</v>
      </c>
      <c r="R2775">
        <v>0</v>
      </c>
      <c r="S2775">
        <v>73.78</v>
      </c>
      <c r="T2775">
        <v>73.13</v>
      </c>
      <c r="U2775">
        <v>73.13</v>
      </c>
      <c r="V2775">
        <v>75.489999999999995</v>
      </c>
      <c r="W2775">
        <v>208792</v>
      </c>
      <c r="X2775">
        <v>73.5</v>
      </c>
      <c r="Y2775">
        <v>73.790000000000006</v>
      </c>
      <c r="Z2775">
        <v>54</v>
      </c>
      <c r="AA2775">
        <v>9234815</v>
      </c>
      <c r="AB2775">
        <v>737</v>
      </c>
      <c r="AC2775">
        <v>0</v>
      </c>
      <c r="AD2775" t="s">
        <v>94</v>
      </c>
      <c r="AE2775" t="s">
        <v>94</v>
      </c>
      <c r="AF2775" t="s">
        <v>226</v>
      </c>
      <c r="AG2775" t="s">
        <v>226</v>
      </c>
      <c r="AH2775">
        <v>800</v>
      </c>
      <c r="AI2775" t="s">
        <v>3537</v>
      </c>
      <c r="AJ2775" t="s">
        <v>1976</v>
      </c>
      <c r="AK2775" t="s">
        <v>2416</v>
      </c>
      <c r="AL2775" t="s">
        <v>272</v>
      </c>
    </row>
    <row r="2776" spans="1:38">
      <c r="A2776" t="s">
        <v>11664</v>
      </c>
      <c r="B2776" t="s">
        <v>11665</v>
      </c>
      <c r="C2776" t="s">
        <v>11666</v>
      </c>
      <c r="D2776" t="s">
        <v>11666</v>
      </c>
      <c r="E2776" t="s">
        <v>11667</v>
      </c>
      <c r="F2776" t="s">
        <v>2413</v>
      </c>
      <c r="G2776">
        <v>3</v>
      </c>
      <c r="H2776">
        <v>1</v>
      </c>
      <c r="I2776">
        <v>0.01</v>
      </c>
      <c r="J2776">
        <v>1000</v>
      </c>
      <c r="K2776">
        <v>0</v>
      </c>
      <c r="L2776">
        <v>0</v>
      </c>
      <c r="M2776">
        <v>100</v>
      </c>
      <c r="N2776">
        <v>99.98</v>
      </c>
      <c r="O2776">
        <v>100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91.01</v>
      </c>
      <c r="Y2776">
        <v>0</v>
      </c>
      <c r="Z2776">
        <v>0</v>
      </c>
      <c r="AA2776">
        <v>150102</v>
      </c>
      <c r="AB2776">
        <v>0</v>
      </c>
      <c r="AC2776">
        <v>0</v>
      </c>
      <c r="AD2776" t="s">
        <v>94</v>
      </c>
      <c r="AE2776" t="s">
        <v>94</v>
      </c>
      <c r="AF2776" t="s">
        <v>226</v>
      </c>
      <c r="AG2776" t="s">
        <v>226</v>
      </c>
      <c r="AH2776">
        <v>800</v>
      </c>
      <c r="AI2776" t="s">
        <v>3537</v>
      </c>
      <c r="AJ2776" t="s">
        <v>1976</v>
      </c>
      <c r="AK2776" t="s">
        <v>2416</v>
      </c>
      <c r="AL2776" t="s">
        <v>272</v>
      </c>
    </row>
    <row r="2777" spans="1:38">
      <c r="A2777" t="s">
        <v>11668</v>
      </c>
      <c r="B2777" t="s">
        <v>11669</v>
      </c>
      <c r="C2777" t="s">
        <v>11670</v>
      </c>
      <c r="D2777" t="s">
        <v>11670</v>
      </c>
      <c r="E2777" t="s">
        <v>11671</v>
      </c>
      <c r="F2777" t="s">
        <v>2413</v>
      </c>
      <c r="G2777">
        <v>2</v>
      </c>
      <c r="H2777">
        <v>1</v>
      </c>
      <c r="I2777">
        <v>0.01</v>
      </c>
      <c r="J2777">
        <v>1000</v>
      </c>
      <c r="K2777">
        <v>-0.28999999999999998</v>
      </c>
      <c r="L2777">
        <v>90.07</v>
      </c>
      <c r="M2777">
        <v>90.33</v>
      </c>
      <c r="N2777">
        <v>90.44</v>
      </c>
      <c r="O2777">
        <v>90.08</v>
      </c>
      <c r="P2777">
        <v>0</v>
      </c>
      <c r="Q2777">
        <v>0</v>
      </c>
      <c r="R2777">
        <v>0</v>
      </c>
      <c r="S2777">
        <v>90.53</v>
      </c>
      <c r="T2777">
        <v>90.11</v>
      </c>
      <c r="U2777">
        <v>90.07</v>
      </c>
      <c r="V2777">
        <v>91.1</v>
      </c>
      <c r="W2777">
        <v>197347</v>
      </c>
      <c r="X2777">
        <v>90.08</v>
      </c>
      <c r="Y2777">
        <v>90.34</v>
      </c>
      <c r="Z2777">
        <v>47</v>
      </c>
      <c r="AA2777">
        <v>6300000</v>
      </c>
      <c r="AB2777">
        <v>3602.8</v>
      </c>
      <c r="AC2777">
        <v>0</v>
      </c>
      <c r="AD2777" t="s">
        <v>94</v>
      </c>
      <c r="AE2777" t="s">
        <v>94</v>
      </c>
      <c r="AF2777" t="s">
        <v>226</v>
      </c>
      <c r="AG2777" t="s">
        <v>226</v>
      </c>
      <c r="AH2777">
        <v>800</v>
      </c>
      <c r="AI2777" t="s">
        <v>3537</v>
      </c>
      <c r="AJ2777" t="s">
        <v>1976</v>
      </c>
      <c r="AK2777" t="s">
        <v>2416</v>
      </c>
      <c r="AL2777" t="s">
        <v>272</v>
      </c>
    </row>
    <row r="2778" spans="1:38">
      <c r="A2778" t="s">
        <v>11672</v>
      </c>
      <c r="B2778" t="s">
        <v>11673</v>
      </c>
      <c r="C2778" t="s">
        <v>11674</v>
      </c>
      <c r="D2778" t="s">
        <v>11674</v>
      </c>
      <c r="E2778" t="s">
        <v>11675</v>
      </c>
      <c r="F2778" t="s">
        <v>2413</v>
      </c>
      <c r="G2778">
        <v>2</v>
      </c>
      <c r="H2778">
        <v>1</v>
      </c>
      <c r="I2778">
        <v>0.01</v>
      </c>
      <c r="J2778">
        <v>1000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1000000</v>
      </c>
      <c r="AB2778">
        <v>0</v>
      </c>
      <c r="AC2778">
        <v>0</v>
      </c>
      <c r="AD2778" t="s">
        <v>94</v>
      </c>
      <c r="AE2778" t="s">
        <v>94</v>
      </c>
      <c r="AF2778" t="s">
        <v>226</v>
      </c>
      <c r="AG2778" t="s">
        <v>226</v>
      </c>
      <c r="AH2778">
        <v>6</v>
      </c>
      <c r="AI2778" t="s">
        <v>3537</v>
      </c>
      <c r="AJ2778" t="s">
        <v>1976</v>
      </c>
      <c r="AK2778" t="s">
        <v>2416</v>
      </c>
      <c r="AL2778" t="s">
        <v>272</v>
      </c>
    </row>
    <row r="2779" spans="1:38">
      <c r="A2779" t="s">
        <v>11676</v>
      </c>
      <c r="B2779" t="s">
        <v>11677</v>
      </c>
      <c r="C2779" t="s">
        <v>11678</v>
      </c>
      <c r="D2779" t="s">
        <v>11678</v>
      </c>
      <c r="E2779" t="s">
        <v>11679</v>
      </c>
      <c r="F2779" t="s">
        <v>2413</v>
      </c>
      <c r="G2779">
        <v>2</v>
      </c>
      <c r="H2779">
        <v>1</v>
      </c>
      <c r="I2779">
        <v>0.01</v>
      </c>
      <c r="J2779">
        <v>1000</v>
      </c>
      <c r="K2779">
        <v>0</v>
      </c>
      <c r="L2779">
        <v>0</v>
      </c>
      <c r="M2779">
        <v>92.99</v>
      </c>
      <c r="N2779">
        <v>95.03</v>
      </c>
      <c r="O2779">
        <v>92.99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86</v>
      </c>
      <c r="Y2779">
        <v>92.98</v>
      </c>
      <c r="Z2779">
        <v>0</v>
      </c>
      <c r="AA2779">
        <v>3000000</v>
      </c>
      <c r="AB2779">
        <v>0</v>
      </c>
      <c r="AC2779">
        <v>0</v>
      </c>
      <c r="AD2779" t="s">
        <v>94</v>
      </c>
      <c r="AE2779" t="s">
        <v>94</v>
      </c>
      <c r="AF2779" t="s">
        <v>304</v>
      </c>
      <c r="AG2779" t="s">
        <v>226</v>
      </c>
      <c r="AH2779">
        <v>800</v>
      </c>
      <c r="AI2779" t="s">
        <v>3537</v>
      </c>
      <c r="AJ2779" t="s">
        <v>1976</v>
      </c>
      <c r="AK2779" t="s">
        <v>2416</v>
      </c>
      <c r="AL2779" t="s">
        <v>272</v>
      </c>
    </row>
    <row r="2780" spans="1:38">
      <c r="A2780" t="s">
        <v>11680</v>
      </c>
      <c r="B2780" t="s">
        <v>11681</v>
      </c>
      <c r="C2780" t="s">
        <v>11682</v>
      </c>
      <c r="D2780" t="s">
        <v>11682</v>
      </c>
      <c r="E2780" t="s">
        <v>11683</v>
      </c>
      <c r="F2780" t="s">
        <v>2413</v>
      </c>
      <c r="G2780">
        <v>3</v>
      </c>
      <c r="H2780">
        <v>1</v>
      </c>
      <c r="I2780">
        <v>0.01</v>
      </c>
      <c r="J2780">
        <v>1000</v>
      </c>
      <c r="K2780">
        <v>0</v>
      </c>
      <c r="L2780">
        <v>0</v>
      </c>
      <c r="M2780">
        <v>110</v>
      </c>
      <c r="N2780">
        <v>0</v>
      </c>
      <c r="O2780">
        <v>110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2</v>
      </c>
      <c r="AB2780">
        <v>0</v>
      </c>
      <c r="AC2780">
        <v>0</v>
      </c>
      <c r="AD2780" t="s">
        <v>94</v>
      </c>
      <c r="AE2780" t="s">
        <v>94</v>
      </c>
      <c r="AF2780" t="s">
        <v>226</v>
      </c>
      <c r="AG2780" t="s">
        <v>226</v>
      </c>
      <c r="AH2780">
        <v>6</v>
      </c>
      <c r="AI2780" t="s">
        <v>3537</v>
      </c>
      <c r="AJ2780" t="s">
        <v>1976</v>
      </c>
      <c r="AK2780" t="s">
        <v>2416</v>
      </c>
      <c r="AL2780" t="s">
        <v>272</v>
      </c>
    </row>
    <row r="2781" spans="1:38">
      <c r="A2781" t="s">
        <v>11684</v>
      </c>
      <c r="B2781" t="s">
        <v>11685</v>
      </c>
      <c r="C2781" t="s">
        <v>11686</v>
      </c>
      <c r="D2781" t="s">
        <v>11686</v>
      </c>
      <c r="E2781" t="s">
        <v>11687</v>
      </c>
      <c r="F2781" t="s">
        <v>2413</v>
      </c>
      <c r="G2781">
        <v>2</v>
      </c>
      <c r="H2781">
        <v>1</v>
      </c>
      <c r="I2781">
        <v>0.01</v>
      </c>
      <c r="J2781">
        <v>1000</v>
      </c>
      <c r="K2781">
        <v>-4.6900000000000004</v>
      </c>
      <c r="L2781">
        <v>90.51</v>
      </c>
      <c r="M2781">
        <v>94.95</v>
      </c>
      <c r="N2781">
        <v>91.03</v>
      </c>
      <c r="O2781">
        <v>90.52</v>
      </c>
      <c r="P2781">
        <v>0</v>
      </c>
      <c r="Q2781">
        <v>0</v>
      </c>
      <c r="R2781">
        <v>0</v>
      </c>
      <c r="S2781">
        <v>92</v>
      </c>
      <c r="T2781">
        <v>94.96</v>
      </c>
      <c r="U2781">
        <v>90.51</v>
      </c>
      <c r="V2781">
        <v>94.96</v>
      </c>
      <c r="W2781">
        <v>2760</v>
      </c>
      <c r="X2781">
        <v>92.04</v>
      </c>
      <c r="Y2781">
        <v>94.39</v>
      </c>
      <c r="Z2781">
        <v>3</v>
      </c>
      <c r="AA2781">
        <v>2044004</v>
      </c>
      <c r="AB2781">
        <v>905.1</v>
      </c>
      <c r="AC2781">
        <v>0</v>
      </c>
      <c r="AD2781" t="s">
        <v>94</v>
      </c>
      <c r="AE2781" t="s">
        <v>94</v>
      </c>
      <c r="AF2781" t="s">
        <v>226</v>
      </c>
      <c r="AG2781" t="s">
        <v>226</v>
      </c>
      <c r="AH2781">
        <v>6</v>
      </c>
      <c r="AI2781" t="s">
        <v>3537</v>
      </c>
      <c r="AJ2781" t="s">
        <v>1976</v>
      </c>
      <c r="AK2781" t="s">
        <v>2416</v>
      </c>
      <c r="AL2781" t="s">
        <v>272</v>
      </c>
    </row>
    <row r="2782" spans="1:38">
      <c r="A2782" t="s">
        <v>11688</v>
      </c>
      <c r="B2782" t="s">
        <v>11689</v>
      </c>
      <c r="C2782" t="s">
        <v>11690</v>
      </c>
      <c r="D2782" t="s">
        <v>11690</v>
      </c>
      <c r="E2782" t="s">
        <v>11691</v>
      </c>
      <c r="F2782" t="s">
        <v>2413</v>
      </c>
      <c r="G2782">
        <v>2</v>
      </c>
      <c r="H2782">
        <v>1</v>
      </c>
      <c r="I2782">
        <v>0.01</v>
      </c>
      <c r="J2782">
        <v>1000</v>
      </c>
      <c r="K2782">
        <v>0</v>
      </c>
      <c r="L2782">
        <v>0</v>
      </c>
      <c r="M2782">
        <v>100</v>
      </c>
      <c r="N2782">
        <v>0</v>
      </c>
      <c r="O2782">
        <v>100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72.010000000000005</v>
      </c>
      <c r="Y2782">
        <v>0</v>
      </c>
      <c r="Z2782">
        <v>0</v>
      </c>
      <c r="AA2782">
        <v>500000</v>
      </c>
      <c r="AB2782">
        <v>0</v>
      </c>
      <c r="AC2782">
        <v>0</v>
      </c>
      <c r="AD2782" t="s">
        <v>94</v>
      </c>
      <c r="AE2782" t="s">
        <v>94</v>
      </c>
      <c r="AF2782" t="s">
        <v>226</v>
      </c>
      <c r="AG2782" t="s">
        <v>226</v>
      </c>
      <c r="AH2782">
        <v>6</v>
      </c>
      <c r="AI2782" t="s">
        <v>3537</v>
      </c>
      <c r="AJ2782" t="s">
        <v>1976</v>
      </c>
      <c r="AK2782" t="s">
        <v>2416</v>
      </c>
      <c r="AL2782" t="s">
        <v>272</v>
      </c>
    </row>
    <row r="2783" spans="1:38">
      <c r="A2783" t="s">
        <v>11692</v>
      </c>
      <c r="B2783" t="s">
        <v>11693</v>
      </c>
      <c r="C2783" t="s">
        <v>11694</v>
      </c>
      <c r="D2783" t="s">
        <v>11694</v>
      </c>
      <c r="E2783" t="s">
        <v>11695</v>
      </c>
      <c r="F2783" t="s">
        <v>2413</v>
      </c>
      <c r="G2783">
        <v>2</v>
      </c>
      <c r="H2783">
        <v>1</v>
      </c>
      <c r="I2783">
        <v>0.01</v>
      </c>
      <c r="J2783">
        <v>1000</v>
      </c>
      <c r="K2783">
        <v>0</v>
      </c>
      <c r="L2783">
        <v>0</v>
      </c>
      <c r="M2783">
        <v>95.5</v>
      </c>
      <c r="N2783">
        <v>0</v>
      </c>
      <c r="O2783">
        <v>95.5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83.01</v>
      </c>
      <c r="Y2783">
        <v>0</v>
      </c>
      <c r="Z2783">
        <v>0</v>
      </c>
      <c r="AA2783">
        <v>559783</v>
      </c>
      <c r="AB2783">
        <v>0</v>
      </c>
      <c r="AC2783">
        <v>0</v>
      </c>
      <c r="AD2783" t="s">
        <v>94</v>
      </c>
      <c r="AE2783" t="s">
        <v>94</v>
      </c>
      <c r="AF2783" t="s">
        <v>226</v>
      </c>
      <c r="AG2783" t="s">
        <v>226</v>
      </c>
      <c r="AH2783">
        <v>6</v>
      </c>
      <c r="AI2783" t="s">
        <v>3537</v>
      </c>
      <c r="AJ2783" t="s">
        <v>1976</v>
      </c>
      <c r="AK2783" t="s">
        <v>2416</v>
      </c>
      <c r="AL2783" t="s">
        <v>272</v>
      </c>
    </row>
    <row r="2784" spans="1:38">
      <c r="A2784" t="s">
        <v>11696</v>
      </c>
      <c r="B2784" t="s">
        <v>11697</v>
      </c>
      <c r="C2784" t="s">
        <v>11698</v>
      </c>
      <c r="D2784" t="s">
        <v>11698</v>
      </c>
      <c r="E2784" t="s">
        <v>11699</v>
      </c>
      <c r="F2784" t="s">
        <v>2413</v>
      </c>
      <c r="G2784">
        <v>2</v>
      </c>
      <c r="H2784">
        <v>1</v>
      </c>
      <c r="I2784">
        <v>0.01</v>
      </c>
      <c r="J2784">
        <v>1000</v>
      </c>
      <c r="K2784">
        <v>0.04</v>
      </c>
      <c r="L2784">
        <v>99.85</v>
      </c>
      <c r="M2784">
        <v>99.81</v>
      </c>
      <c r="N2784">
        <v>99.71</v>
      </c>
      <c r="O2784">
        <v>99.83</v>
      </c>
      <c r="P2784">
        <v>0</v>
      </c>
      <c r="Q2784">
        <v>0</v>
      </c>
      <c r="R2784">
        <v>0</v>
      </c>
      <c r="S2784">
        <v>99.78</v>
      </c>
      <c r="T2784">
        <v>99.89</v>
      </c>
      <c r="U2784">
        <v>99.59</v>
      </c>
      <c r="V2784">
        <v>99.89</v>
      </c>
      <c r="W2784">
        <v>683491</v>
      </c>
      <c r="X2784">
        <v>99.71</v>
      </c>
      <c r="Y2784">
        <v>99.85</v>
      </c>
      <c r="Z2784">
        <v>31</v>
      </c>
      <c r="AA2784">
        <v>10000000</v>
      </c>
      <c r="AB2784">
        <v>998.5</v>
      </c>
      <c r="AC2784">
        <v>0</v>
      </c>
      <c r="AD2784" t="s">
        <v>94</v>
      </c>
      <c r="AE2784" t="s">
        <v>94</v>
      </c>
      <c r="AF2784" t="s">
        <v>226</v>
      </c>
      <c r="AG2784" t="s">
        <v>226</v>
      </c>
      <c r="AH2784">
        <v>6</v>
      </c>
      <c r="AI2784" t="s">
        <v>3537</v>
      </c>
      <c r="AJ2784" t="s">
        <v>1976</v>
      </c>
      <c r="AK2784" t="s">
        <v>2416</v>
      </c>
      <c r="AL2784" t="s">
        <v>272</v>
      </c>
    </row>
    <row r="2785" spans="1:38">
      <c r="A2785" t="s">
        <v>11700</v>
      </c>
      <c r="B2785" t="s">
        <v>11701</v>
      </c>
      <c r="C2785" t="s">
        <v>11702</v>
      </c>
      <c r="D2785" t="s">
        <v>11702</v>
      </c>
      <c r="E2785" t="s">
        <v>11703</v>
      </c>
      <c r="F2785" t="s">
        <v>2413</v>
      </c>
      <c r="G2785">
        <v>2</v>
      </c>
      <c r="H2785">
        <v>1</v>
      </c>
      <c r="I2785">
        <v>0.01</v>
      </c>
      <c r="J2785">
        <v>1000</v>
      </c>
      <c r="K2785">
        <v>0.33</v>
      </c>
      <c r="L2785">
        <v>82</v>
      </c>
      <c r="M2785">
        <v>81.73</v>
      </c>
      <c r="N2785">
        <v>82</v>
      </c>
      <c r="O2785">
        <v>82</v>
      </c>
      <c r="P2785">
        <v>0</v>
      </c>
      <c r="Q2785">
        <v>0</v>
      </c>
      <c r="R2785">
        <v>0</v>
      </c>
      <c r="S2785">
        <v>83.11</v>
      </c>
      <c r="T2785">
        <v>88.64</v>
      </c>
      <c r="U2785">
        <v>81.97</v>
      </c>
      <c r="V2785">
        <v>88.67</v>
      </c>
      <c r="W2785">
        <v>34905</v>
      </c>
      <c r="X2785">
        <v>81.62</v>
      </c>
      <c r="Y2785">
        <v>82</v>
      </c>
      <c r="Z2785">
        <v>10</v>
      </c>
      <c r="AA2785">
        <v>10000000</v>
      </c>
      <c r="AB2785">
        <v>1640</v>
      </c>
      <c r="AC2785">
        <v>0</v>
      </c>
      <c r="AD2785" t="s">
        <v>94</v>
      </c>
      <c r="AE2785" t="s">
        <v>94</v>
      </c>
      <c r="AF2785" t="s">
        <v>226</v>
      </c>
      <c r="AG2785" t="s">
        <v>226</v>
      </c>
      <c r="AH2785">
        <v>6</v>
      </c>
      <c r="AI2785" t="s">
        <v>3537</v>
      </c>
      <c r="AJ2785" t="s">
        <v>1976</v>
      </c>
      <c r="AK2785" t="s">
        <v>2416</v>
      </c>
      <c r="AL2785" t="s">
        <v>272</v>
      </c>
    </row>
    <row r="2786" spans="1:38">
      <c r="A2786" t="s">
        <v>11704</v>
      </c>
      <c r="B2786" t="s">
        <v>11705</v>
      </c>
      <c r="C2786" t="s">
        <v>11706</v>
      </c>
      <c r="D2786" t="s">
        <v>11706</v>
      </c>
      <c r="E2786" t="s">
        <v>11707</v>
      </c>
      <c r="F2786" t="s">
        <v>2413</v>
      </c>
      <c r="G2786">
        <v>2</v>
      </c>
      <c r="H2786">
        <v>1</v>
      </c>
      <c r="I2786">
        <v>0.01</v>
      </c>
      <c r="J2786">
        <v>1000</v>
      </c>
      <c r="K2786">
        <v>-0.11</v>
      </c>
      <c r="L2786">
        <v>81.040000000000006</v>
      </c>
      <c r="M2786">
        <v>81.13</v>
      </c>
      <c r="N2786">
        <v>81.06</v>
      </c>
      <c r="O2786">
        <v>81.040000000000006</v>
      </c>
      <c r="P2786">
        <v>0</v>
      </c>
      <c r="Q2786">
        <v>0</v>
      </c>
      <c r="R2786">
        <v>0</v>
      </c>
      <c r="S2786">
        <v>80.94</v>
      </c>
      <c r="T2786">
        <v>82.81</v>
      </c>
      <c r="U2786">
        <v>80</v>
      </c>
      <c r="V2786">
        <v>82.82</v>
      </c>
      <c r="W2786">
        <v>88224</v>
      </c>
      <c r="X2786">
        <v>81.040000000000006</v>
      </c>
      <c r="Y2786">
        <v>81.05</v>
      </c>
      <c r="Z2786">
        <v>44</v>
      </c>
      <c r="AA2786">
        <v>10000000</v>
      </c>
      <c r="AB2786">
        <v>3241.6</v>
      </c>
      <c r="AC2786">
        <v>0</v>
      </c>
      <c r="AD2786" t="s">
        <v>94</v>
      </c>
      <c r="AE2786" t="s">
        <v>94</v>
      </c>
      <c r="AF2786" t="s">
        <v>226</v>
      </c>
      <c r="AG2786" t="s">
        <v>226</v>
      </c>
      <c r="AH2786">
        <v>6</v>
      </c>
      <c r="AI2786" t="s">
        <v>3537</v>
      </c>
      <c r="AJ2786" t="s">
        <v>1976</v>
      </c>
      <c r="AK2786" t="s">
        <v>2416</v>
      </c>
      <c r="AL2786" t="s">
        <v>272</v>
      </c>
    </row>
    <row r="2787" spans="1:38">
      <c r="A2787" t="s">
        <v>11708</v>
      </c>
      <c r="B2787" t="s">
        <v>11709</v>
      </c>
      <c r="C2787" t="s">
        <v>11710</v>
      </c>
      <c r="D2787" t="s">
        <v>11710</v>
      </c>
      <c r="E2787" t="s">
        <v>11711</v>
      </c>
      <c r="F2787" t="s">
        <v>2413</v>
      </c>
      <c r="G2787">
        <v>1</v>
      </c>
      <c r="H2787">
        <v>1</v>
      </c>
      <c r="I2787">
        <v>0.01</v>
      </c>
      <c r="J2787">
        <v>1000</v>
      </c>
      <c r="K2787">
        <v>-0.46</v>
      </c>
      <c r="L2787">
        <v>77.63</v>
      </c>
      <c r="M2787">
        <v>77.97</v>
      </c>
      <c r="N2787">
        <v>78.8</v>
      </c>
      <c r="O2787">
        <v>77.510000000000005</v>
      </c>
      <c r="P2787">
        <v>0</v>
      </c>
      <c r="Q2787">
        <v>0</v>
      </c>
      <c r="R2787">
        <v>0</v>
      </c>
      <c r="S2787">
        <v>76.739999999999995</v>
      </c>
      <c r="T2787">
        <v>78.97</v>
      </c>
      <c r="U2787">
        <v>75.19</v>
      </c>
      <c r="V2787">
        <v>78.97</v>
      </c>
      <c r="W2787">
        <v>292390</v>
      </c>
      <c r="X2787">
        <v>77.12</v>
      </c>
      <c r="Y2787">
        <v>77.63</v>
      </c>
      <c r="Z2787">
        <v>51</v>
      </c>
      <c r="AA2787">
        <v>15000000</v>
      </c>
      <c r="AB2787">
        <v>776.3</v>
      </c>
      <c r="AC2787">
        <v>0</v>
      </c>
      <c r="AD2787" t="s">
        <v>94</v>
      </c>
      <c r="AE2787" t="s">
        <v>94</v>
      </c>
      <c r="AF2787" t="s">
        <v>226</v>
      </c>
      <c r="AG2787" t="s">
        <v>226</v>
      </c>
      <c r="AH2787">
        <v>-100</v>
      </c>
      <c r="AI2787" t="s">
        <v>3537</v>
      </c>
      <c r="AJ2787" t="s">
        <v>1976</v>
      </c>
      <c r="AK2787" t="s">
        <v>2416</v>
      </c>
      <c r="AL2787" t="s">
        <v>272</v>
      </c>
    </row>
    <row r="2788" spans="1:38">
      <c r="A2788" t="s">
        <v>11712</v>
      </c>
      <c r="B2788" t="s">
        <v>11713</v>
      </c>
      <c r="C2788" t="s">
        <v>11714</v>
      </c>
      <c r="D2788" t="s">
        <v>11714</v>
      </c>
      <c r="E2788" t="s">
        <v>11715</v>
      </c>
      <c r="F2788" t="s">
        <v>2413</v>
      </c>
      <c r="G2788">
        <v>1</v>
      </c>
      <c r="H2788">
        <v>1</v>
      </c>
      <c r="I2788">
        <v>0.01</v>
      </c>
      <c r="J2788">
        <v>1000</v>
      </c>
      <c r="K2788">
        <v>0.04</v>
      </c>
      <c r="L2788">
        <v>89.89</v>
      </c>
      <c r="M2788">
        <v>89.85</v>
      </c>
      <c r="N2788">
        <v>89.87</v>
      </c>
      <c r="O2788">
        <v>89.89</v>
      </c>
      <c r="P2788">
        <v>0</v>
      </c>
      <c r="Q2788">
        <v>0</v>
      </c>
      <c r="R2788">
        <v>0</v>
      </c>
      <c r="S2788">
        <v>89.78</v>
      </c>
      <c r="T2788">
        <v>89.92</v>
      </c>
      <c r="U2788">
        <v>89.56</v>
      </c>
      <c r="V2788">
        <v>89.92</v>
      </c>
      <c r="W2788">
        <v>908546</v>
      </c>
      <c r="X2788">
        <v>89.89</v>
      </c>
      <c r="Y2788">
        <v>89.9</v>
      </c>
      <c r="Z2788">
        <v>49</v>
      </c>
      <c r="AA2788">
        <v>25000000</v>
      </c>
      <c r="AB2788">
        <v>1797.8</v>
      </c>
      <c r="AC2788">
        <v>0</v>
      </c>
      <c r="AD2788" t="s">
        <v>94</v>
      </c>
      <c r="AE2788" t="s">
        <v>94</v>
      </c>
      <c r="AF2788" t="s">
        <v>226</v>
      </c>
      <c r="AG2788" t="s">
        <v>226</v>
      </c>
      <c r="AH2788">
        <v>-100</v>
      </c>
      <c r="AI2788" t="s">
        <v>3537</v>
      </c>
      <c r="AJ2788" t="s">
        <v>1976</v>
      </c>
      <c r="AK2788" t="s">
        <v>2416</v>
      </c>
      <c r="AL2788" t="s">
        <v>272</v>
      </c>
    </row>
    <row r="2789" spans="1:38">
      <c r="A2789" t="s">
        <v>11716</v>
      </c>
      <c r="B2789" t="s">
        <v>11717</v>
      </c>
      <c r="C2789" t="s">
        <v>11718</v>
      </c>
      <c r="D2789" t="s">
        <v>11718</v>
      </c>
      <c r="E2789" t="s">
        <v>11719</v>
      </c>
      <c r="F2789" t="s">
        <v>3754</v>
      </c>
      <c r="G2789">
        <v>3</v>
      </c>
      <c r="H2789">
        <v>1</v>
      </c>
      <c r="I2789">
        <v>0.01</v>
      </c>
      <c r="J2789">
        <v>1000</v>
      </c>
      <c r="K2789">
        <v>0</v>
      </c>
      <c r="L2789">
        <v>88.5</v>
      </c>
      <c r="M2789">
        <v>88.96</v>
      </c>
      <c r="N2789">
        <v>90.05</v>
      </c>
      <c r="O2789">
        <v>88.54</v>
      </c>
      <c r="P2789">
        <v>0</v>
      </c>
      <c r="Q2789">
        <v>0</v>
      </c>
      <c r="R2789">
        <v>0</v>
      </c>
      <c r="S2789">
        <v>88.75</v>
      </c>
      <c r="T2789">
        <v>89</v>
      </c>
      <c r="U2789">
        <v>88.5</v>
      </c>
      <c r="V2789">
        <v>89.26</v>
      </c>
      <c r="W2789">
        <v>6212</v>
      </c>
      <c r="X2789">
        <v>88.39</v>
      </c>
      <c r="Y2789">
        <v>88.94</v>
      </c>
      <c r="Z2789">
        <v>7</v>
      </c>
      <c r="AA2789">
        <v>5000000</v>
      </c>
      <c r="AB2789">
        <v>885</v>
      </c>
      <c r="AC2789">
        <v>0</v>
      </c>
      <c r="AD2789" t="s">
        <v>94</v>
      </c>
      <c r="AE2789" t="s">
        <v>94</v>
      </c>
      <c r="AF2789" t="s">
        <v>226</v>
      </c>
      <c r="AG2789" t="s">
        <v>226</v>
      </c>
      <c r="AH2789">
        <v>-100</v>
      </c>
      <c r="AI2789" t="s">
        <v>3537</v>
      </c>
      <c r="AJ2789" t="s">
        <v>1976</v>
      </c>
      <c r="AK2789" t="s">
        <v>3755</v>
      </c>
      <c r="AL2789" t="s">
        <v>272</v>
      </c>
    </row>
    <row r="2790" spans="1:38">
      <c r="A2790" t="s">
        <v>11720</v>
      </c>
      <c r="B2790" t="s">
        <v>11721</v>
      </c>
      <c r="C2790" t="s">
        <v>11722</v>
      </c>
      <c r="D2790" t="s">
        <v>11722</v>
      </c>
      <c r="E2790" t="s">
        <v>11723</v>
      </c>
      <c r="F2790" t="s">
        <v>3754</v>
      </c>
      <c r="G2790">
        <v>3</v>
      </c>
      <c r="H2790">
        <v>1</v>
      </c>
      <c r="I2790">
        <v>0.01</v>
      </c>
      <c r="J2790">
        <v>300</v>
      </c>
      <c r="K2790">
        <v>0.6</v>
      </c>
      <c r="L2790">
        <v>87.72</v>
      </c>
      <c r="M2790">
        <v>87.2</v>
      </c>
      <c r="N2790">
        <v>87.57</v>
      </c>
      <c r="O2790">
        <v>87.72</v>
      </c>
      <c r="P2790">
        <v>0</v>
      </c>
      <c r="Q2790">
        <v>0</v>
      </c>
      <c r="R2790">
        <v>0</v>
      </c>
      <c r="S2790">
        <v>87.34</v>
      </c>
      <c r="T2790">
        <v>88.53</v>
      </c>
      <c r="U2790">
        <v>87.03</v>
      </c>
      <c r="V2790">
        <v>88.53</v>
      </c>
      <c r="W2790">
        <v>14149</v>
      </c>
      <c r="X2790">
        <v>87.49</v>
      </c>
      <c r="Y2790">
        <v>87.68</v>
      </c>
      <c r="Z2790">
        <v>20</v>
      </c>
      <c r="AA2790">
        <v>3500000</v>
      </c>
      <c r="AB2790">
        <v>263.16000000000003</v>
      </c>
      <c r="AC2790">
        <v>0</v>
      </c>
      <c r="AD2790" t="s">
        <v>94</v>
      </c>
      <c r="AE2790" t="s">
        <v>94</v>
      </c>
      <c r="AF2790" t="s">
        <v>226</v>
      </c>
      <c r="AG2790" t="s">
        <v>226</v>
      </c>
      <c r="AH2790">
        <v>-100</v>
      </c>
      <c r="AI2790" t="s">
        <v>3537</v>
      </c>
      <c r="AJ2790" t="s">
        <v>1976</v>
      </c>
      <c r="AK2790" t="s">
        <v>3755</v>
      </c>
      <c r="AL2790" t="s">
        <v>272</v>
      </c>
    </row>
    <row r="2791" spans="1:38">
      <c r="A2791" t="s">
        <v>11724</v>
      </c>
      <c r="B2791" t="s">
        <v>11725</v>
      </c>
      <c r="C2791" t="s">
        <v>11726</v>
      </c>
      <c r="D2791" t="s">
        <v>11726</v>
      </c>
      <c r="E2791" t="s">
        <v>11727</v>
      </c>
      <c r="F2791" t="s">
        <v>3754</v>
      </c>
      <c r="G2791">
        <v>3</v>
      </c>
      <c r="H2791">
        <v>1</v>
      </c>
      <c r="I2791">
        <v>0.01</v>
      </c>
      <c r="J2791">
        <v>500</v>
      </c>
      <c r="K2791">
        <v>-0.19</v>
      </c>
      <c r="L2791">
        <v>82.9</v>
      </c>
      <c r="M2791">
        <v>83.06</v>
      </c>
      <c r="N2791">
        <v>83.82</v>
      </c>
      <c r="O2791">
        <v>82.9</v>
      </c>
      <c r="P2791">
        <v>0</v>
      </c>
      <c r="Q2791">
        <v>0</v>
      </c>
      <c r="R2791">
        <v>0</v>
      </c>
      <c r="S2791">
        <v>81.680000000000007</v>
      </c>
      <c r="T2791">
        <v>80.56</v>
      </c>
      <c r="U2791">
        <v>80.56</v>
      </c>
      <c r="V2791">
        <v>83.21</v>
      </c>
      <c r="W2791">
        <v>79636</v>
      </c>
      <c r="X2791">
        <v>82.36</v>
      </c>
      <c r="Y2791">
        <v>82.94</v>
      </c>
      <c r="Z2791">
        <v>40</v>
      </c>
      <c r="AA2791">
        <v>3000000</v>
      </c>
      <c r="AB2791">
        <v>414.5</v>
      </c>
      <c r="AC2791">
        <v>0</v>
      </c>
      <c r="AD2791" t="s">
        <v>94</v>
      </c>
      <c r="AE2791" t="s">
        <v>94</v>
      </c>
      <c r="AF2791" t="s">
        <v>226</v>
      </c>
      <c r="AG2791" t="s">
        <v>226</v>
      </c>
      <c r="AH2791">
        <v>-100</v>
      </c>
      <c r="AI2791" t="s">
        <v>3537</v>
      </c>
      <c r="AJ2791" t="s">
        <v>1976</v>
      </c>
      <c r="AK2791" t="s">
        <v>3755</v>
      </c>
      <c r="AL2791" t="s">
        <v>272</v>
      </c>
    </row>
    <row r="2792" spans="1:38">
      <c r="A2792" t="s">
        <v>11728</v>
      </c>
      <c r="B2792" t="s">
        <v>11729</v>
      </c>
      <c r="C2792" t="s">
        <v>11730</v>
      </c>
      <c r="D2792" t="s">
        <v>11730</v>
      </c>
      <c r="E2792" t="s">
        <v>11731</v>
      </c>
      <c r="F2792" t="s">
        <v>3754</v>
      </c>
      <c r="G2792">
        <v>3</v>
      </c>
      <c r="H2792">
        <v>1</v>
      </c>
      <c r="I2792">
        <v>0.01</v>
      </c>
      <c r="J2792">
        <v>1000</v>
      </c>
      <c r="K2792">
        <v>0.31</v>
      </c>
      <c r="L2792">
        <v>82.8</v>
      </c>
      <c r="M2792">
        <v>82.56</v>
      </c>
      <c r="N2792">
        <v>83.29</v>
      </c>
      <c r="O2792">
        <v>82.8</v>
      </c>
      <c r="P2792">
        <v>0</v>
      </c>
      <c r="Q2792">
        <v>0</v>
      </c>
      <c r="R2792">
        <v>0</v>
      </c>
      <c r="S2792">
        <v>82.88</v>
      </c>
      <c r="T2792">
        <v>82.86</v>
      </c>
      <c r="U2792">
        <v>82.55</v>
      </c>
      <c r="V2792">
        <v>83.09</v>
      </c>
      <c r="W2792">
        <v>80393</v>
      </c>
      <c r="X2792">
        <v>82.81</v>
      </c>
      <c r="Y2792">
        <v>83.09</v>
      </c>
      <c r="Z2792">
        <v>26</v>
      </c>
      <c r="AA2792">
        <v>3000000</v>
      </c>
      <c r="AB2792">
        <v>828</v>
      </c>
      <c r="AC2792">
        <v>0</v>
      </c>
      <c r="AD2792" t="s">
        <v>94</v>
      </c>
      <c r="AE2792" t="s">
        <v>94</v>
      </c>
      <c r="AF2792" t="s">
        <v>226</v>
      </c>
      <c r="AG2792" t="s">
        <v>226</v>
      </c>
      <c r="AH2792">
        <v>-100</v>
      </c>
      <c r="AI2792" t="s">
        <v>3537</v>
      </c>
      <c r="AJ2792" t="s">
        <v>1976</v>
      </c>
      <c r="AK2792" t="s">
        <v>3755</v>
      </c>
      <c r="AL2792" t="s">
        <v>272</v>
      </c>
    </row>
    <row r="2793" spans="1:38">
      <c r="A2793" t="s">
        <v>11732</v>
      </c>
      <c r="B2793" t="s">
        <v>11733</v>
      </c>
      <c r="C2793" t="s">
        <v>11734</v>
      </c>
      <c r="D2793" t="s">
        <v>11734</v>
      </c>
      <c r="E2793" t="s">
        <v>11735</v>
      </c>
      <c r="F2793" t="s">
        <v>3754</v>
      </c>
      <c r="G2793">
        <v>3</v>
      </c>
      <c r="H2793">
        <v>1</v>
      </c>
      <c r="I2793">
        <v>0.01</v>
      </c>
      <c r="J2793">
        <v>700</v>
      </c>
      <c r="K2793">
        <v>-0.34</v>
      </c>
      <c r="L2793">
        <v>91.26</v>
      </c>
      <c r="M2793">
        <v>91.56</v>
      </c>
      <c r="N2793">
        <v>91.43</v>
      </c>
      <c r="O2793">
        <v>91.3</v>
      </c>
      <c r="P2793">
        <v>0</v>
      </c>
      <c r="Q2793">
        <v>0</v>
      </c>
      <c r="R2793">
        <v>0</v>
      </c>
      <c r="S2793">
        <v>91.41</v>
      </c>
      <c r="T2793">
        <v>91.71</v>
      </c>
      <c r="U2793">
        <v>91.03</v>
      </c>
      <c r="V2793">
        <v>91.75</v>
      </c>
      <c r="W2793">
        <v>511257</v>
      </c>
      <c r="X2793">
        <v>91.22</v>
      </c>
      <c r="Y2793">
        <v>91.28</v>
      </c>
      <c r="Z2793">
        <v>84</v>
      </c>
      <c r="AA2793">
        <v>3000000</v>
      </c>
      <c r="AB2793">
        <v>5749.38</v>
      </c>
      <c r="AC2793">
        <v>0</v>
      </c>
      <c r="AD2793" t="s">
        <v>94</v>
      </c>
      <c r="AE2793" t="s">
        <v>94</v>
      </c>
      <c r="AF2793" t="s">
        <v>226</v>
      </c>
      <c r="AG2793" t="s">
        <v>226</v>
      </c>
      <c r="AH2793">
        <v>-100</v>
      </c>
      <c r="AI2793" t="s">
        <v>3537</v>
      </c>
      <c r="AJ2793" t="s">
        <v>1976</v>
      </c>
      <c r="AK2793" t="s">
        <v>3755</v>
      </c>
      <c r="AL2793" t="s">
        <v>272</v>
      </c>
    </row>
    <row r="2794" spans="1:38">
      <c r="A2794" t="s">
        <v>11736</v>
      </c>
      <c r="B2794" t="s">
        <v>11737</v>
      </c>
      <c r="C2794" t="s">
        <v>11738</v>
      </c>
      <c r="D2794" t="s">
        <v>11738</v>
      </c>
      <c r="E2794" t="s">
        <v>11739</v>
      </c>
      <c r="F2794" t="s">
        <v>3754</v>
      </c>
      <c r="G2794">
        <v>3</v>
      </c>
      <c r="H2794">
        <v>1</v>
      </c>
      <c r="I2794">
        <v>0.01</v>
      </c>
      <c r="J2794">
        <v>1000</v>
      </c>
      <c r="K2794">
        <v>0.18</v>
      </c>
      <c r="L2794">
        <v>84.62</v>
      </c>
      <c r="M2794">
        <v>84.47</v>
      </c>
      <c r="N2794">
        <v>84.46</v>
      </c>
      <c r="O2794">
        <v>84.61</v>
      </c>
      <c r="P2794">
        <v>0</v>
      </c>
      <c r="Q2794">
        <v>0</v>
      </c>
      <c r="R2794">
        <v>0</v>
      </c>
      <c r="S2794">
        <v>84.51</v>
      </c>
      <c r="T2794">
        <v>84.8</v>
      </c>
      <c r="U2794">
        <v>84.41</v>
      </c>
      <c r="V2794">
        <v>84.8</v>
      </c>
      <c r="W2794">
        <v>2806640</v>
      </c>
      <c r="X2794">
        <v>84.61</v>
      </c>
      <c r="Y2794">
        <v>84.62</v>
      </c>
      <c r="Z2794">
        <v>115</v>
      </c>
      <c r="AA2794">
        <v>3000000</v>
      </c>
      <c r="AB2794">
        <v>1692.4</v>
      </c>
      <c r="AC2794">
        <v>0</v>
      </c>
      <c r="AD2794" t="s">
        <v>94</v>
      </c>
      <c r="AE2794" t="s">
        <v>94</v>
      </c>
      <c r="AF2794" t="s">
        <v>226</v>
      </c>
      <c r="AG2794" t="s">
        <v>226</v>
      </c>
      <c r="AH2794">
        <v>-100</v>
      </c>
      <c r="AI2794" t="s">
        <v>3537</v>
      </c>
      <c r="AJ2794" t="s">
        <v>1976</v>
      </c>
      <c r="AK2794" t="s">
        <v>3755</v>
      </c>
      <c r="AL2794" t="s">
        <v>272</v>
      </c>
    </row>
    <row r="2795" spans="1:38">
      <c r="A2795" t="s">
        <v>11740</v>
      </c>
      <c r="B2795" t="s">
        <v>11741</v>
      </c>
      <c r="C2795" t="s">
        <v>11742</v>
      </c>
      <c r="D2795" t="s">
        <v>11742</v>
      </c>
      <c r="E2795" t="s">
        <v>11743</v>
      </c>
      <c r="F2795" t="s">
        <v>3754</v>
      </c>
      <c r="G2795">
        <v>3</v>
      </c>
      <c r="H2795">
        <v>1</v>
      </c>
      <c r="I2795">
        <v>0.01</v>
      </c>
      <c r="J2795">
        <v>1000</v>
      </c>
      <c r="K2795">
        <v>1.37</v>
      </c>
      <c r="L2795">
        <v>102.45</v>
      </c>
      <c r="M2795">
        <v>101.07</v>
      </c>
      <c r="N2795">
        <v>101.7</v>
      </c>
      <c r="O2795">
        <v>102.46</v>
      </c>
      <c r="P2795">
        <v>0</v>
      </c>
      <c r="Q2795">
        <v>0</v>
      </c>
      <c r="R2795">
        <v>0</v>
      </c>
      <c r="S2795">
        <v>101.86</v>
      </c>
      <c r="T2795">
        <v>101.07</v>
      </c>
      <c r="U2795">
        <v>101.06</v>
      </c>
      <c r="V2795">
        <v>102.5</v>
      </c>
      <c r="W2795">
        <v>2604447</v>
      </c>
      <c r="X2795">
        <v>102.2</v>
      </c>
      <c r="Y2795">
        <v>102.45</v>
      </c>
      <c r="Z2795">
        <v>193</v>
      </c>
      <c r="AA2795">
        <v>3000000</v>
      </c>
      <c r="AB2795">
        <v>1024.5</v>
      </c>
      <c r="AC2795">
        <v>0</v>
      </c>
      <c r="AD2795" t="s">
        <v>94</v>
      </c>
      <c r="AE2795" t="s">
        <v>94</v>
      </c>
      <c r="AF2795" t="s">
        <v>226</v>
      </c>
      <c r="AG2795" t="s">
        <v>226</v>
      </c>
      <c r="AH2795">
        <v>-100</v>
      </c>
      <c r="AI2795" t="s">
        <v>3537</v>
      </c>
      <c r="AJ2795" t="s">
        <v>1976</v>
      </c>
      <c r="AK2795" t="s">
        <v>3755</v>
      </c>
      <c r="AL2795" t="s">
        <v>272</v>
      </c>
    </row>
    <row r="2796" spans="1:38">
      <c r="A2796" t="s">
        <v>11744</v>
      </c>
      <c r="B2796" t="s">
        <v>11745</v>
      </c>
      <c r="C2796" t="s">
        <v>11746</v>
      </c>
      <c r="D2796" t="s">
        <v>11746</v>
      </c>
      <c r="E2796" t="s">
        <v>11747</v>
      </c>
      <c r="F2796" t="s">
        <v>3754</v>
      </c>
      <c r="G2796">
        <v>3</v>
      </c>
      <c r="H2796">
        <v>1</v>
      </c>
      <c r="I2796">
        <v>0.01</v>
      </c>
      <c r="J2796">
        <v>800</v>
      </c>
      <c r="K2796">
        <v>0.3</v>
      </c>
      <c r="L2796">
        <v>79.55</v>
      </c>
      <c r="M2796">
        <v>79.31</v>
      </c>
      <c r="N2796">
        <v>79.47</v>
      </c>
      <c r="O2796">
        <v>79.55</v>
      </c>
      <c r="P2796">
        <v>0</v>
      </c>
      <c r="Q2796">
        <v>0</v>
      </c>
      <c r="R2796">
        <v>0</v>
      </c>
      <c r="S2796">
        <v>79.61</v>
      </c>
      <c r="T2796">
        <v>79.75</v>
      </c>
      <c r="U2796">
        <v>79.37</v>
      </c>
      <c r="V2796">
        <v>79.790000000000006</v>
      </c>
      <c r="W2796">
        <v>254738</v>
      </c>
      <c r="X2796">
        <v>79.45</v>
      </c>
      <c r="Y2796">
        <v>79.55</v>
      </c>
      <c r="Z2796">
        <v>63</v>
      </c>
      <c r="AA2796">
        <v>7000000</v>
      </c>
      <c r="AB2796">
        <v>1272.8</v>
      </c>
      <c r="AC2796">
        <v>0</v>
      </c>
      <c r="AD2796" t="s">
        <v>94</v>
      </c>
      <c r="AE2796" t="s">
        <v>94</v>
      </c>
      <c r="AF2796" t="s">
        <v>226</v>
      </c>
      <c r="AG2796" t="s">
        <v>226</v>
      </c>
      <c r="AH2796">
        <v>-100</v>
      </c>
      <c r="AI2796" t="s">
        <v>3537</v>
      </c>
      <c r="AJ2796" t="s">
        <v>1976</v>
      </c>
      <c r="AK2796" t="s">
        <v>3755</v>
      </c>
      <c r="AL2796" t="s">
        <v>272</v>
      </c>
    </row>
    <row r="2797" spans="1:38">
      <c r="A2797" t="s">
        <v>11748</v>
      </c>
      <c r="B2797" t="s">
        <v>11749</v>
      </c>
      <c r="C2797" t="s">
        <v>11750</v>
      </c>
      <c r="D2797" t="s">
        <v>11750</v>
      </c>
      <c r="E2797" t="s">
        <v>11751</v>
      </c>
      <c r="F2797" t="s">
        <v>2413</v>
      </c>
      <c r="G2797">
        <v>3</v>
      </c>
      <c r="H2797">
        <v>1</v>
      </c>
      <c r="I2797">
        <v>0.01</v>
      </c>
      <c r="J2797">
        <v>1000</v>
      </c>
      <c r="K2797">
        <v>0.55000000000000004</v>
      </c>
      <c r="L2797">
        <v>98.2</v>
      </c>
      <c r="M2797">
        <v>97.35</v>
      </c>
      <c r="N2797">
        <v>97.29</v>
      </c>
      <c r="O2797">
        <v>98.19</v>
      </c>
      <c r="P2797">
        <v>0</v>
      </c>
      <c r="Q2797">
        <v>0</v>
      </c>
      <c r="R2797">
        <v>0</v>
      </c>
      <c r="S2797">
        <v>97.76</v>
      </c>
      <c r="T2797">
        <v>97.22</v>
      </c>
      <c r="U2797">
        <v>97.22</v>
      </c>
      <c r="V2797">
        <v>99</v>
      </c>
      <c r="W2797">
        <v>1097844</v>
      </c>
      <c r="X2797">
        <v>98</v>
      </c>
      <c r="Y2797">
        <v>98.3</v>
      </c>
      <c r="Z2797">
        <v>91</v>
      </c>
      <c r="AA2797">
        <v>250000</v>
      </c>
      <c r="AB2797">
        <v>34370</v>
      </c>
      <c r="AC2797">
        <v>0</v>
      </c>
      <c r="AD2797" t="s">
        <v>94</v>
      </c>
      <c r="AE2797" t="s">
        <v>94</v>
      </c>
      <c r="AF2797" t="s">
        <v>226</v>
      </c>
      <c r="AG2797" t="s">
        <v>226</v>
      </c>
      <c r="AH2797">
        <v>6</v>
      </c>
      <c r="AI2797" t="s">
        <v>3537</v>
      </c>
      <c r="AJ2797" t="s">
        <v>1976</v>
      </c>
      <c r="AK2797" t="s">
        <v>2416</v>
      </c>
      <c r="AL2797" t="s">
        <v>272</v>
      </c>
    </row>
    <row r="2798" spans="1:38">
      <c r="A2798" t="s">
        <v>11752</v>
      </c>
      <c r="B2798" t="s">
        <v>11753</v>
      </c>
      <c r="C2798" t="s">
        <v>11754</v>
      </c>
      <c r="D2798" t="s">
        <v>11754</v>
      </c>
      <c r="E2798" t="s">
        <v>11755</v>
      </c>
      <c r="F2798" t="s">
        <v>2413</v>
      </c>
      <c r="G2798">
        <v>3</v>
      </c>
      <c r="H2798">
        <v>1</v>
      </c>
      <c r="I2798">
        <v>0.01</v>
      </c>
      <c r="J2798">
        <v>1000</v>
      </c>
      <c r="K2798">
        <v>-1.8</v>
      </c>
      <c r="L2798">
        <v>75.25</v>
      </c>
      <c r="M2798">
        <v>76.63</v>
      </c>
      <c r="N2798">
        <v>75.48</v>
      </c>
      <c r="O2798">
        <v>75.25</v>
      </c>
      <c r="P2798">
        <v>0</v>
      </c>
      <c r="Q2798">
        <v>0</v>
      </c>
      <c r="R2798">
        <v>0</v>
      </c>
      <c r="S2798">
        <v>75.05</v>
      </c>
      <c r="T2798">
        <v>72.209999999999994</v>
      </c>
      <c r="U2798">
        <v>72.209999999999994</v>
      </c>
      <c r="V2798">
        <v>76.42</v>
      </c>
      <c r="W2798">
        <v>13509</v>
      </c>
      <c r="X2798">
        <v>75.27</v>
      </c>
      <c r="Y2798">
        <v>75.84</v>
      </c>
      <c r="Z2798">
        <v>10</v>
      </c>
      <c r="AA2798">
        <v>100000</v>
      </c>
      <c r="AB2798">
        <v>752.5</v>
      </c>
      <c r="AC2798">
        <v>0</v>
      </c>
      <c r="AD2798" t="s">
        <v>94</v>
      </c>
      <c r="AE2798" t="s">
        <v>94</v>
      </c>
      <c r="AF2798" t="s">
        <v>226</v>
      </c>
      <c r="AG2798" t="s">
        <v>226</v>
      </c>
      <c r="AH2798">
        <v>6</v>
      </c>
      <c r="AI2798" t="s">
        <v>3537</v>
      </c>
      <c r="AJ2798" t="s">
        <v>1976</v>
      </c>
      <c r="AK2798" t="s">
        <v>2416</v>
      </c>
      <c r="AL2798" t="s">
        <v>272</v>
      </c>
    </row>
    <row r="2799" spans="1:38">
      <c r="A2799" t="s">
        <v>11756</v>
      </c>
      <c r="B2799" t="s">
        <v>11757</v>
      </c>
      <c r="C2799" t="s">
        <v>11758</v>
      </c>
      <c r="D2799" t="s">
        <v>11758</v>
      </c>
      <c r="E2799" t="s">
        <v>11759</v>
      </c>
      <c r="F2799" t="s">
        <v>3754</v>
      </c>
      <c r="G2799">
        <v>3</v>
      </c>
      <c r="H2799">
        <v>1</v>
      </c>
      <c r="I2799">
        <v>0.01</v>
      </c>
      <c r="J2799">
        <v>400</v>
      </c>
      <c r="K2799">
        <v>0.94</v>
      </c>
      <c r="L2799">
        <v>100.98</v>
      </c>
      <c r="M2799">
        <v>100.04</v>
      </c>
      <c r="N2799">
        <v>100.03</v>
      </c>
      <c r="O2799">
        <v>100.98</v>
      </c>
      <c r="P2799">
        <v>0</v>
      </c>
      <c r="Q2799">
        <v>0</v>
      </c>
      <c r="R2799">
        <v>0</v>
      </c>
      <c r="S2799">
        <v>100.35</v>
      </c>
      <c r="T2799">
        <v>100.21</v>
      </c>
      <c r="U2799">
        <v>99.9</v>
      </c>
      <c r="V2799">
        <v>101.01</v>
      </c>
      <c r="W2799">
        <v>761031</v>
      </c>
      <c r="X2799">
        <v>99.98</v>
      </c>
      <c r="Y2799">
        <v>101.13</v>
      </c>
      <c r="Z2799">
        <v>57</v>
      </c>
      <c r="AA2799">
        <v>5000000</v>
      </c>
      <c r="AB2799">
        <v>403.92</v>
      </c>
      <c r="AC2799">
        <v>0</v>
      </c>
      <c r="AD2799" t="s">
        <v>94</v>
      </c>
      <c r="AE2799" t="s">
        <v>94</v>
      </c>
      <c r="AF2799" t="s">
        <v>226</v>
      </c>
      <c r="AG2799" t="s">
        <v>226</v>
      </c>
      <c r="AH2799">
        <v>-100</v>
      </c>
      <c r="AI2799" t="s">
        <v>3537</v>
      </c>
      <c r="AJ2799" t="s">
        <v>1976</v>
      </c>
      <c r="AK2799" t="s">
        <v>3755</v>
      </c>
      <c r="AL2799" t="s">
        <v>272</v>
      </c>
    </row>
    <row r="2800" spans="1:38">
      <c r="A2800" t="s">
        <v>11760</v>
      </c>
      <c r="B2800" t="s">
        <v>11761</v>
      </c>
      <c r="C2800" t="s">
        <v>11762</v>
      </c>
      <c r="D2800" t="s">
        <v>11762</v>
      </c>
      <c r="E2800" t="s">
        <v>11763</v>
      </c>
      <c r="F2800" t="s">
        <v>2413</v>
      </c>
      <c r="G2800">
        <v>3</v>
      </c>
      <c r="H2800">
        <v>1</v>
      </c>
      <c r="I2800">
        <v>0.01</v>
      </c>
      <c r="J2800">
        <v>1000</v>
      </c>
      <c r="K2800">
        <v>0.61</v>
      </c>
      <c r="L2800">
        <v>70.77</v>
      </c>
      <c r="M2800">
        <v>70.319999999999993</v>
      </c>
      <c r="N2800">
        <v>70.81</v>
      </c>
      <c r="O2800">
        <v>70.77</v>
      </c>
      <c r="P2800">
        <v>0</v>
      </c>
      <c r="Q2800">
        <v>0</v>
      </c>
      <c r="R2800">
        <v>0</v>
      </c>
      <c r="S2800">
        <v>70.67</v>
      </c>
      <c r="T2800">
        <v>70.02</v>
      </c>
      <c r="U2800">
        <v>70.02</v>
      </c>
      <c r="V2800">
        <v>70.77</v>
      </c>
      <c r="W2800">
        <v>45229</v>
      </c>
      <c r="X2800">
        <v>70.709999999999994</v>
      </c>
      <c r="Y2800">
        <v>70.77</v>
      </c>
      <c r="Z2800">
        <v>20</v>
      </c>
      <c r="AA2800">
        <v>150000</v>
      </c>
      <c r="AB2800">
        <v>14154</v>
      </c>
      <c r="AC2800">
        <v>0</v>
      </c>
      <c r="AD2800" t="s">
        <v>94</v>
      </c>
      <c r="AE2800" t="s">
        <v>94</v>
      </c>
      <c r="AF2800" t="s">
        <v>226</v>
      </c>
      <c r="AG2800" t="s">
        <v>226</v>
      </c>
      <c r="AH2800">
        <v>6</v>
      </c>
      <c r="AI2800" t="s">
        <v>3537</v>
      </c>
      <c r="AJ2800" t="s">
        <v>1976</v>
      </c>
      <c r="AK2800" t="s">
        <v>2416</v>
      </c>
      <c r="AL2800" t="s">
        <v>272</v>
      </c>
    </row>
    <row r="2801" spans="1:38">
      <c r="A2801" t="s">
        <v>11764</v>
      </c>
      <c r="B2801" t="s">
        <v>11765</v>
      </c>
      <c r="C2801" t="s">
        <v>11766</v>
      </c>
      <c r="D2801" t="s">
        <v>11766</v>
      </c>
      <c r="E2801" t="s">
        <v>11767</v>
      </c>
      <c r="F2801" t="s">
        <v>2413</v>
      </c>
      <c r="G2801">
        <v>2</v>
      </c>
      <c r="H2801">
        <v>1</v>
      </c>
      <c r="I2801">
        <v>0.01</v>
      </c>
      <c r="J2801">
        <v>1000</v>
      </c>
      <c r="K2801">
        <v>-0.02</v>
      </c>
      <c r="L2801">
        <v>96.63</v>
      </c>
      <c r="M2801">
        <v>96.65</v>
      </c>
      <c r="N2801">
        <v>96.5</v>
      </c>
      <c r="O2801">
        <v>96.63</v>
      </c>
      <c r="P2801">
        <v>0</v>
      </c>
      <c r="Q2801">
        <v>0</v>
      </c>
      <c r="R2801">
        <v>0</v>
      </c>
      <c r="S2801">
        <v>96.68</v>
      </c>
      <c r="T2801">
        <v>96.65</v>
      </c>
      <c r="U2801">
        <v>96.53</v>
      </c>
      <c r="V2801">
        <v>96.8</v>
      </c>
      <c r="W2801">
        <v>3874893</v>
      </c>
      <c r="X2801">
        <v>96.62</v>
      </c>
      <c r="Y2801">
        <v>96.63</v>
      </c>
      <c r="Z2801">
        <v>162</v>
      </c>
      <c r="AA2801">
        <v>30000000</v>
      </c>
      <c r="AB2801">
        <v>3865.2</v>
      </c>
      <c r="AC2801">
        <v>0</v>
      </c>
      <c r="AD2801" t="s">
        <v>94</v>
      </c>
      <c r="AE2801" t="s">
        <v>94</v>
      </c>
      <c r="AF2801" t="s">
        <v>226</v>
      </c>
      <c r="AG2801" t="s">
        <v>226</v>
      </c>
      <c r="AH2801">
        <v>6</v>
      </c>
      <c r="AI2801" t="s">
        <v>3537</v>
      </c>
      <c r="AJ2801" t="s">
        <v>1976</v>
      </c>
      <c r="AK2801" t="s">
        <v>2416</v>
      </c>
      <c r="AL2801" t="s">
        <v>272</v>
      </c>
    </row>
    <row r="2802" spans="1:38">
      <c r="A2802" t="s">
        <v>11768</v>
      </c>
      <c r="B2802" t="s">
        <v>11769</v>
      </c>
      <c r="C2802" t="s">
        <v>11770</v>
      </c>
      <c r="D2802" t="s">
        <v>11770</v>
      </c>
      <c r="E2802" t="s">
        <v>11771</v>
      </c>
      <c r="F2802" t="s">
        <v>2413</v>
      </c>
      <c r="G2802">
        <v>2</v>
      </c>
      <c r="H2802">
        <v>1</v>
      </c>
      <c r="I2802">
        <v>0.01</v>
      </c>
      <c r="J2802">
        <v>1000</v>
      </c>
      <c r="K2802">
        <v>-0.37</v>
      </c>
      <c r="L2802">
        <v>85.65</v>
      </c>
      <c r="M2802">
        <v>85.97</v>
      </c>
      <c r="N2802">
        <v>85.79</v>
      </c>
      <c r="O2802">
        <v>85.66</v>
      </c>
      <c r="P2802">
        <v>0</v>
      </c>
      <c r="Q2802">
        <v>0</v>
      </c>
      <c r="R2802">
        <v>0</v>
      </c>
      <c r="S2802">
        <v>85.12</v>
      </c>
      <c r="T2802">
        <v>85.97</v>
      </c>
      <c r="U2802">
        <v>85</v>
      </c>
      <c r="V2802">
        <v>85.97</v>
      </c>
      <c r="W2802">
        <v>6011083</v>
      </c>
      <c r="X2802">
        <v>85.29</v>
      </c>
      <c r="Y2802">
        <v>85.64</v>
      </c>
      <c r="Z2802">
        <v>114</v>
      </c>
      <c r="AA2802">
        <v>10000000</v>
      </c>
      <c r="AB2802">
        <v>1713</v>
      </c>
      <c r="AC2802">
        <v>0</v>
      </c>
      <c r="AD2802" t="s">
        <v>94</v>
      </c>
      <c r="AE2802" t="s">
        <v>94</v>
      </c>
      <c r="AF2802" t="s">
        <v>226</v>
      </c>
      <c r="AG2802" t="s">
        <v>226</v>
      </c>
      <c r="AH2802">
        <v>6</v>
      </c>
      <c r="AI2802" t="s">
        <v>3537</v>
      </c>
      <c r="AJ2802" t="s">
        <v>1976</v>
      </c>
      <c r="AK2802" t="s">
        <v>2416</v>
      </c>
      <c r="AL2802" t="s">
        <v>272</v>
      </c>
    </row>
    <row r="2803" spans="1:38">
      <c r="A2803" t="s">
        <v>11772</v>
      </c>
      <c r="B2803" t="s">
        <v>11773</v>
      </c>
      <c r="C2803" t="s">
        <v>11774</v>
      </c>
      <c r="D2803" t="s">
        <v>11774</v>
      </c>
      <c r="E2803" t="s">
        <v>11775</v>
      </c>
      <c r="F2803" t="s">
        <v>2413</v>
      </c>
      <c r="G2803">
        <v>2</v>
      </c>
      <c r="H2803">
        <v>1</v>
      </c>
      <c r="I2803">
        <v>0.01</v>
      </c>
      <c r="J2803">
        <v>1000</v>
      </c>
      <c r="K2803">
        <v>-0.24</v>
      </c>
      <c r="L2803">
        <v>81.5</v>
      </c>
      <c r="M2803">
        <v>81.650000000000006</v>
      </c>
      <c r="N2803">
        <v>81.05</v>
      </c>
      <c r="O2803">
        <v>81.5</v>
      </c>
      <c r="P2803">
        <v>0</v>
      </c>
      <c r="Q2803">
        <v>0</v>
      </c>
      <c r="R2803">
        <v>0</v>
      </c>
      <c r="S2803">
        <v>81.540000000000006</v>
      </c>
      <c r="T2803">
        <v>82.05</v>
      </c>
      <c r="U2803">
        <v>81.34</v>
      </c>
      <c r="V2803">
        <v>82.05</v>
      </c>
      <c r="W2803">
        <v>516978</v>
      </c>
      <c r="X2803">
        <v>81.36</v>
      </c>
      <c r="Y2803">
        <v>81.5</v>
      </c>
      <c r="Z2803">
        <v>77</v>
      </c>
      <c r="AA2803">
        <v>10000000</v>
      </c>
      <c r="AB2803">
        <v>80685</v>
      </c>
      <c r="AC2803">
        <v>0</v>
      </c>
      <c r="AD2803" t="s">
        <v>94</v>
      </c>
      <c r="AE2803" t="s">
        <v>94</v>
      </c>
      <c r="AF2803" t="s">
        <v>226</v>
      </c>
      <c r="AG2803" t="s">
        <v>226</v>
      </c>
      <c r="AH2803">
        <v>6</v>
      </c>
      <c r="AI2803" t="s">
        <v>3537</v>
      </c>
      <c r="AJ2803" t="s">
        <v>1976</v>
      </c>
      <c r="AK2803" t="s">
        <v>2416</v>
      </c>
      <c r="AL2803" t="s">
        <v>272</v>
      </c>
    </row>
    <row r="2804" spans="1:38">
      <c r="A2804" t="s">
        <v>11776</v>
      </c>
      <c r="B2804" t="s">
        <v>2539</v>
      </c>
      <c r="C2804" t="s">
        <v>2540</v>
      </c>
      <c r="D2804" t="s">
        <v>2540</v>
      </c>
      <c r="E2804" t="s">
        <v>2541</v>
      </c>
      <c r="F2804" t="s">
        <v>2413</v>
      </c>
      <c r="G2804">
        <v>2</v>
      </c>
      <c r="H2804">
        <v>1</v>
      </c>
      <c r="I2804">
        <v>1E-4</v>
      </c>
      <c r="J2804">
        <v>1000</v>
      </c>
      <c r="K2804">
        <v>-1.52</v>
      </c>
      <c r="L2804">
        <v>89.612399999999994</v>
      </c>
      <c r="M2804">
        <v>90.9666</v>
      </c>
      <c r="N2804">
        <v>90.885000000000005</v>
      </c>
      <c r="O2804">
        <v>90.5</v>
      </c>
      <c r="P2804">
        <v>0</v>
      </c>
      <c r="Q2804">
        <v>0</v>
      </c>
      <c r="R2804">
        <v>0</v>
      </c>
      <c r="S2804">
        <v>90.462199999999996</v>
      </c>
      <c r="T2804">
        <v>90</v>
      </c>
      <c r="U2804">
        <v>89.612399999999994</v>
      </c>
      <c r="V2804">
        <v>90</v>
      </c>
      <c r="W2804">
        <v>52280</v>
      </c>
      <c r="X2804">
        <v>87.8</v>
      </c>
      <c r="Y2804">
        <v>88.999200000000002</v>
      </c>
      <c r="Z2804">
        <v>4</v>
      </c>
      <c r="AA2804">
        <v>350000</v>
      </c>
      <c r="AB2804">
        <v>13042.64</v>
      </c>
      <c r="AC2804">
        <v>0</v>
      </c>
      <c r="AD2804" t="s">
        <v>1663</v>
      </c>
      <c r="AE2804" t="s">
        <v>94</v>
      </c>
      <c r="AF2804" t="s">
        <v>226</v>
      </c>
      <c r="AG2804" t="s">
        <v>226</v>
      </c>
      <c r="AH2804">
        <v>6</v>
      </c>
      <c r="AI2804" t="s">
        <v>3537</v>
      </c>
      <c r="AJ2804" t="s">
        <v>1976</v>
      </c>
      <c r="AK2804" t="s">
        <v>2416</v>
      </c>
      <c r="AL2804" t="s">
        <v>272</v>
      </c>
    </row>
    <row r="2805" spans="1:38">
      <c r="A2805" t="s">
        <v>11777</v>
      </c>
      <c r="B2805" t="s">
        <v>11778</v>
      </c>
      <c r="C2805" t="s">
        <v>11779</v>
      </c>
      <c r="D2805" t="s">
        <v>11779</v>
      </c>
      <c r="E2805" t="s">
        <v>11780</v>
      </c>
      <c r="F2805" t="s">
        <v>2413</v>
      </c>
      <c r="G2805">
        <v>3</v>
      </c>
      <c r="H2805">
        <v>1</v>
      </c>
      <c r="I2805">
        <v>0.01</v>
      </c>
      <c r="J2805">
        <v>1000</v>
      </c>
      <c r="K2805">
        <v>0.87</v>
      </c>
      <c r="L2805">
        <v>83.5</v>
      </c>
      <c r="M2805">
        <v>82.78</v>
      </c>
      <c r="N2805">
        <v>82.33</v>
      </c>
      <c r="O2805">
        <v>83.5</v>
      </c>
      <c r="P2805">
        <v>0</v>
      </c>
      <c r="Q2805">
        <v>0</v>
      </c>
      <c r="R2805">
        <v>0</v>
      </c>
      <c r="S2805">
        <v>83.29</v>
      </c>
      <c r="T2805">
        <v>83.02</v>
      </c>
      <c r="U2805">
        <v>82.78</v>
      </c>
      <c r="V2805">
        <v>83.98</v>
      </c>
      <c r="W2805">
        <v>323155</v>
      </c>
      <c r="X2805">
        <v>83.28</v>
      </c>
      <c r="Y2805">
        <v>83.4</v>
      </c>
      <c r="Z2805">
        <v>101</v>
      </c>
      <c r="AA2805">
        <v>300000</v>
      </c>
      <c r="AB2805">
        <v>835</v>
      </c>
      <c r="AC2805">
        <v>0</v>
      </c>
      <c r="AD2805" t="s">
        <v>94</v>
      </c>
      <c r="AE2805" t="s">
        <v>94</v>
      </c>
      <c r="AF2805" t="s">
        <v>226</v>
      </c>
      <c r="AG2805" t="s">
        <v>226</v>
      </c>
      <c r="AH2805">
        <v>6</v>
      </c>
      <c r="AI2805" t="s">
        <v>3537</v>
      </c>
      <c r="AJ2805" t="s">
        <v>1976</v>
      </c>
      <c r="AK2805" t="s">
        <v>2416</v>
      </c>
      <c r="AL2805" t="s">
        <v>272</v>
      </c>
    </row>
    <row r="2806" spans="1:38">
      <c r="A2806" t="s">
        <v>11781</v>
      </c>
      <c r="B2806" t="s">
        <v>11782</v>
      </c>
      <c r="C2806" t="s">
        <v>11783</v>
      </c>
      <c r="D2806" t="s">
        <v>11783</v>
      </c>
      <c r="E2806" t="s">
        <v>11784</v>
      </c>
      <c r="F2806" t="s">
        <v>2413</v>
      </c>
      <c r="G2806">
        <v>3</v>
      </c>
      <c r="H2806">
        <v>1</v>
      </c>
      <c r="I2806">
        <v>0.01</v>
      </c>
      <c r="J2806">
        <v>1000</v>
      </c>
      <c r="K2806">
        <v>0.1</v>
      </c>
      <c r="L2806">
        <v>71.819999999999993</v>
      </c>
      <c r="M2806">
        <v>71.75</v>
      </c>
      <c r="N2806">
        <v>71.42</v>
      </c>
      <c r="O2806">
        <v>71.819999999999993</v>
      </c>
      <c r="P2806">
        <v>0</v>
      </c>
      <c r="Q2806">
        <v>0</v>
      </c>
      <c r="R2806">
        <v>0</v>
      </c>
      <c r="S2806">
        <v>71.849999999999994</v>
      </c>
      <c r="T2806">
        <v>71.5</v>
      </c>
      <c r="U2806">
        <v>70.64</v>
      </c>
      <c r="V2806">
        <v>72.88</v>
      </c>
      <c r="W2806">
        <v>818358</v>
      </c>
      <c r="X2806">
        <v>71.7</v>
      </c>
      <c r="Y2806">
        <v>71.86</v>
      </c>
      <c r="Z2806">
        <v>129</v>
      </c>
      <c r="AA2806">
        <v>500000</v>
      </c>
      <c r="AB2806">
        <v>11491.2</v>
      </c>
      <c r="AC2806">
        <v>0</v>
      </c>
      <c r="AD2806" t="s">
        <v>94</v>
      </c>
      <c r="AE2806" t="s">
        <v>94</v>
      </c>
      <c r="AF2806" t="s">
        <v>226</v>
      </c>
      <c r="AG2806" t="s">
        <v>226</v>
      </c>
      <c r="AH2806">
        <v>6</v>
      </c>
      <c r="AI2806" t="s">
        <v>3537</v>
      </c>
      <c r="AJ2806" t="s">
        <v>1976</v>
      </c>
      <c r="AK2806" t="s">
        <v>2416</v>
      </c>
      <c r="AL2806" t="s">
        <v>272</v>
      </c>
    </row>
    <row r="2807" spans="1:38">
      <c r="A2807" t="s">
        <v>11785</v>
      </c>
      <c r="B2807" t="s">
        <v>11786</v>
      </c>
      <c r="C2807" t="s">
        <v>11787</v>
      </c>
      <c r="D2807" t="s">
        <v>11787</v>
      </c>
      <c r="E2807" t="s">
        <v>11788</v>
      </c>
      <c r="F2807" t="s">
        <v>2413</v>
      </c>
      <c r="G2807">
        <v>3</v>
      </c>
      <c r="H2807">
        <v>1</v>
      </c>
      <c r="I2807">
        <v>0.01</v>
      </c>
      <c r="J2807">
        <v>1000</v>
      </c>
      <c r="K2807">
        <v>-0.56999999999999995</v>
      </c>
      <c r="L2807">
        <v>93.05</v>
      </c>
      <c r="M2807">
        <v>93.58</v>
      </c>
      <c r="N2807">
        <v>96.13</v>
      </c>
      <c r="O2807">
        <v>94.27</v>
      </c>
      <c r="P2807">
        <v>0</v>
      </c>
      <c r="Q2807">
        <v>0</v>
      </c>
      <c r="R2807">
        <v>0</v>
      </c>
      <c r="S2807">
        <v>94.46</v>
      </c>
      <c r="T2807">
        <v>93.51</v>
      </c>
      <c r="U2807">
        <v>93</v>
      </c>
      <c r="V2807">
        <v>96</v>
      </c>
      <c r="W2807">
        <v>245593</v>
      </c>
      <c r="X2807">
        <v>93.05</v>
      </c>
      <c r="Y2807">
        <v>95.09</v>
      </c>
      <c r="Z2807">
        <v>23</v>
      </c>
      <c r="AA2807">
        <v>500000</v>
      </c>
      <c r="AB2807">
        <v>3722</v>
      </c>
      <c r="AC2807">
        <v>0</v>
      </c>
      <c r="AD2807" t="s">
        <v>94</v>
      </c>
      <c r="AE2807" t="s">
        <v>94</v>
      </c>
      <c r="AF2807" t="s">
        <v>226</v>
      </c>
      <c r="AG2807" t="s">
        <v>226</v>
      </c>
      <c r="AH2807">
        <v>800</v>
      </c>
      <c r="AI2807" t="s">
        <v>3537</v>
      </c>
      <c r="AJ2807" t="s">
        <v>1976</v>
      </c>
      <c r="AK2807" t="s">
        <v>2416</v>
      </c>
      <c r="AL2807" t="s">
        <v>272</v>
      </c>
    </row>
    <row r="2808" spans="1:38">
      <c r="A2808" t="s">
        <v>11789</v>
      </c>
      <c r="B2808" t="s">
        <v>11790</v>
      </c>
      <c r="C2808" t="s">
        <v>11791</v>
      </c>
      <c r="D2808" t="s">
        <v>11791</v>
      </c>
      <c r="E2808" t="s">
        <v>11792</v>
      </c>
      <c r="F2808" t="s">
        <v>2413</v>
      </c>
      <c r="G2808">
        <v>2</v>
      </c>
      <c r="H2808">
        <v>1</v>
      </c>
      <c r="I2808">
        <v>0.01</v>
      </c>
      <c r="J2808">
        <v>1000</v>
      </c>
      <c r="K2808">
        <v>1.2</v>
      </c>
      <c r="L2808">
        <v>98.62</v>
      </c>
      <c r="M2808">
        <v>97.45</v>
      </c>
      <c r="N2808">
        <v>97.84</v>
      </c>
      <c r="O2808">
        <v>98.62</v>
      </c>
      <c r="P2808">
        <v>0</v>
      </c>
      <c r="Q2808">
        <v>0</v>
      </c>
      <c r="R2808">
        <v>0</v>
      </c>
      <c r="S2808">
        <v>98.11</v>
      </c>
      <c r="T2808">
        <v>97.55</v>
      </c>
      <c r="U2808">
        <v>97.55</v>
      </c>
      <c r="V2808">
        <v>98.68</v>
      </c>
      <c r="W2808">
        <v>5886</v>
      </c>
      <c r="X2808">
        <v>97.41</v>
      </c>
      <c r="Y2808">
        <v>98.52</v>
      </c>
      <c r="Z2808">
        <v>3</v>
      </c>
      <c r="AA2808">
        <v>10000000</v>
      </c>
      <c r="AB2808">
        <v>986.2</v>
      </c>
      <c r="AC2808">
        <v>0</v>
      </c>
      <c r="AD2808" t="s">
        <v>94</v>
      </c>
      <c r="AE2808" t="s">
        <v>94</v>
      </c>
      <c r="AF2808" t="s">
        <v>226</v>
      </c>
      <c r="AG2808" t="s">
        <v>226</v>
      </c>
      <c r="AH2808">
        <v>8</v>
      </c>
      <c r="AI2808" t="s">
        <v>3537</v>
      </c>
      <c r="AJ2808" t="s">
        <v>1976</v>
      </c>
      <c r="AK2808" t="s">
        <v>2416</v>
      </c>
      <c r="AL2808" t="s">
        <v>272</v>
      </c>
    </row>
    <row r="2809" spans="1:38">
      <c r="A2809" t="s">
        <v>11793</v>
      </c>
      <c r="B2809" t="s">
        <v>11794</v>
      </c>
      <c r="C2809" t="s">
        <v>11795</v>
      </c>
      <c r="D2809" t="s">
        <v>11795</v>
      </c>
      <c r="E2809" t="s">
        <v>11796</v>
      </c>
      <c r="F2809" t="s">
        <v>2413</v>
      </c>
      <c r="G2809">
        <v>2</v>
      </c>
      <c r="H2809">
        <v>1</v>
      </c>
      <c r="I2809">
        <v>0.01</v>
      </c>
      <c r="J2809">
        <v>1000</v>
      </c>
      <c r="K2809">
        <v>0</v>
      </c>
      <c r="L2809">
        <v>0</v>
      </c>
      <c r="M2809">
        <v>84</v>
      </c>
      <c r="N2809">
        <v>83.57</v>
      </c>
      <c r="O2809">
        <v>84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82.23</v>
      </c>
      <c r="Y2809">
        <v>84.48</v>
      </c>
      <c r="Z2809">
        <v>0</v>
      </c>
      <c r="AA2809">
        <v>5500000</v>
      </c>
      <c r="AB2809">
        <v>0</v>
      </c>
      <c r="AC2809">
        <v>0</v>
      </c>
      <c r="AD2809" t="s">
        <v>94</v>
      </c>
      <c r="AE2809" t="s">
        <v>94</v>
      </c>
      <c r="AF2809" t="s">
        <v>226</v>
      </c>
      <c r="AG2809" t="s">
        <v>226</v>
      </c>
      <c r="AH2809">
        <v>6</v>
      </c>
      <c r="AI2809" t="s">
        <v>3537</v>
      </c>
      <c r="AJ2809" t="s">
        <v>1976</v>
      </c>
      <c r="AK2809" t="s">
        <v>2416</v>
      </c>
      <c r="AL2809" t="s">
        <v>272</v>
      </c>
    </row>
    <row r="2810" spans="1:38">
      <c r="A2810" t="s">
        <v>11797</v>
      </c>
      <c r="B2810" t="s">
        <v>11798</v>
      </c>
      <c r="C2810" t="s">
        <v>11799</v>
      </c>
      <c r="D2810" t="s">
        <v>11799</v>
      </c>
      <c r="E2810" t="s">
        <v>11800</v>
      </c>
      <c r="F2810" t="s">
        <v>2413</v>
      </c>
      <c r="G2810">
        <v>1</v>
      </c>
      <c r="H2810">
        <v>1</v>
      </c>
      <c r="I2810">
        <v>0.01</v>
      </c>
      <c r="J2810">
        <v>1000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10000000</v>
      </c>
      <c r="AB2810">
        <v>0</v>
      </c>
      <c r="AC2810">
        <v>0</v>
      </c>
      <c r="AD2810" t="s">
        <v>94</v>
      </c>
      <c r="AE2810" t="s">
        <v>94</v>
      </c>
      <c r="AF2810" t="s">
        <v>226</v>
      </c>
      <c r="AG2810" t="s">
        <v>226</v>
      </c>
      <c r="AH2810">
        <v>-100</v>
      </c>
      <c r="AI2810" t="s">
        <v>3537</v>
      </c>
      <c r="AJ2810" t="s">
        <v>1976</v>
      </c>
      <c r="AK2810" t="s">
        <v>2416</v>
      </c>
      <c r="AL2810" t="s">
        <v>272</v>
      </c>
    </row>
    <row r="2811" spans="1:38">
      <c r="A2811" t="s">
        <v>11801</v>
      </c>
      <c r="B2811" t="s">
        <v>11802</v>
      </c>
      <c r="C2811" t="s">
        <v>11803</v>
      </c>
      <c r="D2811" t="s">
        <v>11803</v>
      </c>
      <c r="E2811" t="s">
        <v>11804</v>
      </c>
      <c r="F2811" t="s">
        <v>2413</v>
      </c>
      <c r="G2811">
        <v>2</v>
      </c>
      <c r="H2811">
        <v>1</v>
      </c>
      <c r="I2811">
        <v>0.01</v>
      </c>
      <c r="J2811">
        <v>1000</v>
      </c>
      <c r="K2811">
        <v>0.03</v>
      </c>
      <c r="L2811">
        <v>100.1</v>
      </c>
      <c r="M2811">
        <v>100.07</v>
      </c>
      <c r="N2811">
        <v>100.11</v>
      </c>
      <c r="O2811">
        <v>100.1</v>
      </c>
      <c r="P2811">
        <v>0</v>
      </c>
      <c r="Q2811">
        <v>0</v>
      </c>
      <c r="R2811">
        <v>0</v>
      </c>
      <c r="S2811">
        <v>100.1</v>
      </c>
      <c r="T2811">
        <v>100.1</v>
      </c>
      <c r="U2811">
        <v>100.1</v>
      </c>
      <c r="V2811">
        <v>100.1</v>
      </c>
      <c r="W2811">
        <v>8008</v>
      </c>
      <c r="X2811">
        <v>100.09</v>
      </c>
      <c r="Y2811">
        <v>100.1</v>
      </c>
      <c r="Z2811">
        <v>4</v>
      </c>
      <c r="AA2811">
        <v>7000000</v>
      </c>
      <c r="AB2811">
        <v>5005</v>
      </c>
      <c r="AC2811">
        <v>0</v>
      </c>
      <c r="AD2811" t="s">
        <v>94</v>
      </c>
      <c r="AE2811" t="s">
        <v>94</v>
      </c>
      <c r="AF2811" t="s">
        <v>226</v>
      </c>
      <c r="AG2811" t="s">
        <v>226</v>
      </c>
      <c r="AH2811">
        <v>-100</v>
      </c>
      <c r="AI2811" t="s">
        <v>3537</v>
      </c>
      <c r="AJ2811" t="s">
        <v>1976</v>
      </c>
      <c r="AK2811" t="s">
        <v>2416</v>
      </c>
      <c r="AL2811" t="s">
        <v>272</v>
      </c>
    </row>
    <row r="2812" spans="1:38">
      <c r="A2812" t="s">
        <v>11805</v>
      </c>
      <c r="B2812" t="s">
        <v>11806</v>
      </c>
      <c r="C2812" t="s">
        <v>11807</v>
      </c>
      <c r="D2812" t="s">
        <v>11807</v>
      </c>
      <c r="E2812" t="s">
        <v>11808</v>
      </c>
      <c r="F2812" t="s">
        <v>2413</v>
      </c>
      <c r="G2812">
        <v>2</v>
      </c>
      <c r="H2812">
        <v>1</v>
      </c>
      <c r="I2812">
        <v>0.01</v>
      </c>
      <c r="J2812">
        <v>1000</v>
      </c>
      <c r="K2812">
        <v>-4.1900000000000004</v>
      </c>
      <c r="L2812">
        <v>77.790000000000006</v>
      </c>
      <c r="M2812">
        <v>81.19</v>
      </c>
      <c r="N2812">
        <v>80.040000000000006</v>
      </c>
      <c r="O2812">
        <v>78.44</v>
      </c>
      <c r="P2812">
        <v>0</v>
      </c>
      <c r="Q2812">
        <v>0</v>
      </c>
      <c r="R2812">
        <v>0</v>
      </c>
      <c r="S2812">
        <v>79.680000000000007</v>
      </c>
      <c r="T2812">
        <v>81</v>
      </c>
      <c r="U2812">
        <v>77.790000000000006</v>
      </c>
      <c r="V2812">
        <v>81</v>
      </c>
      <c r="W2812">
        <v>26294</v>
      </c>
      <c r="X2812">
        <v>79.459999999999994</v>
      </c>
      <c r="Y2812">
        <v>80.709999999999994</v>
      </c>
      <c r="Z2812">
        <v>10</v>
      </c>
      <c r="AA2812">
        <v>10000000</v>
      </c>
      <c r="AB2812">
        <v>3889.5</v>
      </c>
      <c r="AC2812">
        <v>0</v>
      </c>
      <c r="AD2812" t="s">
        <v>94</v>
      </c>
      <c r="AE2812" t="s">
        <v>94</v>
      </c>
      <c r="AF2812" t="s">
        <v>226</v>
      </c>
      <c r="AG2812" t="s">
        <v>226</v>
      </c>
      <c r="AH2812">
        <v>-100</v>
      </c>
      <c r="AI2812" t="s">
        <v>3537</v>
      </c>
      <c r="AJ2812" t="s">
        <v>1976</v>
      </c>
      <c r="AK2812" t="s">
        <v>2416</v>
      </c>
      <c r="AL2812" t="s">
        <v>272</v>
      </c>
    </row>
    <row r="2813" spans="1:38">
      <c r="A2813" t="s">
        <v>11809</v>
      </c>
      <c r="B2813" t="s">
        <v>11810</v>
      </c>
      <c r="C2813" t="s">
        <v>11811</v>
      </c>
      <c r="D2813" t="s">
        <v>11811</v>
      </c>
      <c r="E2813" t="s">
        <v>11812</v>
      </c>
      <c r="F2813" t="s">
        <v>2413</v>
      </c>
      <c r="G2813">
        <v>2</v>
      </c>
      <c r="H2813">
        <v>1</v>
      </c>
      <c r="I2813">
        <v>0.01</v>
      </c>
      <c r="J2813">
        <v>1000</v>
      </c>
      <c r="K2813">
        <v>0</v>
      </c>
      <c r="L2813">
        <v>0</v>
      </c>
      <c r="M2813">
        <v>86.53</v>
      </c>
      <c r="N2813">
        <v>0</v>
      </c>
      <c r="O2813">
        <v>86.53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79.89</v>
      </c>
      <c r="Y2813">
        <v>0</v>
      </c>
      <c r="Z2813">
        <v>0</v>
      </c>
      <c r="AA2813">
        <v>10000000</v>
      </c>
      <c r="AB2813">
        <v>0</v>
      </c>
      <c r="AC2813">
        <v>0</v>
      </c>
      <c r="AD2813" t="s">
        <v>94</v>
      </c>
      <c r="AE2813" t="s">
        <v>94</v>
      </c>
      <c r="AF2813" t="s">
        <v>226</v>
      </c>
      <c r="AG2813" t="s">
        <v>226</v>
      </c>
      <c r="AH2813">
        <v>-100</v>
      </c>
      <c r="AI2813" t="s">
        <v>3537</v>
      </c>
      <c r="AJ2813" t="s">
        <v>1976</v>
      </c>
      <c r="AK2813" t="s">
        <v>2416</v>
      </c>
      <c r="AL2813" t="s">
        <v>272</v>
      </c>
    </row>
    <row r="2814" spans="1:38">
      <c r="A2814" t="s">
        <v>11813</v>
      </c>
      <c r="B2814" t="s">
        <v>11814</v>
      </c>
      <c r="C2814" t="s">
        <v>11815</v>
      </c>
      <c r="D2814" t="s">
        <v>11815</v>
      </c>
      <c r="E2814" t="s">
        <v>11816</v>
      </c>
      <c r="F2814" t="s">
        <v>2413</v>
      </c>
      <c r="G2814">
        <v>2</v>
      </c>
      <c r="H2814">
        <v>1</v>
      </c>
      <c r="I2814">
        <v>0.01</v>
      </c>
      <c r="J2814">
        <v>1000</v>
      </c>
      <c r="K2814">
        <v>0</v>
      </c>
      <c r="L2814">
        <v>0</v>
      </c>
      <c r="M2814">
        <v>100</v>
      </c>
      <c r="N2814">
        <v>0</v>
      </c>
      <c r="O2814">
        <v>100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70.010000000000005</v>
      </c>
      <c r="Y2814">
        <v>0</v>
      </c>
      <c r="Z2814">
        <v>0</v>
      </c>
      <c r="AA2814">
        <v>15000000</v>
      </c>
      <c r="AB2814">
        <v>0</v>
      </c>
      <c r="AC2814">
        <v>0</v>
      </c>
      <c r="AD2814" t="s">
        <v>94</v>
      </c>
      <c r="AE2814" t="s">
        <v>94</v>
      </c>
      <c r="AF2814" t="s">
        <v>226</v>
      </c>
      <c r="AG2814" t="s">
        <v>226</v>
      </c>
      <c r="AH2814">
        <v>-100</v>
      </c>
      <c r="AI2814" t="s">
        <v>3537</v>
      </c>
      <c r="AJ2814" t="s">
        <v>1976</v>
      </c>
      <c r="AK2814" t="s">
        <v>2416</v>
      </c>
      <c r="AL2814" t="s">
        <v>272</v>
      </c>
    </row>
    <row r="2815" spans="1:38">
      <c r="A2815" t="s">
        <v>11817</v>
      </c>
      <c r="B2815" t="s">
        <v>11818</v>
      </c>
      <c r="C2815" t="s">
        <v>11819</v>
      </c>
      <c r="D2815" t="s">
        <v>11819</v>
      </c>
      <c r="E2815" t="s">
        <v>11820</v>
      </c>
      <c r="F2815" t="s">
        <v>2425</v>
      </c>
      <c r="G2815">
        <v>2</v>
      </c>
      <c r="H2815">
        <v>1</v>
      </c>
      <c r="I2815">
        <v>0.01</v>
      </c>
      <c r="J2815">
        <v>1000</v>
      </c>
      <c r="K2815">
        <v>0</v>
      </c>
      <c r="L2815">
        <v>0</v>
      </c>
      <c r="M2815">
        <v>99.85</v>
      </c>
      <c r="N2815">
        <v>0</v>
      </c>
      <c r="O2815">
        <v>99.85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10000000</v>
      </c>
      <c r="AB2815">
        <v>0</v>
      </c>
      <c r="AC2815">
        <v>0</v>
      </c>
      <c r="AD2815" t="s">
        <v>94</v>
      </c>
      <c r="AE2815" t="s">
        <v>94</v>
      </c>
      <c r="AF2815" t="s">
        <v>226</v>
      </c>
      <c r="AG2815" t="s">
        <v>226</v>
      </c>
      <c r="AH2815">
        <v>-100</v>
      </c>
      <c r="AI2815" t="s">
        <v>3537</v>
      </c>
      <c r="AJ2815" t="s">
        <v>1976</v>
      </c>
      <c r="AK2815" t="s">
        <v>2426</v>
      </c>
      <c r="AL2815" t="s">
        <v>272</v>
      </c>
    </row>
    <row r="2816" spans="1:38">
      <c r="A2816" t="s">
        <v>11821</v>
      </c>
      <c r="B2816" t="s">
        <v>11822</v>
      </c>
      <c r="C2816" t="s">
        <v>11823</v>
      </c>
      <c r="D2816" t="s">
        <v>11823</v>
      </c>
      <c r="E2816" t="s">
        <v>11824</v>
      </c>
      <c r="F2816" t="s">
        <v>2425</v>
      </c>
      <c r="G2816">
        <v>2</v>
      </c>
      <c r="H2816">
        <v>1</v>
      </c>
      <c r="I2816">
        <v>0.01</v>
      </c>
      <c r="J2816">
        <v>1000</v>
      </c>
      <c r="K2816">
        <v>1.02</v>
      </c>
      <c r="L2816">
        <v>97.91</v>
      </c>
      <c r="M2816">
        <v>96.92</v>
      </c>
      <c r="N2816">
        <v>96.87</v>
      </c>
      <c r="O2816">
        <v>97.86</v>
      </c>
      <c r="P2816">
        <v>0</v>
      </c>
      <c r="Q2816">
        <v>0</v>
      </c>
      <c r="R2816">
        <v>0</v>
      </c>
      <c r="S2816">
        <v>97.86</v>
      </c>
      <c r="T2816">
        <v>96.92</v>
      </c>
      <c r="U2816">
        <v>96.92</v>
      </c>
      <c r="V2816">
        <v>97.91</v>
      </c>
      <c r="W2816">
        <v>36207</v>
      </c>
      <c r="X2816">
        <v>95.32</v>
      </c>
      <c r="Y2816">
        <v>97.91</v>
      </c>
      <c r="Z2816">
        <v>4</v>
      </c>
      <c r="AA2816">
        <v>10000000</v>
      </c>
      <c r="AB2816">
        <v>17623.8</v>
      </c>
      <c r="AC2816">
        <v>0</v>
      </c>
      <c r="AD2816" t="s">
        <v>94</v>
      </c>
      <c r="AE2816" t="s">
        <v>94</v>
      </c>
      <c r="AF2816" t="s">
        <v>226</v>
      </c>
      <c r="AG2816" t="s">
        <v>226</v>
      </c>
      <c r="AH2816">
        <v>8</v>
      </c>
      <c r="AI2816" t="s">
        <v>3537</v>
      </c>
      <c r="AJ2816" t="s">
        <v>1976</v>
      </c>
      <c r="AK2816" t="s">
        <v>2426</v>
      </c>
      <c r="AL2816" t="s">
        <v>272</v>
      </c>
    </row>
    <row r="2817" spans="1:38">
      <c r="A2817" t="s">
        <v>11825</v>
      </c>
      <c r="B2817" t="s">
        <v>11826</v>
      </c>
      <c r="C2817" t="s">
        <v>11827</v>
      </c>
      <c r="D2817" t="s">
        <v>11827</v>
      </c>
      <c r="E2817" t="s">
        <v>11828</v>
      </c>
      <c r="F2817" t="s">
        <v>2425</v>
      </c>
      <c r="G2817">
        <v>3</v>
      </c>
      <c r="H2817">
        <v>1</v>
      </c>
      <c r="I2817">
        <v>0.01</v>
      </c>
      <c r="J2817">
        <v>1000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10000000</v>
      </c>
      <c r="AB2817">
        <v>0</v>
      </c>
      <c r="AC2817">
        <v>0</v>
      </c>
      <c r="AD2817" t="s">
        <v>94</v>
      </c>
      <c r="AE2817" t="s">
        <v>94</v>
      </c>
      <c r="AF2817" t="s">
        <v>226</v>
      </c>
      <c r="AG2817" t="s">
        <v>226</v>
      </c>
      <c r="AH2817">
        <v>8</v>
      </c>
      <c r="AI2817" t="s">
        <v>3537</v>
      </c>
      <c r="AJ2817" t="s">
        <v>1976</v>
      </c>
      <c r="AK2817" t="s">
        <v>2426</v>
      </c>
      <c r="AL2817" t="s">
        <v>272</v>
      </c>
    </row>
    <row r="2818" spans="1:38">
      <c r="A2818" t="s">
        <v>11829</v>
      </c>
      <c r="B2818" t="s">
        <v>11830</v>
      </c>
      <c r="C2818" t="s">
        <v>11831</v>
      </c>
      <c r="D2818" t="s">
        <v>11831</v>
      </c>
      <c r="E2818" t="s">
        <v>11832</v>
      </c>
      <c r="F2818" t="s">
        <v>2425</v>
      </c>
      <c r="G2818">
        <v>3</v>
      </c>
      <c r="H2818">
        <v>1</v>
      </c>
      <c r="I2818">
        <v>0.01</v>
      </c>
      <c r="J2818">
        <v>1000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15000000</v>
      </c>
      <c r="AB2818">
        <v>0</v>
      </c>
      <c r="AC2818">
        <v>0</v>
      </c>
      <c r="AD2818" t="s">
        <v>94</v>
      </c>
      <c r="AE2818" t="s">
        <v>94</v>
      </c>
      <c r="AF2818" t="s">
        <v>226</v>
      </c>
      <c r="AG2818" t="s">
        <v>226</v>
      </c>
      <c r="AH2818">
        <v>8</v>
      </c>
      <c r="AI2818" t="s">
        <v>3537</v>
      </c>
      <c r="AJ2818" t="s">
        <v>1976</v>
      </c>
      <c r="AK2818" t="s">
        <v>2426</v>
      </c>
      <c r="AL2818" t="s">
        <v>272</v>
      </c>
    </row>
    <row r="2819" spans="1:38">
      <c r="A2819" t="s">
        <v>11833</v>
      </c>
      <c r="B2819" t="s">
        <v>11834</v>
      </c>
      <c r="C2819" t="s">
        <v>11835</v>
      </c>
      <c r="D2819" t="s">
        <v>11835</v>
      </c>
      <c r="E2819" t="s">
        <v>11836</v>
      </c>
      <c r="F2819" t="s">
        <v>2425</v>
      </c>
      <c r="G2819">
        <v>3</v>
      </c>
      <c r="H2819">
        <v>1</v>
      </c>
      <c r="I2819">
        <v>0.01</v>
      </c>
      <c r="J2819">
        <v>1000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11000000</v>
      </c>
      <c r="AB2819">
        <v>0</v>
      </c>
      <c r="AC2819">
        <v>0</v>
      </c>
      <c r="AD2819" t="s">
        <v>94</v>
      </c>
      <c r="AE2819" t="s">
        <v>94</v>
      </c>
      <c r="AF2819" t="s">
        <v>226</v>
      </c>
      <c r="AG2819" t="s">
        <v>226</v>
      </c>
      <c r="AH2819">
        <v>8</v>
      </c>
      <c r="AI2819" t="s">
        <v>3537</v>
      </c>
      <c r="AJ2819" t="s">
        <v>1976</v>
      </c>
      <c r="AK2819" t="s">
        <v>2426</v>
      </c>
      <c r="AL2819" t="s">
        <v>272</v>
      </c>
    </row>
    <row r="2820" spans="1:38">
      <c r="A2820" t="s">
        <v>11837</v>
      </c>
      <c r="B2820" t="s">
        <v>11838</v>
      </c>
      <c r="C2820" t="s">
        <v>11839</v>
      </c>
      <c r="D2820" t="s">
        <v>11839</v>
      </c>
      <c r="E2820" t="s">
        <v>11840</v>
      </c>
      <c r="F2820" t="s">
        <v>2425</v>
      </c>
      <c r="G2820">
        <v>3</v>
      </c>
      <c r="H2820">
        <v>1</v>
      </c>
      <c r="I2820">
        <v>0.01</v>
      </c>
      <c r="J2820">
        <v>1000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20000000</v>
      </c>
      <c r="AB2820">
        <v>0</v>
      </c>
      <c r="AC2820">
        <v>0</v>
      </c>
      <c r="AD2820" t="s">
        <v>94</v>
      </c>
      <c r="AE2820" t="s">
        <v>94</v>
      </c>
      <c r="AF2820" t="s">
        <v>226</v>
      </c>
      <c r="AG2820" t="s">
        <v>226</v>
      </c>
      <c r="AH2820">
        <v>8</v>
      </c>
      <c r="AI2820" t="s">
        <v>3537</v>
      </c>
      <c r="AJ2820" t="s">
        <v>1976</v>
      </c>
      <c r="AK2820" t="s">
        <v>2426</v>
      </c>
      <c r="AL2820" t="s">
        <v>272</v>
      </c>
    </row>
    <row r="2821" spans="1:38">
      <c r="A2821" t="s">
        <v>11841</v>
      </c>
      <c r="B2821" t="s">
        <v>11842</v>
      </c>
      <c r="C2821" t="s">
        <v>11843</v>
      </c>
      <c r="D2821" t="s">
        <v>11843</v>
      </c>
      <c r="E2821" t="s">
        <v>11844</v>
      </c>
      <c r="F2821" t="s">
        <v>2425</v>
      </c>
      <c r="G2821">
        <v>3</v>
      </c>
      <c r="H2821">
        <v>1</v>
      </c>
      <c r="I2821">
        <v>0.01</v>
      </c>
      <c r="J2821">
        <v>1000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20000000</v>
      </c>
      <c r="AB2821">
        <v>0</v>
      </c>
      <c r="AC2821">
        <v>0</v>
      </c>
      <c r="AD2821" t="s">
        <v>94</v>
      </c>
      <c r="AE2821" t="s">
        <v>94</v>
      </c>
      <c r="AF2821" t="s">
        <v>226</v>
      </c>
      <c r="AG2821" t="s">
        <v>226</v>
      </c>
      <c r="AH2821">
        <v>8</v>
      </c>
      <c r="AI2821" t="s">
        <v>3537</v>
      </c>
      <c r="AJ2821" t="s">
        <v>1976</v>
      </c>
      <c r="AK2821" t="s">
        <v>2426</v>
      </c>
      <c r="AL2821" t="s">
        <v>272</v>
      </c>
    </row>
    <row r="2822" spans="1:38">
      <c r="A2822" t="s">
        <v>11845</v>
      </c>
      <c r="B2822" t="s">
        <v>11846</v>
      </c>
      <c r="C2822" t="s">
        <v>11847</v>
      </c>
      <c r="D2822" t="s">
        <v>11847</v>
      </c>
      <c r="E2822" t="s">
        <v>11848</v>
      </c>
      <c r="F2822" t="s">
        <v>2425</v>
      </c>
      <c r="G2822">
        <v>3</v>
      </c>
      <c r="H2822">
        <v>1</v>
      </c>
      <c r="I2822">
        <v>0.01</v>
      </c>
      <c r="J2822">
        <v>1000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10000000</v>
      </c>
      <c r="AB2822">
        <v>0</v>
      </c>
      <c r="AC2822">
        <v>0</v>
      </c>
      <c r="AD2822" t="s">
        <v>94</v>
      </c>
      <c r="AE2822" t="s">
        <v>94</v>
      </c>
      <c r="AF2822" t="s">
        <v>226</v>
      </c>
      <c r="AG2822" t="s">
        <v>226</v>
      </c>
      <c r="AH2822">
        <v>8</v>
      </c>
      <c r="AI2822" t="s">
        <v>3537</v>
      </c>
      <c r="AJ2822" t="s">
        <v>1976</v>
      </c>
      <c r="AK2822" t="s">
        <v>2426</v>
      </c>
      <c r="AL2822" t="s">
        <v>272</v>
      </c>
    </row>
    <row r="2823" spans="1:38">
      <c r="A2823" t="s">
        <v>11849</v>
      </c>
      <c r="B2823" t="s">
        <v>11850</v>
      </c>
      <c r="C2823" t="s">
        <v>11851</v>
      </c>
      <c r="D2823" t="s">
        <v>11851</v>
      </c>
      <c r="E2823" t="s">
        <v>11852</v>
      </c>
      <c r="F2823" t="s">
        <v>2425</v>
      </c>
      <c r="G2823">
        <v>3</v>
      </c>
      <c r="H2823">
        <v>1</v>
      </c>
      <c r="I2823">
        <v>0.01</v>
      </c>
      <c r="J2823">
        <v>1000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14000000</v>
      </c>
      <c r="AB2823">
        <v>0</v>
      </c>
      <c r="AC2823">
        <v>0</v>
      </c>
      <c r="AD2823" t="s">
        <v>94</v>
      </c>
      <c r="AE2823" t="s">
        <v>94</v>
      </c>
      <c r="AF2823" t="s">
        <v>226</v>
      </c>
      <c r="AG2823" t="s">
        <v>226</v>
      </c>
      <c r="AH2823">
        <v>8</v>
      </c>
      <c r="AI2823" t="s">
        <v>3537</v>
      </c>
      <c r="AJ2823" t="s">
        <v>1976</v>
      </c>
      <c r="AK2823" t="s">
        <v>2426</v>
      </c>
      <c r="AL2823" t="s">
        <v>272</v>
      </c>
    </row>
    <row r="2824" spans="1:38">
      <c r="A2824" t="s">
        <v>11853</v>
      </c>
      <c r="B2824" t="s">
        <v>11854</v>
      </c>
      <c r="C2824" t="s">
        <v>11855</v>
      </c>
      <c r="D2824" t="s">
        <v>11855</v>
      </c>
      <c r="E2824" t="s">
        <v>11856</v>
      </c>
      <c r="F2824" t="s">
        <v>2425</v>
      </c>
      <c r="G2824">
        <v>3</v>
      </c>
      <c r="H2824">
        <v>1</v>
      </c>
      <c r="I2824">
        <v>0.01</v>
      </c>
      <c r="J2824">
        <v>1000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20000000</v>
      </c>
      <c r="AB2824">
        <v>0</v>
      </c>
      <c r="AC2824">
        <v>0</v>
      </c>
      <c r="AD2824" t="s">
        <v>94</v>
      </c>
      <c r="AE2824" t="s">
        <v>94</v>
      </c>
      <c r="AF2824" t="s">
        <v>226</v>
      </c>
      <c r="AG2824" t="s">
        <v>226</v>
      </c>
      <c r="AH2824">
        <v>8</v>
      </c>
      <c r="AI2824" t="s">
        <v>3537</v>
      </c>
      <c r="AJ2824" t="s">
        <v>1976</v>
      </c>
      <c r="AK2824" t="s">
        <v>2426</v>
      </c>
      <c r="AL2824" t="s">
        <v>272</v>
      </c>
    </row>
    <row r="2825" spans="1:38">
      <c r="A2825" t="s">
        <v>11857</v>
      </c>
      <c r="B2825" t="s">
        <v>11858</v>
      </c>
      <c r="C2825" t="s">
        <v>11859</v>
      </c>
      <c r="D2825" t="s">
        <v>11859</v>
      </c>
      <c r="E2825" t="s">
        <v>11860</v>
      </c>
      <c r="F2825" t="s">
        <v>2425</v>
      </c>
      <c r="G2825">
        <v>3</v>
      </c>
      <c r="H2825">
        <v>1</v>
      </c>
      <c r="I2825">
        <v>0.01</v>
      </c>
      <c r="J2825">
        <v>1000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20000000</v>
      </c>
      <c r="AB2825">
        <v>0</v>
      </c>
      <c r="AC2825">
        <v>0</v>
      </c>
      <c r="AD2825" t="s">
        <v>94</v>
      </c>
      <c r="AE2825" t="s">
        <v>94</v>
      </c>
      <c r="AF2825" t="s">
        <v>226</v>
      </c>
      <c r="AG2825" t="s">
        <v>226</v>
      </c>
      <c r="AH2825">
        <v>8</v>
      </c>
      <c r="AI2825" t="s">
        <v>3537</v>
      </c>
      <c r="AJ2825" t="s">
        <v>1976</v>
      </c>
      <c r="AK2825" t="s">
        <v>2426</v>
      </c>
      <c r="AL2825" t="s">
        <v>272</v>
      </c>
    </row>
    <row r="2826" spans="1:38">
      <c r="A2826" t="s">
        <v>11861</v>
      </c>
      <c r="B2826" t="s">
        <v>11862</v>
      </c>
      <c r="C2826" t="s">
        <v>11863</v>
      </c>
      <c r="D2826" t="s">
        <v>11863</v>
      </c>
      <c r="E2826" t="s">
        <v>11864</v>
      </c>
      <c r="F2826" t="s">
        <v>2413</v>
      </c>
      <c r="G2826">
        <v>1</v>
      </c>
      <c r="H2826">
        <v>1</v>
      </c>
      <c r="I2826">
        <v>0.01</v>
      </c>
      <c r="J2826">
        <v>1000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10000000</v>
      </c>
      <c r="AB2826">
        <v>0</v>
      </c>
      <c r="AC2826">
        <v>0</v>
      </c>
      <c r="AD2826" t="s">
        <v>94</v>
      </c>
      <c r="AE2826" t="s">
        <v>94</v>
      </c>
      <c r="AF2826" t="s">
        <v>226</v>
      </c>
      <c r="AG2826" t="s">
        <v>226</v>
      </c>
      <c r="AH2826">
        <v>-100</v>
      </c>
      <c r="AI2826" t="s">
        <v>3537</v>
      </c>
      <c r="AJ2826" t="s">
        <v>1976</v>
      </c>
      <c r="AK2826" t="s">
        <v>2416</v>
      </c>
      <c r="AL2826" t="s">
        <v>272</v>
      </c>
    </row>
    <row r="2827" spans="1:38">
      <c r="A2827" t="s">
        <v>11865</v>
      </c>
      <c r="B2827" t="s">
        <v>11866</v>
      </c>
      <c r="C2827" t="s">
        <v>11867</v>
      </c>
      <c r="D2827" t="s">
        <v>11867</v>
      </c>
      <c r="E2827" t="s">
        <v>11868</v>
      </c>
      <c r="F2827" t="s">
        <v>2413</v>
      </c>
      <c r="G2827">
        <v>1</v>
      </c>
      <c r="H2827">
        <v>1</v>
      </c>
      <c r="I2827">
        <v>0.01</v>
      </c>
      <c r="J2827">
        <v>1000</v>
      </c>
      <c r="K2827">
        <v>0</v>
      </c>
      <c r="L2827">
        <v>0</v>
      </c>
      <c r="M2827">
        <v>90</v>
      </c>
      <c r="N2827">
        <v>0</v>
      </c>
      <c r="O2827">
        <v>90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75.010000000000005</v>
      </c>
      <c r="Y2827">
        <v>0</v>
      </c>
      <c r="Z2827">
        <v>0</v>
      </c>
      <c r="AA2827">
        <v>10000000</v>
      </c>
      <c r="AB2827">
        <v>0</v>
      </c>
      <c r="AC2827">
        <v>0</v>
      </c>
      <c r="AD2827" t="s">
        <v>94</v>
      </c>
      <c r="AE2827" t="s">
        <v>94</v>
      </c>
      <c r="AF2827" t="s">
        <v>226</v>
      </c>
      <c r="AG2827" t="s">
        <v>226</v>
      </c>
      <c r="AH2827">
        <v>-100</v>
      </c>
      <c r="AI2827" t="s">
        <v>3537</v>
      </c>
      <c r="AJ2827" t="s">
        <v>1976</v>
      </c>
      <c r="AK2827" t="s">
        <v>2416</v>
      </c>
      <c r="AL2827" t="s">
        <v>272</v>
      </c>
    </row>
    <row r="2828" spans="1:38">
      <c r="A2828" t="s">
        <v>11869</v>
      </c>
      <c r="B2828" t="s">
        <v>11870</v>
      </c>
      <c r="C2828" t="s">
        <v>11871</v>
      </c>
      <c r="D2828" t="s">
        <v>11871</v>
      </c>
      <c r="E2828" t="s">
        <v>11872</v>
      </c>
      <c r="F2828" t="s">
        <v>2413</v>
      </c>
      <c r="G2828">
        <v>1</v>
      </c>
      <c r="H2828">
        <v>1</v>
      </c>
      <c r="I2828">
        <v>0.01</v>
      </c>
      <c r="J2828">
        <v>1000</v>
      </c>
      <c r="K2828">
        <v>0.16</v>
      </c>
      <c r="L2828">
        <v>62.2</v>
      </c>
      <c r="M2828">
        <v>62.1</v>
      </c>
      <c r="N2828">
        <v>62.81</v>
      </c>
      <c r="O2828">
        <v>62.11</v>
      </c>
      <c r="P2828">
        <v>0</v>
      </c>
      <c r="Q2828">
        <v>0</v>
      </c>
      <c r="R2828">
        <v>0</v>
      </c>
      <c r="S2828">
        <v>61.15</v>
      </c>
      <c r="T2828">
        <v>63.02</v>
      </c>
      <c r="U2828">
        <v>59.54</v>
      </c>
      <c r="V2828">
        <v>63.03</v>
      </c>
      <c r="W2828">
        <v>54424</v>
      </c>
      <c r="X2828">
        <v>61.65</v>
      </c>
      <c r="Y2828">
        <v>62.24</v>
      </c>
      <c r="Z2828">
        <v>33</v>
      </c>
      <c r="AA2828">
        <v>10000000</v>
      </c>
      <c r="AB2828">
        <v>622</v>
      </c>
      <c r="AC2828">
        <v>0</v>
      </c>
      <c r="AD2828" t="s">
        <v>94</v>
      </c>
      <c r="AE2828" t="s">
        <v>94</v>
      </c>
      <c r="AF2828" t="s">
        <v>226</v>
      </c>
      <c r="AG2828" t="s">
        <v>226</v>
      </c>
      <c r="AH2828">
        <v>-100</v>
      </c>
      <c r="AI2828" t="s">
        <v>3537</v>
      </c>
      <c r="AJ2828" t="s">
        <v>1976</v>
      </c>
      <c r="AK2828" t="s">
        <v>2416</v>
      </c>
      <c r="AL2828" t="s">
        <v>272</v>
      </c>
    </row>
    <row r="2829" spans="1:38">
      <c r="A2829" t="s">
        <v>11873</v>
      </c>
      <c r="B2829" t="s">
        <v>11874</v>
      </c>
      <c r="C2829" t="s">
        <v>11875</v>
      </c>
      <c r="D2829" t="s">
        <v>11875</v>
      </c>
      <c r="E2829" t="s">
        <v>11876</v>
      </c>
      <c r="F2829" t="s">
        <v>2413</v>
      </c>
      <c r="G2829">
        <v>1</v>
      </c>
      <c r="H2829">
        <v>1</v>
      </c>
      <c r="I2829">
        <v>0.01</v>
      </c>
      <c r="J2829">
        <v>1000</v>
      </c>
      <c r="K2829">
        <v>0</v>
      </c>
      <c r="L2829">
        <v>0</v>
      </c>
      <c r="M2829">
        <v>94.36</v>
      </c>
      <c r="N2829">
        <v>93.5</v>
      </c>
      <c r="O2829">
        <v>94.36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93.1</v>
      </c>
      <c r="Y2829">
        <v>94.7</v>
      </c>
      <c r="Z2829">
        <v>0</v>
      </c>
      <c r="AA2829">
        <v>10000000</v>
      </c>
      <c r="AB2829">
        <v>0</v>
      </c>
      <c r="AC2829">
        <v>0</v>
      </c>
      <c r="AD2829" t="s">
        <v>94</v>
      </c>
      <c r="AE2829" t="s">
        <v>94</v>
      </c>
      <c r="AF2829" t="s">
        <v>226</v>
      </c>
      <c r="AG2829" t="s">
        <v>226</v>
      </c>
      <c r="AH2829">
        <v>-100</v>
      </c>
      <c r="AI2829" t="s">
        <v>3537</v>
      </c>
      <c r="AJ2829" t="s">
        <v>1976</v>
      </c>
      <c r="AK2829" t="s">
        <v>2416</v>
      </c>
      <c r="AL2829" t="s">
        <v>272</v>
      </c>
    </row>
    <row r="2830" spans="1:38">
      <c r="A2830" t="s">
        <v>11877</v>
      </c>
      <c r="B2830" t="s">
        <v>11878</v>
      </c>
      <c r="C2830" t="s">
        <v>11879</v>
      </c>
      <c r="D2830" t="s">
        <v>11879</v>
      </c>
      <c r="E2830" t="s">
        <v>11880</v>
      </c>
      <c r="F2830" t="s">
        <v>2413</v>
      </c>
      <c r="G2830">
        <v>3</v>
      </c>
      <c r="H2830">
        <v>1</v>
      </c>
      <c r="I2830">
        <v>0.01</v>
      </c>
      <c r="J2830">
        <v>1000</v>
      </c>
      <c r="K2830">
        <v>-0.31</v>
      </c>
      <c r="L2830">
        <v>80.45</v>
      </c>
      <c r="M2830">
        <v>80.7</v>
      </c>
      <c r="N2830">
        <v>80.97</v>
      </c>
      <c r="O2830">
        <v>80.459999999999994</v>
      </c>
      <c r="P2830">
        <v>0</v>
      </c>
      <c r="Q2830">
        <v>0</v>
      </c>
      <c r="R2830">
        <v>0</v>
      </c>
      <c r="S2830">
        <v>80.88</v>
      </c>
      <c r="T2830">
        <v>81</v>
      </c>
      <c r="U2830">
        <v>80.45</v>
      </c>
      <c r="V2830">
        <v>81.02</v>
      </c>
      <c r="W2830">
        <v>90588</v>
      </c>
      <c r="X2830">
        <v>80.53</v>
      </c>
      <c r="Y2830">
        <v>81</v>
      </c>
      <c r="Z2830">
        <v>34</v>
      </c>
      <c r="AA2830">
        <v>15000000</v>
      </c>
      <c r="AB2830">
        <v>804.5</v>
      </c>
      <c r="AC2830">
        <v>0</v>
      </c>
      <c r="AD2830" t="s">
        <v>94</v>
      </c>
      <c r="AE2830" t="s">
        <v>94</v>
      </c>
      <c r="AF2830" t="s">
        <v>226</v>
      </c>
      <c r="AG2830" t="s">
        <v>226</v>
      </c>
      <c r="AH2830">
        <v>-100</v>
      </c>
      <c r="AI2830" t="s">
        <v>3537</v>
      </c>
      <c r="AJ2830" t="s">
        <v>1976</v>
      </c>
      <c r="AK2830" t="s">
        <v>2416</v>
      </c>
      <c r="AL2830" t="s">
        <v>272</v>
      </c>
    </row>
    <row r="2831" spans="1:38">
      <c r="A2831" t="s">
        <v>11881</v>
      </c>
      <c r="B2831" t="s">
        <v>11882</v>
      </c>
      <c r="C2831" t="s">
        <v>11883</v>
      </c>
      <c r="D2831" t="s">
        <v>11883</v>
      </c>
      <c r="E2831" t="s">
        <v>11884</v>
      </c>
      <c r="F2831" t="s">
        <v>2413</v>
      </c>
      <c r="G2831">
        <v>3</v>
      </c>
      <c r="H2831">
        <v>1</v>
      </c>
      <c r="I2831">
        <v>0.01</v>
      </c>
      <c r="J2831">
        <v>1000</v>
      </c>
      <c r="K2831">
        <v>0.56000000000000005</v>
      </c>
      <c r="L2831">
        <v>74.760000000000005</v>
      </c>
      <c r="M2831">
        <v>74.34</v>
      </c>
      <c r="N2831">
        <v>74.150000000000006</v>
      </c>
      <c r="O2831">
        <v>74.73</v>
      </c>
      <c r="P2831">
        <v>0</v>
      </c>
      <c r="Q2831">
        <v>0</v>
      </c>
      <c r="R2831">
        <v>0</v>
      </c>
      <c r="S2831">
        <v>74.760000000000005</v>
      </c>
      <c r="T2831">
        <v>74.5</v>
      </c>
      <c r="U2831">
        <v>74.16</v>
      </c>
      <c r="V2831">
        <v>74.930000000000007</v>
      </c>
      <c r="W2831">
        <v>755799</v>
      </c>
      <c r="X2831">
        <v>74.599999999999994</v>
      </c>
      <c r="Y2831">
        <v>74.75</v>
      </c>
      <c r="Z2831">
        <v>92</v>
      </c>
      <c r="AA2831">
        <v>1000000</v>
      </c>
      <c r="AB2831">
        <v>747.6</v>
      </c>
      <c r="AC2831">
        <v>0</v>
      </c>
      <c r="AD2831" t="s">
        <v>94</v>
      </c>
      <c r="AE2831" t="s">
        <v>94</v>
      </c>
      <c r="AF2831" t="s">
        <v>226</v>
      </c>
      <c r="AG2831" t="s">
        <v>226</v>
      </c>
      <c r="AH2831">
        <v>6</v>
      </c>
      <c r="AI2831" t="s">
        <v>3537</v>
      </c>
      <c r="AJ2831" t="s">
        <v>1976</v>
      </c>
      <c r="AK2831" t="s">
        <v>2416</v>
      </c>
      <c r="AL2831" t="s">
        <v>272</v>
      </c>
    </row>
    <row r="2832" spans="1:38">
      <c r="A2832" t="s">
        <v>11885</v>
      </c>
      <c r="B2832" t="s">
        <v>11886</v>
      </c>
      <c r="C2832" t="s">
        <v>11887</v>
      </c>
      <c r="D2832" t="s">
        <v>11887</v>
      </c>
      <c r="E2832" t="s">
        <v>11888</v>
      </c>
      <c r="F2832" t="s">
        <v>2413</v>
      </c>
      <c r="G2832">
        <v>3</v>
      </c>
      <c r="H2832">
        <v>1</v>
      </c>
      <c r="I2832">
        <v>0.01</v>
      </c>
      <c r="J2832">
        <v>1000</v>
      </c>
      <c r="K2832">
        <v>1.1200000000000001</v>
      </c>
      <c r="L2832">
        <v>98.3</v>
      </c>
      <c r="M2832">
        <v>97.21</v>
      </c>
      <c r="N2832">
        <v>96.84</v>
      </c>
      <c r="O2832">
        <v>98.3</v>
      </c>
      <c r="P2832">
        <v>0</v>
      </c>
      <c r="Q2832">
        <v>0</v>
      </c>
      <c r="R2832">
        <v>0</v>
      </c>
      <c r="S2832">
        <v>98.14</v>
      </c>
      <c r="T2832">
        <v>98.15</v>
      </c>
      <c r="U2832">
        <v>97.85</v>
      </c>
      <c r="V2832">
        <v>98.42</v>
      </c>
      <c r="W2832">
        <v>46125</v>
      </c>
      <c r="X2832">
        <v>98.23</v>
      </c>
      <c r="Y2832">
        <v>98.41</v>
      </c>
      <c r="Z2832">
        <v>20</v>
      </c>
      <c r="AA2832">
        <v>102313</v>
      </c>
      <c r="AB2832">
        <v>983</v>
      </c>
      <c r="AC2832">
        <v>0</v>
      </c>
      <c r="AD2832" t="s">
        <v>94</v>
      </c>
      <c r="AE2832" t="s">
        <v>94</v>
      </c>
      <c r="AF2832" t="s">
        <v>226</v>
      </c>
      <c r="AG2832" t="s">
        <v>226</v>
      </c>
      <c r="AH2832">
        <v>800</v>
      </c>
      <c r="AI2832" t="s">
        <v>3537</v>
      </c>
      <c r="AJ2832" t="s">
        <v>1976</v>
      </c>
      <c r="AK2832" t="s">
        <v>2416</v>
      </c>
      <c r="AL2832" t="s">
        <v>272</v>
      </c>
    </row>
    <row r="2833" spans="1:38">
      <c r="A2833" t="s">
        <v>11889</v>
      </c>
      <c r="B2833" t="s">
        <v>11890</v>
      </c>
      <c r="C2833" t="s">
        <v>11891</v>
      </c>
      <c r="D2833" t="s">
        <v>11891</v>
      </c>
      <c r="E2833" t="s">
        <v>11892</v>
      </c>
      <c r="F2833" t="s">
        <v>2413</v>
      </c>
      <c r="G2833">
        <v>1</v>
      </c>
      <c r="H2833">
        <v>1</v>
      </c>
      <c r="I2833">
        <v>1E-4</v>
      </c>
      <c r="J2833">
        <v>100</v>
      </c>
      <c r="K2833">
        <v>4.07</v>
      </c>
      <c r="L2833">
        <v>93.749499999999998</v>
      </c>
      <c r="M2833">
        <v>92.230599999999995</v>
      </c>
      <c r="N2833">
        <v>93.614999999999995</v>
      </c>
      <c r="O2833">
        <v>93.749499999999998</v>
      </c>
      <c r="P2833">
        <v>0</v>
      </c>
      <c r="Q2833">
        <v>0</v>
      </c>
      <c r="R2833">
        <v>0</v>
      </c>
      <c r="S2833">
        <v>91.124200000000002</v>
      </c>
      <c r="T2833">
        <v>93</v>
      </c>
      <c r="U2833">
        <v>91</v>
      </c>
      <c r="V2833">
        <v>94</v>
      </c>
      <c r="W2833">
        <v>4886520</v>
      </c>
      <c r="X2833">
        <v>91.002700000000004</v>
      </c>
      <c r="Y2833">
        <v>93.749499999999998</v>
      </c>
      <c r="Z2833">
        <v>29</v>
      </c>
      <c r="AA2833">
        <v>1000000</v>
      </c>
      <c r="AB2833">
        <v>9955.0499999999993</v>
      </c>
      <c r="AC2833">
        <v>0</v>
      </c>
      <c r="AD2833" t="s">
        <v>2</v>
      </c>
      <c r="AE2833" t="s">
        <v>94</v>
      </c>
      <c r="AF2833" t="s">
        <v>226</v>
      </c>
      <c r="AG2833" t="s">
        <v>226</v>
      </c>
      <c r="AH2833">
        <v>-100</v>
      </c>
      <c r="AI2833" t="s">
        <v>3537</v>
      </c>
      <c r="AJ2833" t="s">
        <v>1976</v>
      </c>
      <c r="AK2833" t="s">
        <v>2416</v>
      </c>
      <c r="AL2833" t="s">
        <v>272</v>
      </c>
    </row>
    <row r="2834" spans="1:38">
      <c r="A2834" t="s">
        <v>11893</v>
      </c>
      <c r="B2834" t="s">
        <v>11894</v>
      </c>
      <c r="C2834" t="s">
        <v>11895</v>
      </c>
      <c r="D2834" t="s">
        <v>11895</v>
      </c>
      <c r="E2834" t="s">
        <v>11896</v>
      </c>
      <c r="F2834" t="s">
        <v>2425</v>
      </c>
      <c r="G2834">
        <v>1</v>
      </c>
      <c r="H2834">
        <v>1</v>
      </c>
      <c r="I2834">
        <v>1E-4</v>
      </c>
      <c r="J2834">
        <v>1000</v>
      </c>
      <c r="K2834">
        <v>-0.1</v>
      </c>
      <c r="L2834">
        <v>97.399100000000004</v>
      </c>
      <c r="M2834">
        <v>97.75</v>
      </c>
      <c r="N2834">
        <v>98.828000000000003</v>
      </c>
      <c r="O2834">
        <v>97.399100000000004</v>
      </c>
      <c r="P2834">
        <v>0</v>
      </c>
      <c r="Q2834">
        <v>0</v>
      </c>
      <c r="R2834">
        <v>0</v>
      </c>
      <c r="S2834">
        <v>96.676900000000003</v>
      </c>
      <c r="T2834">
        <v>98.65</v>
      </c>
      <c r="U2834">
        <v>96.251300000000001</v>
      </c>
      <c r="V2834">
        <v>98.65</v>
      </c>
      <c r="W2834">
        <v>87157555</v>
      </c>
      <c r="X2834">
        <v>96.273499999999999</v>
      </c>
      <c r="Y2834">
        <v>97.399500000000003</v>
      </c>
      <c r="Z2834">
        <v>34</v>
      </c>
      <c r="AA2834">
        <v>356915</v>
      </c>
      <c r="AB2834">
        <v>103425.96</v>
      </c>
      <c r="AC2834">
        <v>0</v>
      </c>
      <c r="AD2834" t="s">
        <v>2</v>
      </c>
      <c r="AE2834" t="s">
        <v>94</v>
      </c>
      <c r="AF2834" t="s">
        <v>226</v>
      </c>
      <c r="AG2834" t="s">
        <v>226</v>
      </c>
      <c r="AH2834">
        <v>-100</v>
      </c>
      <c r="AI2834" t="s">
        <v>3537</v>
      </c>
      <c r="AJ2834" t="s">
        <v>1976</v>
      </c>
      <c r="AK2834" t="s">
        <v>2426</v>
      </c>
      <c r="AL2834" t="s">
        <v>272</v>
      </c>
    </row>
    <row r="2835" spans="1:38">
      <c r="A2835" t="s">
        <v>11897</v>
      </c>
      <c r="B2835" t="s">
        <v>11898</v>
      </c>
      <c r="C2835" t="s">
        <v>11899</v>
      </c>
      <c r="D2835" t="s">
        <v>11899</v>
      </c>
      <c r="E2835" t="s">
        <v>11900</v>
      </c>
      <c r="F2835" t="s">
        <v>2425</v>
      </c>
      <c r="G2835">
        <v>1</v>
      </c>
      <c r="H2835">
        <v>1</v>
      </c>
      <c r="I2835">
        <v>1E-4</v>
      </c>
      <c r="J2835">
        <v>1000</v>
      </c>
      <c r="K2835">
        <v>-1.4</v>
      </c>
      <c r="L2835">
        <v>75.7</v>
      </c>
      <c r="M2835">
        <v>76.184899999999999</v>
      </c>
      <c r="N2835">
        <v>76.129300000000001</v>
      </c>
      <c r="O2835">
        <v>75.957099999999997</v>
      </c>
      <c r="P2835">
        <v>0</v>
      </c>
      <c r="Q2835">
        <v>0</v>
      </c>
      <c r="R2835">
        <v>0</v>
      </c>
      <c r="S2835">
        <v>76.363500000000002</v>
      </c>
      <c r="T2835">
        <v>77.169799999999995</v>
      </c>
      <c r="U2835">
        <v>74.499899999999997</v>
      </c>
      <c r="V2835">
        <v>77.169799999999995</v>
      </c>
      <c r="W2835">
        <v>8919765</v>
      </c>
      <c r="X2835">
        <v>75.508799999999994</v>
      </c>
      <c r="Y2835">
        <v>75.6999</v>
      </c>
      <c r="Z2835">
        <v>99</v>
      </c>
      <c r="AA2835">
        <v>383470</v>
      </c>
      <c r="AB2835">
        <v>80384.160000000003</v>
      </c>
      <c r="AC2835">
        <v>0</v>
      </c>
      <c r="AD2835" t="s">
        <v>2</v>
      </c>
      <c r="AE2835" t="s">
        <v>94</v>
      </c>
      <c r="AF2835" t="s">
        <v>226</v>
      </c>
      <c r="AG2835" t="s">
        <v>226</v>
      </c>
      <c r="AH2835">
        <v>-100</v>
      </c>
      <c r="AI2835" t="s">
        <v>3537</v>
      </c>
      <c r="AJ2835" t="s">
        <v>1976</v>
      </c>
      <c r="AK2835" t="s">
        <v>2426</v>
      </c>
      <c r="AL2835" t="s">
        <v>272</v>
      </c>
    </row>
    <row r="2836" spans="1:38">
      <c r="A2836" t="s">
        <v>11901</v>
      </c>
      <c r="B2836" t="s">
        <v>11902</v>
      </c>
      <c r="C2836" t="s">
        <v>11903</v>
      </c>
      <c r="D2836" t="s">
        <v>11903</v>
      </c>
      <c r="E2836" t="s">
        <v>11904</v>
      </c>
      <c r="F2836" t="s">
        <v>2413</v>
      </c>
      <c r="G2836">
        <v>1</v>
      </c>
      <c r="H2836">
        <v>1</v>
      </c>
      <c r="I2836">
        <v>0.01</v>
      </c>
      <c r="J2836">
        <v>1000</v>
      </c>
      <c r="K2836">
        <v>-0.01</v>
      </c>
      <c r="L2836">
        <v>84.99</v>
      </c>
      <c r="M2836">
        <v>84.97</v>
      </c>
      <c r="N2836">
        <v>85.26</v>
      </c>
      <c r="O2836">
        <v>84.92</v>
      </c>
      <c r="P2836">
        <v>0</v>
      </c>
      <c r="Q2836">
        <v>0</v>
      </c>
      <c r="R2836">
        <v>0</v>
      </c>
      <c r="S2836">
        <v>85.32</v>
      </c>
      <c r="T2836">
        <v>85.9</v>
      </c>
      <c r="U2836">
        <v>84.76</v>
      </c>
      <c r="V2836">
        <v>86.9</v>
      </c>
      <c r="W2836">
        <v>2194420</v>
      </c>
      <c r="X2836">
        <v>84.78</v>
      </c>
      <c r="Y2836">
        <v>84.99</v>
      </c>
      <c r="Z2836">
        <v>214</v>
      </c>
      <c r="AA2836">
        <v>20000000</v>
      </c>
      <c r="AB2836">
        <v>849.9</v>
      </c>
      <c r="AC2836">
        <v>0</v>
      </c>
      <c r="AD2836" t="s">
        <v>94</v>
      </c>
      <c r="AE2836" t="s">
        <v>94</v>
      </c>
      <c r="AF2836" t="s">
        <v>226</v>
      </c>
      <c r="AG2836" t="s">
        <v>226</v>
      </c>
      <c r="AH2836">
        <v>-100</v>
      </c>
      <c r="AI2836" t="s">
        <v>3537</v>
      </c>
      <c r="AJ2836" t="s">
        <v>1976</v>
      </c>
      <c r="AK2836" t="s">
        <v>2416</v>
      </c>
      <c r="AL2836" t="s">
        <v>272</v>
      </c>
    </row>
    <row r="2837" spans="1:38">
      <c r="A2837" t="s">
        <v>11905</v>
      </c>
      <c r="B2837" t="s">
        <v>11906</v>
      </c>
      <c r="C2837" t="s">
        <v>11907</v>
      </c>
      <c r="D2837" t="s">
        <v>11907</v>
      </c>
      <c r="E2837" t="s">
        <v>11908</v>
      </c>
      <c r="F2837" t="s">
        <v>2413</v>
      </c>
      <c r="G2837">
        <v>1</v>
      </c>
      <c r="H2837">
        <v>1</v>
      </c>
      <c r="I2837">
        <v>0.01</v>
      </c>
      <c r="J2837">
        <v>1000</v>
      </c>
      <c r="K2837">
        <v>0.28999999999999998</v>
      </c>
      <c r="L2837">
        <v>99.54</v>
      </c>
      <c r="M2837">
        <v>99.25</v>
      </c>
      <c r="N2837">
        <v>99.57</v>
      </c>
      <c r="O2837">
        <v>99.57</v>
      </c>
      <c r="P2837">
        <v>0</v>
      </c>
      <c r="Q2837">
        <v>0</v>
      </c>
      <c r="R2837">
        <v>0</v>
      </c>
      <c r="S2837">
        <v>99.61</v>
      </c>
      <c r="T2837">
        <v>99.7</v>
      </c>
      <c r="U2837">
        <v>99.42</v>
      </c>
      <c r="V2837">
        <v>99.7</v>
      </c>
      <c r="W2837">
        <v>8145995</v>
      </c>
      <c r="X2837">
        <v>99.53</v>
      </c>
      <c r="Y2837">
        <v>99.56</v>
      </c>
      <c r="Z2837">
        <v>242</v>
      </c>
      <c r="AA2837">
        <v>35000000</v>
      </c>
      <c r="AB2837">
        <v>995.4</v>
      </c>
      <c r="AC2837">
        <v>0</v>
      </c>
      <c r="AD2837" t="s">
        <v>94</v>
      </c>
      <c r="AE2837" t="s">
        <v>94</v>
      </c>
      <c r="AF2837" t="s">
        <v>226</v>
      </c>
      <c r="AG2837" t="s">
        <v>226</v>
      </c>
      <c r="AH2837">
        <v>8</v>
      </c>
      <c r="AI2837" t="s">
        <v>3537</v>
      </c>
      <c r="AJ2837" t="s">
        <v>1976</v>
      </c>
      <c r="AK2837" t="s">
        <v>2416</v>
      </c>
      <c r="AL2837" t="s">
        <v>272</v>
      </c>
    </row>
    <row r="2838" spans="1:38">
      <c r="A2838" t="s">
        <v>11909</v>
      </c>
      <c r="B2838" t="s">
        <v>11910</v>
      </c>
      <c r="C2838" t="s">
        <v>11911</v>
      </c>
      <c r="D2838" t="s">
        <v>11911</v>
      </c>
      <c r="E2838" t="s">
        <v>11912</v>
      </c>
      <c r="F2838" t="s">
        <v>2413</v>
      </c>
      <c r="G2838">
        <v>1</v>
      </c>
      <c r="H2838">
        <v>1</v>
      </c>
      <c r="I2838">
        <v>0.01</v>
      </c>
      <c r="J2838">
        <v>1000</v>
      </c>
      <c r="K2838">
        <v>0.02</v>
      </c>
      <c r="L2838">
        <v>100.4</v>
      </c>
      <c r="M2838">
        <v>100.38</v>
      </c>
      <c r="N2838">
        <v>100.33</v>
      </c>
      <c r="O2838">
        <v>100.4</v>
      </c>
      <c r="P2838">
        <v>0</v>
      </c>
      <c r="Q2838">
        <v>0</v>
      </c>
      <c r="R2838">
        <v>0</v>
      </c>
      <c r="S2838">
        <v>100.45</v>
      </c>
      <c r="T2838">
        <v>101.23</v>
      </c>
      <c r="U2838">
        <v>100.36</v>
      </c>
      <c r="V2838">
        <v>101.24</v>
      </c>
      <c r="W2838">
        <v>45909890</v>
      </c>
      <c r="X2838">
        <v>100.38</v>
      </c>
      <c r="Y2838">
        <v>100.4</v>
      </c>
      <c r="Z2838">
        <v>167</v>
      </c>
      <c r="AA2838">
        <v>20000000</v>
      </c>
      <c r="AB2838">
        <v>1004</v>
      </c>
      <c r="AC2838">
        <v>0</v>
      </c>
      <c r="AD2838" t="s">
        <v>94</v>
      </c>
      <c r="AE2838" t="s">
        <v>94</v>
      </c>
      <c r="AF2838" t="s">
        <v>226</v>
      </c>
      <c r="AG2838" t="s">
        <v>226</v>
      </c>
      <c r="AH2838">
        <v>8</v>
      </c>
      <c r="AI2838" t="s">
        <v>3537</v>
      </c>
      <c r="AJ2838" t="s">
        <v>1976</v>
      </c>
      <c r="AK2838" t="s">
        <v>2416</v>
      </c>
      <c r="AL2838" t="s">
        <v>272</v>
      </c>
    </row>
    <row r="2839" spans="1:38">
      <c r="A2839" t="s">
        <v>11913</v>
      </c>
      <c r="B2839" t="s">
        <v>11914</v>
      </c>
      <c r="C2839" t="s">
        <v>11915</v>
      </c>
      <c r="D2839" t="s">
        <v>11915</v>
      </c>
      <c r="E2839" t="s">
        <v>11916</v>
      </c>
      <c r="F2839" t="s">
        <v>2425</v>
      </c>
      <c r="G2839">
        <v>3</v>
      </c>
      <c r="H2839">
        <v>1</v>
      </c>
      <c r="I2839">
        <v>1E-4</v>
      </c>
      <c r="J2839">
        <v>1000</v>
      </c>
      <c r="K2839">
        <v>-2.89</v>
      </c>
      <c r="L2839">
        <v>74</v>
      </c>
      <c r="M2839">
        <v>76.180899999999994</v>
      </c>
      <c r="N2839">
        <v>75.517399999999995</v>
      </c>
      <c r="O2839">
        <v>75.692300000000003</v>
      </c>
      <c r="P2839">
        <v>0</v>
      </c>
      <c r="Q2839">
        <v>0</v>
      </c>
      <c r="R2839">
        <v>0</v>
      </c>
      <c r="S2839">
        <v>74.484399999999994</v>
      </c>
      <c r="T2839">
        <v>74.071100000000001</v>
      </c>
      <c r="U2839">
        <v>72</v>
      </c>
      <c r="V2839">
        <v>76</v>
      </c>
      <c r="W2839">
        <v>1660961</v>
      </c>
      <c r="X2839">
        <v>73.000299999999996</v>
      </c>
      <c r="Y2839">
        <v>74.886799999999994</v>
      </c>
      <c r="Z2839">
        <v>12</v>
      </c>
      <c r="AA2839">
        <v>156060</v>
      </c>
      <c r="AB2839">
        <v>157157.94</v>
      </c>
      <c r="AC2839">
        <v>0</v>
      </c>
      <c r="AD2839" t="s">
        <v>2</v>
      </c>
      <c r="AE2839" t="s">
        <v>94</v>
      </c>
      <c r="AF2839" t="s">
        <v>304</v>
      </c>
      <c r="AG2839" t="s">
        <v>226</v>
      </c>
      <c r="AH2839">
        <v>0</v>
      </c>
      <c r="AI2839" t="s">
        <v>3537</v>
      </c>
      <c r="AJ2839" t="s">
        <v>1976</v>
      </c>
      <c r="AK2839" t="s">
        <v>2426</v>
      </c>
      <c r="AL2839" t="s">
        <v>272</v>
      </c>
    </row>
    <row r="2840" spans="1:38">
      <c r="A2840" t="s">
        <v>11917</v>
      </c>
      <c r="B2840" t="s">
        <v>11918</v>
      </c>
      <c r="C2840" t="s">
        <v>11919</v>
      </c>
      <c r="D2840" t="s">
        <v>11919</v>
      </c>
      <c r="E2840" t="s">
        <v>11920</v>
      </c>
      <c r="F2840" t="s">
        <v>2413</v>
      </c>
      <c r="G2840">
        <v>1</v>
      </c>
      <c r="H2840">
        <v>1</v>
      </c>
      <c r="I2840">
        <v>0.01</v>
      </c>
      <c r="J2840">
        <v>1000</v>
      </c>
      <c r="K2840">
        <v>0.49</v>
      </c>
      <c r="L2840">
        <v>81.5</v>
      </c>
      <c r="M2840">
        <v>81.099999999999994</v>
      </c>
      <c r="N2840">
        <v>81.25</v>
      </c>
      <c r="O2840">
        <v>81.5</v>
      </c>
      <c r="P2840">
        <v>0</v>
      </c>
      <c r="Q2840">
        <v>0</v>
      </c>
      <c r="R2840">
        <v>0</v>
      </c>
      <c r="S2840">
        <v>81.22</v>
      </c>
      <c r="T2840">
        <v>80.900000000000006</v>
      </c>
      <c r="U2840">
        <v>80.5</v>
      </c>
      <c r="V2840">
        <v>81.709999999999994</v>
      </c>
      <c r="W2840">
        <v>13471269</v>
      </c>
      <c r="X2840">
        <v>81.459999999999994</v>
      </c>
      <c r="Y2840">
        <v>81.5</v>
      </c>
      <c r="Z2840">
        <v>186</v>
      </c>
      <c r="AA2840">
        <v>4000000</v>
      </c>
      <c r="AB2840">
        <v>4890</v>
      </c>
      <c r="AC2840">
        <v>0</v>
      </c>
      <c r="AD2840" t="s">
        <v>94</v>
      </c>
      <c r="AE2840" t="s">
        <v>94</v>
      </c>
      <c r="AF2840" t="s">
        <v>226</v>
      </c>
      <c r="AG2840" t="s">
        <v>226</v>
      </c>
      <c r="AH2840">
        <v>6</v>
      </c>
      <c r="AI2840" t="s">
        <v>3537</v>
      </c>
      <c r="AJ2840" t="s">
        <v>1976</v>
      </c>
      <c r="AK2840" t="s">
        <v>2416</v>
      </c>
      <c r="AL2840" t="s">
        <v>272</v>
      </c>
    </row>
    <row r="2841" spans="1:38">
      <c r="A2841" t="s">
        <v>11921</v>
      </c>
      <c r="B2841" t="s">
        <v>11922</v>
      </c>
      <c r="C2841" t="s">
        <v>11923</v>
      </c>
      <c r="D2841" t="s">
        <v>11923</v>
      </c>
      <c r="E2841" t="s">
        <v>11924</v>
      </c>
      <c r="F2841" t="s">
        <v>2413</v>
      </c>
      <c r="G2841">
        <v>1</v>
      </c>
      <c r="H2841">
        <v>1</v>
      </c>
      <c r="I2841">
        <v>0.01</v>
      </c>
      <c r="J2841">
        <v>1000</v>
      </c>
      <c r="K2841">
        <v>-0.04</v>
      </c>
      <c r="L2841">
        <v>96.86</v>
      </c>
      <c r="M2841">
        <v>96.9</v>
      </c>
      <c r="N2841">
        <v>96.69</v>
      </c>
      <c r="O2841">
        <v>96.86</v>
      </c>
      <c r="P2841">
        <v>0</v>
      </c>
      <c r="Q2841">
        <v>0</v>
      </c>
      <c r="R2841">
        <v>0</v>
      </c>
      <c r="S2841">
        <v>96.51</v>
      </c>
      <c r="T2841">
        <v>96.9</v>
      </c>
      <c r="U2841">
        <v>96.5</v>
      </c>
      <c r="V2841">
        <v>97</v>
      </c>
      <c r="W2841">
        <v>1492048</v>
      </c>
      <c r="X2841">
        <v>96.86</v>
      </c>
      <c r="Y2841">
        <v>96.98</v>
      </c>
      <c r="Z2841">
        <v>24</v>
      </c>
      <c r="AA2841">
        <v>5000000</v>
      </c>
      <c r="AB2841">
        <v>3874.4</v>
      </c>
      <c r="AC2841">
        <v>0</v>
      </c>
      <c r="AD2841" t="s">
        <v>94</v>
      </c>
      <c r="AE2841" t="s">
        <v>94</v>
      </c>
      <c r="AF2841" t="s">
        <v>226</v>
      </c>
      <c r="AG2841" t="s">
        <v>226</v>
      </c>
      <c r="AH2841">
        <v>6</v>
      </c>
      <c r="AI2841" t="s">
        <v>3537</v>
      </c>
      <c r="AJ2841" t="s">
        <v>1976</v>
      </c>
      <c r="AK2841" t="s">
        <v>2416</v>
      </c>
      <c r="AL2841" t="s">
        <v>272</v>
      </c>
    </row>
    <row r="2842" spans="1:38">
      <c r="A2842" t="s">
        <v>11925</v>
      </c>
      <c r="B2842" t="s">
        <v>11926</v>
      </c>
      <c r="C2842" t="s">
        <v>11927</v>
      </c>
      <c r="D2842" t="s">
        <v>11927</v>
      </c>
      <c r="E2842" t="s">
        <v>11928</v>
      </c>
      <c r="F2842" t="s">
        <v>2413</v>
      </c>
      <c r="G2842">
        <v>3</v>
      </c>
      <c r="H2842">
        <v>1</v>
      </c>
      <c r="I2842">
        <v>0.01</v>
      </c>
      <c r="J2842">
        <v>1000</v>
      </c>
      <c r="K2842">
        <v>-0.03</v>
      </c>
      <c r="L2842">
        <v>99.18</v>
      </c>
      <c r="M2842">
        <v>99.21</v>
      </c>
      <c r="N2842">
        <v>98.66</v>
      </c>
      <c r="O2842">
        <v>99.18</v>
      </c>
      <c r="P2842">
        <v>0</v>
      </c>
      <c r="Q2842">
        <v>0</v>
      </c>
      <c r="R2842">
        <v>0</v>
      </c>
      <c r="S2842">
        <v>98.85</v>
      </c>
      <c r="T2842">
        <v>98.62</v>
      </c>
      <c r="U2842">
        <v>98.56</v>
      </c>
      <c r="V2842">
        <v>99.23</v>
      </c>
      <c r="W2842">
        <v>549614</v>
      </c>
      <c r="X2842">
        <v>99.01</v>
      </c>
      <c r="Y2842">
        <v>99.2</v>
      </c>
      <c r="Z2842">
        <v>42</v>
      </c>
      <c r="AA2842">
        <v>3000000</v>
      </c>
      <c r="AB2842">
        <v>9918</v>
      </c>
      <c r="AC2842">
        <v>0</v>
      </c>
      <c r="AD2842" t="s">
        <v>94</v>
      </c>
      <c r="AE2842" t="s">
        <v>94</v>
      </c>
      <c r="AF2842" t="s">
        <v>226</v>
      </c>
      <c r="AG2842" t="s">
        <v>226</v>
      </c>
      <c r="AH2842">
        <v>6</v>
      </c>
      <c r="AI2842" t="s">
        <v>3537</v>
      </c>
      <c r="AJ2842" t="s">
        <v>1976</v>
      </c>
      <c r="AK2842" t="s">
        <v>2416</v>
      </c>
      <c r="AL2842" t="s">
        <v>272</v>
      </c>
    </row>
    <row r="2843" spans="1:38">
      <c r="A2843" t="s">
        <v>11929</v>
      </c>
      <c r="B2843" t="s">
        <v>11930</v>
      </c>
      <c r="C2843" t="s">
        <v>11931</v>
      </c>
      <c r="D2843" t="s">
        <v>11931</v>
      </c>
      <c r="E2843" t="s">
        <v>11932</v>
      </c>
      <c r="F2843" t="s">
        <v>3754</v>
      </c>
      <c r="G2843">
        <v>1</v>
      </c>
      <c r="H2843">
        <v>1</v>
      </c>
      <c r="I2843">
        <v>0.01</v>
      </c>
      <c r="J2843">
        <v>100</v>
      </c>
      <c r="K2843">
        <v>-0.41</v>
      </c>
      <c r="L2843">
        <v>99.86</v>
      </c>
      <c r="M2843">
        <v>100.26</v>
      </c>
      <c r="N2843">
        <v>100.21</v>
      </c>
      <c r="O2843">
        <v>99.89</v>
      </c>
      <c r="P2843">
        <v>0</v>
      </c>
      <c r="Q2843">
        <v>0</v>
      </c>
      <c r="R2843">
        <v>0</v>
      </c>
      <c r="S2843">
        <v>99.91</v>
      </c>
      <c r="T2843">
        <v>100.89</v>
      </c>
      <c r="U2843">
        <v>99.83</v>
      </c>
      <c r="V2843">
        <v>100.89</v>
      </c>
      <c r="W2843">
        <v>18684</v>
      </c>
      <c r="X2843">
        <v>99.87</v>
      </c>
      <c r="Y2843">
        <v>100</v>
      </c>
      <c r="Z2843">
        <v>33</v>
      </c>
      <c r="AA2843">
        <v>7000000</v>
      </c>
      <c r="AB2843">
        <v>1098.46</v>
      </c>
      <c r="AC2843">
        <v>0</v>
      </c>
      <c r="AD2843" t="s">
        <v>94</v>
      </c>
      <c r="AE2843" t="s">
        <v>94</v>
      </c>
      <c r="AF2843" t="s">
        <v>226</v>
      </c>
      <c r="AG2843" t="s">
        <v>226</v>
      </c>
      <c r="AH2843">
        <v>-100</v>
      </c>
      <c r="AI2843" t="s">
        <v>3537</v>
      </c>
      <c r="AJ2843" t="s">
        <v>1976</v>
      </c>
      <c r="AK2843" t="s">
        <v>3755</v>
      </c>
      <c r="AL2843" t="s">
        <v>272</v>
      </c>
    </row>
    <row r="2844" spans="1:38">
      <c r="A2844" t="s">
        <v>11933</v>
      </c>
      <c r="B2844" t="s">
        <v>11934</v>
      </c>
      <c r="C2844" t="s">
        <v>11935</v>
      </c>
      <c r="D2844" t="s">
        <v>11935</v>
      </c>
      <c r="E2844" t="s">
        <v>11936</v>
      </c>
      <c r="F2844" t="s">
        <v>2413</v>
      </c>
      <c r="G2844">
        <v>3</v>
      </c>
      <c r="H2844">
        <v>1</v>
      </c>
      <c r="I2844">
        <v>0.01</v>
      </c>
      <c r="J2844">
        <v>1000</v>
      </c>
      <c r="K2844">
        <v>0.73</v>
      </c>
      <c r="L2844">
        <v>89.31</v>
      </c>
      <c r="M2844">
        <v>88.66</v>
      </c>
      <c r="N2844">
        <v>87.85</v>
      </c>
      <c r="O2844">
        <v>89.33</v>
      </c>
      <c r="P2844">
        <v>0</v>
      </c>
      <c r="Q2844">
        <v>0</v>
      </c>
      <c r="R2844">
        <v>0</v>
      </c>
      <c r="S2844">
        <v>89.47</v>
      </c>
      <c r="T2844">
        <v>88.89</v>
      </c>
      <c r="U2844">
        <v>88.89</v>
      </c>
      <c r="V2844">
        <v>89.8</v>
      </c>
      <c r="W2844">
        <v>290769</v>
      </c>
      <c r="X2844">
        <v>89.3</v>
      </c>
      <c r="Y2844">
        <v>89.7</v>
      </c>
      <c r="Z2844">
        <v>23</v>
      </c>
      <c r="AA2844">
        <v>250000</v>
      </c>
      <c r="AB2844">
        <v>50906.7</v>
      </c>
      <c r="AC2844">
        <v>0</v>
      </c>
      <c r="AD2844" t="s">
        <v>94</v>
      </c>
      <c r="AE2844" t="s">
        <v>94</v>
      </c>
      <c r="AF2844" t="s">
        <v>226</v>
      </c>
      <c r="AG2844" t="s">
        <v>226</v>
      </c>
      <c r="AH2844">
        <v>800</v>
      </c>
      <c r="AI2844" t="s">
        <v>3537</v>
      </c>
      <c r="AJ2844" t="s">
        <v>1976</v>
      </c>
      <c r="AK2844" t="s">
        <v>2416</v>
      </c>
      <c r="AL2844" t="s">
        <v>272</v>
      </c>
    </row>
    <row r="2845" spans="1:38">
      <c r="A2845" t="s">
        <v>11937</v>
      </c>
      <c r="B2845" t="s">
        <v>11938</v>
      </c>
      <c r="C2845" t="s">
        <v>11939</v>
      </c>
      <c r="D2845" t="s">
        <v>11939</v>
      </c>
      <c r="E2845" t="s">
        <v>11940</v>
      </c>
      <c r="F2845" t="s">
        <v>3754</v>
      </c>
      <c r="G2845">
        <v>3</v>
      </c>
      <c r="H2845">
        <v>1</v>
      </c>
      <c r="I2845">
        <v>0.01</v>
      </c>
      <c r="J2845">
        <v>400</v>
      </c>
      <c r="K2845">
        <v>-0.03</v>
      </c>
      <c r="L2845">
        <v>92.06</v>
      </c>
      <c r="M2845">
        <v>92.09</v>
      </c>
      <c r="N2845">
        <v>92.09</v>
      </c>
      <c r="O2845">
        <v>92.06</v>
      </c>
      <c r="P2845">
        <v>0</v>
      </c>
      <c r="Q2845">
        <v>0</v>
      </c>
      <c r="R2845">
        <v>0</v>
      </c>
      <c r="S2845">
        <v>92.05</v>
      </c>
      <c r="T2845">
        <v>92.05</v>
      </c>
      <c r="U2845">
        <v>92.05</v>
      </c>
      <c r="V2845">
        <v>92.06</v>
      </c>
      <c r="W2845">
        <v>2577</v>
      </c>
      <c r="X2845">
        <v>91.32</v>
      </c>
      <c r="Y2845">
        <v>92.06</v>
      </c>
      <c r="Z2845">
        <v>3</v>
      </c>
      <c r="AA2845">
        <v>5000000</v>
      </c>
      <c r="AB2845">
        <v>368.24</v>
      </c>
      <c r="AC2845">
        <v>0</v>
      </c>
      <c r="AD2845" t="s">
        <v>94</v>
      </c>
      <c r="AE2845" t="s">
        <v>94</v>
      </c>
      <c r="AF2845" t="s">
        <v>226</v>
      </c>
      <c r="AG2845" t="s">
        <v>226</v>
      </c>
      <c r="AH2845">
        <v>-100</v>
      </c>
      <c r="AI2845" t="s">
        <v>3537</v>
      </c>
      <c r="AJ2845" t="s">
        <v>1976</v>
      </c>
      <c r="AK2845" t="s">
        <v>3755</v>
      </c>
      <c r="AL2845" t="s">
        <v>272</v>
      </c>
    </row>
    <row r="2846" spans="1:38">
      <c r="A2846" t="s">
        <v>11941</v>
      </c>
      <c r="B2846" t="s">
        <v>11942</v>
      </c>
      <c r="C2846" t="s">
        <v>11943</v>
      </c>
      <c r="D2846" t="s">
        <v>11943</v>
      </c>
      <c r="E2846" t="s">
        <v>11944</v>
      </c>
      <c r="F2846" t="s">
        <v>2413</v>
      </c>
      <c r="G2846">
        <v>3</v>
      </c>
      <c r="H2846">
        <v>1</v>
      </c>
      <c r="I2846">
        <v>0.01</v>
      </c>
      <c r="J2846">
        <v>1000</v>
      </c>
      <c r="K2846">
        <v>-0.01</v>
      </c>
      <c r="L2846">
        <v>99.74</v>
      </c>
      <c r="M2846">
        <v>99.73</v>
      </c>
      <c r="N2846">
        <v>99.61</v>
      </c>
      <c r="O2846">
        <v>99.74</v>
      </c>
      <c r="P2846">
        <v>0</v>
      </c>
      <c r="Q2846">
        <v>0</v>
      </c>
      <c r="R2846">
        <v>0</v>
      </c>
      <c r="S2846">
        <v>99.55</v>
      </c>
      <c r="T2846">
        <v>99.48</v>
      </c>
      <c r="U2846">
        <v>99.25</v>
      </c>
      <c r="V2846">
        <v>99.76</v>
      </c>
      <c r="W2846">
        <v>663000</v>
      </c>
      <c r="X2846">
        <v>99.57</v>
      </c>
      <c r="Y2846">
        <v>99.75</v>
      </c>
      <c r="Z2846">
        <v>51</v>
      </c>
      <c r="AA2846">
        <v>150000</v>
      </c>
      <c r="AB2846">
        <v>3989.6</v>
      </c>
      <c r="AC2846">
        <v>0</v>
      </c>
      <c r="AD2846" t="s">
        <v>94</v>
      </c>
      <c r="AE2846" t="s">
        <v>94</v>
      </c>
      <c r="AF2846" t="s">
        <v>226</v>
      </c>
      <c r="AG2846" t="s">
        <v>226</v>
      </c>
      <c r="AH2846">
        <v>800</v>
      </c>
      <c r="AI2846" t="s">
        <v>3537</v>
      </c>
      <c r="AJ2846" t="s">
        <v>1976</v>
      </c>
      <c r="AK2846" t="s">
        <v>2416</v>
      </c>
      <c r="AL2846" t="s">
        <v>272</v>
      </c>
    </row>
    <row r="2847" spans="1:38">
      <c r="A2847" t="s">
        <v>11945</v>
      </c>
      <c r="B2847" t="s">
        <v>11946</v>
      </c>
      <c r="C2847" t="s">
        <v>11947</v>
      </c>
      <c r="D2847" t="s">
        <v>11947</v>
      </c>
      <c r="E2847" t="s">
        <v>11948</v>
      </c>
      <c r="F2847" t="s">
        <v>2413</v>
      </c>
      <c r="G2847">
        <v>3</v>
      </c>
      <c r="H2847">
        <v>1</v>
      </c>
      <c r="I2847">
        <v>0.01</v>
      </c>
      <c r="J2847">
        <v>1000</v>
      </c>
      <c r="K2847">
        <v>-0.11</v>
      </c>
      <c r="L2847">
        <v>83.87</v>
      </c>
      <c r="M2847">
        <v>83.95</v>
      </c>
      <c r="N2847">
        <v>83.82</v>
      </c>
      <c r="O2847">
        <v>83.74</v>
      </c>
      <c r="P2847">
        <v>0</v>
      </c>
      <c r="Q2847">
        <v>0</v>
      </c>
      <c r="R2847">
        <v>0</v>
      </c>
      <c r="S2847">
        <v>83.77</v>
      </c>
      <c r="T2847">
        <v>83.73</v>
      </c>
      <c r="U2847">
        <v>83.55</v>
      </c>
      <c r="V2847">
        <v>83.88</v>
      </c>
      <c r="W2847">
        <v>520213</v>
      </c>
      <c r="X2847">
        <v>83.74</v>
      </c>
      <c r="Y2847">
        <v>83.87</v>
      </c>
      <c r="Z2847">
        <v>87</v>
      </c>
      <c r="AA2847">
        <v>500000</v>
      </c>
      <c r="AB2847">
        <v>4193.5</v>
      </c>
      <c r="AC2847">
        <v>0</v>
      </c>
      <c r="AD2847" t="s">
        <v>94</v>
      </c>
      <c r="AE2847" t="s">
        <v>94</v>
      </c>
      <c r="AF2847" t="s">
        <v>226</v>
      </c>
      <c r="AG2847" t="s">
        <v>226</v>
      </c>
      <c r="AH2847">
        <v>6</v>
      </c>
      <c r="AI2847" t="s">
        <v>3537</v>
      </c>
      <c r="AJ2847" t="s">
        <v>1976</v>
      </c>
      <c r="AK2847" t="s">
        <v>2416</v>
      </c>
      <c r="AL2847" t="s">
        <v>272</v>
      </c>
    </row>
    <row r="2848" spans="1:38">
      <c r="A2848" t="s">
        <v>11949</v>
      </c>
      <c r="B2848" t="s">
        <v>11950</v>
      </c>
      <c r="C2848" t="s">
        <v>11951</v>
      </c>
      <c r="D2848" t="s">
        <v>11951</v>
      </c>
      <c r="E2848" t="s">
        <v>11952</v>
      </c>
      <c r="F2848" t="s">
        <v>2413</v>
      </c>
      <c r="G2848">
        <v>3</v>
      </c>
      <c r="H2848">
        <v>1</v>
      </c>
      <c r="I2848">
        <v>0.01</v>
      </c>
      <c r="J2848">
        <v>600</v>
      </c>
      <c r="K2848">
        <v>-0.13</v>
      </c>
      <c r="L2848">
        <v>91.39</v>
      </c>
      <c r="M2848">
        <v>91.51</v>
      </c>
      <c r="N2848">
        <v>91.16</v>
      </c>
      <c r="O2848">
        <v>91.39</v>
      </c>
      <c r="P2848">
        <v>0</v>
      </c>
      <c r="Q2848">
        <v>0</v>
      </c>
      <c r="R2848">
        <v>0</v>
      </c>
      <c r="S2848">
        <v>91.36</v>
      </c>
      <c r="T2848">
        <v>91.38</v>
      </c>
      <c r="U2848">
        <v>90.9</v>
      </c>
      <c r="V2848">
        <v>91.67</v>
      </c>
      <c r="W2848">
        <v>30695</v>
      </c>
      <c r="X2848">
        <v>91.43</v>
      </c>
      <c r="Y2848">
        <v>91.58</v>
      </c>
      <c r="Z2848">
        <v>20</v>
      </c>
      <c r="AA2848">
        <v>150000</v>
      </c>
      <c r="AB2848">
        <v>1096.68</v>
      </c>
      <c r="AC2848">
        <v>0</v>
      </c>
      <c r="AD2848" t="s">
        <v>94</v>
      </c>
      <c r="AE2848" t="s">
        <v>94</v>
      </c>
      <c r="AF2848" t="s">
        <v>226</v>
      </c>
      <c r="AG2848" t="s">
        <v>226</v>
      </c>
      <c r="AH2848">
        <v>6</v>
      </c>
      <c r="AI2848" t="s">
        <v>3537</v>
      </c>
      <c r="AJ2848" t="s">
        <v>1976</v>
      </c>
      <c r="AK2848" t="s">
        <v>2416</v>
      </c>
      <c r="AL2848" t="s">
        <v>272</v>
      </c>
    </row>
    <row r="2849" spans="1:38">
      <c r="A2849" t="s">
        <v>11953</v>
      </c>
      <c r="B2849" t="s">
        <v>11954</v>
      </c>
      <c r="C2849" t="s">
        <v>11955</v>
      </c>
      <c r="D2849" t="s">
        <v>11955</v>
      </c>
      <c r="E2849" t="s">
        <v>11956</v>
      </c>
      <c r="F2849" t="s">
        <v>2413</v>
      </c>
      <c r="G2849">
        <v>3</v>
      </c>
      <c r="H2849">
        <v>1</v>
      </c>
      <c r="I2849">
        <v>0.01</v>
      </c>
      <c r="J2849">
        <v>300</v>
      </c>
      <c r="K2849">
        <v>0.51</v>
      </c>
      <c r="L2849">
        <v>98.45</v>
      </c>
      <c r="M2849">
        <v>97.95</v>
      </c>
      <c r="N2849">
        <v>97.9</v>
      </c>
      <c r="O2849">
        <v>98.45</v>
      </c>
      <c r="P2849">
        <v>0</v>
      </c>
      <c r="Q2849">
        <v>0</v>
      </c>
      <c r="R2849">
        <v>0</v>
      </c>
      <c r="S2849">
        <v>98.07</v>
      </c>
      <c r="T2849">
        <v>99.26</v>
      </c>
      <c r="U2849">
        <v>97.25</v>
      </c>
      <c r="V2849">
        <v>99.26</v>
      </c>
      <c r="W2849">
        <v>368639</v>
      </c>
      <c r="X2849">
        <v>98.43</v>
      </c>
      <c r="Y2849">
        <v>98.45</v>
      </c>
      <c r="Z2849">
        <v>128</v>
      </c>
      <c r="AA2849">
        <v>1802088</v>
      </c>
      <c r="AB2849">
        <v>295.35000000000002</v>
      </c>
      <c r="AC2849">
        <v>0</v>
      </c>
      <c r="AD2849" t="s">
        <v>94</v>
      </c>
      <c r="AE2849" t="s">
        <v>94</v>
      </c>
      <c r="AF2849" t="s">
        <v>226</v>
      </c>
      <c r="AG2849" t="s">
        <v>226</v>
      </c>
      <c r="AH2849">
        <v>6</v>
      </c>
      <c r="AI2849" t="s">
        <v>3537</v>
      </c>
      <c r="AJ2849" t="s">
        <v>1976</v>
      </c>
      <c r="AK2849" t="s">
        <v>2416</v>
      </c>
      <c r="AL2849" t="s">
        <v>272</v>
      </c>
    </row>
    <row r="2850" spans="1:38">
      <c r="A2850" t="s">
        <v>11957</v>
      </c>
      <c r="B2850" t="s">
        <v>11958</v>
      </c>
      <c r="C2850" t="s">
        <v>11959</v>
      </c>
      <c r="D2850" t="s">
        <v>11959</v>
      </c>
      <c r="E2850" t="s">
        <v>11960</v>
      </c>
      <c r="F2850" t="s">
        <v>2413</v>
      </c>
      <c r="G2850">
        <v>3</v>
      </c>
      <c r="H2850">
        <v>1</v>
      </c>
      <c r="I2850">
        <v>0.01</v>
      </c>
      <c r="J2850">
        <v>1000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500000</v>
      </c>
      <c r="AB2850">
        <v>0</v>
      </c>
      <c r="AC2850">
        <v>0</v>
      </c>
      <c r="AD2850" t="s">
        <v>94</v>
      </c>
      <c r="AE2850" t="s">
        <v>94</v>
      </c>
      <c r="AF2850" t="s">
        <v>226</v>
      </c>
      <c r="AG2850" t="s">
        <v>226</v>
      </c>
      <c r="AH2850">
        <v>6</v>
      </c>
      <c r="AI2850" t="s">
        <v>3537</v>
      </c>
      <c r="AJ2850" t="s">
        <v>1976</v>
      </c>
      <c r="AK2850" t="s">
        <v>2416</v>
      </c>
      <c r="AL2850" t="s">
        <v>272</v>
      </c>
    </row>
    <row r="2851" spans="1:38">
      <c r="A2851" t="s">
        <v>11961</v>
      </c>
      <c r="B2851" t="s">
        <v>11962</v>
      </c>
      <c r="C2851" t="s">
        <v>11963</v>
      </c>
      <c r="D2851" t="s">
        <v>11963</v>
      </c>
      <c r="E2851" t="s">
        <v>11964</v>
      </c>
      <c r="F2851" t="s">
        <v>2413</v>
      </c>
      <c r="G2851">
        <v>3</v>
      </c>
      <c r="H2851">
        <v>1</v>
      </c>
      <c r="I2851">
        <v>0.01</v>
      </c>
      <c r="J2851">
        <v>700</v>
      </c>
      <c r="K2851">
        <v>-4.87</v>
      </c>
      <c r="L2851">
        <v>91.8</v>
      </c>
      <c r="M2851">
        <v>96.5</v>
      </c>
      <c r="N2851">
        <v>97.4</v>
      </c>
      <c r="O2851">
        <v>91.61</v>
      </c>
      <c r="P2851">
        <v>0</v>
      </c>
      <c r="Q2851">
        <v>0</v>
      </c>
      <c r="R2851">
        <v>0</v>
      </c>
      <c r="S2851">
        <v>92.11</v>
      </c>
      <c r="T2851">
        <v>96.37</v>
      </c>
      <c r="U2851">
        <v>87.14</v>
      </c>
      <c r="V2851">
        <v>96.37</v>
      </c>
      <c r="W2851">
        <v>1540275</v>
      </c>
      <c r="X2851">
        <v>91.34</v>
      </c>
      <c r="Y2851">
        <v>91.75</v>
      </c>
      <c r="Z2851">
        <v>314</v>
      </c>
      <c r="AA2851">
        <v>100000</v>
      </c>
      <c r="AB2851">
        <v>642.6</v>
      </c>
      <c r="AC2851">
        <v>0</v>
      </c>
      <c r="AD2851" t="s">
        <v>94</v>
      </c>
      <c r="AE2851" t="s">
        <v>94</v>
      </c>
      <c r="AF2851" t="s">
        <v>226</v>
      </c>
      <c r="AG2851" t="s">
        <v>226</v>
      </c>
      <c r="AH2851">
        <v>6</v>
      </c>
      <c r="AI2851" t="s">
        <v>3537</v>
      </c>
      <c r="AJ2851" t="s">
        <v>1976</v>
      </c>
      <c r="AK2851" t="s">
        <v>2416</v>
      </c>
      <c r="AL2851" t="s">
        <v>272</v>
      </c>
    </row>
    <row r="2852" spans="1:38">
      <c r="A2852" t="s">
        <v>11965</v>
      </c>
      <c r="B2852" t="s">
        <v>11966</v>
      </c>
      <c r="C2852" t="s">
        <v>11967</v>
      </c>
      <c r="D2852" t="s">
        <v>11967</v>
      </c>
      <c r="E2852" t="s">
        <v>11968</v>
      </c>
      <c r="F2852" t="s">
        <v>2413</v>
      </c>
      <c r="G2852">
        <v>3</v>
      </c>
      <c r="H2852">
        <v>1</v>
      </c>
      <c r="I2852">
        <v>0.01</v>
      </c>
      <c r="J2852">
        <v>750</v>
      </c>
      <c r="K2852">
        <v>-3.63</v>
      </c>
      <c r="L2852">
        <v>81.42</v>
      </c>
      <c r="M2852">
        <v>84.49</v>
      </c>
      <c r="N2852">
        <v>85.51</v>
      </c>
      <c r="O2852">
        <v>80.52</v>
      </c>
      <c r="P2852">
        <v>0</v>
      </c>
      <c r="Q2852">
        <v>0</v>
      </c>
      <c r="R2852">
        <v>0</v>
      </c>
      <c r="S2852">
        <v>82.46</v>
      </c>
      <c r="T2852">
        <v>85.99</v>
      </c>
      <c r="U2852">
        <v>80.11</v>
      </c>
      <c r="V2852">
        <v>86</v>
      </c>
      <c r="W2852">
        <v>360555</v>
      </c>
      <c r="X2852">
        <v>80.98</v>
      </c>
      <c r="Y2852">
        <v>81.319999999999993</v>
      </c>
      <c r="Z2852">
        <v>142</v>
      </c>
      <c r="AA2852">
        <v>100000</v>
      </c>
      <c r="AB2852">
        <v>610.65</v>
      </c>
      <c r="AC2852">
        <v>0</v>
      </c>
      <c r="AD2852" t="s">
        <v>94</v>
      </c>
      <c r="AE2852" t="s">
        <v>94</v>
      </c>
      <c r="AF2852" t="s">
        <v>226</v>
      </c>
      <c r="AG2852" t="s">
        <v>226</v>
      </c>
      <c r="AH2852">
        <v>6</v>
      </c>
      <c r="AI2852" t="s">
        <v>3537</v>
      </c>
      <c r="AJ2852" t="s">
        <v>1976</v>
      </c>
      <c r="AK2852" t="s">
        <v>2416</v>
      </c>
      <c r="AL2852" t="s">
        <v>272</v>
      </c>
    </row>
    <row r="2853" spans="1:38">
      <c r="A2853" t="s">
        <v>11969</v>
      </c>
      <c r="B2853" t="s">
        <v>11970</v>
      </c>
      <c r="C2853" t="s">
        <v>11971</v>
      </c>
      <c r="D2853" t="s">
        <v>11971</v>
      </c>
      <c r="E2853" t="s">
        <v>11972</v>
      </c>
      <c r="F2853" t="s">
        <v>2413</v>
      </c>
      <c r="G2853">
        <v>3</v>
      </c>
      <c r="H2853">
        <v>1</v>
      </c>
      <c r="I2853">
        <v>0.01</v>
      </c>
      <c r="J2853">
        <v>1000</v>
      </c>
      <c r="K2853">
        <v>-2.5</v>
      </c>
      <c r="L2853">
        <v>73.290000000000006</v>
      </c>
      <c r="M2853">
        <v>75.16</v>
      </c>
      <c r="N2853">
        <v>73.37</v>
      </c>
      <c r="O2853">
        <v>73.290000000000006</v>
      </c>
      <c r="P2853">
        <v>0</v>
      </c>
      <c r="Q2853">
        <v>0</v>
      </c>
      <c r="R2853">
        <v>0</v>
      </c>
      <c r="S2853">
        <v>74.11</v>
      </c>
      <c r="T2853">
        <v>75.150000000000006</v>
      </c>
      <c r="U2853">
        <v>73.03</v>
      </c>
      <c r="V2853">
        <v>75.17</v>
      </c>
      <c r="W2853">
        <v>247514</v>
      </c>
      <c r="X2853">
        <v>73.28</v>
      </c>
      <c r="Y2853">
        <v>73.3</v>
      </c>
      <c r="Z2853">
        <v>106</v>
      </c>
      <c r="AA2853">
        <v>200000</v>
      </c>
      <c r="AB2853">
        <v>2931.6</v>
      </c>
      <c r="AC2853">
        <v>0</v>
      </c>
      <c r="AD2853" t="s">
        <v>94</v>
      </c>
      <c r="AE2853" t="s">
        <v>94</v>
      </c>
      <c r="AF2853" t="s">
        <v>226</v>
      </c>
      <c r="AG2853" t="s">
        <v>226</v>
      </c>
      <c r="AH2853">
        <v>6</v>
      </c>
      <c r="AI2853" t="s">
        <v>3537</v>
      </c>
      <c r="AJ2853" t="s">
        <v>1976</v>
      </c>
      <c r="AK2853" t="s">
        <v>2416</v>
      </c>
      <c r="AL2853" t="s">
        <v>272</v>
      </c>
    </row>
    <row r="2854" spans="1:38">
      <c r="A2854" t="s">
        <v>11973</v>
      </c>
      <c r="B2854" t="s">
        <v>11974</v>
      </c>
      <c r="C2854" t="s">
        <v>11975</v>
      </c>
      <c r="D2854" t="s">
        <v>11975</v>
      </c>
      <c r="E2854" t="s">
        <v>11976</v>
      </c>
      <c r="F2854" t="s">
        <v>2413</v>
      </c>
      <c r="G2854">
        <v>3</v>
      </c>
      <c r="H2854">
        <v>1</v>
      </c>
      <c r="I2854">
        <v>0.01</v>
      </c>
      <c r="J2854">
        <v>1000</v>
      </c>
      <c r="K2854">
        <v>0</v>
      </c>
      <c r="L2854">
        <v>0</v>
      </c>
      <c r="M2854">
        <v>100.5</v>
      </c>
      <c r="N2854">
        <v>100</v>
      </c>
      <c r="O2854">
        <v>100.5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99.5</v>
      </c>
      <c r="Y2854">
        <v>100.5</v>
      </c>
      <c r="Z2854">
        <v>0</v>
      </c>
      <c r="AA2854">
        <v>300000</v>
      </c>
      <c r="AB2854">
        <v>0</v>
      </c>
      <c r="AC2854">
        <v>0</v>
      </c>
      <c r="AD2854" t="s">
        <v>94</v>
      </c>
      <c r="AE2854" t="s">
        <v>94</v>
      </c>
      <c r="AF2854" t="s">
        <v>226</v>
      </c>
      <c r="AG2854" t="s">
        <v>226</v>
      </c>
      <c r="AH2854">
        <v>6</v>
      </c>
      <c r="AI2854" t="s">
        <v>3537</v>
      </c>
      <c r="AJ2854" t="s">
        <v>1976</v>
      </c>
      <c r="AK2854" t="s">
        <v>2416</v>
      </c>
      <c r="AL2854" t="s">
        <v>272</v>
      </c>
    </row>
    <row r="2855" spans="1:38">
      <c r="A2855" t="s">
        <v>11977</v>
      </c>
      <c r="B2855" t="s">
        <v>2732</v>
      </c>
      <c r="C2855" t="s">
        <v>2733</v>
      </c>
      <c r="D2855" t="s">
        <v>2733</v>
      </c>
      <c r="E2855" t="s">
        <v>2734</v>
      </c>
      <c r="F2855" t="s">
        <v>2413</v>
      </c>
      <c r="G2855">
        <v>3</v>
      </c>
      <c r="H2855">
        <v>1</v>
      </c>
      <c r="I2855">
        <v>1E-4</v>
      </c>
      <c r="J2855">
        <v>1000</v>
      </c>
      <c r="K2855">
        <v>0</v>
      </c>
      <c r="L2855">
        <v>81</v>
      </c>
      <c r="M2855">
        <v>80.999899999999997</v>
      </c>
      <c r="N2855">
        <v>79.995000000000005</v>
      </c>
      <c r="O2855">
        <v>81</v>
      </c>
      <c r="P2855">
        <v>0</v>
      </c>
      <c r="Q2855">
        <v>0</v>
      </c>
      <c r="R2855">
        <v>0</v>
      </c>
      <c r="S2855">
        <v>80.560500000000005</v>
      </c>
      <c r="T2855">
        <v>80.242000000000004</v>
      </c>
      <c r="U2855">
        <v>78.000500000000002</v>
      </c>
      <c r="V2855">
        <v>81</v>
      </c>
      <c r="W2855">
        <v>1026545</v>
      </c>
      <c r="X2855">
        <v>78.000200000000007</v>
      </c>
      <c r="Y2855">
        <v>80.999300000000005</v>
      </c>
      <c r="Z2855">
        <v>7</v>
      </c>
      <c r="AA2855">
        <v>34000</v>
      </c>
      <c r="AB2855">
        <v>258036.35</v>
      </c>
      <c r="AC2855">
        <v>0</v>
      </c>
      <c r="AD2855" t="s">
        <v>2</v>
      </c>
      <c r="AE2855" t="s">
        <v>94</v>
      </c>
      <c r="AF2855" t="s">
        <v>226</v>
      </c>
      <c r="AG2855" t="s">
        <v>226</v>
      </c>
      <c r="AH2855">
        <v>6</v>
      </c>
      <c r="AI2855" t="s">
        <v>3537</v>
      </c>
      <c r="AJ2855" t="s">
        <v>1976</v>
      </c>
      <c r="AK2855" t="s">
        <v>2416</v>
      </c>
      <c r="AL2855" t="s">
        <v>272</v>
      </c>
    </row>
    <row r="2856" spans="1:38">
      <c r="A2856" t="s">
        <v>11978</v>
      </c>
      <c r="B2856" t="s">
        <v>11979</v>
      </c>
      <c r="C2856" t="s">
        <v>11980</v>
      </c>
      <c r="D2856" t="s">
        <v>11980</v>
      </c>
      <c r="E2856" t="s">
        <v>11981</v>
      </c>
      <c r="F2856" t="s">
        <v>2413</v>
      </c>
      <c r="G2856">
        <v>3</v>
      </c>
      <c r="H2856">
        <v>1</v>
      </c>
      <c r="I2856">
        <v>0.01</v>
      </c>
      <c r="J2856">
        <v>1000</v>
      </c>
      <c r="K2856">
        <v>-0.03</v>
      </c>
      <c r="L2856">
        <v>93.86</v>
      </c>
      <c r="M2856">
        <v>93.89</v>
      </c>
      <c r="N2856">
        <v>93.71</v>
      </c>
      <c r="O2856">
        <v>93.86</v>
      </c>
      <c r="P2856">
        <v>0</v>
      </c>
      <c r="Q2856">
        <v>0</v>
      </c>
      <c r="R2856">
        <v>0</v>
      </c>
      <c r="S2856">
        <v>93.51</v>
      </c>
      <c r="T2856">
        <v>93.07</v>
      </c>
      <c r="U2856">
        <v>93.07</v>
      </c>
      <c r="V2856">
        <v>93.97</v>
      </c>
      <c r="W2856">
        <v>140263</v>
      </c>
      <c r="X2856">
        <v>93.89</v>
      </c>
      <c r="Y2856">
        <v>94.14</v>
      </c>
      <c r="Z2856">
        <v>34</v>
      </c>
      <c r="AA2856">
        <v>500000</v>
      </c>
      <c r="AB2856">
        <v>1877.2</v>
      </c>
      <c r="AC2856">
        <v>0</v>
      </c>
      <c r="AD2856" t="s">
        <v>94</v>
      </c>
      <c r="AE2856" t="s">
        <v>94</v>
      </c>
      <c r="AF2856" t="s">
        <v>226</v>
      </c>
      <c r="AG2856" t="s">
        <v>226</v>
      </c>
      <c r="AH2856">
        <v>6</v>
      </c>
      <c r="AI2856" t="s">
        <v>3537</v>
      </c>
      <c r="AJ2856" t="s">
        <v>1976</v>
      </c>
      <c r="AK2856" t="s">
        <v>2416</v>
      </c>
      <c r="AL2856" t="s">
        <v>272</v>
      </c>
    </row>
    <row r="2857" spans="1:38">
      <c r="A2857" t="s">
        <v>11982</v>
      </c>
      <c r="B2857" t="s">
        <v>11983</v>
      </c>
      <c r="C2857" t="s">
        <v>11984</v>
      </c>
      <c r="D2857" t="s">
        <v>11984</v>
      </c>
      <c r="E2857" t="s">
        <v>11985</v>
      </c>
      <c r="F2857" t="s">
        <v>2413</v>
      </c>
      <c r="G2857">
        <v>2</v>
      </c>
      <c r="H2857">
        <v>1</v>
      </c>
      <c r="I2857">
        <v>0.01</v>
      </c>
      <c r="J2857">
        <v>1000</v>
      </c>
      <c r="K2857">
        <v>4.5199999999999996</v>
      </c>
      <c r="L2857">
        <v>86.8</v>
      </c>
      <c r="M2857">
        <v>83.74</v>
      </c>
      <c r="N2857">
        <v>78.989999999999995</v>
      </c>
      <c r="O2857">
        <v>85.36</v>
      </c>
      <c r="P2857">
        <v>0</v>
      </c>
      <c r="Q2857">
        <v>0</v>
      </c>
      <c r="R2857">
        <v>0</v>
      </c>
      <c r="S2857">
        <v>86.44</v>
      </c>
      <c r="T2857">
        <v>86.8</v>
      </c>
      <c r="U2857">
        <v>83.91</v>
      </c>
      <c r="V2857">
        <v>86.8</v>
      </c>
      <c r="W2857">
        <v>6915</v>
      </c>
      <c r="X2857">
        <v>83.05</v>
      </c>
      <c r="Y2857">
        <v>84.38</v>
      </c>
      <c r="Z2857">
        <v>4</v>
      </c>
      <c r="AA2857">
        <v>9900000</v>
      </c>
      <c r="AB2857">
        <v>868</v>
      </c>
      <c r="AC2857">
        <v>0</v>
      </c>
      <c r="AD2857" t="s">
        <v>94</v>
      </c>
      <c r="AE2857" t="s">
        <v>94</v>
      </c>
      <c r="AF2857" t="s">
        <v>226</v>
      </c>
      <c r="AG2857" t="s">
        <v>226</v>
      </c>
      <c r="AH2857">
        <v>6</v>
      </c>
      <c r="AI2857" t="s">
        <v>3537</v>
      </c>
      <c r="AJ2857" t="s">
        <v>1976</v>
      </c>
      <c r="AK2857" t="s">
        <v>2416</v>
      </c>
      <c r="AL2857" t="s">
        <v>272</v>
      </c>
    </row>
    <row r="2858" spans="1:38">
      <c r="A2858" t="s">
        <v>11986</v>
      </c>
      <c r="B2858" t="s">
        <v>11987</v>
      </c>
      <c r="C2858" t="s">
        <v>11988</v>
      </c>
      <c r="D2858" t="s">
        <v>11988</v>
      </c>
      <c r="E2858" t="s">
        <v>11989</v>
      </c>
      <c r="F2858" t="s">
        <v>3754</v>
      </c>
      <c r="G2858">
        <v>1</v>
      </c>
      <c r="H2858">
        <v>1</v>
      </c>
      <c r="I2858">
        <v>0.01</v>
      </c>
      <c r="J2858">
        <v>600</v>
      </c>
      <c r="K2858">
        <v>-0.59</v>
      </c>
      <c r="L2858">
        <v>75.2</v>
      </c>
      <c r="M2858">
        <v>75.650000000000006</v>
      </c>
      <c r="N2858">
        <v>76</v>
      </c>
      <c r="O2858">
        <v>75.209999999999994</v>
      </c>
      <c r="P2858">
        <v>0</v>
      </c>
      <c r="Q2858">
        <v>0</v>
      </c>
      <c r="R2858">
        <v>0</v>
      </c>
      <c r="S2858">
        <v>75.52</v>
      </c>
      <c r="T2858">
        <v>75.47</v>
      </c>
      <c r="U2858">
        <v>75.2</v>
      </c>
      <c r="V2858">
        <v>76.75</v>
      </c>
      <c r="W2858">
        <v>174000</v>
      </c>
      <c r="X2858">
        <v>75</v>
      </c>
      <c r="Y2858">
        <v>75.58</v>
      </c>
      <c r="Z2858">
        <v>32</v>
      </c>
      <c r="AA2858">
        <v>7000000</v>
      </c>
      <c r="AB2858">
        <v>451.2</v>
      </c>
      <c r="AC2858">
        <v>0</v>
      </c>
      <c r="AD2858" t="s">
        <v>94</v>
      </c>
      <c r="AE2858" t="s">
        <v>94</v>
      </c>
      <c r="AF2858" t="s">
        <v>226</v>
      </c>
      <c r="AG2858" t="s">
        <v>226</v>
      </c>
      <c r="AH2858">
        <v>-100</v>
      </c>
      <c r="AI2858" t="s">
        <v>3537</v>
      </c>
      <c r="AJ2858" t="s">
        <v>1976</v>
      </c>
      <c r="AK2858" t="s">
        <v>3755</v>
      </c>
      <c r="AL2858" t="s">
        <v>272</v>
      </c>
    </row>
    <row r="2859" spans="1:38">
      <c r="A2859" t="s">
        <v>11990</v>
      </c>
      <c r="B2859" t="s">
        <v>11991</v>
      </c>
      <c r="C2859" t="s">
        <v>11992</v>
      </c>
      <c r="D2859" t="s">
        <v>11992</v>
      </c>
      <c r="E2859" t="s">
        <v>11993</v>
      </c>
      <c r="F2859" t="s">
        <v>3754</v>
      </c>
      <c r="G2859">
        <v>1</v>
      </c>
      <c r="H2859">
        <v>1</v>
      </c>
      <c r="I2859">
        <v>0.01</v>
      </c>
      <c r="J2859">
        <v>600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60.04</v>
      </c>
      <c r="Y2859">
        <v>0</v>
      </c>
      <c r="Z2859">
        <v>0</v>
      </c>
      <c r="AA2859">
        <v>8000000</v>
      </c>
      <c r="AB2859">
        <v>0</v>
      </c>
      <c r="AC2859">
        <v>0</v>
      </c>
      <c r="AD2859" t="s">
        <v>94</v>
      </c>
      <c r="AE2859" t="s">
        <v>94</v>
      </c>
      <c r="AF2859" t="s">
        <v>226</v>
      </c>
      <c r="AG2859" t="s">
        <v>226</v>
      </c>
      <c r="AH2859">
        <v>-100</v>
      </c>
      <c r="AI2859" t="s">
        <v>3537</v>
      </c>
      <c r="AJ2859" t="s">
        <v>1976</v>
      </c>
      <c r="AK2859" t="s">
        <v>3755</v>
      </c>
      <c r="AL2859" t="s">
        <v>272</v>
      </c>
    </row>
    <row r="2860" spans="1:38">
      <c r="A2860" t="s">
        <v>11994</v>
      </c>
      <c r="B2860" t="s">
        <v>11995</v>
      </c>
      <c r="C2860" t="s">
        <v>11996</v>
      </c>
      <c r="D2860" t="s">
        <v>11996</v>
      </c>
      <c r="E2860" t="s">
        <v>11997</v>
      </c>
      <c r="F2860" t="s">
        <v>3754</v>
      </c>
      <c r="G2860">
        <v>1</v>
      </c>
      <c r="H2860">
        <v>1</v>
      </c>
      <c r="I2860">
        <v>0.01</v>
      </c>
      <c r="J2860">
        <v>600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60.04</v>
      </c>
      <c r="Y2860">
        <v>0</v>
      </c>
      <c r="Z2860">
        <v>0</v>
      </c>
      <c r="AA2860">
        <v>8000000</v>
      </c>
      <c r="AB2860">
        <v>0</v>
      </c>
      <c r="AC2860">
        <v>0</v>
      </c>
      <c r="AD2860" t="s">
        <v>94</v>
      </c>
      <c r="AE2860" t="s">
        <v>94</v>
      </c>
      <c r="AF2860" t="s">
        <v>226</v>
      </c>
      <c r="AG2860" t="s">
        <v>226</v>
      </c>
      <c r="AH2860">
        <v>-100</v>
      </c>
      <c r="AI2860" t="s">
        <v>3537</v>
      </c>
      <c r="AJ2860" t="s">
        <v>1976</v>
      </c>
      <c r="AK2860" t="s">
        <v>3755</v>
      </c>
      <c r="AL2860" t="s">
        <v>272</v>
      </c>
    </row>
    <row r="2861" spans="1:38">
      <c r="A2861" t="s">
        <v>11998</v>
      </c>
      <c r="B2861" t="s">
        <v>11999</v>
      </c>
      <c r="C2861" t="s">
        <v>12000</v>
      </c>
      <c r="D2861" t="s">
        <v>12000</v>
      </c>
      <c r="E2861" t="s">
        <v>12001</v>
      </c>
      <c r="F2861" t="s">
        <v>2413</v>
      </c>
      <c r="G2861">
        <v>1</v>
      </c>
      <c r="H2861">
        <v>1</v>
      </c>
      <c r="I2861">
        <v>0.01</v>
      </c>
      <c r="J2861">
        <v>1000</v>
      </c>
      <c r="K2861">
        <v>0.83</v>
      </c>
      <c r="L2861">
        <v>81.040000000000006</v>
      </c>
      <c r="M2861">
        <v>80.37</v>
      </c>
      <c r="N2861">
        <v>80.2</v>
      </c>
      <c r="O2861">
        <v>81.040000000000006</v>
      </c>
      <c r="P2861">
        <v>0</v>
      </c>
      <c r="Q2861">
        <v>0</v>
      </c>
      <c r="R2861">
        <v>0</v>
      </c>
      <c r="S2861">
        <v>80.83</v>
      </c>
      <c r="T2861">
        <v>79.77</v>
      </c>
      <c r="U2861">
        <v>79.77</v>
      </c>
      <c r="V2861">
        <v>81.040000000000006</v>
      </c>
      <c r="W2861">
        <v>35567</v>
      </c>
      <c r="X2861">
        <v>79.959999999999994</v>
      </c>
      <c r="Y2861">
        <v>81.23</v>
      </c>
      <c r="Z2861">
        <v>17</v>
      </c>
      <c r="AA2861">
        <v>6000000</v>
      </c>
      <c r="AB2861">
        <v>810.4</v>
      </c>
      <c r="AC2861">
        <v>0</v>
      </c>
      <c r="AD2861" t="s">
        <v>94</v>
      </c>
      <c r="AE2861" t="s">
        <v>94</v>
      </c>
      <c r="AF2861" t="s">
        <v>226</v>
      </c>
      <c r="AG2861" t="s">
        <v>226</v>
      </c>
      <c r="AH2861">
        <v>6</v>
      </c>
      <c r="AI2861" t="s">
        <v>3537</v>
      </c>
      <c r="AJ2861" t="s">
        <v>1976</v>
      </c>
      <c r="AK2861" t="s">
        <v>2416</v>
      </c>
      <c r="AL2861" t="s">
        <v>272</v>
      </c>
    </row>
    <row r="2862" spans="1:38">
      <c r="A2862" t="s">
        <v>12002</v>
      </c>
      <c r="B2862" t="s">
        <v>12003</v>
      </c>
      <c r="C2862" t="s">
        <v>12004</v>
      </c>
      <c r="D2862" t="s">
        <v>12004</v>
      </c>
      <c r="E2862" t="s">
        <v>12005</v>
      </c>
      <c r="F2862" t="s">
        <v>2413</v>
      </c>
      <c r="G2862">
        <v>3</v>
      </c>
      <c r="H2862">
        <v>1</v>
      </c>
      <c r="I2862">
        <v>0.01</v>
      </c>
      <c r="J2862">
        <v>1000</v>
      </c>
      <c r="K2862">
        <v>0.41</v>
      </c>
      <c r="L2862">
        <v>87.95</v>
      </c>
      <c r="M2862">
        <v>87.59</v>
      </c>
      <c r="N2862">
        <v>87.22</v>
      </c>
      <c r="O2862">
        <v>87.93</v>
      </c>
      <c r="P2862">
        <v>0</v>
      </c>
      <c r="Q2862">
        <v>0</v>
      </c>
      <c r="R2862">
        <v>0</v>
      </c>
      <c r="S2862">
        <v>87.73</v>
      </c>
      <c r="T2862">
        <v>88.13</v>
      </c>
      <c r="U2862">
        <v>87.21</v>
      </c>
      <c r="V2862">
        <v>88.13</v>
      </c>
      <c r="W2862">
        <v>9042698</v>
      </c>
      <c r="X2862">
        <v>87.79</v>
      </c>
      <c r="Y2862">
        <v>87.95</v>
      </c>
      <c r="Z2862">
        <v>325</v>
      </c>
      <c r="AA2862">
        <v>10000000</v>
      </c>
      <c r="AB2862">
        <v>879.5</v>
      </c>
      <c r="AC2862">
        <v>0</v>
      </c>
      <c r="AD2862" t="s">
        <v>94</v>
      </c>
      <c r="AE2862" t="s">
        <v>94</v>
      </c>
      <c r="AF2862" t="s">
        <v>226</v>
      </c>
      <c r="AG2862" t="s">
        <v>226</v>
      </c>
      <c r="AH2862">
        <v>6</v>
      </c>
      <c r="AI2862" t="s">
        <v>3537</v>
      </c>
      <c r="AJ2862" t="s">
        <v>1976</v>
      </c>
      <c r="AK2862" t="s">
        <v>2416</v>
      </c>
      <c r="AL2862" t="s">
        <v>272</v>
      </c>
    </row>
    <row r="2863" spans="1:38">
      <c r="A2863" t="s">
        <v>12006</v>
      </c>
      <c r="B2863" t="s">
        <v>12007</v>
      </c>
      <c r="C2863" t="s">
        <v>12008</v>
      </c>
      <c r="D2863" t="s">
        <v>12008</v>
      </c>
      <c r="E2863" t="s">
        <v>12009</v>
      </c>
      <c r="F2863" t="s">
        <v>2413</v>
      </c>
      <c r="G2863">
        <v>3</v>
      </c>
      <c r="H2863">
        <v>1</v>
      </c>
      <c r="I2863">
        <v>0.01</v>
      </c>
      <c r="J2863">
        <v>1000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10000000</v>
      </c>
      <c r="AB2863">
        <v>0</v>
      </c>
      <c r="AC2863">
        <v>0</v>
      </c>
      <c r="AD2863" t="s">
        <v>94</v>
      </c>
      <c r="AE2863" t="s">
        <v>94</v>
      </c>
      <c r="AF2863" t="s">
        <v>226</v>
      </c>
      <c r="AG2863" t="s">
        <v>226</v>
      </c>
      <c r="AH2863">
        <v>6</v>
      </c>
      <c r="AI2863" t="s">
        <v>3537</v>
      </c>
      <c r="AJ2863" t="s">
        <v>1976</v>
      </c>
      <c r="AK2863" t="s">
        <v>2416</v>
      </c>
      <c r="AL2863" t="s">
        <v>272</v>
      </c>
    </row>
    <row r="2864" spans="1:38">
      <c r="A2864" t="s">
        <v>12010</v>
      </c>
      <c r="B2864" t="s">
        <v>12011</v>
      </c>
      <c r="C2864" t="s">
        <v>12012</v>
      </c>
      <c r="D2864" t="s">
        <v>12012</v>
      </c>
      <c r="E2864" t="s">
        <v>12013</v>
      </c>
      <c r="F2864" t="s">
        <v>2413</v>
      </c>
      <c r="G2864">
        <v>1</v>
      </c>
      <c r="H2864">
        <v>1</v>
      </c>
      <c r="I2864">
        <v>0.01</v>
      </c>
      <c r="J2864">
        <v>1000</v>
      </c>
      <c r="K2864">
        <v>-0.03</v>
      </c>
      <c r="L2864">
        <v>98.95</v>
      </c>
      <c r="M2864">
        <v>98.96</v>
      </c>
      <c r="N2864">
        <v>98.88</v>
      </c>
      <c r="O2864">
        <v>98.9</v>
      </c>
      <c r="P2864">
        <v>0</v>
      </c>
      <c r="Q2864">
        <v>0</v>
      </c>
      <c r="R2864">
        <v>0</v>
      </c>
      <c r="S2864">
        <v>99</v>
      </c>
      <c r="T2864">
        <v>99.4</v>
      </c>
      <c r="U2864">
        <v>98.51</v>
      </c>
      <c r="V2864">
        <v>99.4</v>
      </c>
      <c r="W2864">
        <v>31625185</v>
      </c>
      <c r="X2864">
        <v>98.9</v>
      </c>
      <c r="Y2864">
        <v>98.95</v>
      </c>
      <c r="Z2864">
        <v>321</v>
      </c>
      <c r="AA2864">
        <v>7000000</v>
      </c>
      <c r="AB2864">
        <v>989.5</v>
      </c>
      <c r="AC2864">
        <v>0</v>
      </c>
      <c r="AD2864" t="s">
        <v>94</v>
      </c>
      <c r="AE2864" t="s">
        <v>94</v>
      </c>
      <c r="AF2864" t="s">
        <v>226</v>
      </c>
      <c r="AG2864" t="s">
        <v>226</v>
      </c>
      <c r="AH2864">
        <v>8</v>
      </c>
      <c r="AI2864" t="s">
        <v>3537</v>
      </c>
      <c r="AJ2864" t="s">
        <v>1976</v>
      </c>
      <c r="AK2864" t="s">
        <v>2416</v>
      </c>
      <c r="AL2864" t="s">
        <v>272</v>
      </c>
    </row>
    <row r="2865" spans="1:38">
      <c r="A2865" t="s">
        <v>12014</v>
      </c>
      <c r="B2865" t="s">
        <v>12015</v>
      </c>
      <c r="C2865" t="s">
        <v>12016</v>
      </c>
      <c r="D2865" t="s">
        <v>12016</v>
      </c>
      <c r="E2865" t="s">
        <v>12017</v>
      </c>
      <c r="F2865" t="s">
        <v>2413</v>
      </c>
      <c r="G2865">
        <v>3</v>
      </c>
      <c r="H2865">
        <v>1</v>
      </c>
      <c r="I2865">
        <v>0.01</v>
      </c>
      <c r="J2865">
        <v>1000</v>
      </c>
      <c r="K2865">
        <v>1.52</v>
      </c>
      <c r="L2865">
        <v>79.98</v>
      </c>
      <c r="M2865">
        <v>78.78</v>
      </c>
      <c r="N2865">
        <v>78.09</v>
      </c>
      <c r="O2865">
        <v>79.73</v>
      </c>
      <c r="P2865">
        <v>0</v>
      </c>
      <c r="Q2865">
        <v>0</v>
      </c>
      <c r="R2865">
        <v>0</v>
      </c>
      <c r="S2865">
        <v>78.59</v>
      </c>
      <c r="T2865">
        <v>78.599999999999994</v>
      </c>
      <c r="U2865">
        <v>78.55</v>
      </c>
      <c r="V2865">
        <v>79.98</v>
      </c>
      <c r="W2865">
        <v>197262</v>
      </c>
      <c r="X2865">
        <v>79.06</v>
      </c>
      <c r="Y2865">
        <v>80</v>
      </c>
      <c r="Z2865">
        <v>29</v>
      </c>
      <c r="AA2865">
        <v>100000</v>
      </c>
      <c r="AB2865">
        <v>799.8</v>
      </c>
      <c r="AC2865">
        <v>0</v>
      </c>
      <c r="AD2865" t="s">
        <v>94</v>
      </c>
      <c r="AE2865" t="s">
        <v>94</v>
      </c>
      <c r="AF2865" t="s">
        <v>226</v>
      </c>
      <c r="AG2865" t="s">
        <v>226</v>
      </c>
      <c r="AH2865">
        <v>6</v>
      </c>
      <c r="AI2865" t="s">
        <v>3537</v>
      </c>
      <c r="AJ2865" t="s">
        <v>1976</v>
      </c>
      <c r="AK2865" t="s">
        <v>2416</v>
      </c>
      <c r="AL2865" t="s">
        <v>272</v>
      </c>
    </row>
    <row r="2866" spans="1:38">
      <c r="A2866" t="s">
        <v>12018</v>
      </c>
      <c r="B2866" t="s">
        <v>12019</v>
      </c>
      <c r="C2866" t="s">
        <v>12020</v>
      </c>
      <c r="D2866" t="s">
        <v>12020</v>
      </c>
      <c r="E2866" t="s">
        <v>12021</v>
      </c>
      <c r="F2866" t="s">
        <v>2413</v>
      </c>
      <c r="G2866">
        <v>3</v>
      </c>
      <c r="H2866">
        <v>1</v>
      </c>
      <c r="I2866">
        <v>0.01</v>
      </c>
      <c r="J2866">
        <v>1000</v>
      </c>
      <c r="K2866">
        <v>0.43</v>
      </c>
      <c r="L2866">
        <v>77.81</v>
      </c>
      <c r="M2866">
        <v>77.47</v>
      </c>
      <c r="N2866">
        <v>76.900000000000006</v>
      </c>
      <c r="O2866">
        <v>77.81</v>
      </c>
      <c r="P2866">
        <v>0</v>
      </c>
      <c r="Q2866">
        <v>0</v>
      </c>
      <c r="R2866">
        <v>0</v>
      </c>
      <c r="S2866">
        <v>77.7</v>
      </c>
      <c r="T2866">
        <v>79.64</v>
      </c>
      <c r="U2866">
        <v>76.260000000000005</v>
      </c>
      <c r="V2866">
        <v>79.64</v>
      </c>
      <c r="W2866">
        <v>264185</v>
      </c>
      <c r="X2866">
        <v>77.44</v>
      </c>
      <c r="Y2866">
        <v>77.81</v>
      </c>
      <c r="Z2866">
        <v>32</v>
      </c>
      <c r="AA2866">
        <v>1000000</v>
      </c>
      <c r="AB2866">
        <v>778.1</v>
      </c>
      <c r="AC2866">
        <v>0</v>
      </c>
      <c r="AD2866" t="s">
        <v>94</v>
      </c>
      <c r="AE2866" t="s">
        <v>94</v>
      </c>
      <c r="AF2866" t="s">
        <v>226</v>
      </c>
      <c r="AG2866" t="s">
        <v>226</v>
      </c>
      <c r="AH2866">
        <v>6</v>
      </c>
      <c r="AI2866" t="s">
        <v>3537</v>
      </c>
      <c r="AJ2866" t="s">
        <v>1976</v>
      </c>
      <c r="AK2866" t="s">
        <v>2416</v>
      </c>
      <c r="AL2866" t="s">
        <v>272</v>
      </c>
    </row>
    <row r="2867" spans="1:38">
      <c r="A2867" t="s">
        <v>12022</v>
      </c>
      <c r="B2867" t="s">
        <v>12023</v>
      </c>
      <c r="C2867" t="s">
        <v>12024</v>
      </c>
      <c r="D2867" t="s">
        <v>12024</v>
      </c>
      <c r="E2867" t="s">
        <v>12025</v>
      </c>
      <c r="F2867" t="s">
        <v>2413</v>
      </c>
      <c r="G2867">
        <v>3</v>
      </c>
      <c r="H2867">
        <v>1</v>
      </c>
      <c r="I2867">
        <v>0.01</v>
      </c>
      <c r="J2867">
        <v>1000</v>
      </c>
      <c r="K2867">
        <v>3.19</v>
      </c>
      <c r="L2867">
        <v>94.02</v>
      </c>
      <c r="M2867">
        <v>91.11</v>
      </c>
      <c r="N2867">
        <v>92.9</v>
      </c>
      <c r="O2867">
        <v>93.94</v>
      </c>
      <c r="P2867">
        <v>0</v>
      </c>
      <c r="Q2867">
        <v>0</v>
      </c>
      <c r="R2867">
        <v>0</v>
      </c>
      <c r="S2867">
        <v>93.16</v>
      </c>
      <c r="T2867">
        <v>92.87</v>
      </c>
      <c r="U2867">
        <v>92.87</v>
      </c>
      <c r="V2867">
        <v>94.02</v>
      </c>
      <c r="W2867">
        <v>54031</v>
      </c>
      <c r="X2867">
        <v>93.41</v>
      </c>
      <c r="Y2867">
        <v>94.01</v>
      </c>
      <c r="Z2867">
        <v>21</v>
      </c>
      <c r="AA2867">
        <v>50000</v>
      </c>
      <c r="AB2867">
        <v>2820.6</v>
      </c>
      <c r="AC2867">
        <v>0</v>
      </c>
      <c r="AD2867" t="s">
        <v>94</v>
      </c>
      <c r="AE2867" t="s">
        <v>94</v>
      </c>
      <c r="AF2867" t="s">
        <v>226</v>
      </c>
      <c r="AG2867" t="s">
        <v>226</v>
      </c>
      <c r="AH2867">
        <v>6</v>
      </c>
      <c r="AI2867" t="s">
        <v>3537</v>
      </c>
      <c r="AJ2867" t="s">
        <v>1976</v>
      </c>
      <c r="AK2867" t="s">
        <v>2416</v>
      </c>
      <c r="AL2867" t="s">
        <v>272</v>
      </c>
    </row>
    <row r="2868" spans="1:38">
      <c r="A2868" t="s">
        <v>12026</v>
      </c>
      <c r="B2868" t="s">
        <v>12027</v>
      </c>
      <c r="C2868" t="s">
        <v>12028</v>
      </c>
      <c r="D2868" t="s">
        <v>12028</v>
      </c>
      <c r="E2868" t="s">
        <v>12029</v>
      </c>
      <c r="F2868" t="s">
        <v>2413</v>
      </c>
      <c r="G2868">
        <v>3</v>
      </c>
      <c r="H2868">
        <v>1</v>
      </c>
      <c r="I2868">
        <v>0.01</v>
      </c>
      <c r="J2868">
        <v>400</v>
      </c>
      <c r="K2868">
        <v>-0.16</v>
      </c>
      <c r="L2868">
        <v>86.12</v>
      </c>
      <c r="M2868">
        <v>86.26</v>
      </c>
      <c r="N2868">
        <v>86.66</v>
      </c>
      <c r="O2868">
        <v>86.12</v>
      </c>
      <c r="P2868">
        <v>0</v>
      </c>
      <c r="Q2868">
        <v>0</v>
      </c>
      <c r="R2868">
        <v>0</v>
      </c>
      <c r="S2868">
        <v>86.13</v>
      </c>
      <c r="T2868">
        <v>86.09</v>
      </c>
      <c r="U2868">
        <v>86.06</v>
      </c>
      <c r="V2868">
        <v>86.2</v>
      </c>
      <c r="W2868">
        <v>22738</v>
      </c>
      <c r="X2868">
        <v>86.12</v>
      </c>
      <c r="Y2868">
        <v>86.19</v>
      </c>
      <c r="Z2868">
        <v>8</v>
      </c>
      <c r="AA2868">
        <v>100000</v>
      </c>
      <c r="AB2868">
        <v>18257.439999999999</v>
      </c>
      <c r="AC2868">
        <v>0</v>
      </c>
      <c r="AD2868" t="s">
        <v>94</v>
      </c>
      <c r="AE2868" t="s">
        <v>94</v>
      </c>
      <c r="AF2868" t="s">
        <v>226</v>
      </c>
      <c r="AG2868" t="s">
        <v>226</v>
      </c>
      <c r="AH2868">
        <v>6</v>
      </c>
      <c r="AI2868" t="s">
        <v>3537</v>
      </c>
      <c r="AJ2868" t="s">
        <v>1976</v>
      </c>
      <c r="AK2868" t="s">
        <v>2416</v>
      </c>
      <c r="AL2868" t="s">
        <v>272</v>
      </c>
    </row>
    <row r="2869" spans="1:38">
      <c r="A2869" t="s">
        <v>12030</v>
      </c>
      <c r="B2869" t="s">
        <v>12031</v>
      </c>
      <c r="C2869" t="s">
        <v>12032</v>
      </c>
      <c r="D2869" t="s">
        <v>12032</v>
      </c>
      <c r="E2869" t="s">
        <v>12033</v>
      </c>
      <c r="F2869" t="s">
        <v>2413</v>
      </c>
      <c r="G2869">
        <v>3</v>
      </c>
      <c r="H2869">
        <v>1</v>
      </c>
      <c r="I2869">
        <v>0.01</v>
      </c>
      <c r="J2869">
        <v>700</v>
      </c>
      <c r="K2869">
        <v>-0.03</v>
      </c>
      <c r="L2869">
        <v>76.209999999999994</v>
      </c>
      <c r="M2869">
        <v>76.23</v>
      </c>
      <c r="N2869">
        <v>75.92</v>
      </c>
      <c r="O2869">
        <v>76.209999999999994</v>
      </c>
      <c r="P2869">
        <v>0</v>
      </c>
      <c r="Q2869">
        <v>0</v>
      </c>
      <c r="R2869">
        <v>0</v>
      </c>
      <c r="S2869">
        <v>76.040000000000006</v>
      </c>
      <c r="T2869">
        <v>76.42</v>
      </c>
      <c r="U2869">
        <v>75.790000000000006</v>
      </c>
      <c r="V2869">
        <v>76.42</v>
      </c>
      <c r="W2869">
        <v>12774</v>
      </c>
      <c r="X2869">
        <v>76.2</v>
      </c>
      <c r="Y2869">
        <v>76.209999999999994</v>
      </c>
      <c r="Z2869">
        <v>10</v>
      </c>
      <c r="AA2869">
        <v>100000</v>
      </c>
      <c r="AB2869">
        <v>2667.35</v>
      </c>
      <c r="AC2869">
        <v>0</v>
      </c>
      <c r="AD2869" t="s">
        <v>94</v>
      </c>
      <c r="AE2869" t="s">
        <v>94</v>
      </c>
      <c r="AF2869" t="s">
        <v>226</v>
      </c>
      <c r="AG2869" t="s">
        <v>226</v>
      </c>
      <c r="AH2869">
        <v>6</v>
      </c>
      <c r="AI2869" t="s">
        <v>3537</v>
      </c>
      <c r="AJ2869" t="s">
        <v>1976</v>
      </c>
      <c r="AK2869" t="s">
        <v>2416</v>
      </c>
      <c r="AL2869" t="s">
        <v>272</v>
      </c>
    </row>
    <row r="2870" spans="1:38">
      <c r="A2870" t="s">
        <v>12034</v>
      </c>
      <c r="B2870" t="s">
        <v>12035</v>
      </c>
      <c r="C2870" t="s">
        <v>12036</v>
      </c>
      <c r="D2870" t="s">
        <v>12036</v>
      </c>
      <c r="E2870" t="s">
        <v>12037</v>
      </c>
      <c r="F2870" t="s">
        <v>2413</v>
      </c>
      <c r="G2870">
        <v>3</v>
      </c>
      <c r="H2870">
        <v>1</v>
      </c>
      <c r="I2870">
        <v>0.01</v>
      </c>
      <c r="J2870">
        <v>900</v>
      </c>
      <c r="K2870">
        <v>-1.96</v>
      </c>
      <c r="L2870">
        <v>76.09</v>
      </c>
      <c r="M2870">
        <v>77.61</v>
      </c>
      <c r="N2870">
        <v>76.64</v>
      </c>
      <c r="O2870">
        <v>76.09</v>
      </c>
      <c r="P2870">
        <v>0</v>
      </c>
      <c r="Q2870">
        <v>0</v>
      </c>
      <c r="R2870">
        <v>0</v>
      </c>
      <c r="S2870">
        <v>76.44</v>
      </c>
      <c r="T2870">
        <v>77.930000000000007</v>
      </c>
      <c r="U2870">
        <v>75.17</v>
      </c>
      <c r="V2870">
        <v>78</v>
      </c>
      <c r="W2870">
        <v>600577</v>
      </c>
      <c r="X2870">
        <v>75.900000000000006</v>
      </c>
      <c r="Y2870">
        <v>76.09</v>
      </c>
      <c r="Z2870">
        <v>55</v>
      </c>
      <c r="AA2870">
        <v>300000</v>
      </c>
      <c r="AB2870">
        <v>684.81</v>
      </c>
      <c r="AC2870">
        <v>0</v>
      </c>
      <c r="AD2870" t="s">
        <v>94</v>
      </c>
      <c r="AE2870" t="s">
        <v>94</v>
      </c>
      <c r="AF2870" t="s">
        <v>226</v>
      </c>
      <c r="AG2870" t="s">
        <v>226</v>
      </c>
      <c r="AH2870">
        <v>6</v>
      </c>
      <c r="AI2870" t="s">
        <v>3537</v>
      </c>
      <c r="AJ2870" t="s">
        <v>1976</v>
      </c>
      <c r="AK2870" t="s">
        <v>2416</v>
      </c>
      <c r="AL2870" t="s">
        <v>272</v>
      </c>
    </row>
    <row r="2871" spans="1:38">
      <c r="A2871" t="s">
        <v>12038</v>
      </c>
      <c r="B2871" t="s">
        <v>12039</v>
      </c>
      <c r="C2871" t="s">
        <v>12040</v>
      </c>
      <c r="D2871" t="s">
        <v>12040</v>
      </c>
      <c r="E2871" t="s">
        <v>12041</v>
      </c>
      <c r="F2871" t="s">
        <v>2413</v>
      </c>
      <c r="G2871">
        <v>3</v>
      </c>
      <c r="H2871">
        <v>1</v>
      </c>
      <c r="I2871">
        <v>0.01</v>
      </c>
      <c r="J2871">
        <v>1000</v>
      </c>
      <c r="K2871">
        <v>-0.28999999999999998</v>
      </c>
      <c r="L2871">
        <v>99.64</v>
      </c>
      <c r="M2871">
        <v>99.92</v>
      </c>
      <c r="N2871">
        <v>99.6</v>
      </c>
      <c r="O2871">
        <v>99.51</v>
      </c>
      <c r="P2871">
        <v>0</v>
      </c>
      <c r="Q2871">
        <v>0</v>
      </c>
      <c r="R2871">
        <v>0</v>
      </c>
      <c r="S2871">
        <v>99.61</v>
      </c>
      <c r="T2871">
        <v>99.97</v>
      </c>
      <c r="U2871">
        <v>99.44</v>
      </c>
      <c r="V2871">
        <v>99.97</v>
      </c>
      <c r="W2871">
        <v>3195330</v>
      </c>
      <c r="X2871">
        <v>99.51</v>
      </c>
      <c r="Y2871">
        <v>99.63</v>
      </c>
      <c r="Z2871">
        <v>213</v>
      </c>
      <c r="AA2871">
        <v>300000</v>
      </c>
      <c r="AB2871">
        <v>996.4</v>
      </c>
      <c r="AC2871">
        <v>0</v>
      </c>
      <c r="AD2871" t="s">
        <v>94</v>
      </c>
      <c r="AE2871" t="s">
        <v>94</v>
      </c>
      <c r="AF2871" t="s">
        <v>226</v>
      </c>
      <c r="AG2871" t="s">
        <v>226</v>
      </c>
      <c r="AH2871">
        <v>6</v>
      </c>
      <c r="AI2871" t="s">
        <v>3537</v>
      </c>
      <c r="AJ2871" t="s">
        <v>1976</v>
      </c>
      <c r="AK2871" t="s">
        <v>2416</v>
      </c>
      <c r="AL2871" t="s">
        <v>272</v>
      </c>
    </row>
    <row r="2872" spans="1:38">
      <c r="A2872" t="s">
        <v>12042</v>
      </c>
      <c r="B2872" t="s">
        <v>12043</v>
      </c>
      <c r="C2872" t="s">
        <v>12044</v>
      </c>
      <c r="D2872" t="s">
        <v>12044</v>
      </c>
      <c r="E2872" t="s">
        <v>12045</v>
      </c>
      <c r="F2872" t="s">
        <v>2413</v>
      </c>
      <c r="G2872">
        <v>3</v>
      </c>
      <c r="H2872">
        <v>1</v>
      </c>
      <c r="I2872">
        <v>0.01</v>
      </c>
      <c r="J2872">
        <v>330</v>
      </c>
      <c r="K2872">
        <v>-0.42</v>
      </c>
      <c r="L2872">
        <v>94.34</v>
      </c>
      <c r="M2872">
        <v>94.74</v>
      </c>
      <c r="N2872">
        <v>94.78</v>
      </c>
      <c r="O2872">
        <v>94.34</v>
      </c>
      <c r="P2872">
        <v>0</v>
      </c>
      <c r="Q2872">
        <v>0</v>
      </c>
      <c r="R2872">
        <v>0</v>
      </c>
      <c r="S2872">
        <v>94.4</v>
      </c>
      <c r="T2872">
        <v>93.28</v>
      </c>
      <c r="U2872">
        <v>93.28</v>
      </c>
      <c r="V2872">
        <v>94.74</v>
      </c>
      <c r="W2872">
        <v>200618</v>
      </c>
      <c r="X2872">
        <v>94.25</v>
      </c>
      <c r="Y2872">
        <v>94.34</v>
      </c>
      <c r="Z2872">
        <v>98</v>
      </c>
      <c r="AA2872">
        <v>1500000</v>
      </c>
      <c r="AB2872">
        <v>311.32</v>
      </c>
      <c r="AC2872">
        <v>0</v>
      </c>
      <c r="AD2872" t="s">
        <v>94</v>
      </c>
      <c r="AE2872" t="s">
        <v>94</v>
      </c>
      <c r="AF2872" t="s">
        <v>226</v>
      </c>
      <c r="AG2872" t="s">
        <v>226</v>
      </c>
      <c r="AH2872">
        <v>6</v>
      </c>
      <c r="AI2872" t="s">
        <v>3537</v>
      </c>
      <c r="AJ2872" t="s">
        <v>1976</v>
      </c>
      <c r="AK2872" t="s">
        <v>2416</v>
      </c>
      <c r="AL2872" t="s">
        <v>272</v>
      </c>
    </row>
    <row r="2873" spans="1:38">
      <c r="A2873" t="s">
        <v>12046</v>
      </c>
      <c r="B2873" t="s">
        <v>12047</v>
      </c>
      <c r="C2873" t="s">
        <v>12048</v>
      </c>
      <c r="D2873" t="s">
        <v>12048</v>
      </c>
      <c r="E2873" t="s">
        <v>12049</v>
      </c>
      <c r="F2873" t="s">
        <v>2413</v>
      </c>
      <c r="G2873">
        <v>3</v>
      </c>
      <c r="H2873">
        <v>1</v>
      </c>
      <c r="I2873">
        <v>0.01</v>
      </c>
      <c r="J2873">
        <v>1000</v>
      </c>
      <c r="K2873">
        <v>0.24</v>
      </c>
      <c r="L2873">
        <v>93.78</v>
      </c>
      <c r="M2873">
        <v>93.56</v>
      </c>
      <c r="N2873">
        <v>93.59</v>
      </c>
      <c r="O2873">
        <v>93.75</v>
      </c>
      <c r="P2873">
        <v>0</v>
      </c>
      <c r="Q2873">
        <v>0</v>
      </c>
      <c r="R2873">
        <v>0</v>
      </c>
      <c r="S2873">
        <v>93.51</v>
      </c>
      <c r="T2873">
        <v>92.7</v>
      </c>
      <c r="U2873">
        <v>92.7</v>
      </c>
      <c r="V2873">
        <v>93.78</v>
      </c>
      <c r="W2873">
        <v>652703</v>
      </c>
      <c r="X2873">
        <v>93.64</v>
      </c>
      <c r="Y2873">
        <v>93.79</v>
      </c>
      <c r="Z2873">
        <v>64</v>
      </c>
      <c r="AA2873">
        <v>1000000</v>
      </c>
      <c r="AB2873">
        <v>1875.6</v>
      </c>
      <c r="AC2873">
        <v>0</v>
      </c>
      <c r="AD2873" t="s">
        <v>94</v>
      </c>
      <c r="AE2873" t="s">
        <v>94</v>
      </c>
      <c r="AF2873" t="s">
        <v>226</v>
      </c>
      <c r="AG2873" t="s">
        <v>226</v>
      </c>
      <c r="AH2873">
        <v>6</v>
      </c>
      <c r="AI2873" t="s">
        <v>3537</v>
      </c>
      <c r="AJ2873" t="s">
        <v>1976</v>
      </c>
      <c r="AK2873" t="s">
        <v>2416</v>
      </c>
      <c r="AL2873" t="s">
        <v>272</v>
      </c>
    </row>
    <row r="2874" spans="1:38">
      <c r="A2874" t="s">
        <v>12050</v>
      </c>
      <c r="B2874" t="s">
        <v>12051</v>
      </c>
      <c r="C2874" t="s">
        <v>12052</v>
      </c>
      <c r="D2874" t="s">
        <v>12052</v>
      </c>
      <c r="E2874" t="s">
        <v>12053</v>
      </c>
      <c r="F2874" t="s">
        <v>2413</v>
      </c>
      <c r="G2874">
        <v>3</v>
      </c>
      <c r="H2874">
        <v>1</v>
      </c>
      <c r="I2874">
        <v>0.01</v>
      </c>
      <c r="J2874">
        <v>1000</v>
      </c>
      <c r="K2874">
        <v>1.39</v>
      </c>
      <c r="L2874">
        <v>79.989999999999995</v>
      </c>
      <c r="M2874">
        <v>78.89</v>
      </c>
      <c r="N2874">
        <v>78.84</v>
      </c>
      <c r="O2874">
        <v>79.989999999999995</v>
      </c>
      <c r="P2874">
        <v>0</v>
      </c>
      <c r="Q2874">
        <v>0</v>
      </c>
      <c r="R2874">
        <v>0</v>
      </c>
      <c r="S2874">
        <v>79.97</v>
      </c>
      <c r="T2874">
        <v>79.48</v>
      </c>
      <c r="U2874">
        <v>78.92</v>
      </c>
      <c r="V2874">
        <v>80</v>
      </c>
      <c r="W2874">
        <v>117560</v>
      </c>
      <c r="X2874">
        <v>79.98</v>
      </c>
      <c r="Y2874">
        <v>80</v>
      </c>
      <c r="Z2874">
        <v>13</v>
      </c>
      <c r="AA2874">
        <v>100000</v>
      </c>
      <c r="AB2874">
        <v>799.9</v>
      </c>
      <c r="AC2874">
        <v>0</v>
      </c>
      <c r="AD2874" t="s">
        <v>94</v>
      </c>
      <c r="AE2874" t="s">
        <v>94</v>
      </c>
      <c r="AF2874" t="s">
        <v>226</v>
      </c>
      <c r="AG2874" t="s">
        <v>226</v>
      </c>
      <c r="AH2874">
        <v>6</v>
      </c>
      <c r="AI2874" t="s">
        <v>3537</v>
      </c>
      <c r="AJ2874" t="s">
        <v>1976</v>
      </c>
      <c r="AK2874" t="s">
        <v>2416</v>
      </c>
      <c r="AL2874" t="s">
        <v>272</v>
      </c>
    </row>
    <row r="2875" spans="1:38">
      <c r="A2875" t="s">
        <v>12054</v>
      </c>
      <c r="B2875" t="s">
        <v>12055</v>
      </c>
      <c r="C2875" t="s">
        <v>12056</v>
      </c>
      <c r="D2875" t="s">
        <v>12056</v>
      </c>
      <c r="E2875" t="s">
        <v>12057</v>
      </c>
      <c r="F2875" t="s">
        <v>2413</v>
      </c>
      <c r="G2875">
        <v>3</v>
      </c>
      <c r="H2875">
        <v>1</v>
      </c>
      <c r="I2875">
        <v>0.01</v>
      </c>
      <c r="J2875">
        <v>1000</v>
      </c>
      <c r="K2875">
        <v>-1.1399999999999999</v>
      </c>
      <c r="L2875">
        <v>75.23</v>
      </c>
      <c r="M2875">
        <v>76.09</v>
      </c>
      <c r="N2875">
        <v>77.900000000000006</v>
      </c>
      <c r="O2875">
        <v>75.23</v>
      </c>
      <c r="P2875">
        <v>0</v>
      </c>
      <c r="Q2875">
        <v>0</v>
      </c>
      <c r="R2875">
        <v>0</v>
      </c>
      <c r="S2875">
        <v>75.34</v>
      </c>
      <c r="T2875">
        <v>76.23</v>
      </c>
      <c r="U2875">
        <v>75</v>
      </c>
      <c r="V2875">
        <v>76.23</v>
      </c>
      <c r="W2875">
        <v>128075</v>
      </c>
      <c r="X2875">
        <v>75.25</v>
      </c>
      <c r="Y2875">
        <v>75.87</v>
      </c>
      <c r="Z2875">
        <v>45</v>
      </c>
      <c r="AA2875">
        <v>100000</v>
      </c>
      <c r="AB2875">
        <v>752.3</v>
      </c>
      <c r="AC2875">
        <v>0</v>
      </c>
      <c r="AD2875" t="s">
        <v>94</v>
      </c>
      <c r="AE2875" t="s">
        <v>94</v>
      </c>
      <c r="AF2875" t="s">
        <v>226</v>
      </c>
      <c r="AG2875" t="s">
        <v>226</v>
      </c>
      <c r="AH2875">
        <v>6</v>
      </c>
      <c r="AI2875" t="s">
        <v>3537</v>
      </c>
      <c r="AJ2875" t="s">
        <v>1976</v>
      </c>
      <c r="AK2875" t="s">
        <v>2416</v>
      </c>
      <c r="AL2875" t="s">
        <v>272</v>
      </c>
    </row>
    <row r="2876" spans="1:38">
      <c r="A2876" t="s">
        <v>12058</v>
      </c>
      <c r="B2876" t="s">
        <v>12059</v>
      </c>
      <c r="C2876" t="s">
        <v>12060</v>
      </c>
      <c r="D2876" t="s">
        <v>12060</v>
      </c>
      <c r="E2876" t="s">
        <v>12061</v>
      </c>
      <c r="F2876" t="s">
        <v>2413</v>
      </c>
      <c r="G2876">
        <v>3</v>
      </c>
      <c r="H2876">
        <v>1</v>
      </c>
      <c r="I2876">
        <v>0.01</v>
      </c>
      <c r="J2876">
        <v>1000</v>
      </c>
      <c r="K2876">
        <v>1.22</v>
      </c>
      <c r="L2876">
        <v>73.95</v>
      </c>
      <c r="M2876">
        <v>73.05</v>
      </c>
      <c r="N2876">
        <v>72.38</v>
      </c>
      <c r="O2876">
        <v>73.959999999999994</v>
      </c>
      <c r="P2876">
        <v>0</v>
      </c>
      <c r="Q2876">
        <v>0</v>
      </c>
      <c r="R2876">
        <v>0</v>
      </c>
      <c r="S2876">
        <v>73.790000000000006</v>
      </c>
      <c r="T2876">
        <v>73.38</v>
      </c>
      <c r="U2876">
        <v>73.27</v>
      </c>
      <c r="V2876">
        <v>73.959999999999994</v>
      </c>
      <c r="W2876">
        <v>95921</v>
      </c>
      <c r="X2876">
        <v>73.95</v>
      </c>
      <c r="Y2876">
        <v>73.959999999999994</v>
      </c>
      <c r="Z2876">
        <v>36</v>
      </c>
      <c r="AA2876">
        <v>100000</v>
      </c>
      <c r="AB2876">
        <v>1479</v>
      </c>
      <c r="AC2876">
        <v>0</v>
      </c>
      <c r="AD2876" t="s">
        <v>94</v>
      </c>
      <c r="AE2876" t="s">
        <v>94</v>
      </c>
      <c r="AF2876" t="s">
        <v>226</v>
      </c>
      <c r="AG2876" t="s">
        <v>226</v>
      </c>
      <c r="AH2876">
        <v>6</v>
      </c>
      <c r="AI2876" t="s">
        <v>3537</v>
      </c>
      <c r="AJ2876" t="s">
        <v>1976</v>
      </c>
      <c r="AK2876" t="s">
        <v>2416</v>
      </c>
      <c r="AL2876" t="s">
        <v>272</v>
      </c>
    </row>
    <row r="2877" spans="1:38">
      <c r="A2877" t="s">
        <v>12062</v>
      </c>
      <c r="B2877" t="s">
        <v>12063</v>
      </c>
      <c r="C2877" t="s">
        <v>12064</v>
      </c>
      <c r="D2877" t="s">
        <v>12064</v>
      </c>
      <c r="E2877" t="s">
        <v>12065</v>
      </c>
      <c r="F2877" t="s">
        <v>2413</v>
      </c>
      <c r="G2877">
        <v>3</v>
      </c>
      <c r="H2877">
        <v>1</v>
      </c>
      <c r="I2877">
        <v>0.01</v>
      </c>
      <c r="J2877">
        <v>1000</v>
      </c>
      <c r="K2877">
        <v>0.68</v>
      </c>
      <c r="L2877">
        <v>71.52</v>
      </c>
      <c r="M2877">
        <v>71.040000000000006</v>
      </c>
      <c r="N2877">
        <v>71.36</v>
      </c>
      <c r="O2877">
        <v>71.52</v>
      </c>
      <c r="P2877">
        <v>0</v>
      </c>
      <c r="Q2877">
        <v>0</v>
      </c>
      <c r="R2877">
        <v>0</v>
      </c>
      <c r="S2877">
        <v>70.63</v>
      </c>
      <c r="T2877">
        <v>70.180000000000007</v>
      </c>
      <c r="U2877">
        <v>70</v>
      </c>
      <c r="V2877">
        <v>71.55</v>
      </c>
      <c r="W2877">
        <v>117240</v>
      </c>
      <c r="X2877">
        <v>71.03</v>
      </c>
      <c r="Y2877">
        <v>71.53</v>
      </c>
      <c r="Z2877">
        <v>61</v>
      </c>
      <c r="AA2877">
        <v>92998</v>
      </c>
      <c r="AB2877">
        <v>715.2</v>
      </c>
      <c r="AC2877">
        <v>0</v>
      </c>
      <c r="AD2877" t="s">
        <v>94</v>
      </c>
      <c r="AE2877" t="s">
        <v>94</v>
      </c>
      <c r="AF2877" t="s">
        <v>226</v>
      </c>
      <c r="AG2877" t="s">
        <v>226</v>
      </c>
      <c r="AH2877">
        <v>6</v>
      </c>
      <c r="AI2877" t="s">
        <v>3537</v>
      </c>
      <c r="AJ2877" t="s">
        <v>1976</v>
      </c>
      <c r="AK2877" t="s">
        <v>2416</v>
      </c>
      <c r="AL2877" t="s">
        <v>272</v>
      </c>
    </row>
    <row r="2878" spans="1:38">
      <c r="A2878" t="s">
        <v>12066</v>
      </c>
      <c r="B2878" t="s">
        <v>12067</v>
      </c>
      <c r="C2878" t="s">
        <v>12068</v>
      </c>
      <c r="D2878" t="s">
        <v>12068</v>
      </c>
      <c r="E2878" t="s">
        <v>12069</v>
      </c>
      <c r="F2878" t="s">
        <v>2413</v>
      </c>
      <c r="G2878">
        <v>3</v>
      </c>
      <c r="H2878">
        <v>1</v>
      </c>
      <c r="I2878">
        <v>0.01</v>
      </c>
      <c r="J2878">
        <v>1000</v>
      </c>
      <c r="K2878">
        <v>0.08</v>
      </c>
      <c r="L2878">
        <v>94.37</v>
      </c>
      <c r="M2878">
        <v>94.29</v>
      </c>
      <c r="N2878">
        <v>94.3</v>
      </c>
      <c r="O2878">
        <v>94.37</v>
      </c>
      <c r="P2878">
        <v>0</v>
      </c>
      <c r="Q2878">
        <v>0</v>
      </c>
      <c r="R2878">
        <v>0</v>
      </c>
      <c r="S2878">
        <v>94.24</v>
      </c>
      <c r="T2878">
        <v>94.39</v>
      </c>
      <c r="U2878">
        <v>93.74</v>
      </c>
      <c r="V2878">
        <v>94.39</v>
      </c>
      <c r="W2878">
        <v>760506</v>
      </c>
      <c r="X2878">
        <v>94.3</v>
      </c>
      <c r="Y2878">
        <v>94.37</v>
      </c>
      <c r="Z2878">
        <v>126</v>
      </c>
      <c r="AA2878">
        <v>5000000</v>
      </c>
      <c r="AB2878">
        <v>5662.2</v>
      </c>
      <c r="AC2878">
        <v>0</v>
      </c>
      <c r="AD2878" t="s">
        <v>94</v>
      </c>
      <c r="AE2878" t="s">
        <v>94</v>
      </c>
      <c r="AF2878" t="s">
        <v>226</v>
      </c>
      <c r="AG2878" t="s">
        <v>226</v>
      </c>
      <c r="AH2878">
        <v>800</v>
      </c>
      <c r="AI2878" t="s">
        <v>3537</v>
      </c>
      <c r="AJ2878" t="s">
        <v>1976</v>
      </c>
      <c r="AK2878" t="s">
        <v>2416</v>
      </c>
      <c r="AL2878" t="s">
        <v>272</v>
      </c>
    </row>
    <row r="2879" spans="1:38">
      <c r="A2879" t="s">
        <v>12070</v>
      </c>
      <c r="B2879" t="s">
        <v>12071</v>
      </c>
      <c r="C2879" t="s">
        <v>12072</v>
      </c>
      <c r="D2879" t="s">
        <v>12072</v>
      </c>
      <c r="E2879" t="s">
        <v>12073</v>
      </c>
      <c r="F2879" t="s">
        <v>2413</v>
      </c>
      <c r="G2879">
        <v>3</v>
      </c>
      <c r="H2879">
        <v>1</v>
      </c>
      <c r="I2879">
        <v>0.01</v>
      </c>
      <c r="J2879">
        <v>1000</v>
      </c>
      <c r="K2879">
        <v>-0.01</v>
      </c>
      <c r="L2879">
        <v>88.16</v>
      </c>
      <c r="M2879">
        <v>88.17</v>
      </c>
      <c r="N2879">
        <v>89.03</v>
      </c>
      <c r="O2879">
        <v>88.16</v>
      </c>
      <c r="P2879">
        <v>0</v>
      </c>
      <c r="Q2879">
        <v>0</v>
      </c>
      <c r="R2879">
        <v>0</v>
      </c>
      <c r="S2879">
        <v>87.93</v>
      </c>
      <c r="T2879">
        <v>89.06</v>
      </c>
      <c r="U2879">
        <v>87.02</v>
      </c>
      <c r="V2879">
        <v>89.06</v>
      </c>
      <c r="W2879">
        <v>45723</v>
      </c>
      <c r="X2879">
        <v>88.16</v>
      </c>
      <c r="Y2879">
        <v>88.55</v>
      </c>
      <c r="Z2879">
        <v>9</v>
      </c>
      <c r="AA2879">
        <v>102766</v>
      </c>
      <c r="AB2879">
        <v>29092.799999999999</v>
      </c>
      <c r="AC2879">
        <v>0</v>
      </c>
      <c r="AD2879" t="s">
        <v>94</v>
      </c>
      <c r="AE2879" t="s">
        <v>94</v>
      </c>
      <c r="AF2879" t="s">
        <v>226</v>
      </c>
      <c r="AG2879" t="s">
        <v>226</v>
      </c>
      <c r="AH2879">
        <v>6</v>
      </c>
      <c r="AI2879" t="s">
        <v>3537</v>
      </c>
      <c r="AJ2879" t="s">
        <v>1976</v>
      </c>
      <c r="AK2879" t="s">
        <v>2416</v>
      </c>
      <c r="AL2879" t="s">
        <v>272</v>
      </c>
    </row>
    <row r="2880" spans="1:38">
      <c r="A2880" t="s">
        <v>12074</v>
      </c>
      <c r="B2880" t="s">
        <v>12075</v>
      </c>
      <c r="C2880" t="s">
        <v>12076</v>
      </c>
      <c r="D2880" t="s">
        <v>12076</v>
      </c>
      <c r="E2880" t="s">
        <v>12077</v>
      </c>
      <c r="F2880" t="s">
        <v>2413</v>
      </c>
      <c r="G2880">
        <v>3</v>
      </c>
      <c r="H2880">
        <v>1</v>
      </c>
      <c r="I2880">
        <v>0.01</v>
      </c>
      <c r="J2880">
        <v>1000</v>
      </c>
      <c r="K2880">
        <v>0.01</v>
      </c>
      <c r="L2880">
        <v>69.11</v>
      </c>
      <c r="M2880">
        <v>69.05</v>
      </c>
      <c r="N2880">
        <v>68.89</v>
      </c>
      <c r="O2880">
        <v>69.14</v>
      </c>
      <c r="P2880">
        <v>0</v>
      </c>
      <c r="Q2880">
        <v>0</v>
      </c>
      <c r="R2880">
        <v>0</v>
      </c>
      <c r="S2880">
        <v>68.97</v>
      </c>
      <c r="T2880">
        <v>68.010000000000005</v>
      </c>
      <c r="U2880">
        <v>65.52</v>
      </c>
      <c r="V2880">
        <v>69.17</v>
      </c>
      <c r="W2880">
        <v>50351</v>
      </c>
      <c r="X2880">
        <v>68.02</v>
      </c>
      <c r="Y2880">
        <v>69.11</v>
      </c>
      <c r="Z2880">
        <v>20</v>
      </c>
      <c r="AA2880">
        <v>70624</v>
      </c>
      <c r="AB2880">
        <v>2073.3000000000002</v>
      </c>
      <c r="AC2880">
        <v>0</v>
      </c>
      <c r="AD2880" t="s">
        <v>94</v>
      </c>
      <c r="AE2880" t="s">
        <v>94</v>
      </c>
      <c r="AF2880" t="s">
        <v>226</v>
      </c>
      <c r="AG2880" t="s">
        <v>226</v>
      </c>
      <c r="AH2880">
        <v>6</v>
      </c>
      <c r="AI2880" t="s">
        <v>3537</v>
      </c>
      <c r="AJ2880" t="s">
        <v>1976</v>
      </c>
      <c r="AK2880" t="s">
        <v>2416</v>
      </c>
      <c r="AL2880" t="s">
        <v>272</v>
      </c>
    </row>
    <row r="2881" spans="1:38">
      <c r="A2881" t="s">
        <v>12078</v>
      </c>
      <c r="B2881" t="s">
        <v>12079</v>
      </c>
      <c r="C2881" t="s">
        <v>12080</v>
      </c>
      <c r="D2881" t="s">
        <v>12080</v>
      </c>
      <c r="E2881" t="s">
        <v>12081</v>
      </c>
      <c r="F2881" t="s">
        <v>2413</v>
      </c>
      <c r="G2881">
        <v>2</v>
      </c>
      <c r="H2881">
        <v>1</v>
      </c>
      <c r="I2881">
        <v>0.01</v>
      </c>
      <c r="J2881">
        <v>418.3</v>
      </c>
      <c r="K2881">
        <v>-0.13</v>
      </c>
      <c r="L2881">
        <v>127.83</v>
      </c>
      <c r="M2881">
        <v>128</v>
      </c>
      <c r="N2881">
        <v>0</v>
      </c>
      <c r="O2881">
        <v>127.83</v>
      </c>
      <c r="P2881">
        <v>0</v>
      </c>
      <c r="Q2881">
        <v>0</v>
      </c>
      <c r="R2881">
        <v>0</v>
      </c>
      <c r="S2881">
        <v>127.83</v>
      </c>
      <c r="T2881">
        <v>127.83</v>
      </c>
      <c r="U2881">
        <v>127.83</v>
      </c>
      <c r="V2881">
        <v>127.83</v>
      </c>
      <c r="W2881">
        <v>535</v>
      </c>
      <c r="X2881">
        <v>77.02</v>
      </c>
      <c r="Y2881">
        <v>129.99</v>
      </c>
      <c r="Z2881">
        <v>1</v>
      </c>
      <c r="AA2881">
        <v>2500000</v>
      </c>
      <c r="AB2881">
        <v>534.71</v>
      </c>
      <c r="AC2881">
        <v>0</v>
      </c>
      <c r="AD2881" t="s">
        <v>94</v>
      </c>
      <c r="AE2881" t="s">
        <v>94</v>
      </c>
      <c r="AF2881" t="s">
        <v>226</v>
      </c>
      <c r="AG2881" t="s">
        <v>226</v>
      </c>
      <c r="AH2881">
        <v>6</v>
      </c>
      <c r="AI2881" t="s">
        <v>3537</v>
      </c>
      <c r="AJ2881" t="s">
        <v>1976</v>
      </c>
      <c r="AK2881" t="s">
        <v>2416</v>
      </c>
      <c r="AL2881" t="s">
        <v>272</v>
      </c>
    </row>
    <row r="2882" spans="1:38">
      <c r="A2882" t="s">
        <v>12082</v>
      </c>
      <c r="B2882" t="s">
        <v>12083</v>
      </c>
      <c r="C2882" t="s">
        <v>12084</v>
      </c>
      <c r="D2882" t="s">
        <v>12084</v>
      </c>
      <c r="E2882" t="s">
        <v>12085</v>
      </c>
      <c r="F2882" t="s">
        <v>2413</v>
      </c>
      <c r="G2882">
        <v>2</v>
      </c>
      <c r="H2882">
        <v>1</v>
      </c>
      <c r="I2882">
        <v>0.01</v>
      </c>
      <c r="J2882">
        <v>556.79999999999995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3000000</v>
      </c>
      <c r="AB2882">
        <v>0</v>
      </c>
      <c r="AC2882">
        <v>0</v>
      </c>
      <c r="AD2882" t="s">
        <v>94</v>
      </c>
      <c r="AE2882" t="s">
        <v>94</v>
      </c>
      <c r="AF2882" t="s">
        <v>226</v>
      </c>
      <c r="AG2882" t="s">
        <v>226</v>
      </c>
      <c r="AH2882">
        <v>6</v>
      </c>
      <c r="AI2882" t="s">
        <v>3537</v>
      </c>
      <c r="AJ2882" t="s">
        <v>1976</v>
      </c>
      <c r="AK2882" t="s">
        <v>2416</v>
      </c>
      <c r="AL2882" t="s">
        <v>272</v>
      </c>
    </row>
    <row r="2883" spans="1:38">
      <c r="A2883" t="s">
        <v>12086</v>
      </c>
      <c r="B2883" t="s">
        <v>12087</v>
      </c>
      <c r="C2883" t="s">
        <v>12088</v>
      </c>
      <c r="D2883" t="s">
        <v>12088</v>
      </c>
      <c r="E2883" t="s">
        <v>12089</v>
      </c>
      <c r="F2883" t="s">
        <v>2413</v>
      </c>
      <c r="G2883">
        <v>2</v>
      </c>
      <c r="H2883">
        <v>1</v>
      </c>
      <c r="I2883">
        <v>0.01</v>
      </c>
      <c r="J2883">
        <v>639.9</v>
      </c>
      <c r="K2883">
        <v>0.2</v>
      </c>
      <c r="L2883">
        <v>94.19</v>
      </c>
      <c r="M2883">
        <v>94</v>
      </c>
      <c r="N2883">
        <v>93.7</v>
      </c>
      <c r="O2883">
        <v>94.1</v>
      </c>
      <c r="P2883">
        <v>0</v>
      </c>
      <c r="Q2883">
        <v>0</v>
      </c>
      <c r="R2883">
        <v>0</v>
      </c>
      <c r="S2883">
        <v>94.06</v>
      </c>
      <c r="T2883">
        <v>94.41</v>
      </c>
      <c r="U2883">
        <v>94.01</v>
      </c>
      <c r="V2883">
        <v>94.41</v>
      </c>
      <c r="W2883">
        <v>61393</v>
      </c>
      <c r="X2883">
        <v>94.01</v>
      </c>
      <c r="Y2883">
        <v>94.2</v>
      </c>
      <c r="Z2883">
        <v>26</v>
      </c>
      <c r="AA2883">
        <v>2500000</v>
      </c>
      <c r="AB2883">
        <v>1205.44</v>
      </c>
      <c r="AC2883">
        <v>0</v>
      </c>
      <c r="AD2883" t="s">
        <v>94</v>
      </c>
      <c r="AE2883" t="s">
        <v>94</v>
      </c>
      <c r="AF2883" t="s">
        <v>226</v>
      </c>
      <c r="AG2883" t="s">
        <v>226</v>
      </c>
      <c r="AH2883">
        <v>6</v>
      </c>
      <c r="AI2883" t="s">
        <v>3537</v>
      </c>
      <c r="AJ2883" t="s">
        <v>1976</v>
      </c>
      <c r="AK2883" t="s">
        <v>2416</v>
      </c>
      <c r="AL2883" t="s">
        <v>272</v>
      </c>
    </row>
    <row r="2884" spans="1:38">
      <c r="A2884" t="s">
        <v>12090</v>
      </c>
      <c r="B2884" t="s">
        <v>12091</v>
      </c>
      <c r="C2884" t="s">
        <v>12092</v>
      </c>
      <c r="D2884" t="s">
        <v>12092</v>
      </c>
      <c r="E2884" t="s">
        <v>12093</v>
      </c>
      <c r="F2884" t="s">
        <v>2413</v>
      </c>
      <c r="G2884">
        <v>2</v>
      </c>
      <c r="H2884">
        <v>1</v>
      </c>
      <c r="I2884">
        <v>0.01</v>
      </c>
      <c r="J2884">
        <v>720</v>
      </c>
      <c r="K2884">
        <v>1.54</v>
      </c>
      <c r="L2884">
        <v>95.16</v>
      </c>
      <c r="M2884">
        <v>93.91</v>
      </c>
      <c r="N2884">
        <v>95.08</v>
      </c>
      <c r="O2884">
        <v>95.16</v>
      </c>
      <c r="P2884">
        <v>0</v>
      </c>
      <c r="Q2884">
        <v>0</v>
      </c>
      <c r="R2884">
        <v>0</v>
      </c>
      <c r="S2884">
        <v>94.41</v>
      </c>
      <c r="T2884">
        <v>93.89</v>
      </c>
      <c r="U2884">
        <v>92.4</v>
      </c>
      <c r="V2884">
        <v>97.06</v>
      </c>
      <c r="W2884">
        <v>280743</v>
      </c>
      <c r="X2884">
        <v>94.11</v>
      </c>
      <c r="Y2884">
        <v>95</v>
      </c>
      <c r="Z2884">
        <v>45</v>
      </c>
      <c r="AA2884">
        <v>2500000</v>
      </c>
      <c r="AB2884">
        <v>2055.46</v>
      </c>
      <c r="AC2884">
        <v>0</v>
      </c>
      <c r="AD2884" t="s">
        <v>94</v>
      </c>
      <c r="AE2884" t="s">
        <v>94</v>
      </c>
      <c r="AF2884" t="s">
        <v>226</v>
      </c>
      <c r="AG2884" t="s">
        <v>226</v>
      </c>
      <c r="AH2884">
        <v>6</v>
      </c>
      <c r="AI2884" t="s">
        <v>3537</v>
      </c>
      <c r="AJ2884" t="s">
        <v>1976</v>
      </c>
      <c r="AK2884" t="s">
        <v>2416</v>
      </c>
      <c r="AL2884" t="s">
        <v>272</v>
      </c>
    </row>
    <row r="2885" spans="1:38">
      <c r="A2885" t="s">
        <v>12094</v>
      </c>
      <c r="B2885" t="s">
        <v>12095</v>
      </c>
      <c r="C2885" t="s">
        <v>12096</v>
      </c>
      <c r="D2885" t="s">
        <v>12096</v>
      </c>
      <c r="E2885" t="s">
        <v>12097</v>
      </c>
      <c r="F2885" t="s">
        <v>2413</v>
      </c>
      <c r="G2885">
        <v>2</v>
      </c>
      <c r="H2885">
        <v>1</v>
      </c>
      <c r="I2885">
        <v>0.01</v>
      </c>
      <c r="J2885">
        <v>806.1</v>
      </c>
      <c r="K2885">
        <v>0.04</v>
      </c>
      <c r="L2885">
        <v>91.18</v>
      </c>
      <c r="M2885">
        <v>91.13</v>
      </c>
      <c r="N2885">
        <v>89.96</v>
      </c>
      <c r="O2885">
        <v>90.83</v>
      </c>
      <c r="P2885">
        <v>0</v>
      </c>
      <c r="Q2885">
        <v>0</v>
      </c>
      <c r="R2885">
        <v>0</v>
      </c>
      <c r="S2885">
        <v>90.74</v>
      </c>
      <c r="T2885">
        <v>90.33</v>
      </c>
      <c r="U2885">
        <v>89.32</v>
      </c>
      <c r="V2885">
        <v>93.4</v>
      </c>
      <c r="W2885">
        <v>213584</v>
      </c>
      <c r="X2885">
        <v>90.65</v>
      </c>
      <c r="Y2885">
        <v>92.12</v>
      </c>
      <c r="Z2885">
        <v>35</v>
      </c>
      <c r="AA2885">
        <v>3000000</v>
      </c>
      <c r="AB2885">
        <v>25725.07</v>
      </c>
      <c r="AC2885">
        <v>0</v>
      </c>
      <c r="AD2885" t="s">
        <v>94</v>
      </c>
      <c r="AE2885" t="s">
        <v>94</v>
      </c>
      <c r="AF2885" t="s">
        <v>226</v>
      </c>
      <c r="AG2885" t="s">
        <v>226</v>
      </c>
      <c r="AH2885">
        <v>6</v>
      </c>
      <c r="AI2885" t="s">
        <v>3537</v>
      </c>
      <c r="AJ2885" t="s">
        <v>1976</v>
      </c>
      <c r="AK2885" t="s">
        <v>2416</v>
      </c>
      <c r="AL2885" t="s">
        <v>272</v>
      </c>
    </row>
    <row r="2886" spans="1:38">
      <c r="A2886" t="s">
        <v>12098</v>
      </c>
      <c r="B2886" t="s">
        <v>12099</v>
      </c>
      <c r="C2886" t="s">
        <v>12100</v>
      </c>
      <c r="D2886" t="s">
        <v>12100</v>
      </c>
      <c r="E2886" t="s">
        <v>12101</v>
      </c>
      <c r="F2886" t="s">
        <v>2413</v>
      </c>
      <c r="G2886">
        <v>2</v>
      </c>
      <c r="H2886">
        <v>1</v>
      </c>
      <c r="I2886">
        <v>0.01</v>
      </c>
      <c r="J2886">
        <v>889.2</v>
      </c>
      <c r="K2886">
        <v>-1.63</v>
      </c>
      <c r="L2886">
        <v>92.3</v>
      </c>
      <c r="M2886">
        <v>93.93</v>
      </c>
      <c r="N2886">
        <v>93.9</v>
      </c>
      <c r="O2886">
        <v>92.36</v>
      </c>
      <c r="P2886">
        <v>0</v>
      </c>
      <c r="Q2886">
        <v>0</v>
      </c>
      <c r="R2886">
        <v>0</v>
      </c>
      <c r="S2886">
        <v>92.79</v>
      </c>
      <c r="T2886">
        <v>93.05</v>
      </c>
      <c r="U2886">
        <v>91.91</v>
      </c>
      <c r="V2886">
        <v>94.8</v>
      </c>
      <c r="W2886">
        <v>174090</v>
      </c>
      <c r="X2886">
        <v>92.15</v>
      </c>
      <c r="Y2886">
        <v>92.92</v>
      </c>
      <c r="Z2886">
        <v>44</v>
      </c>
      <c r="AA2886">
        <v>2000000</v>
      </c>
      <c r="AB2886">
        <v>20518.29</v>
      </c>
      <c r="AC2886">
        <v>0</v>
      </c>
      <c r="AD2886" t="s">
        <v>94</v>
      </c>
      <c r="AE2886" t="s">
        <v>94</v>
      </c>
      <c r="AF2886" t="s">
        <v>226</v>
      </c>
      <c r="AG2886" t="s">
        <v>226</v>
      </c>
      <c r="AH2886">
        <v>6</v>
      </c>
      <c r="AI2886" t="s">
        <v>3537</v>
      </c>
      <c r="AJ2886" t="s">
        <v>1976</v>
      </c>
      <c r="AK2886" t="s">
        <v>2416</v>
      </c>
      <c r="AL2886" t="s">
        <v>272</v>
      </c>
    </row>
    <row r="2887" spans="1:38">
      <c r="A2887" t="s">
        <v>12102</v>
      </c>
      <c r="B2887" t="s">
        <v>12103</v>
      </c>
      <c r="C2887" t="s">
        <v>12104</v>
      </c>
      <c r="D2887" t="s">
        <v>12104</v>
      </c>
      <c r="E2887" t="s">
        <v>12105</v>
      </c>
      <c r="F2887" t="s">
        <v>2413</v>
      </c>
      <c r="G2887">
        <v>3</v>
      </c>
      <c r="H2887">
        <v>1</v>
      </c>
      <c r="I2887">
        <v>0.01</v>
      </c>
      <c r="J2887">
        <v>1000</v>
      </c>
      <c r="K2887">
        <v>0.4</v>
      </c>
      <c r="L2887">
        <v>91.19</v>
      </c>
      <c r="M2887">
        <v>90.83</v>
      </c>
      <c r="N2887">
        <v>90.43</v>
      </c>
      <c r="O2887">
        <v>91.19</v>
      </c>
      <c r="P2887">
        <v>0</v>
      </c>
      <c r="Q2887">
        <v>0</v>
      </c>
      <c r="R2887">
        <v>0</v>
      </c>
      <c r="S2887">
        <v>91.02</v>
      </c>
      <c r="T2887">
        <v>90.41</v>
      </c>
      <c r="U2887">
        <v>90.22</v>
      </c>
      <c r="V2887">
        <v>91.74</v>
      </c>
      <c r="W2887">
        <v>376823</v>
      </c>
      <c r="X2887">
        <v>90.8</v>
      </c>
      <c r="Y2887">
        <v>91.09</v>
      </c>
      <c r="Z2887">
        <v>79</v>
      </c>
      <c r="AA2887">
        <v>500000</v>
      </c>
      <c r="AB2887">
        <v>1823.8</v>
      </c>
      <c r="AC2887">
        <v>0</v>
      </c>
      <c r="AD2887" t="s">
        <v>94</v>
      </c>
      <c r="AE2887" t="s">
        <v>94</v>
      </c>
      <c r="AF2887" t="s">
        <v>226</v>
      </c>
      <c r="AG2887" t="s">
        <v>226</v>
      </c>
      <c r="AH2887">
        <v>6</v>
      </c>
      <c r="AI2887" t="s">
        <v>3537</v>
      </c>
      <c r="AJ2887" t="s">
        <v>1976</v>
      </c>
      <c r="AK2887" t="s">
        <v>2416</v>
      </c>
      <c r="AL2887" t="s">
        <v>272</v>
      </c>
    </row>
    <row r="2888" spans="1:38">
      <c r="A2888" t="s">
        <v>12106</v>
      </c>
      <c r="B2888" t="s">
        <v>12107</v>
      </c>
      <c r="C2888" t="s">
        <v>12108</v>
      </c>
      <c r="D2888" t="s">
        <v>12108</v>
      </c>
      <c r="E2888" t="s">
        <v>12109</v>
      </c>
      <c r="F2888" t="s">
        <v>2413</v>
      </c>
      <c r="G2888">
        <v>2</v>
      </c>
      <c r="H2888">
        <v>1</v>
      </c>
      <c r="I2888">
        <v>0.01</v>
      </c>
      <c r="J2888">
        <v>890</v>
      </c>
      <c r="K2888">
        <v>0.1</v>
      </c>
      <c r="L2888">
        <v>81.489999999999995</v>
      </c>
      <c r="M2888">
        <v>81.319999999999993</v>
      </c>
      <c r="N2888">
        <v>81.680000000000007</v>
      </c>
      <c r="O2888">
        <v>81.459999999999994</v>
      </c>
      <c r="P2888">
        <v>0</v>
      </c>
      <c r="Q2888">
        <v>0</v>
      </c>
      <c r="R2888">
        <v>0</v>
      </c>
      <c r="S2888">
        <v>81.44</v>
      </c>
      <c r="T2888">
        <v>81.790000000000006</v>
      </c>
      <c r="U2888">
        <v>80.819999999999993</v>
      </c>
      <c r="V2888">
        <v>81.8</v>
      </c>
      <c r="W2888">
        <v>1532303</v>
      </c>
      <c r="X2888">
        <v>81.36</v>
      </c>
      <c r="Y2888">
        <v>81.489999999999995</v>
      </c>
      <c r="Z2888">
        <v>170</v>
      </c>
      <c r="AA2888">
        <v>10000000</v>
      </c>
      <c r="AB2888">
        <v>2175.7800000000002</v>
      </c>
      <c r="AC2888">
        <v>0</v>
      </c>
      <c r="AD2888" t="s">
        <v>94</v>
      </c>
      <c r="AE2888" t="s">
        <v>94</v>
      </c>
      <c r="AF2888" t="s">
        <v>226</v>
      </c>
      <c r="AG2888" t="s">
        <v>226</v>
      </c>
      <c r="AH2888">
        <v>6</v>
      </c>
      <c r="AI2888" t="s">
        <v>3537</v>
      </c>
      <c r="AJ2888" t="s">
        <v>1976</v>
      </c>
      <c r="AK2888" t="s">
        <v>2416</v>
      </c>
      <c r="AL2888" t="s">
        <v>272</v>
      </c>
    </row>
    <row r="2889" spans="1:38">
      <c r="A2889" t="s">
        <v>12110</v>
      </c>
      <c r="B2889" t="s">
        <v>12111</v>
      </c>
      <c r="C2889" t="s">
        <v>12112</v>
      </c>
      <c r="D2889" t="s">
        <v>12112</v>
      </c>
      <c r="E2889" t="s">
        <v>12113</v>
      </c>
      <c r="F2889" t="s">
        <v>2413</v>
      </c>
      <c r="G2889">
        <v>2</v>
      </c>
      <c r="H2889">
        <v>1</v>
      </c>
      <c r="I2889">
        <v>0.01</v>
      </c>
      <c r="J2889">
        <v>1000</v>
      </c>
      <c r="K2889">
        <v>-0.75</v>
      </c>
      <c r="L2889">
        <v>77.900000000000006</v>
      </c>
      <c r="M2889">
        <v>78.489999999999995</v>
      </c>
      <c r="N2889">
        <v>78.94</v>
      </c>
      <c r="O2889">
        <v>77.8</v>
      </c>
      <c r="P2889">
        <v>0</v>
      </c>
      <c r="Q2889">
        <v>0</v>
      </c>
      <c r="R2889">
        <v>0</v>
      </c>
      <c r="S2889">
        <v>78.150000000000006</v>
      </c>
      <c r="T2889">
        <v>78.16</v>
      </c>
      <c r="U2889">
        <v>77.44</v>
      </c>
      <c r="V2889">
        <v>78.8</v>
      </c>
      <c r="W2889">
        <v>8391350</v>
      </c>
      <c r="X2889">
        <v>77.819999999999993</v>
      </c>
      <c r="Y2889">
        <v>77.900000000000006</v>
      </c>
      <c r="Z2889">
        <v>627</v>
      </c>
      <c r="AA2889">
        <v>10000000</v>
      </c>
      <c r="AB2889">
        <v>779</v>
      </c>
      <c r="AC2889">
        <v>0</v>
      </c>
      <c r="AD2889" t="s">
        <v>94</v>
      </c>
      <c r="AE2889" t="s">
        <v>94</v>
      </c>
      <c r="AF2889" t="s">
        <v>226</v>
      </c>
      <c r="AG2889" t="s">
        <v>226</v>
      </c>
      <c r="AH2889">
        <v>6</v>
      </c>
      <c r="AI2889" t="s">
        <v>3537</v>
      </c>
      <c r="AJ2889" t="s">
        <v>1976</v>
      </c>
      <c r="AK2889" t="s">
        <v>2416</v>
      </c>
      <c r="AL2889" t="s">
        <v>272</v>
      </c>
    </row>
    <row r="2890" spans="1:38">
      <c r="A2890" t="s">
        <v>12114</v>
      </c>
      <c r="B2890" t="s">
        <v>12115</v>
      </c>
      <c r="C2890" t="s">
        <v>12116</v>
      </c>
      <c r="D2890" t="s">
        <v>12116</v>
      </c>
      <c r="E2890" t="s">
        <v>12117</v>
      </c>
      <c r="F2890" t="s">
        <v>2413</v>
      </c>
      <c r="G2890">
        <v>2</v>
      </c>
      <c r="H2890">
        <v>1</v>
      </c>
      <c r="I2890">
        <v>0.01</v>
      </c>
      <c r="J2890">
        <v>1000</v>
      </c>
      <c r="K2890">
        <v>-2.0299999999999998</v>
      </c>
      <c r="L2890">
        <v>85.21</v>
      </c>
      <c r="M2890">
        <v>86.98</v>
      </c>
      <c r="N2890">
        <v>87.1</v>
      </c>
      <c r="O2890">
        <v>85.46</v>
      </c>
      <c r="P2890">
        <v>0</v>
      </c>
      <c r="Q2890">
        <v>0</v>
      </c>
      <c r="R2890">
        <v>0</v>
      </c>
      <c r="S2890">
        <v>85.72</v>
      </c>
      <c r="T2890">
        <v>87.3</v>
      </c>
      <c r="U2890">
        <v>85.11</v>
      </c>
      <c r="V2890">
        <v>87.3</v>
      </c>
      <c r="W2890">
        <v>12159709</v>
      </c>
      <c r="X2890">
        <v>85.25</v>
      </c>
      <c r="Y2890">
        <v>85.66</v>
      </c>
      <c r="Z2890">
        <v>501</v>
      </c>
      <c r="AA2890">
        <v>8000000</v>
      </c>
      <c r="AB2890">
        <v>18746.2</v>
      </c>
      <c r="AC2890">
        <v>0</v>
      </c>
      <c r="AD2890" t="s">
        <v>94</v>
      </c>
      <c r="AE2890" t="s">
        <v>94</v>
      </c>
      <c r="AF2890" t="s">
        <v>226</v>
      </c>
      <c r="AG2890" t="s">
        <v>226</v>
      </c>
      <c r="AH2890">
        <v>800</v>
      </c>
      <c r="AI2890" t="s">
        <v>3537</v>
      </c>
      <c r="AJ2890" t="s">
        <v>1976</v>
      </c>
      <c r="AK2890" t="s">
        <v>2416</v>
      </c>
      <c r="AL2890" t="s">
        <v>272</v>
      </c>
    </row>
    <row r="2891" spans="1:38">
      <c r="A2891" t="s">
        <v>12118</v>
      </c>
      <c r="B2891" t="s">
        <v>12119</v>
      </c>
      <c r="C2891" t="s">
        <v>12120</v>
      </c>
      <c r="D2891" t="s">
        <v>12120</v>
      </c>
      <c r="E2891" t="s">
        <v>12121</v>
      </c>
      <c r="F2891" t="s">
        <v>2413</v>
      </c>
      <c r="G2891">
        <v>3</v>
      </c>
      <c r="H2891">
        <v>1</v>
      </c>
      <c r="I2891">
        <v>0.01</v>
      </c>
      <c r="J2891">
        <v>1000</v>
      </c>
      <c r="K2891">
        <v>-0.79</v>
      </c>
      <c r="L2891">
        <v>72</v>
      </c>
      <c r="M2891">
        <v>72.569999999999993</v>
      </c>
      <c r="N2891">
        <v>74.3</v>
      </c>
      <c r="O2891">
        <v>72</v>
      </c>
      <c r="P2891">
        <v>0</v>
      </c>
      <c r="Q2891">
        <v>0</v>
      </c>
      <c r="R2891">
        <v>0</v>
      </c>
      <c r="S2891">
        <v>71.44</v>
      </c>
      <c r="T2891">
        <v>72.11</v>
      </c>
      <c r="U2891">
        <v>70</v>
      </c>
      <c r="V2891">
        <v>72.510000000000005</v>
      </c>
      <c r="W2891">
        <v>54292</v>
      </c>
      <c r="X2891">
        <v>71.459999999999994</v>
      </c>
      <c r="Y2891">
        <v>72</v>
      </c>
      <c r="Z2891">
        <v>25</v>
      </c>
      <c r="AA2891">
        <v>150000</v>
      </c>
      <c r="AB2891">
        <v>720</v>
      </c>
      <c r="AC2891">
        <v>0</v>
      </c>
      <c r="AD2891" t="s">
        <v>94</v>
      </c>
      <c r="AE2891" t="s">
        <v>94</v>
      </c>
      <c r="AF2891" t="s">
        <v>226</v>
      </c>
      <c r="AG2891" t="s">
        <v>226</v>
      </c>
      <c r="AH2891">
        <v>6</v>
      </c>
      <c r="AI2891" t="s">
        <v>3537</v>
      </c>
      <c r="AJ2891" t="s">
        <v>1976</v>
      </c>
      <c r="AK2891" t="s">
        <v>2416</v>
      </c>
      <c r="AL2891" t="s">
        <v>272</v>
      </c>
    </row>
    <row r="2892" spans="1:38">
      <c r="A2892" t="s">
        <v>12122</v>
      </c>
      <c r="B2892" t="s">
        <v>2547</v>
      </c>
      <c r="C2892" t="s">
        <v>2548</v>
      </c>
      <c r="D2892" t="s">
        <v>2548</v>
      </c>
      <c r="E2892" t="s">
        <v>2549</v>
      </c>
      <c r="F2892" t="s">
        <v>2413</v>
      </c>
      <c r="G2892">
        <v>2</v>
      </c>
      <c r="H2892">
        <v>1</v>
      </c>
      <c r="I2892">
        <v>0.01</v>
      </c>
      <c r="J2892">
        <v>1000</v>
      </c>
      <c r="K2892">
        <v>-0.16</v>
      </c>
      <c r="L2892">
        <v>95.9</v>
      </c>
      <c r="M2892">
        <v>97.17</v>
      </c>
      <c r="N2892">
        <v>97.23</v>
      </c>
      <c r="O2892">
        <v>95.43</v>
      </c>
      <c r="P2892">
        <v>0</v>
      </c>
      <c r="Q2892">
        <v>0</v>
      </c>
      <c r="R2892">
        <v>0</v>
      </c>
      <c r="S2892">
        <v>97.05</v>
      </c>
      <c r="T2892">
        <v>96.65</v>
      </c>
      <c r="U2892">
        <v>94.01</v>
      </c>
      <c r="V2892">
        <v>96.65</v>
      </c>
      <c r="W2892">
        <v>319644</v>
      </c>
      <c r="X2892">
        <v>95.9</v>
      </c>
      <c r="Y2892">
        <v>95.95</v>
      </c>
      <c r="Z2892">
        <v>15</v>
      </c>
      <c r="AA2892">
        <v>600000</v>
      </c>
      <c r="AB2892">
        <v>13957.77</v>
      </c>
      <c r="AC2892">
        <v>0</v>
      </c>
      <c r="AD2892" t="s">
        <v>1663</v>
      </c>
      <c r="AE2892" t="s">
        <v>94</v>
      </c>
      <c r="AF2892" t="s">
        <v>226</v>
      </c>
      <c r="AG2892" t="s">
        <v>226</v>
      </c>
      <c r="AH2892">
        <v>6</v>
      </c>
      <c r="AI2892" t="s">
        <v>3537</v>
      </c>
      <c r="AJ2892" t="s">
        <v>1976</v>
      </c>
      <c r="AK2892" t="s">
        <v>2416</v>
      </c>
      <c r="AL2892" t="s">
        <v>272</v>
      </c>
    </row>
    <row r="2893" spans="1:38">
      <c r="A2893" t="s">
        <v>12123</v>
      </c>
      <c r="B2893" t="s">
        <v>12124</v>
      </c>
      <c r="C2893" t="s">
        <v>12125</v>
      </c>
      <c r="D2893" t="s">
        <v>12125</v>
      </c>
      <c r="E2893" t="s">
        <v>12126</v>
      </c>
      <c r="F2893" t="s">
        <v>2413</v>
      </c>
      <c r="G2893">
        <v>2</v>
      </c>
      <c r="H2893">
        <v>1</v>
      </c>
      <c r="I2893">
        <v>0.01</v>
      </c>
      <c r="J2893">
        <v>1000</v>
      </c>
      <c r="K2893">
        <v>-0.2</v>
      </c>
      <c r="L2893">
        <v>88.55</v>
      </c>
      <c r="M2893">
        <v>88.77</v>
      </c>
      <c r="N2893">
        <v>88.5</v>
      </c>
      <c r="O2893">
        <v>88.57</v>
      </c>
      <c r="P2893">
        <v>0</v>
      </c>
      <c r="Q2893">
        <v>0</v>
      </c>
      <c r="R2893">
        <v>0</v>
      </c>
      <c r="S2893">
        <v>88.82</v>
      </c>
      <c r="T2893">
        <v>89.18</v>
      </c>
      <c r="U2893">
        <v>88.5</v>
      </c>
      <c r="V2893">
        <v>89.79</v>
      </c>
      <c r="W2893">
        <v>856192</v>
      </c>
      <c r="X2893">
        <v>88.58</v>
      </c>
      <c r="Y2893">
        <v>88.73</v>
      </c>
      <c r="Z2893">
        <v>144</v>
      </c>
      <c r="AA2893">
        <v>10000000</v>
      </c>
      <c r="AB2893">
        <v>17710</v>
      </c>
      <c r="AC2893">
        <v>0</v>
      </c>
      <c r="AD2893" t="s">
        <v>94</v>
      </c>
      <c r="AE2893" t="s">
        <v>94</v>
      </c>
      <c r="AF2893" t="s">
        <v>226</v>
      </c>
      <c r="AG2893" t="s">
        <v>226</v>
      </c>
      <c r="AH2893">
        <v>6</v>
      </c>
      <c r="AI2893" t="s">
        <v>3537</v>
      </c>
      <c r="AJ2893" t="s">
        <v>1976</v>
      </c>
      <c r="AK2893" t="s">
        <v>2416</v>
      </c>
      <c r="AL2893" t="s">
        <v>272</v>
      </c>
    </row>
    <row r="2894" spans="1:38">
      <c r="A2894" t="s">
        <v>12127</v>
      </c>
      <c r="B2894" t="s">
        <v>12128</v>
      </c>
      <c r="C2894" t="s">
        <v>12129</v>
      </c>
      <c r="D2894" t="s">
        <v>12129</v>
      </c>
      <c r="E2894" t="s">
        <v>12130</v>
      </c>
      <c r="F2894" t="s">
        <v>2413</v>
      </c>
      <c r="G2894">
        <v>3</v>
      </c>
      <c r="H2894">
        <v>1</v>
      </c>
      <c r="I2894">
        <v>0.01</v>
      </c>
      <c r="J2894">
        <v>1000</v>
      </c>
      <c r="K2894">
        <v>-0.2</v>
      </c>
      <c r="L2894">
        <v>83.73</v>
      </c>
      <c r="M2894">
        <v>84.24</v>
      </c>
      <c r="N2894">
        <v>84.18</v>
      </c>
      <c r="O2894">
        <v>83.73</v>
      </c>
      <c r="P2894">
        <v>0</v>
      </c>
      <c r="Q2894">
        <v>0</v>
      </c>
      <c r="R2894">
        <v>0</v>
      </c>
      <c r="S2894">
        <v>83.56</v>
      </c>
      <c r="T2894">
        <v>83.46</v>
      </c>
      <c r="U2894">
        <v>82.42</v>
      </c>
      <c r="V2894">
        <v>83.73</v>
      </c>
      <c r="W2894">
        <v>73534</v>
      </c>
      <c r="X2894">
        <v>83.02</v>
      </c>
      <c r="Y2894">
        <v>83.73</v>
      </c>
      <c r="Z2894">
        <v>34</v>
      </c>
      <c r="AA2894">
        <v>138858</v>
      </c>
      <c r="AB2894">
        <v>837.3</v>
      </c>
      <c r="AC2894">
        <v>0</v>
      </c>
      <c r="AD2894" t="s">
        <v>94</v>
      </c>
      <c r="AE2894" t="s">
        <v>94</v>
      </c>
      <c r="AF2894" t="s">
        <v>226</v>
      </c>
      <c r="AG2894" t="s">
        <v>226</v>
      </c>
      <c r="AH2894">
        <v>6</v>
      </c>
      <c r="AI2894" t="s">
        <v>3537</v>
      </c>
      <c r="AJ2894" t="s">
        <v>1976</v>
      </c>
      <c r="AK2894" t="s">
        <v>2416</v>
      </c>
      <c r="AL2894" t="s">
        <v>272</v>
      </c>
    </row>
    <row r="2895" spans="1:38">
      <c r="A2895" t="s">
        <v>12131</v>
      </c>
      <c r="B2895" t="s">
        <v>12132</v>
      </c>
      <c r="C2895" t="s">
        <v>12133</v>
      </c>
      <c r="D2895" t="s">
        <v>12133</v>
      </c>
      <c r="E2895" t="s">
        <v>12134</v>
      </c>
      <c r="F2895" t="s">
        <v>2413</v>
      </c>
      <c r="G2895">
        <v>3</v>
      </c>
      <c r="H2895">
        <v>1</v>
      </c>
      <c r="I2895">
        <v>0.01</v>
      </c>
      <c r="J2895">
        <v>1000</v>
      </c>
      <c r="K2895">
        <v>0.3</v>
      </c>
      <c r="L2895">
        <v>89.19</v>
      </c>
      <c r="M2895">
        <v>88.92</v>
      </c>
      <c r="N2895">
        <v>88.53</v>
      </c>
      <c r="O2895">
        <v>89.16</v>
      </c>
      <c r="P2895">
        <v>0</v>
      </c>
      <c r="Q2895">
        <v>0</v>
      </c>
      <c r="R2895">
        <v>0</v>
      </c>
      <c r="S2895">
        <v>89.2</v>
      </c>
      <c r="T2895">
        <v>88.95</v>
      </c>
      <c r="U2895">
        <v>88.78</v>
      </c>
      <c r="V2895">
        <v>89.5</v>
      </c>
      <c r="W2895">
        <v>838513</v>
      </c>
      <c r="X2895">
        <v>88.96</v>
      </c>
      <c r="Y2895">
        <v>89.19</v>
      </c>
      <c r="Z2895">
        <v>152</v>
      </c>
      <c r="AA2895">
        <v>3000000</v>
      </c>
      <c r="AB2895">
        <v>2675.7</v>
      </c>
      <c r="AC2895">
        <v>0</v>
      </c>
      <c r="AD2895" t="s">
        <v>94</v>
      </c>
      <c r="AE2895" t="s">
        <v>94</v>
      </c>
      <c r="AF2895" t="s">
        <v>226</v>
      </c>
      <c r="AG2895" t="s">
        <v>226</v>
      </c>
      <c r="AH2895">
        <v>6</v>
      </c>
      <c r="AI2895" t="s">
        <v>3537</v>
      </c>
      <c r="AJ2895" t="s">
        <v>1976</v>
      </c>
      <c r="AK2895" t="s">
        <v>2416</v>
      </c>
      <c r="AL2895" t="s">
        <v>272</v>
      </c>
    </row>
    <row r="2896" spans="1:38">
      <c r="A2896" t="s">
        <v>12135</v>
      </c>
      <c r="B2896" t="s">
        <v>12136</v>
      </c>
      <c r="C2896" t="s">
        <v>12137</v>
      </c>
      <c r="D2896" t="s">
        <v>12137</v>
      </c>
      <c r="E2896" t="s">
        <v>12138</v>
      </c>
      <c r="F2896" t="s">
        <v>2425</v>
      </c>
      <c r="G2896">
        <v>3</v>
      </c>
      <c r="H2896">
        <v>1</v>
      </c>
      <c r="I2896">
        <v>0.01</v>
      </c>
      <c r="J2896">
        <v>8500</v>
      </c>
      <c r="K2896">
        <v>0</v>
      </c>
      <c r="L2896">
        <v>0</v>
      </c>
      <c r="M2896">
        <v>64.36</v>
      </c>
      <c r="N2896">
        <v>0</v>
      </c>
      <c r="O2896">
        <v>64.36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64.41</v>
      </c>
      <c r="Y2896">
        <v>88.99</v>
      </c>
      <c r="Z2896">
        <v>0</v>
      </c>
      <c r="AA2896">
        <v>9000</v>
      </c>
      <c r="AB2896">
        <v>0</v>
      </c>
      <c r="AC2896">
        <v>0</v>
      </c>
      <c r="AD2896" t="s">
        <v>94</v>
      </c>
      <c r="AE2896" t="s">
        <v>94</v>
      </c>
      <c r="AF2896" t="s">
        <v>304</v>
      </c>
      <c r="AG2896" t="s">
        <v>226</v>
      </c>
      <c r="AH2896">
        <v>0</v>
      </c>
      <c r="AI2896" t="s">
        <v>3537</v>
      </c>
      <c r="AJ2896" t="s">
        <v>1976</v>
      </c>
      <c r="AK2896" t="s">
        <v>2426</v>
      </c>
      <c r="AL2896" t="s">
        <v>272</v>
      </c>
    </row>
    <row r="2897" spans="1:38">
      <c r="A2897" t="s">
        <v>12139</v>
      </c>
      <c r="B2897" t="s">
        <v>12140</v>
      </c>
      <c r="C2897" t="s">
        <v>12141</v>
      </c>
      <c r="D2897" t="s">
        <v>12141</v>
      </c>
      <c r="E2897" t="s">
        <v>12142</v>
      </c>
      <c r="F2897" t="s">
        <v>3754</v>
      </c>
      <c r="G2897">
        <v>1</v>
      </c>
      <c r="H2897">
        <v>1</v>
      </c>
      <c r="I2897">
        <v>0.01</v>
      </c>
      <c r="J2897">
        <v>200</v>
      </c>
      <c r="K2897">
        <v>0</v>
      </c>
      <c r="L2897">
        <v>0</v>
      </c>
      <c r="M2897">
        <v>1028.23</v>
      </c>
      <c r="N2897">
        <v>1845.11</v>
      </c>
      <c r="O2897">
        <v>1028.23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777.03</v>
      </c>
      <c r="Y2897">
        <v>1199</v>
      </c>
      <c r="Z2897">
        <v>0</v>
      </c>
      <c r="AA2897">
        <v>5500000</v>
      </c>
      <c r="AB2897">
        <v>0</v>
      </c>
      <c r="AC2897">
        <v>0</v>
      </c>
      <c r="AD2897" t="s">
        <v>94</v>
      </c>
      <c r="AE2897" t="s">
        <v>94</v>
      </c>
      <c r="AF2897" t="s">
        <v>226</v>
      </c>
      <c r="AG2897" t="s">
        <v>226</v>
      </c>
      <c r="AH2897">
        <v>-100</v>
      </c>
      <c r="AI2897" t="s">
        <v>3537</v>
      </c>
      <c r="AJ2897" t="s">
        <v>1976</v>
      </c>
      <c r="AK2897" t="s">
        <v>3755</v>
      </c>
      <c r="AL2897" t="s">
        <v>272</v>
      </c>
    </row>
    <row r="2898" spans="1:38">
      <c r="A2898" t="s">
        <v>12143</v>
      </c>
      <c r="B2898" t="s">
        <v>12144</v>
      </c>
      <c r="C2898" t="s">
        <v>12145</v>
      </c>
      <c r="D2898" t="s">
        <v>12145</v>
      </c>
      <c r="E2898" t="s">
        <v>12146</v>
      </c>
      <c r="F2898" t="s">
        <v>2413</v>
      </c>
      <c r="G2898">
        <v>2</v>
      </c>
      <c r="H2898">
        <v>1</v>
      </c>
      <c r="I2898">
        <v>0.01</v>
      </c>
      <c r="J2898">
        <v>400</v>
      </c>
      <c r="K2898">
        <v>0.14000000000000001</v>
      </c>
      <c r="L2898">
        <v>95.38</v>
      </c>
      <c r="M2898">
        <v>95.25</v>
      </c>
      <c r="N2898">
        <v>95.32</v>
      </c>
      <c r="O2898">
        <v>95.43</v>
      </c>
      <c r="P2898">
        <v>0</v>
      </c>
      <c r="Q2898">
        <v>0</v>
      </c>
      <c r="R2898">
        <v>0</v>
      </c>
      <c r="S2898">
        <v>95.29</v>
      </c>
      <c r="T2898">
        <v>95.38</v>
      </c>
      <c r="U2898">
        <v>95.14</v>
      </c>
      <c r="V2898">
        <v>95.55</v>
      </c>
      <c r="W2898">
        <v>2784078</v>
      </c>
      <c r="X2898">
        <v>95.2</v>
      </c>
      <c r="Y2898">
        <v>95.36</v>
      </c>
      <c r="Z2898">
        <v>164</v>
      </c>
      <c r="AA2898">
        <v>5000000</v>
      </c>
      <c r="AB2898">
        <v>381.52</v>
      </c>
      <c r="AC2898">
        <v>0</v>
      </c>
      <c r="AD2898" t="s">
        <v>94</v>
      </c>
      <c r="AE2898" t="s">
        <v>94</v>
      </c>
      <c r="AF2898" t="s">
        <v>226</v>
      </c>
      <c r="AG2898" t="s">
        <v>226</v>
      </c>
      <c r="AH2898">
        <v>6</v>
      </c>
      <c r="AI2898" t="s">
        <v>3537</v>
      </c>
      <c r="AJ2898" t="s">
        <v>1976</v>
      </c>
      <c r="AK2898" t="s">
        <v>2416</v>
      </c>
      <c r="AL2898" t="s">
        <v>272</v>
      </c>
    </row>
    <row r="2899" spans="1:38">
      <c r="A2899" t="s">
        <v>12147</v>
      </c>
      <c r="B2899" t="s">
        <v>12148</v>
      </c>
      <c r="C2899" t="s">
        <v>12149</v>
      </c>
      <c r="D2899" t="s">
        <v>12149</v>
      </c>
      <c r="E2899" t="s">
        <v>12150</v>
      </c>
      <c r="F2899" t="s">
        <v>2413</v>
      </c>
      <c r="G2899">
        <v>2</v>
      </c>
      <c r="H2899">
        <v>1</v>
      </c>
      <c r="I2899">
        <v>0.01</v>
      </c>
      <c r="J2899">
        <v>1000</v>
      </c>
      <c r="K2899">
        <v>-0.45</v>
      </c>
      <c r="L2899">
        <v>96.46</v>
      </c>
      <c r="M2899">
        <v>96.9</v>
      </c>
      <c r="N2899">
        <v>96.7</v>
      </c>
      <c r="O2899">
        <v>96.47</v>
      </c>
      <c r="P2899">
        <v>0</v>
      </c>
      <c r="Q2899">
        <v>0</v>
      </c>
      <c r="R2899">
        <v>0</v>
      </c>
      <c r="S2899">
        <v>96.65</v>
      </c>
      <c r="T2899">
        <v>96.42</v>
      </c>
      <c r="U2899">
        <v>96.41</v>
      </c>
      <c r="V2899">
        <v>96.98</v>
      </c>
      <c r="W2899">
        <v>891070</v>
      </c>
      <c r="X2899">
        <v>96.46</v>
      </c>
      <c r="Y2899">
        <v>96.5</v>
      </c>
      <c r="Z2899">
        <v>124</v>
      </c>
      <c r="AA2899">
        <v>6000000</v>
      </c>
      <c r="AB2899">
        <v>9646</v>
      </c>
      <c r="AC2899">
        <v>0</v>
      </c>
      <c r="AD2899" t="s">
        <v>94</v>
      </c>
      <c r="AE2899" t="s">
        <v>94</v>
      </c>
      <c r="AF2899" t="s">
        <v>226</v>
      </c>
      <c r="AG2899" t="s">
        <v>226</v>
      </c>
      <c r="AH2899">
        <v>6</v>
      </c>
      <c r="AI2899" t="s">
        <v>3537</v>
      </c>
      <c r="AJ2899" t="s">
        <v>1976</v>
      </c>
      <c r="AK2899" t="s">
        <v>2416</v>
      </c>
      <c r="AL2899" t="s">
        <v>272</v>
      </c>
    </row>
    <row r="2900" spans="1:38">
      <c r="A2900" t="s">
        <v>12151</v>
      </c>
      <c r="B2900" t="s">
        <v>12152</v>
      </c>
      <c r="C2900" t="s">
        <v>12153</v>
      </c>
      <c r="D2900" t="s">
        <v>12153</v>
      </c>
      <c r="E2900" t="s">
        <v>12154</v>
      </c>
      <c r="F2900" t="s">
        <v>2413</v>
      </c>
      <c r="G2900">
        <v>2</v>
      </c>
      <c r="H2900">
        <v>1</v>
      </c>
      <c r="I2900">
        <v>0.01</v>
      </c>
      <c r="J2900">
        <v>1000</v>
      </c>
      <c r="K2900">
        <v>0.26</v>
      </c>
      <c r="L2900">
        <v>99.46</v>
      </c>
      <c r="M2900">
        <v>99.2</v>
      </c>
      <c r="N2900">
        <v>99.25</v>
      </c>
      <c r="O2900">
        <v>99.31</v>
      </c>
      <c r="P2900">
        <v>0</v>
      </c>
      <c r="Q2900">
        <v>0</v>
      </c>
      <c r="R2900">
        <v>0</v>
      </c>
      <c r="S2900">
        <v>99.48</v>
      </c>
      <c r="T2900">
        <v>99.49</v>
      </c>
      <c r="U2900">
        <v>99.3</v>
      </c>
      <c r="V2900">
        <v>99.55</v>
      </c>
      <c r="W2900">
        <v>874432</v>
      </c>
      <c r="X2900">
        <v>99.31</v>
      </c>
      <c r="Y2900">
        <v>99.46</v>
      </c>
      <c r="Z2900">
        <v>59</v>
      </c>
      <c r="AA2900">
        <v>1500000</v>
      </c>
      <c r="AB2900">
        <v>994.6</v>
      </c>
      <c r="AC2900">
        <v>0</v>
      </c>
      <c r="AD2900" t="s">
        <v>94</v>
      </c>
      <c r="AE2900" t="s">
        <v>94</v>
      </c>
      <c r="AF2900" t="s">
        <v>226</v>
      </c>
      <c r="AG2900" t="s">
        <v>226</v>
      </c>
      <c r="AH2900">
        <v>800</v>
      </c>
      <c r="AI2900" t="s">
        <v>3537</v>
      </c>
      <c r="AJ2900" t="s">
        <v>1976</v>
      </c>
      <c r="AK2900" t="s">
        <v>2416</v>
      </c>
      <c r="AL2900" t="s">
        <v>272</v>
      </c>
    </row>
    <row r="2901" spans="1:38">
      <c r="A2901" t="s">
        <v>12155</v>
      </c>
      <c r="B2901" t="s">
        <v>12156</v>
      </c>
      <c r="C2901" t="s">
        <v>12157</v>
      </c>
      <c r="D2901" t="s">
        <v>12157</v>
      </c>
      <c r="E2901" t="s">
        <v>12158</v>
      </c>
      <c r="F2901" t="s">
        <v>3754</v>
      </c>
      <c r="G2901">
        <v>1</v>
      </c>
      <c r="H2901">
        <v>1</v>
      </c>
      <c r="I2901">
        <v>0.01</v>
      </c>
      <c r="J2901">
        <v>200</v>
      </c>
      <c r="K2901">
        <v>0.54</v>
      </c>
      <c r="L2901">
        <v>95.53</v>
      </c>
      <c r="M2901">
        <v>95.02</v>
      </c>
      <c r="N2901">
        <v>95.5</v>
      </c>
      <c r="O2901">
        <v>95.53</v>
      </c>
      <c r="P2901">
        <v>0</v>
      </c>
      <c r="Q2901">
        <v>0</v>
      </c>
      <c r="R2901">
        <v>0</v>
      </c>
      <c r="S2901">
        <v>95.45</v>
      </c>
      <c r="T2901">
        <v>95.53</v>
      </c>
      <c r="U2901">
        <v>94.76</v>
      </c>
      <c r="V2901">
        <v>95.53</v>
      </c>
      <c r="W2901">
        <v>21571</v>
      </c>
      <c r="X2901">
        <v>94.94</v>
      </c>
      <c r="Y2901">
        <v>95.53</v>
      </c>
      <c r="Z2901">
        <v>16</v>
      </c>
      <c r="AA2901">
        <v>5500000</v>
      </c>
      <c r="AB2901">
        <v>382.12</v>
      </c>
      <c r="AC2901">
        <v>0</v>
      </c>
      <c r="AD2901" t="s">
        <v>94</v>
      </c>
      <c r="AE2901" t="s">
        <v>94</v>
      </c>
      <c r="AF2901" t="s">
        <v>226</v>
      </c>
      <c r="AG2901" t="s">
        <v>226</v>
      </c>
      <c r="AH2901">
        <v>-100</v>
      </c>
      <c r="AI2901" t="s">
        <v>3537</v>
      </c>
      <c r="AJ2901" t="s">
        <v>1976</v>
      </c>
      <c r="AK2901" t="s">
        <v>3755</v>
      </c>
      <c r="AL2901" t="s">
        <v>272</v>
      </c>
    </row>
    <row r="2902" spans="1:38">
      <c r="A2902" t="s">
        <v>12159</v>
      </c>
      <c r="B2902" t="s">
        <v>12160</v>
      </c>
      <c r="C2902" t="s">
        <v>12161</v>
      </c>
      <c r="D2902" t="s">
        <v>12161</v>
      </c>
      <c r="E2902" t="s">
        <v>12162</v>
      </c>
      <c r="F2902" t="s">
        <v>3754</v>
      </c>
      <c r="G2902">
        <v>1</v>
      </c>
      <c r="H2902">
        <v>1</v>
      </c>
      <c r="I2902">
        <v>0.01</v>
      </c>
      <c r="J2902">
        <v>250</v>
      </c>
      <c r="K2902">
        <v>0.19</v>
      </c>
      <c r="L2902">
        <v>94.18</v>
      </c>
      <c r="M2902">
        <v>94</v>
      </c>
      <c r="N2902">
        <v>94.65</v>
      </c>
      <c r="O2902">
        <v>94.18</v>
      </c>
      <c r="P2902">
        <v>0</v>
      </c>
      <c r="Q2902">
        <v>0</v>
      </c>
      <c r="R2902">
        <v>0</v>
      </c>
      <c r="S2902">
        <v>94.68</v>
      </c>
      <c r="T2902">
        <v>94.8</v>
      </c>
      <c r="U2902">
        <v>94.18</v>
      </c>
      <c r="V2902">
        <v>94.8</v>
      </c>
      <c r="W2902">
        <v>2367</v>
      </c>
      <c r="X2902">
        <v>94.16</v>
      </c>
      <c r="Y2902">
        <v>94.81</v>
      </c>
      <c r="Z2902">
        <v>2</v>
      </c>
      <c r="AA2902">
        <v>6000000</v>
      </c>
      <c r="AB2902">
        <v>470.9</v>
      </c>
      <c r="AC2902">
        <v>0</v>
      </c>
      <c r="AD2902" t="s">
        <v>94</v>
      </c>
      <c r="AE2902" t="s">
        <v>94</v>
      </c>
      <c r="AF2902" t="s">
        <v>226</v>
      </c>
      <c r="AG2902" t="s">
        <v>226</v>
      </c>
      <c r="AH2902">
        <v>-100</v>
      </c>
      <c r="AI2902" t="s">
        <v>3537</v>
      </c>
      <c r="AJ2902" t="s">
        <v>1976</v>
      </c>
      <c r="AK2902" t="s">
        <v>3755</v>
      </c>
      <c r="AL2902" t="s">
        <v>272</v>
      </c>
    </row>
    <row r="2903" spans="1:38">
      <c r="A2903" t="s">
        <v>12163</v>
      </c>
      <c r="B2903" t="s">
        <v>12164</v>
      </c>
      <c r="C2903" t="s">
        <v>12165</v>
      </c>
      <c r="D2903" t="s">
        <v>12165</v>
      </c>
      <c r="E2903" t="s">
        <v>12166</v>
      </c>
      <c r="F2903" t="s">
        <v>3754</v>
      </c>
      <c r="G2903">
        <v>1</v>
      </c>
      <c r="H2903">
        <v>1</v>
      </c>
      <c r="I2903">
        <v>0.01</v>
      </c>
      <c r="J2903">
        <v>400</v>
      </c>
      <c r="K2903">
        <v>-0.11</v>
      </c>
      <c r="L2903">
        <v>89.89</v>
      </c>
      <c r="M2903">
        <v>89.85</v>
      </c>
      <c r="N2903">
        <v>90.63</v>
      </c>
      <c r="O2903">
        <v>89.89</v>
      </c>
      <c r="P2903">
        <v>0</v>
      </c>
      <c r="Q2903">
        <v>0</v>
      </c>
      <c r="R2903">
        <v>0</v>
      </c>
      <c r="S2903">
        <v>89.46</v>
      </c>
      <c r="T2903">
        <v>89.77</v>
      </c>
      <c r="U2903">
        <v>87.54</v>
      </c>
      <c r="V2903">
        <v>89.98</v>
      </c>
      <c r="W2903">
        <v>36143</v>
      </c>
      <c r="X2903">
        <v>89.8</v>
      </c>
      <c r="Y2903">
        <v>89.89</v>
      </c>
      <c r="Z2903">
        <v>37</v>
      </c>
      <c r="AA2903">
        <v>7000000</v>
      </c>
      <c r="AB2903">
        <v>359.56</v>
      </c>
      <c r="AC2903">
        <v>0</v>
      </c>
      <c r="AD2903" t="s">
        <v>94</v>
      </c>
      <c r="AE2903" t="s">
        <v>94</v>
      </c>
      <c r="AF2903" t="s">
        <v>226</v>
      </c>
      <c r="AG2903" t="s">
        <v>226</v>
      </c>
      <c r="AH2903">
        <v>-100</v>
      </c>
      <c r="AI2903" t="s">
        <v>3537</v>
      </c>
      <c r="AJ2903" t="s">
        <v>1976</v>
      </c>
      <c r="AK2903" t="s">
        <v>3755</v>
      </c>
      <c r="AL2903" t="s">
        <v>272</v>
      </c>
    </row>
    <row r="2904" spans="1:38">
      <c r="A2904" t="s">
        <v>12167</v>
      </c>
      <c r="B2904" t="s">
        <v>12168</v>
      </c>
      <c r="C2904" t="s">
        <v>12169</v>
      </c>
      <c r="D2904" t="s">
        <v>12169</v>
      </c>
      <c r="E2904" t="s">
        <v>12170</v>
      </c>
      <c r="F2904" t="s">
        <v>3754</v>
      </c>
      <c r="G2904">
        <v>1</v>
      </c>
      <c r="H2904">
        <v>1</v>
      </c>
      <c r="I2904">
        <v>0.01</v>
      </c>
      <c r="J2904">
        <v>500</v>
      </c>
      <c r="K2904">
        <v>-0.17</v>
      </c>
      <c r="L2904">
        <v>85.69</v>
      </c>
      <c r="M2904">
        <v>85.84</v>
      </c>
      <c r="N2904">
        <v>84.81</v>
      </c>
      <c r="O2904">
        <v>85.63</v>
      </c>
      <c r="P2904">
        <v>0</v>
      </c>
      <c r="Q2904">
        <v>0</v>
      </c>
      <c r="R2904">
        <v>0</v>
      </c>
      <c r="S2904">
        <v>84.19</v>
      </c>
      <c r="T2904">
        <v>85</v>
      </c>
      <c r="U2904">
        <v>83.22</v>
      </c>
      <c r="V2904">
        <v>85.78</v>
      </c>
      <c r="W2904">
        <v>20626</v>
      </c>
      <c r="X2904">
        <v>85.5</v>
      </c>
      <c r="Y2904">
        <v>85.6</v>
      </c>
      <c r="Z2904">
        <v>15</v>
      </c>
      <c r="AA2904">
        <v>5000000</v>
      </c>
      <c r="AB2904">
        <v>428.45</v>
      </c>
      <c r="AC2904">
        <v>0</v>
      </c>
      <c r="AD2904" t="s">
        <v>94</v>
      </c>
      <c r="AE2904" t="s">
        <v>94</v>
      </c>
      <c r="AF2904" t="s">
        <v>226</v>
      </c>
      <c r="AG2904" t="s">
        <v>226</v>
      </c>
      <c r="AH2904">
        <v>-100</v>
      </c>
      <c r="AI2904" t="s">
        <v>3537</v>
      </c>
      <c r="AJ2904" t="s">
        <v>1976</v>
      </c>
      <c r="AK2904" t="s">
        <v>3755</v>
      </c>
      <c r="AL2904" t="s">
        <v>272</v>
      </c>
    </row>
    <row r="2905" spans="1:38">
      <c r="A2905" t="s">
        <v>12171</v>
      </c>
      <c r="B2905" t="s">
        <v>12172</v>
      </c>
      <c r="C2905" t="s">
        <v>12173</v>
      </c>
      <c r="D2905" t="s">
        <v>12173</v>
      </c>
      <c r="E2905" t="s">
        <v>12174</v>
      </c>
      <c r="F2905" t="s">
        <v>3754</v>
      </c>
      <c r="G2905">
        <v>1</v>
      </c>
      <c r="H2905">
        <v>1</v>
      </c>
      <c r="I2905">
        <v>0.01</v>
      </c>
      <c r="J2905">
        <v>500</v>
      </c>
      <c r="K2905">
        <v>-0.06</v>
      </c>
      <c r="L2905">
        <v>81.61</v>
      </c>
      <c r="M2905">
        <v>81.66</v>
      </c>
      <c r="N2905">
        <v>80.47</v>
      </c>
      <c r="O2905">
        <v>81.45</v>
      </c>
      <c r="P2905">
        <v>0</v>
      </c>
      <c r="Q2905">
        <v>0</v>
      </c>
      <c r="R2905">
        <v>0</v>
      </c>
      <c r="S2905">
        <v>80.13</v>
      </c>
      <c r="T2905">
        <v>81.95</v>
      </c>
      <c r="U2905">
        <v>77.61</v>
      </c>
      <c r="V2905">
        <v>81.95</v>
      </c>
      <c r="W2905">
        <v>12821</v>
      </c>
      <c r="X2905">
        <v>81.010000000000005</v>
      </c>
      <c r="Y2905">
        <v>81.709999999999994</v>
      </c>
      <c r="Z2905">
        <v>21</v>
      </c>
      <c r="AA2905">
        <v>5500000</v>
      </c>
      <c r="AB2905">
        <v>408.05</v>
      </c>
      <c r="AC2905">
        <v>0</v>
      </c>
      <c r="AD2905" t="s">
        <v>94</v>
      </c>
      <c r="AE2905" t="s">
        <v>94</v>
      </c>
      <c r="AF2905" t="s">
        <v>226</v>
      </c>
      <c r="AG2905" t="s">
        <v>226</v>
      </c>
      <c r="AH2905">
        <v>-100</v>
      </c>
      <c r="AI2905" t="s">
        <v>3537</v>
      </c>
      <c r="AJ2905" t="s">
        <v>1976</v>
      </c>
      <c r="AK2905" t="s">
        <v>3755</v>
      </c>
      <c r="AL2905" t="s">
        <v>272</v>
      </c>
    </row>
    <row r="2906" spans="1:38">
      <c r="A2906" t="s">
        <v>12175</v>
      </c>
      <c r="B2906" t="s">
        <v>12176</v>
      </c>
      <c r="C2906" t="s">
        <v>12177</v>
      </c>
      <c r="D2906" t="s">
        <v>12177</v>
      </c>
      <c r="E2906" t="s">
        <v>12178</v>
      </c>
      <c r="F2906" t="s">
        <v>3754</v>
      </c>
      <c r="G2906">
        <v>1</v>
      </c>
      <c r="H2906">
        <v>1</v>
      </c>
      <c r="I2906">
        <v>0.01</v>
      </c>
      <c r="J2906">
        <v>800</v>
      </c>
      <c r="K2906">
        <v>2.52</v>
      </c>
      <c r="L2906">
        <v>76.180000000000007</v>
      </c>
      <c r="M2906">
        <v>74.930000000000007</v>
      </c>
      <c r="N2906">
        <v>77.05</v>
      </c>
      <c r="O2906">
        <v>76.180000000000007</v>
      </c>
      <c r="P2906">
        <v>0</v>
      </c>
      <c r="Q2906">
        <v>0</v>
      </c>
      <c r="R2906">
        <v>0</v>
      </c>
      <c r="S2906">
        <v>76.150000000000006</v>
      </c>
      <c r="T2906">
        <v>75.760000000000005</v>
      </c>
      <c r="U2906">
        <v>75.760000000000005</v>
      </c>
      <c r="V2906">
        <v>76.239999999999995</v>
      </c>
      <c r="W2906">
        <v>10966</v>
      </c>
      <c r="X2906">
        <v>75.84</v>
      </c>
      <c r="Y2906">
        <v>76.180000000000007</v>
      </c>
      <c r="Z2906">
        <v>11</v>
      </c>
      <c r="AA2906">
        <v>6500000</v>
      </c>
      <c r="AB2906">
        <v>609.44000000000005</v>
      </c>
      <c r="AC2906">
        <v>0</v>
      </c>
      <c r="AD2906" t="s">
        <v>94</v>
      </c>
      <c r="AE2906" t="s">
        <v>94</v>
      </c>
      <c r="AF2906" t="s">
        <v>226</v>
      </c>
      <c r="AG2906" t="s">
        <v>226</v>
      </c>
      <c r="AH2906">
        <v>-100</v>
      </c>
      <c r="AI2906" t="s">
        <v>3537</v>
      </c>
      <c r="AJ2906" t="s">
        <v>1976</v>
      </c>
      <c r="AK2906" t="s">
        <v>3755</v>
      </c>
      <c r="AL2906" t="s">
        <v>272</v>
      </c>
    </row>
    <row r="2907" spans="1:38">
      <c r="A2907" t="s">
        <v>12179</v>
      </c>
      <c r="B2907" t="s">
        <v>12180</v>
      </c>
      <c r="C2907" t="s">
        <v>12181</v>
      </c>
      <c r="D2907" t="s">
        <v>12181</v>
      </c>
      <c r="E2907" t="s">
        <v>12182</v>
      </c>
      <c r="F2907" t="s">
        <v>3754</v>
      </c>
      <c r="G2907">
        <v>1</v>
      </c>
      <c r="H2907">
        <v>1</v>
      </c>
      <c r="I2907">
        <v>0.01</v>
      </c>
      <c r="J2907">
        <v>1000</v>
      </c>
      <c r="K2907">
        <v>-0.15</v>
      </c>
      <c r="L2907">
        <v>98.75</v>
      </c>
      <c r="M2907">
        <v>98.9</v>
      </c>
      <c r="N2907">
        <v>98.9</v>
      </c>
      <c r="O2907">
        <v>98.75</v>
      </c>
      <c r="P2907">
        <v>0</v>
      </c>
      <c r="Q2907">
        <v>0</v>
      </c>
      <c r="R2907">
        <v>0</v>
      </c>
      <c r="S2907">
        <v>98.88</v>
      </c>
      <c r="T2907">
        <v>98.98</v>
      </c>
      <c r="U2907">
        <v>98.69</v>
      </c>
      <c r="V2907">
        <v>98.99</v>
      </c>
      <c r="W2907">
        <v>1467400</v>
      </c>
      <c r="X2907">
        <v>98.71</v>
      </c>
      <c r="Y2907">
        <v>98.75</v>
      </c>
      <c r="Z2907">
        <v>86</v>
      </c>
      <c r="AA2907">
        <v>6800000</v>
      </c>
      <c r="AB2907">
        <v>1975</v>
      </c>
      <c r="AC2907">
        <v>0</v>
      </c>
      <c r="AD2907" t="s">
        <v>94</v>
      </c>
      <c r="AE2907" t="s">
        <v>94</v>
      </c>
      <c r="AF2907" t="s">
        <v>226</v>
      </c>
      <c r="AG2907" t="s">
        <v>226</v>
      </c>
      <c r="AH2907">
        <v>800</v>
      </c>
      <c r="AI2907" t="s">
        <v>3537</v>
      </c>
      <c r="AJ2907" t="s">
        <v>1976</v>
      </c>
      <c r="AK2907" t="s">
        <v>3755</v>
      </c>
      <c r="AL2907" t="s">
        <v>272</v>
      </c>
    </row>
    <row r="2908" spans="1:38">
      <c r="A2908" t="s">
        <v>12183</v>
      </c>
      <c r="B2908" t="s">
        <v>12184</v>
      </c>
      <c r="C2908" t="s">
        <v>12185</v>
      </c>
      <c r="D2908" t="s">
        <v>12185</v>
      </c>
      <c r="E2908" t="s">
        <v>12186</v>
      </c>
      <c r="F2908" t="s">
        <v>3754</v>
      </c>
      <c r="G2908">
        <v>1</v>
      </c>
      <c r="H2908">
        <v>1</v>
      </c>
      <c r="I2908">
        <v>0.01</v>
      </c>
      <c r="J2908">
        <v>625</v>
      </c>
      <c r="K2908">
        <v>0.71</v>
      </c>
      <c r="L2908">
        <v>83.85</v>
      </c>
      <c r="M2908">
        <v>83.26</v>
      </c>
      <c r="N2908">
        <v>83.08</v>
      </c>
      <c r="O2908">
        <v>83.85</v>
      </c>
      <c r="P2908">
        <v>0</v>
      </c>
      <c r="Q2908">
        <v>0</v>
      </c>
      <c r="R2908">
        <v>0</v>
      </c>
      <c r="S2908">
        <v>83.85</v>
      </c>
      <c r="T2908">
        <v>83.85</v>
      </c>
      <c r="U2908">
        <v>83.85</v>
      </c>
      <c r="V2908">
        <v>83.86</v>
      </c>
      <c r="W2908">
        <v>52930</v>
      </c>
      <c r="X2908">
        <v>82.9</v>
      </c>
      <c r="Y2908">
        <v>83.86</v>
      </c>
      <c r="Z2908">
        <v>8</v>
      </c>
      <c r="AA2908">
        <v>10000000</v>
      </c>
      <c r="AB2908">
        <v>48737.81</v>
      </c>
      <c r="AC2908">
        <v>0</v>
      </c>
      <c r="AD2908" t="s">
        <v>94</v>
      </c>
      <c r="AE2908" t="s">
        <v>94</v>
      </c>
      <c r="AF2908" t="s">
        <v>226</v>
      </c>
      <c r="AG2908" t="s">
        <v>226</v>
      </c>
      <c r="AH2908">
        <v>-100</v>
      </c>
      <c r="AI2908" t="s">
        <v>3537</v>
      </c>
      <c r="AJ2908" t="s">
        <v>1976</v>
      </c>
      <c r="AK2908" t="s">
        <v>3755</v>
      </c>
      <c r="AL2908" t="s">
        <v>272</v>
      </c>
    </row>
    <row r="2909" spans="1:38">
      <c r="A2909" t="s">
        <v>12187</v>
      </c>
      <c r="B2909" t="s">
        <v>12188</v>
      </c>
      <c r="C2909" t="s">
        <v>12189</v>
      </c>
      <c r="D2909" t="s">
        <v>12189</v>
      </c>
      <c r="E2909" t="s">
        <v>12190</v>
      </c>
      <c r="F2909" t="s">
        <v>3754</v>
      </c>
      <c r="G2909">
        <v>1</v>
      </c>
      <c r="H2909">
        <v>1</v>
      </c>
      <c r="I2909">
        <v>0.01</v>
      </c>
      <c r="J2909">
        <v>400</v>
      </c>
      <c r="K2909">
        <v>0.51</v>
      </c>
      <c r="L2909">
        <v>95.28</v>
      </c>
      <c r="M2909">
        <v>94.8</v>
      </c>
      <c r="N2909">
        <v>93.61</v>
      </c>
      <c r="O2909">
        <v>95.28</v>
      </c>
      <c r="P2909">
        <v>0</v>
      </c>
      <c r="Q2909">
        <v>0</v>
      </c>
      <c r="R2909">
        <v>0</v>
      </c>
      <c r="S2909">
        <v>94.75</v>
      </c>
      <c r="T2909">
        <v>95.34</v>
      </c>
      <c r="U2909">
        <v>94.47</v>
      </c>
      <c r="V2909">
        <v>96.39</v>
      </c>
      <c r="W2909">
        <v>89066</v>
      </c>
      <c r="X2909">
        <v>94.58</v>
      </c>
      <c r="Y2909">
        <v>95.15</v>
      </c>
      <c r="Z2909">
        <v>23</v>
      </c>
      <c r="AA2909">
        <v>3000000</v>
      </c>
      <c r="AB2909">
        <v>381.12</v>
      </c>
      <c r="AC2909">
        <v>0</v>
      </c>
      <c r="AD2909" t="s">
        <v>94</v>
      </c>
      <c r="AE2909" t="s">
        <v>94</v>
      </c>
      <c r="AF2909" t="s">
        <v>226</v>
      </c>
      <c r="AG2909" t="s">
        <v>226</v>
      </c>
      <c r="AH2909">
        <v>-100</v>
      </c>
      <c r="AI2909" t="s">
        <v>3537</v>
      </c>
      <c r="AJ2909" t="s">
        <v>1976</v>
      </c>
      <c r="AK2909" t="s">
        <v>3755</v>
      </c>
      <c r="AL2909" t="s">
        <v>272</v>
      </c>
    </row>
    <row r="2910" spans="1:38">
      <c r="A2910" t="s">
        <v>12191</v>
      </c>
      <c r="B2910" t="s">
        <v>12192</v>
      </c>
      <c r="C2910" t="s">
        <v>12193</v>
      </c>
      <c r="D2910" t="s">
        <v>12193</v>
      </c>
      <c r="E2910" t="s">
        <v>12194</v>
      </c>
      <c r="F2910" t="s">
        <v>3754</v>
      </c>
      <c r="G2910">
        <v>1</v>
      </c>
      <c r="H2910">
        <v>1</v>
      </c>
      <c r="I2910">
        <v>0.01</v>
      </c>
      <c r="J2910">
        <v>250</v>
      </c>
      <c r="K2910">
        <v>-0.03</v>
      </c>
      <c r="L2910">
        <v>96.67</v>
      </c>
      <c r="M2910">
        <v>96.7</v>
      </c>
      <c r="N2910">
        <v>96.72</v>
      </c>
      <c r="O2910">
        <v>96.67</v>
      </c>
      <c r="P2910">
        <v>0</v>
      </c>
      <c r="Q2910">
        <v>0</v>
      </c>
      <c r="R2910">
        <v>0</v>
      </c>
      <c r="S2910">
        <v>96.71</v>
      </c>
      <c r="T2910">
        <v>96.73</v>
      </c>
      <c r="U2910">
        <v>96.66</v>
      </c>
      <c r="V2910">
        <v>96.73</v>
      </c>
      <c r="W2910">
        <v>235720</v>
      </c>
      <c r="X2910">
        <v>96.66</v>
      </c>
      <c r="Y2910">
        <v>96.73</v>
      </c>
      <c r="Z2910">
        <v>78</v>
      </c>
      <c r="AA2910">
        <v>3000000</v>
      </c>
      <c r="AB2910">
        <v>241.68</v>
      </c>
      <c r="AC2910">
        <v>0</v>
      </c>
      <c r="AD2910" t="s">
        <v>94</v>
      </c>
      <c r="AE2910" t="s">
        <v>94</v>
      </c>
      <c r="AF2910" t="s">
        <v>226</v>
      </c>
      <c r="AG2910" t="s">
        <v>226</v>
      </c>
      <c r="AH2910">
        <v>-100</v>
      </c>
      <c r="AI2910" t="s">
        <v>3537</v>
      </c>
      <c r="AJ2910" t="s">
        <v>1976</v>
      </c>
      <c r="AK2910" t="s">
        <v>3755</v>
      </c>
      <c r="AL2910" t="s">
        <v>272</v>
      </c>
    </row>
    <row r="2911" spans="1:38">
      <c r="A2911" t="s">
        <v>12195</v>
      </c>
      <c r="B2911" t="s">
        <v>12196</v>
      </c>
      <c r="C2911" t="s">
        <v>12197</v>
      </c>
      <c r="D2911" t="s">
        <v>12197</v>
      </c>
      <c r="E2911" t="s">
        <v>12198</v>
      </c>
      <c r="F2911" t="s">
        <v>3754</v>
      </c>
      <c r="G2911">
        <v>1</v>
      </c>
      <c r="H2911">
        <v>1</v>
      </c>
      <c r="I2911">
        <v>0.01</v>
      </c>
      <c r="J2911">
        <v>400</v>
      </c>
      <c r="K2911">
        <v>-0.5</v>
      </c>
      <c r="L2911">
        <v>81.900000000000006</v>
      </c>
      <c r="M2911">
        <v>82.06</v>
      </c>
      <c r="N2911">
        <v>82.88</v>
      </c>
      <c r="O2911">
        <v>81.93</v>
      </c>
      <c r="P2911">
        <v>0</v>
      </c>
      <c r="Q2911">
        <v>0</v>
      </c>
      <c r="R2911">
        <v>0</v>
      </c>
      <c r="S2911">
        <v>82.23</v>
      </c>
      <c r="T2911">
        <v>82.32</v>
      </c>
      <c r="U2911">
        <v>81.900000000000006</v>
      </c>
      <c r="V2911">
        <v>82.77</v>
      </c>
      <c r="W2911">
        <v>27958</v>
      </c>
      <c r="X2911">
        <v>81.849999999999994</v>
      </c>
      <c r="Y2911">
        <v>81.95</v>
      </c>
      <c r="Z2911">
        <v>19</v>
      </c>
      <c r="AA2911">
        <v>4000000</v>
      </c>
      <c r="AB2911">
        <v>327.60000000000002</v>
      </c>
      <c r="AC2911">
        <v>0</v>
      </c>
      <c r="AD2911" t="s">
        <v>94</v>
      </c>
      <c r="AE2911" t="s">
        <v>94</v>
      </c>
      <c r="AF2911" t="s">
        <v>226</v>
      </c>
      <c r="AG2911" t="s">
        <v>226</v>
      </c>
      <c r="AH2911">
        <v>-100</v>
      </c>
      <c r="AI2911" t="s">
        <v>3537</v>
      </c>
      <c r="AJ2911" t="s">
        <v>1976</v>
      </c>
      <c r="AK2911" t="s">
        <v>3755</v>
      </c>
      <c r="AL2911" t="s">
        <v>272</v>
      </c>
    </row>
    <row r="2912" spans="1:38">
      <c r="A2912" t="s">
        <v>12199</v>
      </c>
      <c r="B2912" t="s">
        <v>1659</v>
      </c>
      <c r="C2912" t="s">
        <v>1660</v>
      </c>
      <c r="D2912" t="s">
        <v>1661</v>
      </c>
      <c r="E2912" t="s">
        <v>1662</v>
      </c>
      <c r="F2912" t="s">
        <v>1572</v>
      </c>
      <c r="G2912">
        <v>1</v>
      </c>
      <c r="H2912">
        <v>1</v>
      </c>
      <c r="I2912">
        <v>0.01</v>
      </c>
      <c r="J2912" t="s">
        <v>226</v>
      </c>
      <c r="K2912">
        <v>0</v>
      </c>
      <c r="L2912">
        <v>11.49</v>
      </c>
      <c r="M2912">
        <v>11.34</v>
      </c>
      <c r="N2912">
        <v>166.52</v>
      </c>
      <c r="O2912">
        <v>11.22</v>
      </c>
      <c r="P2912">
        <v>0</v>
      </c>
      <c r="Q2912">
        <v>0</v>
      </c>
      <c r="R2912">
        <v>0</v>
      </c>
      <c r="S2912">
        <v>11.29</v>
      </c>
      <c r="T2912">
        <v>11.49</v>
      </c>
      <c r="U2912">
        <v>11.48</v>
      </c>
      <c r="V2912">
        <v>11.5</v>
      </c>
      <c r="W2912">
        <v>539947</v>
      </c>
      <c r="X2912">
        <v>11.48</v>
      </c>
      <c r="Y2912">
        <v>11.49</v>
      </c>
      <c r="Z2912">
        <v>119</v>
      </c>
      <c r="AA2912">
        <v>0</v>
      </c>
      <c r="AB2912">
        <v>264.27</v>
      </c>
      <c r="AC2912">
        <v>0</v>
      </c>
      <c r="AD2912" t="s">
        <v>1663</v>
      </c>
      <c r="AE2912" t="s">
        <v>1663</v>
      </c>
      <c r="AF2912" t="s">
        <v>226</v>
      </c>
      <c r="AG2912" t="s">
        <v>226</v>
      </c>
      <c r="AH2912">
        <v>-100</v>
      </c>
      <c r="AI2912" t="s">
        <v>12200</v>
      </c>
      <c r="AJ2912" t="s">
        <v>12201</v>
      </c>
      <c r="AK2912" t="s">
        <v>1575</v>
      </c>
      <c r="AL2912" t="s">
        <v>272</v>
      </c>
    </row>
    <row r="2913" spans="1:38">
      <c r="A2913" t="s">
        <v>12202</v>
      </c>
      <c r="B2913" t="s">
        <v>1790</v>
      </c>
      <c r="C2913" t="s">
        <v>1791</v>
      </c>
      <c r="D2913" t="s">
        <v>1792</v>
      </c>
      <c r="E2913" t="s">
        <v>1793</v>
      </c>
      <c r="F2913" t="s">
        <v>1572</v>
      </c>
      <c r="G2913">
        <v>1</v>
      </c>
      <c r="H2913">
        <v>10</v>
      </c>
      <c r="I2913">
        <v>1E-3</v>
      </c>
      <c r="J2913" t="s">
        <v>226</v>
      </c>
      <c r="K2913">
        <v>-0.12</v>
      </c>
      <c r="L2913">
        <v>0.80400000000000005</v>
      </c>
      <c r="M2913">
        <v>0.79100000000000004</v>
      </c>
      <c r="N2913">
        <v>11.664</v>
      </c>
      <c r="O2913">
        <v>0.78600000000000003</v>
      </c>
      <c r="P2913">
        <v>0</v>
      </c>
      <c r="Q2913">
        <v>0</v>
      </c>
      <c r="R2913">
        <v>0</v>
      </c>
      <c r="S2913">
        <v>0.79</v>
      </c>
      <c r="T2913">
        <v>0.80500000000000005</v>
      </c>
      <c r="U2913">
        <v>0.80200000000000005</v>
      </c>
      <c r="V2913">
        <v>0.80500000000000005</v>
      </c>
      <c r="W2913">
        <v>55129</v>
      </c>
      <c r="X2913">
        <v>0.80400000000000005</v>
      </c>
      <c r="Y2913">
        <v>0.80800000000000005</v>
      </c>
      <c r="Z2913">
        <v>33</v>
      </c>
      <c r="AA2913">
        <v>0</v>
      </c>
      <c r="AB2913">
        <v>1591.92</v>
      </c>
      <c r="AC2913">
        <v>0</v>
      </c>
      <c r="AD2913" t="s">
        <v>1663</v>
      </c>
      <c r="AE2913" t="s">
        <v>1663</v>
      </c>
      <c r="AF2913" t="s">
        <v>226</v>
      </c>
      <c r="AG2913" t="s">
        <v>226</v>
      </c>
      <c r="AH2913">
        <v>-100</v>
      </c>
      <c r="AI2913" t="s">
        <v>12200</v>
      </c>
      <c r="AJ2913" t="s">
        <v>12201</v>
      </c>
      <c r="AK2913" t="s">
        <v>1575</v>
      </c>
      <c r="AL2913" t="s">
        <v>272</v>
      </c>
    </row>
    <row r="2914" spans="1:38">
      <c r="A2914" t="s">
        <v>12203</v>
      </c>
      <c r="B2914" t="s">
        <v>1800</v>
      </c>
      <c r="C2914" t="s">
        <v>1801</v>
      </c>
      <c r="D2914" t="s">
        <v>1802</v>
      </c>
      <c r="E2914" t="s">
        <v>1803</v>
      </c>
      <c r="F2914" t="s">
        <v>1572</v>
      </c>
      <c r="G2914">
        <v>1</v>
      </c>
      <c r="H2914">
        <v>10</v>
      </c>
      <c r="I2914">
        <v>1E-3</v>
      </c>
      <c r="J2914" t="s">
        <v>226</v>
      </c>
      <c r="K2914">
        <v>0.09</v>
      </c>
      <c r="L2914">
        <v>1.0740000000000001</v>
      </c>
      <c r="M2914">
        <v>1.0529999999999999</v>
      </c>
      <c r="N2914">
        <v>15.561</v>
      </c>
      <c r="O2914">
        <v>1.052</v>
      </c>
      <c r="P2914">
        <v>0</v>
      </c>
      <c r="Q2914">
        <v>0</v>
      </c>
      <c r="R2914">
        <v>0</v>
      </c>
      <c r="S2914">
        <v>1.0569999999999999</v>
      </c>
      <c r="T2914">
        <v>1.073</v>
      </c>
      <c r="U2914">
        <v>1.073</v>
      </c>
      <c r="V2914">
        <v>1.077</v>
      </c>
      <c r="W2914">
        <v>2046496</v>
      </c>
      <c r="X2914">
        <v>1.0740000000000001</v>
      </c>
      <c r="Y2914">
        <v>1.077</v>
      </c>
      <c r="Z2914">
        <v>274</v>
      </c>
      <c r="AA2914">
        <v>0</v>
      </c>
      <c r="AB2914">
        <v>773.28</v>
      </c>
      <c r="AC2914">
        <v>0</v>
      </c>
      <c r="AD2914" t="s">
        <v>1663</v>
      </c>
      <c r="AE2914" t="s">
        <v>1663</v>
      </c>
      <c r="AF2914" t="s">
        <v>226</v>
      </c>
      <c r="AG2914" t="s">
        <v>226</v>
      </c>
      <c r="AH2914">
        <v>-100</v>
      </c>
      <c r="AI2914" t="s">
        <v>12200</v>
      </c>
      <c r="AJ2914" t="s">
        <v>12201</v>
      </c>
      <c r="AK2914" t="s">
        <v>1575</v>
      </c>
      <c r="AL2914" t="s">
        <v>272</v>
      </c>
    </row>
  </sheetData>
  <autoFilter ref="A1:AL2914" xr:uid="{05D3500B-9078-4DD5-AB11-B9B771CC8213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D453A-4316-403F-90F5-A729F349F932}">
  <sheetPr codeName="Лист14">
    <tabColor theme="5"/>
  </sheetPr>
  <dimension ref="A1:U28"/>
  <sheetViews>
    <sheetView workbookViewId="0">
      <selection activeCell="C17" sqref="C17"/>
    </sheetView>
  </sheetViews>
  <sheetFormatPr defaultRowHeight="15"/>
  <cols>
    <col min="2" max="2" width="16.5703125" bestFit="1" customWidth="1"/>
    <col min="3" max="3" width="12.5703125" bestFit="1" customWidth="1"/>
    <col min="4" max="4" width="36.140625" bestFit="1" customWidth="1"/>
  </cols>
  <sheetData>
    <row r="1" spans="1:21">
      <c r="A1" t="s">
        <v>226</v>
      </c>
      <c r="B1" t="s">
        <v>229</v>
      </c>
      <c r="C1" t="s">
        <v>1964</v>
      </c>
      <c r="D1" t="s">
        <v>260</v>
      </c>
      <c r="E1" t="s">
        <v>1965</v>
      </c>
      <c r="F1" t="s">
        <v>231</v>
      </c>
      <c r="G1" t="s">
        <v>1966</v>
      </c>
      <c r="H1" t="s">
        <v>1967</v>
      </c>
      <c r="I1" t="s">
        <v>1968</v>
      </c>
      <c r="J1" t="s">
        <v>1969</v>
      </c>
      <c r="K1" t="s">
        <v>1970</v>
      </c>
      <c r="L1" t="s">
        <v>1971</v>
      </c>
      <c r="M1" t="s">
        <v>2063</v>
      </c>
      <c r="N1" t="s">
        <v>2064</v>
      </c>
      <c r="O1" t="s">
        <v>2065</v>
      </c>
      <c r="P1" t="s">
        <v>2066</v>
      </c>
      <c r="Q1" t="s">
        <v>2067</v>
      </c>
      <c r="R1" t="s">
        <v>2068</v>
      </c>
      <c r="S1" t="s">
        <v>2069</v>
      </c>
      <c r="T1" t="s">
        <v>2070</v>
      </c>
      <c r="U1" t="s">
        <v>2071</v>
      </c>
    </row>
    <row r="2" spans="1:21">
      <c r="A2">
        <v>1</v>
      </c>
      <c r="B2" t="s">
        <v>99</v>
      </c>
      <c r="C2" t="s">
        <v>188</v>
      </c>
      <c r="D2" t="s">
        <v>1574</v>
      </c>
      <c r="E2" t="s">
        <v>1972</v>
      </c>
      <c r="F2" t="s">
        <v>1973</v>
      </c>
      <c r="G2">
        <v>37000</v>
      </c>
      <c r="H2">
        <v>56894.9</v>
      </c>
      <c r="I2">
        <v>5.7362544125605917</v>
      </c>
      <c r="J2">
        <v>0</v>
      </c>
      <c r="K2">
        <v>1.5081329999999999</v>
      </c>
      <c r="L2">
        <v>1090.2789999999966</v>
      </c>
      <c r="M2">
        <v>2288</v>
      </c>
      <c r="N2">
        <v>37000</v>
      </c>
      <c r="O2">
        <v>0</v>
      </c>
      <c r="P2">
        <v>0.12</v>
      </c>
      <c r="Q2" t="s">
        <v>226</v>
      </c>
      <c r="R2">
        <v>1</v>
      </c>
      <c r="S2" t="s">
        <v>226</v>
      </c>
      <c r="T2">
        <v>0</v>
      </c>
      <c r="U2">
        <v>0</v>
      </c>
    </row>
    <row r="3" spans="1:21">
      <c r="A3">
        <v>2</v>
      </c>
      <c r="B3" t="s">
        <v>107</v>
      </c>
      <c r="C3" t="s">
        <v>108</v>
      </c>
      <c r="D3" t="s">
        <v>270</v>
      </c>
      <c r="E3" t="s">
        <v>1972</v>
      </c>
      <c r="F3" t="s">
        <v>1974</v>
      </c>
      <c r="G3">
        <v>6</v>
      </c>
      <c r="H3">
        <v>11618.400000000001</v>
      </c>
      <c r="I3">
        <v>1.1713896723061996</v>
      </c>
      <c r="J3">
        <v>0</v>
      </c>
      <c r="K3">
        <v>1688.5999999999995</v>
      </c>
      <c r="L3">
        <v>1483.200000000003</v>
      </c>
      <c r="M3">
        <v>1</v>
      </c>
      <c r="N3">
        <v>6</v>
      </c>
      <c r="O3">
        <v>0</v>
      </c>
      <c r="P3">
        <v>0.3</v>
      </c>
      <c r="Q3">
        <v>0.36</v>
      </c>
      <c r="R3">
        <v>1</v>
      </c>
      <c r="S3" t="s">
        <v>226</v>
      </c>
      <c r="T3">
        <v>0</v>
      </c>
      <c r="U3">
        <v>0</v>
      </c>
    </row>
    <row r="4" spans="1:21">
      <c r="A4">
        <v>3</v>
      </c>
      <c r="B4" t="s">
        <v>132</v>
      </c>
      <c r="C4" t="s">
        <v>133</v>
      </c>
      <c r="D4" t="s">
        <v>270</v>
      </c>
      <c r="E4" t="s">
        <v>1972</v>
      </c>
      <c r="F4" t="s">
        <v>1973</v>
      </c>
      <c r="G4">
        <v>25</v>
      </c>
      <c r="H4">
        <v>21485</v>
      </c>
      <c r="I4">
        <v>2.1661594633941585</v>
      </c>
      <c r="J4">
        <v>0</v>
      </c>
      <c r="K4">
        <v>854.3</v>
      </c>
      <c r="L4">
        <v>117.50000000000114</v>
      </c>
      <c r="M4">
        <v>4</v>
      </c>
      <c r="N4">
        <v>25</v>
      </c>
      <c r="O4">
        <v>0</v>
      </c>
      <c r="P4">
        <v>0.5</v>
      </c>
      <c r="Q4" t="s">
        <v>226</v>
      </c>
      <c r="R4">
        <v>1</v>
      </c>
      <c r="S4" t="s">
        <v>226</v>
      </c>
      <c r="T4">
        <v>0</v>
      </c>
      <c r="U4">
        <v>0</v>
      </c>
    </row>
    <row r="5" spans="1:21">
      <c r="A5">
        <v>4</v>
      </c>
      <c r="B5" t="s">
        <v>128</v>
      </c>
      <c r="C5" t="s">
        <v>129</v>
      </c>
      <c r="D5" t="s">
        <v>270</v>
      </c>
      <c r="E5" t="s">
        <v>1972</v>
      </c>
      <c r="F5" t="s">
        <v>1974</v>
      </c>
      <c r="G5">
        <v>50</v>
      </c>
      <c r="H5">
        <v>23102.5</v>
      </c>
      <c r="I5">
        <v>2.3292389575547383</v>
      </c>
      <c r="J5">
        <v>0</v>
      </c>
      <c r="K5">
        <v>554.20000000000005</v>
      </c>
      <c r="L5">
        <v>-4610.0000000000018</v>
      </c>
      <c r="M5">
        <v>7</v>
      </c>
      <c r="N5">
        <v>50</v>
      </c>
      <c r="O5">
        <v>0</v>
      </c>
      <c r="P5">
        <v>0.5</v>
      </c>
      <c r="Q5">
        <v>0.5</v>
      </c>
      <c r="R5">
        <v>1</v>
      </c>
      <c r="S5" t="s">
        <v>226</v>
      </c>
      <c r="T5">
        <v>0</v>
      </c>
      <c r="U5">
        <v>0</v>
      </c>
    </row>
    <row r="6" spans="1:21">
      <c r="A6">
        <v>5</v>
      </c>
      <c r="B6" t="s">
        <v>453</v>
      </c>
      <c r="C6" t="s">
        <v>454</v>
      </c>
      <c r="D6" t="s">
        <v>270</v>
      </c>
      <c r="E6" t="s">
        <v>1972</v>
      </c>
      <c r="F6" t="s">
        <v>1974</v>
      </c>
      <c r="G6">
        <v>50</v>
      </c>
      <c r="H6">
        <v>56300</v>
      </c>
      <c r="I6">
        <v>5.6762754381704035</v>
      </c>
      <c r="J6">
        <v>0</v>
      </c>
      <c r="K6">
        <v>1648.2500000000002</v>
      </c>
      <c r="L6">
        <v>-26137.500000000011</v>
      </c>
      <c r="M6">
        <v>3</v>
      </c>
      <c r="N6">
        <v>50</v>
      </c>
      <c r="O6">
        <v>0</v>
      </c>
      <c r="P6">
        <v>0.28000000000000003</v>
      </c>
      <c r="Q6">
        <v>0.24</v>
      </c>
      <c r="R6">
        <v>1</v>
      </c>
      <c r="S6" t="s">
        <v>226</v>
      </c>
      <c r="T6">
        <v>0</v>
      </c>
      <c r="U6">
        <v>0</v>
      </c>
    </row>
    <row r="7" spans="1:21">
      <c r="A7">
        <v>6</v>
      </c>
      <c r="B7" t="s">
        <v>134</v>
      </c>
      <c r="C7" t="s">
        <v>135</v>
      </c>
      <c r="D7" t="s">
        <v>270</v>
      </c>
      <c r="E7" t="s">
        <v>1972</v>
      </c>
      <c r="F7" t="s">
        <v>1973</v>
      </c>
      <c r="G7">
        <v>240</v>
      </c>
      <c r="H7">
        <v>78208.800000000003</v>
      </c>
      <c r="I7">
        <v>7.8851632413637915</v>
      </c>
      <c r="J7">
        <v>0</v>
      </c>
      <c r="K7">
        <v>74.333332999999996</v>
      </c>
      <c r="L7">
        <v>60366.400080000007</v>
      </c>
      <c r="M7">
        <v>10</v>
      </c>
      <c r="N7">
        <v>240</v>
      </c>
      <c r="O7">
        <v>0</v>
      </c>
      <c r="P7">
        <v>0.32</v>
      </c>
      <c r="Q7" t="s">
        <v>226</v>
      </c>
      <c r="R7">
        <v>1</v>
      </c>
      <c r="S7" t="s">
        <v>226</v>
      </c>
      <c r="T7">
        <v>0</v>
      </c>
      <c r="U7">
        <v>0</v>
      </c>
    </row>
    <row r="8" spans="1:21">
      <c r="A8">
        <v>7</v>
      </c>
      <c r="B8" t="s">
        <v>130</v>
      </c>
      <c r="C8" t="s">
        <v>131</v>
      </c>
      <c r="D8" t="s">
        <v>270</v>
      </c>
      <c r="E8" t="s">
        <v>1972</v>
      </c>
      <c r="F8" t="s">
        <v>1974</v>
      </c>
      <c r="G8">
        <v>40</v>
      </c>
      <c r="H8">
        <v>22510</v>
      </c>
      <c r="I8">
        <v>2.2695019558297655</v>
      </c>
      <c r="J8">
        <v>0</v>
      </c>
      <c r="K8">
        <v>562.5</v>
      </c>
      <c r="L8">
        <v>14.000000000000909</v>
      </c>
      <c r="M8">
        <v>6</v>
      </c>
      <c r="N8">
        <v>40</v>
      </c>
      <c r="O8">
        <v>0</v>
      </c>
      <c r="P8">
        <v>0.22</v>
      </c>
      <c r="Q8">
        <v>0.14000000000000001</v>
      </c>
      <c r="R8">
        <v>1</v>
      </c>
      <c r="S8" t="s">
        <v>226</v>
      </c>
      <c r="T8">
        <v>0</v>
      </c>
      <c r="U8">
        <v>0</v>
      </c>
    </row>
    <row r="9" spans="1:21">
      <c r="A9">
        <v>8</v>
      </c>
      <c r="B9" t="s">
        <v>136</v>
      </c>
      <c r="C9" t="s">
        <v>137</v>
      </c>
      <c r="D9" t="s">
        <v>270</v>
      </c>
      <c r="E9" t="s">
        <v>1972</v>
      </c>
      <c r="F9" t="s">
        <v>1974</v>
      </c>
      <c r="G9">
        <v>5000</v>
      </c>
      <c r="H9">
        <v>19315.000000000004</v>
      </c>
      <c r="I9">
        <v>1.9473758452621914</v>
      </c>
      <c r="J9">
        <v>0</v>
      </c>
      <c r="K9">
        <v>3.8736800000000002</v>
      </c>
      <c r="L9">
        <v>-55.900000000002059</v>
      </c>
      <c r="M9">
        <v>910</v>
      </c>
      <c r="N9">
        <v>5000</v>
      </c>
      <c r="O9">
        <v>0</v>
      </c>
      <c r="P9">
        <v>0.26</v>
      </c>
      <c r="Q9">
        <v>0.22</v>
      </c>
      <c r="R9">
        <v>1</v>
      </c>
      <c r="S9" t="s">
        <v>226</v>
      </c>
      <c r="T9">
        <v>0</v>
      </c>
      <c r="U9">
        <v>0</v>
      </c>
    </row>
    <row r="10" spans="1:21">
      <c r="A10">
        <v>9</v>
      </c>
      <c r="B10" t="s">
        <v>101</v>
      </c>
      <c r="C10" t="s">
        <v>102</v>
      </c>
      <c r="D10" t="s">
        <v>270</v>
      </c>
      <c r="E10" t="s">
        <v>1972</v>
      </c>
      <c r="F10" t="s">
        <v>1974</v>
      </c>
      <c r="G10">
        <v>8</v>
      </c>
      <c r="H10">
        <v>54484</v>
      </c>
      <c r="I10">
        <v>5.49318278815766</v>
      </c>
      <c r="J10">
        <v>0</v>
      </c>
      <c r="K10">
        <v>4004.8749999999995</v>
      </c>
      <c r="L10">
        <v>22441.000000000004</v>
      </c>
      <c r="M10">
        <v>0</v>
      </c>
      <c r="N10">
        <v>8</v>
      </c>
      <c r="O10">
        <v>0</v>
      </c>
      <c r="P10">
        <v>0.2</v>
      </c>
      <c r="Q10">
        <v>0.12</v>
      </c>
      <c r="R10">
        <v>1</v>
      </c>
      <c r="S10" t="s">
        <v>226</v>
      </c>
      <c r="T10">
        <v>0</v>
      </c>
      <c r="U10">
        <v>0</v>
      </c>
    </row>
    <row r="11" spans="1:21">
      <c r="A11">
        <v>10</v>
      </c>
      <c r="B11" t="s">
        <v>770</v>
      </c>
      <c r="C11" t="s">
        <v>771</v>
      </c>
      <c r="D11" t="s">
        <v>270</v>
      </c>
      <c r="E11" t="s">
        <v>1972</v>
      </c>
      <c r="F11" t="s">
        <v>1974</v>
      </c>
      <c r="G11">
        <v>50</v>
      </c>
      <c r="H11">
        <v>13850</v>
      </c>
      <c r="I11">
        <v>1.3963839221786873</v>
      </c>
      <c r="J11">
        <v>0</v>
      </c>
      <c r="K11">
        <v>613</v>
      </c>
      <c r="L11">
        <v>-16810</v>
      </c>
      <c r="M11">
        <v>12</v>
      </c>
      <c r="N11">
        <v>50</v>
      </c>
      <c r="O11">
        <v>0</v>
      </c>
      <c r="P11">
        <v>0.38</v>
      </c>
      <c r="Q11">
        <v>0.34</v>
      </c>
      <c r="R11">
        <v>1</v>
      </c>
      <c r="S11" t="s">
        <v>226</v>
      </c>
      <c r="T11">
        <v>0</v>
      </c>
      <c r="U11">
        <v>0</v>
      </c>
    </row>
    <row r="12" spans="1:21">
      <c r="A12">
        <v>11</v>
      </c>
      <c r="B12" t="s">
        <v>120</v>
      </c>
      <c r="C12" t="s">
        <v>121</v>
      </c>
      <c r="D12" t="s">
        <v>270</v>
      </c>
      <c r="E12" t="s">
        <v>1972</v>
      </c>
      <c r="F12" t="s">
        <v>1974</v>
      </c>
      <c r="G12">
        <v>140</v>
      </c>
      <c r="H12">
        <v>26507.600000000002</v>
      </c>
      <c r="I12">
        <v>2.6725477585230157</v>
      </c>
      <c r="J12">
        <v>0</v>
      </c>
      <c r="K12">
        <v>189.96</v>
      </c>
      <c r="L12">
        <v>-86.800000000000637</v>
      </c>
      <c r="M12">
        <v>18</v>
      </c>
      <c r="N12">
        <v>140</v>
      </c>
      <c r="O12">
        <v>0</v>
      </c>
      <c r="P12">
        <v>0.18</v>
      </c>
      <c r="Q12">
        <v>0.2</v>
      </c>
      <c r="R12">
        <v>1</v>
      </c>
      <c r="S12" t="s">
        <v>226</v>
      </c>
      <c r="T12">
        <v>0</v>
      </c>
      <c r="U12">
        <v>0</v>
      </c>
    </row>
    <row r="13" spans="1:21">
      <c r="A13">
        <v>12</v>
      </c>
      <c r="B13" t="s">
        <v>878</v>
      </c>
      <c r="C13" t="s">
        <v>879</v>
      </c>
      <c r="D13" t="s">
        <v>270</v>
      </c>
      <c r="E13" t="s">
        <v>1972</v>
      </c>
      <c r="F13" t="s">
        <v>1974</v>
      </c>
      <c r="G13">
        <v>12</v>
      </c>
      <c r="H13">
        <v>7212</v>
      </c>
      <c r="I13">
        <v>0.72712785897131349</v>
      </c>
      <c r="J13">
        <v>0</v>
      </c>
      <c r="K13">
        <v>4514.6000000000004</v>
      </c>
      <c r="L13">
        <v>-46975.200000000004</v>
      </c>
      <c r="M13">
        <v>5</v>
      </c>
      <c r="N13">
        <v>12</v>
      </c>
      <c r="O13">
        <v>0</v>
      </c>
      <c r="P13">
        <v>0.3</v>
      </c>
      <c r="Q13">
        <v>0.36</v>
      </c>
      <c r="R13">
        <v>1</v>
      </c>
      <c r="S13" t="s">
        <v>226</v>
      </c>
      <c r="T13">
        <v>0</v>
      </c>
      <c r="U13">
        <v>0</v>
      </c>
    </row>
    <row r="14" spans="1:21">
      <c r="A14">
        <v>13</v>
      </c>
      <c r="B14" t="s">
        <v>109</v>
      </c>
      <c r="C14" t="s">
        <v>110</v>
      </c>
      <c r="D14" t="s">
        <v>270</v>
      </c>
      <c r="E14" t="s">
        <v>1972</v>
      </c>
      <c r="F14" t="s">
        <v>1974</v>
      </c>
      <c r="G14">
        <v>100</v>
      </c>
      <c r="H14">
        <v>5540</v>
      </c>
      <c r="I14">
        <v>0.55855356887147489</v>
      </c>
      <c r="J14">
        <v>0</v>
      </c>
      <c r="K14">
        <v>72.599999999999994</v>
      </c>
      <c r="L14">
        <v>-1720.9999999999993</v>
      </c>
      <c r="M14">
        <v>63</v>
      </c>
      <c r="N14">
        <v>100</v>
      </c>
      <c r="O14">
        <v>0</v>
      </c>
      <c r="P14">
        <v>0.18</v>
      </c>
      <c r="Q14">
        <v>0.22</v>
      </c>
      <c r="R14">
        <v>1</v>
      </c>
      <c r="S14" t="s">
        <v>226</v>
      </c>
      <c r="T14">
        <v>0</v>
      </c>
      <c r="U14">
        <v>0</v>
      </c>
    </row>
    <row r="15" spans="1:21">
      <c r="A15">
        <v>14</v>
      </c>
      <c r="B15" t="s">
        <v>988</v>
      </c>
      <c r="C15" t="s">
        <v>989</v>
      </c>
      <c r="D15" t="s">
        <v>270</v>
      </c>
      <c r="E15" t="s">
        <v>1972</v>
      </c>
      <c r="F15" t="s">
        <v>1974</v>
      </c>
      <c r="G15">
        <v>10000</v>
      </c>
      <c r="H15">
        <v>10990</v>
      </c>
      <c r="I15">
        <v>1.1080331627973843</v>
      </c>
      <c r="J15">
        <v>0</v>
      </c>
      <c r="K15">
        <v>1.073</v>
      </c>
      <c r="L15">
        <v>255.0000000000008</v>
      </c>
      <c r="M15">
        <v>3201</v>
      </c>
      <c r="N15">
        <v>10000</v>
      </c>
      <c r="O15">
        <v>0</v>
      </c>
      <c r="P15">
        <v>0.26</v>
      </c>
      <c r="Q15">
        <v>0.22</v>
      </c>
      <c r="R15">
        <v>1</v>
      </c>
      <c r="S15" t="s">
        <v>226</v>
      </c>
      <c r="T15">
        <v>0</v>
      </c>
      <c r="U15">
        <v>0</v>
      </c>
    </row>
    <row r="16" spans="1:21">
      <c r="A16">
        <v>15</v>
      </c>
      <c r="B16" t="s">
        <v>998</v>
      </c>
      <c r="C16" t="s">
        <v>999</v>
      </c>
      <c r="D16" t="s">
        <v>270</v>
      </c>
      <c r="E16" t="s">
        <v>1972</v>
      </c>
      <c r="F16" t="s">
        <v>1974</v>
      </c>
      <c r="G16">
        <v>230000</v>
      </c>
      <c r="H16">
        <v>76176</v>
      </c>
      <c r="I16">
        <v>7.6802123939266194</v>
      </c>
      <c r="J16">
        <v>0</v>
      </c>
      <c r="K16">
        <v>0.30294700000000008</v>
      </c>
      <c r="L16">
        <v>6498.1899999999805</v>
      </c>
      <c r="M16">
        <v>10604</v>
      </c>
      <c r="N16">
        <v>230000</v>
      </c>
      <c r="O16">
        <v>0</v>
      </c>
      <c r="P16">
        <v>0.36</v>
      </c>
      <c r="Q16">
        <v>1</v>
      </c>
      <c r="R16">
        <v>1</v>
      </c>
      <c r="S16" t="s">
        <v>226</v>
      </c>
      <c r="T16">
        <v>0</v>
      </c>
      <c r="U16">
        <v>0</v>
      </c>
    </row>
    <row r="17" spans="1:21">
      <c r="A17">
        <v>16</v>
      </c>
      <c r="B17" t="s">
        <v>1152</v>
      </c>
      <c r="C17" t="s">
        <v>1153</v>
      </c>
      <c r="D17" t="s">
        <v>270</v>
      </c>
      <c r="E17" t="s">
        <v>1972</v>
      </c>
      <c r="F17" t="s">
        <v>1974</v>
      </c>
      <c r="G17">
        <v>400</v>
      </c>
      <c r="H17">
        <v>94320</v>
      </c>
      <c r="I17">
        <v>9.5095257429526203</v>
      </c>
      <c r="J17">
        <v>0</v>
      </c>
      <c r="K17">
        <v>159.48874900000001</v>
      </c>
      <c r="L17">
        <v>30504.500399999994</v>
      </c>
      <c r="M17">
        <v>14</v>
      </c>
      <c r="N17">
        <v>400</v>
      </c>
      <c r="O17">
        <v>0</v>
      </c>
      <c r="P17">
        <v>0.16</v>
      </c>
      <c r="Q17">
        <v>0.16</v>
      </c>
      <c r="R17">
        <v>1</v>
      </c>
      <c r="S17" t="s">
        <v>226</v>
      </c>
      <c r="T17">
        <v>0</v>
      </c>
      <c r="U17">
        <v>0</v>
      </c>
    </row>
    <row r="18" spans="1:21">
      <c r="A18">
        <v>17</v>
      </c>
      <c r="B18" t="s">
        <v>1157</v>
      </c>
      <c r="C18" t="s">
        <v>1158</v>
      </c>
      <c r="D18" t="s">
        <v>270</v>
      </c>
      <c r="E18" t="s">
        <v>1972</v>
      </c>
      <c r="F18" t="s">
        <v>1974</v>
      </c>
      <c r="G18">
        <v>300</v>
      </c>
      <c r="H18">
        <v>70752</v>
      </c>
      <c r="I18">
        <v>7.1333541705405406</v>
      </c>
      <c r="J18">
        <v>0</v>
      </c>
      <c r="K18">
        <v>195.632666</v>
      </c>
      <c r="L18">
        <v>12047.200200000007</v>
      </c>
      <c r="M18">
        <v>14</v>
      </c>
      <c r="N18">
        <v>300</v>
      </c>
      <c r="O18">
        <v>0</v>
      </c>
      <c r="P18">
        <v>0.18</v>
      </c>
      <c r="Q18">
        <v>0.24</v>
      </c>
      <c r="R18">
        <v>1</v>
      </c>
      <c r="S18" t="s">
        <v>226</v>
      </c>
      <c r="T18">
        <v>0</v>
      </c>
      <c r="U18">
        <v>0</v>
      </c>
    </row>
    <row r="19" spans="1:21">
      <c r="A19">
        <v>18</v>
      </c>
      <c r="B19" t="s">
        <v>122</v>
      </c>
      <c r="C19" t="s">
        <v>123</v>
      </c>
      <c r="D19" t="s">
        <v>270</v>
      </c>
      <c r="E19" t="s">
        <v>1972</v>
      </c>
      <c r="F19" t="s">
        <v>1974</v>
      </c>
      <c r="G19">
        <v>1000</v>
      </c>
      <c r="H19">
        <v>12700</v>
      </c>
      <c r="I19">
        <v>1.2804386867631283</v>
      </c>
      <c r="J19">
        <v>0</v>
      </c>
      <c r="K19">
        <v>19.16</v>
      </c>
      <c r="L19">
        <v>-6460.0000000000009</v>
      </c>
      <c r="M19">
        <v>276</v>
      </c>
      <c r="N19">
        <v>1000</v>
      </c>
      <c r="O19">
        <v>0</v>
      </c>
      <c r="P19">
        <v>0.5</v>
      </c>
      <c r="Q19">
        <v>0.3</v>
      </c>
      <c r="R19">
        <v>1</v>
      </c>
      <c r="S19" t="s">
        <v>226</v>
      </c>
      <c r="T19">
        <v>0</v>
      </c>
      <c r="U19">
        <v>0</v>
      </c>
    </row>
    <row r="20" spans="1:21">
      <c r="A20">
        <v>19</v>
      </c>
      <c r="B20" t="s">
        <v>112</v>
      </c>
      <c r="C20" t="s">
        <v>113</v>
      </c>
      <c r="D20" t="s">
        <v>270</v>
      </c>
      <c r="E20" t="s">
        <v>1972</v>
      </c>
      <c r="F20" t="s">
        <v>1974</v>
      </c>
      <c r="G20">
        <v>500</v>
      </c>
      <c r="H20">
        <v>28985.000000000004</v>
      </c>
      <c r="I20">
        <v>2.9223240421912822</v>
      </c>
      <c r="J20">
        <v>0</v>
      </c>
      <c r="K20">
        <v>52.92</v>
      </c>
      <c r="L20">
        <v>2527.5</v>
      </c>
      <c r="M20">
        <v>60</v>
      </c>
      <c r="N20">
        <v>500</v>
      </c>
      <c r="O20">
        <v>0</v>
      </c>
      <c r="P20">
        <v>0.2</v>
      </c>
      <c r="Q20">
        <v>0.2</v>
      </c>
      <c r="R20">
        <v>1</v>
      </c>
      <c r="S20" t="s">
        <v>226</v>
      </c>
      <c r="T20">
        <v>0</v>
      </c>
      <c r="U20">
        <v>0</v>
      </c>
    </row>
    <row r="21" spans="1:21">
      <c r="A21">
        <v>20</v>
      </c>
      <c r="B21" t="s">
        <v>1336</v>
      </c>
      <c r="C21" t="s">
        <v>1337</v>
      </c>
      <c r="D21" t="s">
        <v>270</v>
      </c>
      <c r="E21" t="s">
        <v>1972</v>
      </c>
      <c r="F21" t="s">
        <v>1974</v>
      </c>
      <c r="G21">
        <v>50</v>
      </c>
      <c r="H21">
        <v>27450</v>
      </c>
      <c r="I21">
        <v>2.7675623583974702</v>
      </c>
      <c r="J21">
        <v>0</v>
      </c>
      <c r="K21">
        <v>497.40000000000003</v>
      </c>
      <c r="L21">
        <v>2574.9999999999973</v>
      </c>
      <c r="M21">
        <v>6</v>
      </c>
      <c r="N21">
        <v>50</v>
      </c>
      <c r="O21">
        <v>0</v>
      </c>
      <c r="P21">
        <v>0.16</v>
      </c>
      <c r="Q21">
        <v>0.12</v>
      </c>
      <c r="R21">
        <v>1</v>
      </c>
      <c r="S21" t="s">
        <v>226</v>
      </c>
      <c r="T21">
        <v>0</v>
      </c>
      <c r="U21">
        <v>0</v>
      </c>
    </row>
    <row r="22" spans="1:21">
      <c r="A22">
        <v>21</v>
      </c>
      <c r="B22" t="s">
        <v>114</v>
      </c>
      <c r="C22" t="s">
        <v>115</v>
      </c>
      <c r="D22" t="s">
        <v>270</v>
      </c>
      <c r="E22" t="s">
        <v>1972</v>
      </c>
      <c r="F22" t="s">
        <v>1974</v>
      </c>
      <c r="G22">
        <v>9</v>
      </c>
      <c r="H22">
        <v>21589.200000000001</v>
      </c>
      <c r="I22">
        <v>2.1766651099422467</v>
      </c>
      <c r="J22">
        <v>0</v>
      </c>
      <c r="K22">
        <v>3881.388887999999</v>
      </c>
      <c r="L22">
        <v>-13343.299991999989</v>
      </c>
      <c r="M22">
        <v>1</v>
      </c>
      <c r="N22">
        <v>9</v>
      </c>
      <c r="O22">
        <v>0</v>
      </c>
      <c r="P22">
        <v>0.16</v>
      </c>
      <c r="Q22">
        <v>0.16</v>
      </c>
      <c r="R22">
        <v>1</v>
      </c>
      <c r="S22" t="s">
        <v>226</v>
      </c>
      <c r="T22">
        <v>0</v>
      </c>
      <c r="U22">
        <v>0</v>
      </c>
    </row>
    <row r="23" spans="1:21">
      <c r="A23">
        <v>22</v>
      </c>
      <c r="B23" t="s">
        <v>116</v>
      </c>
      <c r="C23" t="s">
        <v>117</v>
      </c>
      <c r="D23" t="s">
        <v>270</v>
      </c>
      <c r="E23" t="s">
        <v>1972</v>
      </c>
      <c r="F23" t="s">
        <v>1974</v>
      </c>
      <c r="G23">
        <v>11</v>
      </c>
      <c r="H23">
        <v>11077</v>
      </c>
      <c r="I23">
        <v>1.1168046719114311</v>
      </c>
      <c r="J23">
        <v>0</v>
      </c>
      <c r="K23">
        <v>1369.5</v>
      </c>
      <c r="L23">
        <v>-3993</v>
      </c>
      <c r="M23">
        <v>3</v>
      </c>
      <c r="N23">
        <v>11</v>
      </c>
      <c r="O23">
        <v>0</v>
      </c>
      <c r="P23">
        <v>0.24</v>
      </c>
      <c r="Q23">
        <v>0.18</v>
      </c>
      <c r="R23">
        <v>1</v>
      </c>
      <c r="S23" t="s">
        <v>226</v>
      </c>
      <c r="T23">
        <v>0</v>
      </c>
      <c r="U23">
        <v>0</v>
      </c>
    </row>
    <row r="24" spans="1:21">
      <c r="A24">
        <v>23</v>
      </c>
      <c r="B24" t="s">
        <v>124</v>
      </c>
      <c r="C24" t="s">
        <v>125</v>
      </c>
      <c r="D24" t="s">
        <v>270</v>
      </c>
      <c r="E24" t="s">
        <v>1972</v>
      </c>
      <c r="F24" t="s">
        <v>1974</v>
      </c>
      <c r="G24">
        <v>7</v>
      </c>
      <c r="H24">
        <v>29883</v>
      </c>
      <c r="I24">
        <v>3.012862147759257</v>
      </c>
      <c r="J24">
        <v>0</v>
      </c>
      <c r="K24">
        <v>4263.2857142857147</v>
      </c>
      <c r="L24">
        <v>39.999999999997272</v>
      </c>
      <c r="M24">
        <v>0</v>
      </c>
      <c r="N24">
        <v>7</v>
      </c>
      <c r="O24">
        <v>0</v>
      </c>
      <c r="P24">
        <v>0.34</v>
      </c>
      <c r="Q24">
        <v>0.5</v>
      </c>
      <c r="R24">
        <v>1</v>
      </c>
      <c r="S24" t="s">
        <v>226</v>
      </c>
      <c r="T24">
        <v>0</v>
      </c>
      <c r="U24">
        <v>0</v>
      </c>
    </row>
    <row r="25" spans="1:21">
      <c r="A25">
        <v>24</v>
      </c>
      <c r="B25" t="s">
        <v>118</v>
      </c>
      <c r="C25" t="s">
        <v>119</v>
      </c>
      <c r="D25" t="s">
        <v>270</v>
      </c>
      <c r="E25" t="s">
        <v>1972</v>
      </c>
      <c r="F25" t="s">
        <v>1974</v>
      </c>
      <c r="G25">
        <v>30</v>
      </c>
      <c r="H25">
        <v>101415</v>
      </c>
      <c r="I25">
        <v>10.224857434494698</v>
      </c>
      <c r="J25">
        <v>0</v>
      </c>
      <c r="K25">
        <v>4144.349999</v>
      </c>
      <c r="L25">
        <v>-22915.499970000001</v>
      </c>
      <c r="M25">
        <v>1</v>
      </c>
      <c r="N25">
        <v>30</v>
      </c>
      <c r="O25">
        <v>0</v>
      </c>
      <c r="P25">
        <v>0.2</v>
      </c>
      <c r="Q25">
        <v>0.22</v>
      </c>
      <c r="R25">
        <v>1</v>
      </c>
      <c r="S25" t="s">
        <v>226</v>
      </c>
      <c r="T25">
        <v>0</v>
      </c>
      <c r="U25">
        <v>0</v>
      </c>
    </row>
    <row r="26" spans="1:21">
      <c r="A26">
        <v>25</v>
      </c>
      <c r="B26" t="s">
        <v>1977</v>
      </c>
      <c r="C26" t="s">
        <v>1975</v>
      </c>
      <c r="D26" t="s">
        <v>1976</v>
      </c>
      <c r="E26" t="s">
        <v>1972</v>
      </c>
      <c r="F26" t="s">
        <v>226</v>
      </c>
      <c r="G26">
        <v>50</v>
      </c>
      <c r="H26">
        <v>48268.000000000007</v>
      </c>
      <c r="I26">
        <v>4.8664735852506054</v>
      </c>
      <c r="J26">
        <v>0</v>
      </c>
      <c r="K26">
        <v>94.3</v>
      </c>
      <c r="L26">
        <v>19.999999999998863</v>
      </c>
      <c r="M26">
        <v>3</v>
      </c>
      <c r="N26">
        <v>50</v>
      </c>
      <c r="O26">
        <v>0</v>
      </c>
      <c r="P26">
        <v>1</v>
      </c>
      <c r="Q26" t="s">
        <v>226</v>
      </c>
      <c r="R26">
        <v>1</v>
      </c>
      <c r="S26" t="s">
        <v>226</v>
      </c>
      <c r="T26">
        <v>0</v>
      </c>
      <c r="U26">
        <v>0</v>
      </c>
    </row>
    <row r="27" spans="1:21">
      <c r="A27">
        <v>26</v>
      </c>
      <c r="B27" t="s">
        <v>1979</v>
      </c>
      <c r="C27" t="s">
        <v>1978</v>
      </c>
      <c r="D27" t="s">
        <v>1976</v>
      </c>
      <c r="E27" t="s">
        <v>1972</v>
      </c>
      <c r="F27" t="s">
        <v>226</v>
      </c>
      <c r="G27">
        <v>32</v>
      </c>
      <c r="H27">
        <v>30217.279999999999</v>
      </c>
      <c r="I27">
        <v>3.0465649071459642</v>
      </c>
      <c r="J27">
        <v>0</v>
      </c>
      <c r="K27">
        <v>90.759375000000006</v>
      </c>
      <c r="L27">
        <v>-3</v>
      </c>
      <c r="M27">
        <v>3</v>
      </c>
      <c r="N27">
        <v>32</v>
      </c>
      <c r="O27">
        <v>0</v>
      </c>
      <c r="P27">
        <v>1</v>
      </c>
      <c r="Q27" t="s">
        <v>226</v>
      </c>
      <c r="R27">
        <v>1</v>
      </c>
      <c r="S27" t="s">
        <v>226</v>
      </c>
      <c r="T27">
        <v>0</v>
      </c>
      <c r="U27">
        <v>0</v>
      </c>
    </row>
    <row r="28" spans="1:21">
      <c r="A28">
        <v>27</v>
      </c>
      <c r="B28" t="s">
        <v>1981</v>
      </c>
      <c r="C28" t="s">
        <v>1980</v>
      </c>
      <c r="D28" t="s">
        <v>1976</v>
      </c>
      <c r="E28" t="s">
        <v>1972</v>
      </c>
      <c r="F28" t="s">
        <v>226</v>
      </c>
      <c r="G28">
        <v>30</v>
      </c>
      <c r="H28">
        <v>27478.2</v>
      </c>
      <c r="I28">
        <v>2.7704055372137475</v>
      </c>
      <c r="J28">
        <v>0</v>
      </c>
      <c r="K28">
        <v>89.36</v>
      </c>
      <c r="L28">
        <v>83.999999999998636</v>
      </c>
      <c r="M28">
        <v>3</v>
      </c>
      <c r="N28">
        <v>30</v>
      </c>
      <c r="O28">
        <v>0</v>
      </c>
      <c r="P28">
        <v>1</v>
      </c>
      <c r="Q28" t="s">
        <v>226</v>
      </c>
      <c r="R28">
        <v>1</v>
      </c>
      <c r="S28" t="s">
        <v>226</v>
      </c>
      <c r="T28">
        <v>0</v>
      </c>
      <c r="U28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AE8-308E-4625-A92B-DE9E06CF2A1F}">
  <sheetPr codeName="Лист15">
    <tabColor theme="5"/>
  </sheetPr>
  <dimension ref="A1:L5"/>
  <sheetViews>
    <sheetView workbookViewId="0">
      <selection activeCell="I12" sqref="I12"/>
    </sheetView>
  </sheetViews>
  <sheetFormatPr defaultRowHeight="15"/>
  <sheetData>
    <row r="1" spans="1:12">
      <c r="A1" t="s">
        <v>226</v>
      </c>
      <c r="B1" t="s">
        <v>1965</v>
      </c>
      <c r="C1" t="s">
        <v>52</v>
      </c>
      <c r="D1" t="s">
        <v>1982</v>
      </c>
      <c r="E1" t="s">
        <v>1983</v>
      </c>
      <c r="F1" t="s">
        <v>1984</v>
      </c>
      <c r="G1" t="s">
        <v>1985</v>
      </c>
      <c r="H1" t="s">
        <v>1986</v>
      </c>
      <c r="I1" t="s">
        <v>1987</v>
      </c>
      <c r="J1" t="s">
        <v>1988</v>
      </c>
      <c r="K1" t="s">
        <v>1989</v>
      </c>
      <c r="L1" t="s">
        <v>1990</v>
      </c>
    </row>
    <row r="2" spans="1:12">
      <c r="A2">
        <v>1</v>
      </c>
      <c r="B2" t="s">
        <v>1991</v>
      </c>
      <c r="C2" t="s">
        <v>94</v>
      </c>
      <c r="D2" t="s">
        <v>1992</v>
      </c>
      <c r="E2">
        <v>103.33</v>
      </c>
      <c r="F2">
        <v>0</v>
      </c>
      <c r="G2">
        <v>103.33</v>
      </c>
      <c r="H2">
        <v>0</v>
      </c>
      <c r="I2">
        <v>103.33</v>
      </c>
      <c r="J2">
        <v>103.33</v>
      </c>
      <c r="K2">
        <v>0</v>
      </c>
      <c r="L2">
        <v>10.119999999999999</v>
      </c>
    </row>
    <row r="3" spans="1:12">
      <c r="A3">
        <v>2</v>
      </c>
      <c r="B3" t="s">
        <v>1993</v>
      </c>
      <c r="C3" t="s">
        <v>94</v>
      </c>
      <c r="D3" t="s">
        <v>1992</v>
      </c>
      <c r="E3">
        <v>103.33</v>
      </c>
      <c r="F3">
        <v>0</v>
      </c>
      <c r="G3">
        <v>3518.69</v>
      </c>
      <c r="H3">
        <v>0</v>
      </c>
      <c r="I3">
        <v>3518.69</v>
      </c>
      <c r="J3">
        <v>3518.69</v>
      </c>
      <c r="K3">
        <v>0</v>
      </c>
      <c r="L3">
        <v>10.119999999999999</v>
      </c>
    </row>
    <row r="4" spans="1:12">
      <c r="A4">
        <v>3</v>
      </c>
      <c r="B4" t="s">
        <v>1994</v>
      </c>
      <c r="C4" t="s">
        <v>94</v>
      </c>
      <c r="D4" t="s">
        <v>1992</v>
      </c>
      <c r="E4">
        <v>103.33</v>
      </c>
      <c r="F4">
        <v>0</v>
      </c>
      <c r="G4">
        <v>3518.69</v>
      </c>
      <c r="H4">
        <v>0</v>
      </c>
      <c r="I4">
        <v>3518.69</v>
      </c>
      <c r="J4">
        <v>3518.69</v>
      </c>
      <c r="K4">
        <v>0</v>
      </c>
      <c r="L4">
        <v>10.119999999999999</v>
      </c>
    </row>
    <row r="5" spans="1:12">
      <c r="A5">
        <v>4</v>
      </c>
      <c r="B5" t="s">
        <v>1995</v>
      </c>
      <c r="C5" t="s">
        <v>94</v>
      </c>
      <c r="D5" t="s">
        <v>1992</v>
      </c>
      <c r="E5">
        <v>103.33</v>
      </c>
      <c r="F5">
        <v>0</v>
      </c>
      <c r="G5">
        <v>3518.69</v>
      </c>
      <c r="H5">
        <v>0</v>
      </c>
      <c r="I5">
        <v>3518.69</v>
      </c>
      <c r="J5">
        <v>3518.69</v>
      </c>
      <c r="K5">
        <v>0</v>
      </c>
      <c r="L5">
        <v>10.119999999999999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84F65-A232-4D1E-9CD9-3DCC8CA6F63D}">
  <sheetPr codeName="Лист16">
    <tabColor theme="5"/>
  </sheetPr>
  <dimension ref="A1:CJ5"/>
  <sheetViews>
    <sheetView workbookViewId="0">
      <selection activeCell="AM12" sqref="AM12"/>
    </sheetView>
  </sheetViews>
  <sheetFormatPr defaultRowHeight="15"/>
  <sheetData>
    <row r="1" spans="1:88">
      <c r="A1" t="s">
        <v>226</v>
      </c>
      <c r="B1" t="s">
        <v>1965</v>
      </c>
      <c r="C1" t="s">
        <v>1982</v>
      </c>
      <c r="D1" t="s">
        <v>1996</v>
      </c>
      <c r="E1" t="s">
        <v>1997</v>
      </c>
      <c r="F1" t="s">
        <v>1998</v>
      </c>
      <c r="G1" t="s">
        <v>1999</v>
      </c>
      <c r="H1" t="s">
        <v>2000</v>
      </c>
      <c r="I1" t="s">
        <v>262</v>
      </c>
      <c r="J1" t="s">
        <v>2001</v>
      </c>
      <c r="K1" t="s">
        <v>2002</v>
      </c>
      <c r="L1" t="s">
        <v>1990</v>
      </c>
      <c r="M1" t="s">
        <v>2003</v>
      </c>
      <c r="N1" t="s">
        <v>2004</v>
      </c>
      <c r="O1" t="s">
        <v>2005</v>
      </c>
      <c r="P1" t="s">
        <v>2006</v>
      </c>
      <c r="Q1" t="s">
        <v>2007</v>
      </c>
      <c r="R1" t="s">
        <v>2008</v>
      </c>
      <c r="S1" t="s">
        <v>1971</v>
      </c>
      <c r="T1" t="s">
        <v>2009</v>
      </c>
      <c r="U1" t="s">
        <v>2010</v>
      </c>
      <c r="V1" t="s">
        <v>1982</v>
      </c>
      <c r="W1" t="s">
        <v>1965</v>
      </c>
      <c r="X1" t="s">
        <v>2011</v>
      </c>
      <c r="Y1" t="s">
        <v>2012</v>
      </c>
      <c r="Z1" t="s">
        <v>1996</v>
      </c>
      <c r="AA1" t="s">
        <v>1997</v>
      </c>
      <c r="AB1" t="s">
        <v>1998</v>
      </c>
      <c r="AC1" t="s">
        <v>2000</v>
      </c>
      <c r="AD1" t="s">
        <v>262</v>
      </c>
      <c r="AE1" t="s">
        <v>2001</v>
      </c>
      <c r="AF1" t="s">
        <v>2002</v>
      </c>
      <c r="AG1" t="s">
        <v>2013</v>
      </c>
      <c r="AH1" t="s">
        <v>2014</v>
      </c>
      <c r="AI1" t="s">
        <v>2015</v>
      </c>
      <c r="AJ1" t="s">
        <v>1999</v>
      </c>
      <c r="AK1" t="s">
        <v>1990</v>
      </c>
      <c r="AL1" t="s">
        <v>2016</v>
      </c>
      <c r="AM1" t="s">
        <v>2003</v>
      </c>
      <c r="AN1" t="s">
        <v>2004</v>
      </c>
      <c r="AO1" t="s">
        <v>2017</v>
      </c>
      <c r="AP1" t="s">
        <v>2018</v>
      </c>
      <c r="AQ1" t="s">
        <v>2019</v>
      </c>
      <c r="AR1" t="s">
        <v>2020</v>
      </c>
      <c r="AS1" t="s">
        <v>2021</v>
      </c>
      <c r="AT1" t="s">
        <v>2022</v>
      </c>
      <c r="AU1" t="s">
        <v>2023</v>
      </c>
      <c r="AV1" t="s">
        <v>2024</v>
      </c>
      <c r="AW1" t="s">
        <v>2025</v>
      </c>
      <c r="AX1" t="s">
        <v>2026</v>
      </c>
      <c r="AY1" t="s">
        <v>2027</v>
      </c>
      <c r="AZ1" t="s">
        <v>2005</v>
      </c>
      <c r="BA1" t="s">
        <v>2006</v>
      </c>
      <c r="BB1" t="s">
        <v>1971</v>
      </c>
      <c r="BC1" t="s">
        <v>2009</v>
      </c>
      <c r="BD1" t="s">
        <v>2028</v>
      </c>
      <c r="BE1" t="s">
        <v>2029</v>
      </c>
      <c r="BF1" t="s">
        <v>2007</v>
      </c>
      <c r="BG1" t="s">
        <v>2030</v>
      </c>
      <c r="BH1" t="s">
        <v>2031</v>
      </c>
      <c r="BI1" t="s">
        <v>2032</v>
      </c>
      <c r="BJ1" t="s">
        <v>2033</v>
      </c>
      <c r="BK1" t="s">
        <v>2034</v>
      </c>
      <c r="BL1" t="s">
        <v>2008</v>
      </c>
      <c r="BM1" t="s">
        <v>2035</v>
      </c>
      <c r="BN1" t="s">
        <v>2036</v>
      </c>
      <c r="BO1" t="s">
        <v>2037</v>
      </c>
      <c r="BP1" t="s">
        <v>2038</v>
      </c>
      <c r="BQ1" t="s">
        <v>2039</v>
      </c>
      <c r="BR1" t="s">
        <v>2040</v>
      </c>
      <c r="BS1" t="s">
        <v>2041</v>
      </c>
      <c r="BT1" t="s">
        <v>2042</v>
      </c>
      <c r="BU1" t="s">
        <v>2043</v>
      </c>
      <c r="BV1" t="s">
        <v>2044</v>
      </c>
      <c r="BW1" t="s">
        <v>2045</v>
      </c>
      <c r="BX1" t="s">
        <v>2046</v>
      </c>
      <c r="BY1" t="s">
        <v>2047</v>
      </c>
      <c r="BZ1" t="s">
        <v>2048</v>
      </c>
      <c r="CA1" t="s">
        <v>2049</v>
      </c>
      <c r="CB1" t="s">
        <v>2050</v>
      </c>
      <c r="CC1" t="s">
        <v>2051</v>
      </c>
      <c r="CD1" t="s">
        <v>2052</v>
      </c>
      <c r="CE1" t="s">
        <v>2053</v>
      </c>
      <c r="CF1" t="s">
        <v>2054</v>
      </c>
      <c r="CG1" t="s">
        <v>2055</v>
      </c>
      <c r="CH1" t="s">
        <v>2056</v>
      </c>
      <c r="CI1" t="s">
        <v>2057</v>
      </c>
      <c r="CJ1" t="s">
        <v>2058</v>
      </c>
    </row>
    <row r="2" spans="1:88">
      <c r="A2">
        <v>1</v>
      </c>
      <c r="B2" t="s">
        <v>1991</v>
      </c>
      <c r="C2" t="s">
        <v>1992</v>
      </c>
      <c r="D2">
        <v>102970.45</v>
      </c>
      <c r="E2">
        <v>205940.89</v>
      </c>
      <c r="F2">
        <v>205940.89</v>
      </c>
      <c r="G2">
        <v>882409.41</v>
      </c>
      <c r="H2">
        <v>885945.57</v>
      </c>
      <c r="I2" t="s">
        <v>2059</v>
      </c>
      <c r="J2">
        <v>0</v>
      </c>
      <c r="K2">
        <v>7.6</v>
      </c>
      <c r="L2">
        <v>10.119999999999999</v>
      </c>
      <c r="M2">
        <v>0</v>
      </c>
      <c r="N2">
        <v>885842.24</v>
      </c>
      <c r="O2">
        <v>988203.89</v>
      </c>
      <c r="P2">
        <v>966866.74999999988</v>
      </c>
      <c r="Q2">
        <v>680004.68</v>
      </c>
      <c r="R2">
        <v>103.33</v>
      </c>
      <c r="S2">
        <v>3705.16</v>
      </c>
      <c r="T2">
        <v>0.37</v>
      </c>
      <c r="U2" t="s">
        <v>2060</v>
      </c>
      <c r="V2" t="s">
        <v>1992</v>
      </c>
      <c r="W2" t="s">
        <v>1991</v>
      </c>
      <c r="X2" t="s">
        <v>226</v>
      </c>
      <c r="Y2" t="s">
        <v>2061</v>
      </c>
      <c r="Z2">
        <v>102970.45</v>
      </c>
      <c r="AA2">
        <v>205940.89</v>
      </c>
      <c r="AB2">
        <v>205940.89</v>
      </c>
      <c r="AC2">
        <v>885945.57</v>
      </c>
      <c r="AD2" t="s">
        <v>2059</v>
      </c>
      <c r="AE2">
        <v>0</v>
      </c>
      <c r="AF2">
        <v>7.6</v>
      </c>
      <c r="AG2">
        <v>680004.68</v>
      </c>
      <c r="AH2">
        <v>782975.12</v>
      </c>
      <c r="AI2" t="s">
        <v>226</v>
      </c>
      <c r="AJ2">
        <v>882409.41</v>
      </c>
      <c r="AK2">
        <v>10.119999999999999</v>
      </c>
      <c r="AL2">
        <v>0</v>
      </c>
      <c r="AM2">
        <v>0</v>
      </c>
      <c r="AN2">
        <v>885842.24</v>
      </c>
      <c r="AO2">
        <v>885842.24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988203.89</v>
      </c>
      <c r="BA2">
        <v>991909.05</v>
      </c>
      <c r="BB2">
        <v>3705.16</v>
      </c>
      <c r="BC2">
        <v>0.37</v>
      </c>
      <c r="BD2">
        <v>0</v>
      </c>
      <c r="BE2">
        <v>0</v>
      </c>
      <c r="BF2">
        <v>680004.68</v>
      </c>
      <c r="BG2">
        <v>0</v>
      </c>
      <c r="BH2">
        <v>0</v>
      </c>
      <c r="BI2">
        <v>0</v>
      </c>
      <c r="BJ2">
        <v>0</v>
      </c>
      <c r="BK2">
        <v>100</v>
      </c>
      <c r="BL2">
        <v>103.33</v>
      </c>
      <c r="BM2">
        <v>0</v>
      </c>
      <c r="BN2" t="s">
        <v>2062</v>
      </c>
      <c r="BO2">
        <v>0</v>
      </c>
      <c r="BP2">
        <v>885842.24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885945.57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 t="s">
        <v>226</v>
      </c>
    </row>
    <row r="3" spans="1:88">
      <c r="A3">
        <v>2</v>
      </c>
      <c r="B3" t="s">
        <v>1993</v>
      </c>
      <c r="C3" t="s">
        <v>1992</v>
      </c>
      <c r="D3">
        <v>109317.22</v>
      </c>
      <c r="E3">
        <v>218634.43</v>
      </c>
      <c r="F3">
        <v>218634.43</v>
      </c>
      <c r="G3">
        <v>882409.41</v>
      </c>
      <c r="H3">
        <v>885795.79</v>
      </c>
      <c r="I3" t="s">
        <v>2059</v>
      </c>
      <c r="J3">
        <v>0</v>
      </c>
      <c r="K3">
        <v>7.1</v>
      </c>
      <c r="L3">
        <v>10.119999999999999</v>
      </c>
      <c r="M3">
        <v>0</v>
      </c>
      <c r="N3">
        <v>882277.1</v>
      </c>
      <c r="O3">
        <v>988203.89</v>
      </c>
      <c r="P3">
        <v>963451.3899999999</v>
      </c>
      <c r="Q3">
        <v>667161.36</v>
      </c>
      <c r="R3">
        <v>3518.69</v>
      </c>
      <c r="S3">
        <v>3555.38</v>
      </c>
      <c r="T3">
        <v>0.36</v>
      </c>
      <c r="U3" t="s">
        <v>2060</v>
      </c>
      <c r="V3" t="s">
        <v>1992</v>
      </c>
      <c r="W3" t="s">
        <v>1993</v>
      </c>
      <c r="X3" t="s">
        <v>226</v>
      </c>
      <c r="Y3" t="s">
        <v>2061</v>
      </c>
      <c r="Z3">
        <v>109317.22</v>
      </c>
      <c r="AA3">
        <v>218634.43</v>
      </c>
      <c r="AB3">
        <v>218634.43</v>
      </c>
      <c r="AC3">
        <v>885795.79</v>
      </c>
      <c r="AD3" t="s">
        <v>2059</v>
      </c>
      <c r="AE3">
        <v>0</v>
      </c>
      <c r="AF3">
        <v>7.1</v>
      </c>
      <c r="AG3">
        <v>667161.36</v>
      </c>
      <c r="AH3">
        <v>776478.57</v>
      </c>
      <c r="AI3" t="s">
        <v>226</v>
      </c>
      <c r="AJ3">
        <v>882409.41</v>
      </c>
      <c r="AK3">
        <v>10.119999999999999</v>
      </c>
      <c r="AL3">
        <v>0</v>
      </c>
      <c r="AM3">
        <v>0</v>
      </c>
      <c r="AN3">
        <v>882277.1</v>
      </c>
      <c r="AO3">
        <v>882277.1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988203.89</v>
      </c>
      <c r="BA3">
        <v>991759.27</v>
      </c>
      <c r="BB3">
        <v>3555.38</v>
      </c>
      <c r="BC3">
        <v>0.36</v>
      </c>
      <c r="BD3">
        <v>0</v>
      </c>
      <c r="BE3">
        <v>0</v>
      </c>
      <c r="BF3">
        <v>667161.36</v>
      </c>
      <c r="BG3">
        <v>0</v>
      </c>
      <c r="BH3">
        <v>0</v>
      </c>
      <c r="BI3">
        <v>0</v>
      </c>
      <c r="BJ3">
        <v>0</v>
      </c>
      <c r="BK3">
        <v>100</v>
      </c>
      <c r="BL3">
        <v>3518.69</v>
      </c>
      <c r="BM3">
        <v>0</v>
      </c>
      <c r="BN3" t="s">
        <v>2062</v>
      </c>
      <c r="BO3">
        <v>0</v>
      </c>
      <c r="BP3">
        <v>882277.1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885795.79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 t="s">
        <v>226</v>
      </c>
    </row>
    <row r="4" spans="1:88">
      <c r="A4">
        <v>3</v>
      </c>
      <c r="B4" t="s">
        <v>1994</v>
      </c>
      <c r="C4" t="s">
        <v>1992</v>
      </c>
      <c r="D4">
        <v>109317.22</v>
      </c>
      <c r="E4">
        <v>218634.43</v>
      </c>
      <c r="F4">
        <v>218634.43</v>
      </c>
      <c r="G4">
        <v>882409.41</v>
      </c>
      <c r="H4">
        <v>885795.79</v>
      </c>
      <c r="I4" t="s">
        <v>2059</v>
      </c>
      <c r="J4">
        <v>0</v>
      </c>
      <c r="K4">
        <v>7.1</v>
      </c>
      <c r="L4">
        <v>10.119999999999999</v>
      </c>
      <c r="M4">
        <v>0</v>
      </c>
      <c r="N4">
        <v>882277.1</v>
      </c>
      <c r="O4">
        <v>988203.89</v>
      </c>
      <c r="P4">
        <v>963451.3899999999</v>
      </c>
      <c r="Q4">
        <v>667161.36</v>
      </c>
      <c r="R4">
        <v>3518.69</v>
      </c>
      <c r="S4">
        <v>3555.38</v>
      </c>
      <c r="T4">
        <v>0.36</v>
      </c>
      <c r="U4" t="s">
        <v>2060</v>
      </c>
      <c r="V4" t="s">
        <v>1992</v>
      </c>
      <c r="W4" t="s">
        <v>1994</v>
      </c>
      <c r="X4" t="s">
        <v>226</v>
      </c>
      <c r="Y4" t="s">
        <v>2061</v>
      </c>
      <c r="Z4">
        <v>109317.22</v>
      </c>
      <c r="AA4">
        <v>218634.43</v>
      </c>
      <c r="AB4">
        <v>218634.43</v>
      </c>
      <c r="AC4">
        <v>885795.79</v>
      </c>
      <c r="AD4" t="s">
        <v>2059</v>
      </c>
      <c r="AE4">
        <v>0</v>
      </c>
      <c r="AF4">
        <v>7.1</v>
      </c>
      <c r="AG4">
        <v>667161.36</v>
      </c>
      <c r="AH4">
        <v>776478.57</v>
      </c>
      <c r="AI4" t="s">
        <v>226</v>
      </c>
      <c r="AJ4">
        <v>882409.41</v>
      </c>
      <c r="AK4">
        <v>10.119999999999999</v>
      </c>
      <c r="AL4">
        <v>0</v>
      </c>
      <c r="AM4">
        <v>0</v>
      </c>
      <c r="AN4">
        <v>882277.1</v>
      </c>
      <c r="AO4">
        <v>882277.1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988203.89</v>
      </c>
      <c r="BA4">
        <v>991759.27</v>
      </c>
      <c r="BB4">
        <v>3555.38</v>
      </c>
      <c r="BC4">
        <v>0.36</v>
      </c>
      <c r="BD4">
        <v>0</v>
      </c>
      <c r="BE4">
        <v>0</v>
      </c>
      <c r="BF4">
        <v>667161.36</v>
      </c>
      <c r="BG4">
        <v>0</v>
      </c>
      <c r="BH4">
        <v>0</v>
      </c>
      <c r="BI4">
        <v>0</v>
      </c>
      <c r="BJ4">
        <v>0</v>
      </c>
      <c r="BK4">
        <v>100</v>
      </c>
      <c r="BL4">
        <v>3518.69</v>
      </c>
      <c r="BM4">
        <v>0</v>
      </c>
      <c r="BN4" t="s">
        <v>2062</v>
      </c>
      <c r="BO4">
        <v>0</v>
      </c>
      <c r="BP4">
        <v>882277.1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885795.79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 t="s">
        <v>226</v>
      </c>
    </row>
    <row r="5" spans="1:88">
      <c r="A5">
        <v>4</v>
      </c>
      <c r="B5" t="s">
        <v>1995</v>
      </c>
      <c r="C5" t="s">
        <v>1992</v>
      </c>
      <c r="D5">
        <v>109317.22</v>
      </c>
      <c r="E5">
        <v>218634.43</v>
      </c>
      <c r="F5">
        <v>218634.43</v>
      </c>
      <c r="G5">
        <v>882409.41</v>
      </c>
      <c r="H5">
        <v>885795.79</v>
      </c>
      <c r="I5" t="s">
        <v>2059</v>
      </c>
      <c r="J5">
        <v>0</v>
      </c>
      <c r="K5">
        <v>7.1</v>
      </c>
      <c r="L5">
        <v>10.119999999999999</v>
      </c>
      <c r="M5">
        <v>0</v>
      </c>
      <c r="N5">
        <v>882277.1</v>
      </c>
      <c r="O5">
        <v>988203.89</v>
      </c>
      <c r="P5">
        <v>963451.3899999999</v>
      </c>
      <c r="Q5">
        <v>667161.36</v>
      </c>
      <c r="R5">
        <v>3518.69</v>
      </c>
      <c r="S5">
        <v>3555.38</v>
      </c>
      <c r="T5">
        <v>0.36</v>
      </c>
      <c r="U5" t="s">
        <v>2060</v>
      </c>
      <c r="V5" t="s">
        <v>1992</v>
      </c>
      <c r="W5" t="s">
        <v>1995</v>
      </c>
      <c r="X5" t="s">
        <v>226</v>
      </c>
      <c r="Y5" t="s">
        <v>2061</v>
      </c>
      <c r="Z5">
        <v>109317.22</v>
      </c>
      <c r="AA5">
        <v>218634.43</v>
      </c>
      <c r="AB5">
        <v>218634.43</v>
      </c>
      <c r="AC5">
        <v>885795.79</v>
      </c>
      <c r="AD5" t="s">
        <v>2059</v>
      </c>
      <c r="AE5">
        <v>0</v>
      </c>
      <c r="AF5">
        <v>7.1</v>
      </c>
      <c r="AG5">
        <v>667161.36</v>
      </c>
      <c r="AH5">
        <v>776478.57</v>
      </c>
      <c r="AI5" t="s">
        <v>226</v>
      </c>
      <c r="AJ5">
        <v>882409.41</v>
      </c>
      <c r="AK5">
        <v>10.119999999999999</v>
      </c>
      <c r="AL5">
        <v>0</v>
      </c>
      <c r="AM5">
        <v>0</v>
      </c>
      <c r="AN5">
        <v>882277.1</v>
      </c>
      <c r="AO5">
        <v>882277.1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988203.89</v>
      </c>
      <c r="BA5">
        <v>991759.27</v>
      </c>
      <c r="BB5">
        <v>3555.38</v>
      </c>
      <c r="BC5">
        <v>0.36</v>
      </c>
      <c r="BD5">
        <v>0</v>
      </c>
      <c r="BE5">
        <v>0</v>
      </c>
      <c r="BF5">
        <v>667161.36</v>
      </c>
      <c r="BG5">
        <v>0</v>
      </c>
      <c r="BH5">
        <v>0</v>
      </c>
      <c r="BI5">
        <v>0</v>
      </c>
      <c r="BJ5">
        <v>0</v>
      </c>
      <c r="BK5">
        <v>100</v>
      </c>
      <c r="BL5">
        <v>3518.69</v>
      </c>
      <c r="BM5">
        <v>0</v>
      </c>
      <c r="BN5" t="s">
        <v>2062</v>
      </c>
      <c r="BO5">
        <v>0</v>
      </c>
      <c r="BP5">
        <v>882277.1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885795.79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 t="s">
        <v>226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640E8-477B-48F9-9D0F-3FCA17523462}">
  <sheetPr codeName="Лист17">
    <tabColor rgb="FFFF0000"/>
  </sheetPr>
  <dimension ref="A1:L25"/>
  <sheetViews>
    <sheetView workbookViewId="0">
      <selection activeCell="H17" sqref="H17"/>
    </sheetView>
  </sheetViews>
  <sheetFormatPr defaultRowHeight="15"/>
  <cols>
    <col min="2" max="2" width="12.28515625" bestFit="1" customWidth="1"/>
    <col min="3" max="3" width="36.140625" bestFit="1" customWidth="1"/>
  </cols>
  <sheetData>
    <row r="1" spans="1:12">
      <c r="A1" t="s">
        <v>226</v>
      </c>
      <c r="B1" t="s">
        <v>1964</v>
      </c>
      <c r="C1" t="s">
        <v>260</v>
      </c>
      <c r="D1" t="s">
        <v>1965</v>
      </c>
      <c r="E1" t="s">
        <v>231</v>
      </c>
      <c r="F1" t="s">
        <v>1966</v>
      </c>
      <c r="G1" t="s">
        <v>1967</v>
      </c>
      <c r="H1" t="s">
        <v>1968</v>
      </c>
      <c r="I1" t="s">
        <v>1969</v>
      </c>
      <c r="J1" t="s">
        <v>1970</v>
      </c>
      <c r="K1" t="s">
        <v>1971</v>
      </c>
      <c r="L1" t="s">
        <v>229</v>
      </c>
    </row>
    <row r="2" spans="1:12">
      <c r="A2">
        <v>1</v>
      </c>
      <c r="B2" t="s">
        <v>188</v>
      </c>
      <c r="C2" t="s">
        <v>1574</v>
      </c>
      <c r="D2" t="s">
        <v>1972</v>
      </c>
      <c r="E2" t="s">
        <v>1973</v>
      </c>
      <c r="F2">
        <v>103200</v>
      </c>
      <c r="G2">
        <v>158680.31999999998</v>
      </c>
      <c r="H2">
        <v>15.996455060445367</v>
      </c>
      <c r="I2">
        <v>0</v>
      </c>
      <c r="J2">
        <v>1.5081329999999997</v>
      </c>
      <c r="K2">
        <v>3040.9944000000137</v>
      </c>
      <c r="L2" t="s">
        <v>99</v>
      </c>
    </row>
    <row r="3" spans="1:12">
      <c r="A3">
        <v>2</v>
      </c>
      <c r="B3" t="s">
        <v>108</v>
      </c>
      <c r="C3" t="s">
        <v>270</v>
      </c>
      <c r="D3" t="s">
        <v>1972</v>
      </c>
      <c r="E3" t="s">
        <v>1974</v>
      </c>
      <c r="F3">
        <v>6</v>
      </c>
      <c r="G3">
        <v>11527.2</v>
      </c>
      <c r="H3">
        <v>1.1620491865202052</v>
      </c>
      <c r="I3">
        <v>0</v>
      </c>
      <c r="J3">
        <v>1688.5999999999995</v>
      </c>
      <c r="K3">
        <v>1390.8000000000038</v>
      </c>
      <c r="L3" t="s">
        <v>107</v>
      </c>
    </row>
    <row r="4" spans="1:12">
      <c r="A4">
        <v>3</v>
      </c>
      <c r="B4" t="s">
        <v>133</v>
      </c>
      <c r="C4" t="s">
        <v>270</v>
      </c>
      <c r="D4" t="s">
        <v>1972</v>
      </c>
      <c r="E4" t="s">
        <v>1973</v>
      </c>
      <c r="F4">
        <v>25</v>
      </c>
      <c r="G4">
        <v>21497.5</v>
      </c>
      <c r="H4">
        <v>2.1671483436756636</v>
      </c>
      <c r="I4">
        <v>0</v>
      </c>
      <c r="J4">
        <v>854.3</v>
      </c>
      <c r="K4">
        <v>132.50000000000171</v>
      </c>
      <c r="L4" t="s">
        <v>132</v>
      </c>
    </row>
    <row r="5" spans="1:12">
      <c r="A5">
        <v>4</v>
      </c>
      <c r="B5" t="s">
        <v>129</v>
      </c>
      <c r="C5" t="s">
        <v>270</v>
      </c>
      <c r="D5" t="s">
        <v>1972</v>
      </c>
      <c r="E5" t="s">
        <v>1974</v>
      </c>
      <c r="F5">
        <v>50</v>
      </c>
      <c r="G5">
        <v>23065</v>
      </c>
      <c r="H5">
        <v>2.3251669518259885</v>
      </c>
      <c r="I5">
        <v>0</v>
      </c>
      <c r="J5">
        <v>554.20000000000005</v>
      </c>
      <c r="K5">
        <v>-4657.5000000000018</v>
      </c>
      <c r="L5" t="s">
        <v>128</v>
      </c>
    </row>
    <row r="6" spans="1:12">
      <c r="A6">
        <v>5</v>
      </c>
      <c r="B6" t="s">
        <v>454</v>
      </c>
      <c r="C6" t="s">
        <v>270</v>
      </c>
      <c r="D6" t="s">
        <v>1972</v>
      </c>
      <c r="E6" t="s">
        <v>1974</v>
      </c>
      <c r="F6">
        <v>50</v>
      </c>
      <c r="G6">
        <v>56250</v>
      </c>
      <c r="H6">
        <v>5.6705242159207394</v>
      </c>
      <c r="I6">
        <v>0</v>
      </c>
      <c r="J6">
        <v>1648.2500000000002</v>
      </c>
      <c r="K6">
        <v>-26162.500000000011</v>
      </c>
      <c r="L6" t="s">
        <v>453</v>
      </c>
    </row>
    <row r="7" spans="1:12">
      <c r="A7">
        <v>6</v>
      </c>
      <c r="B7" t="s">
        <v>135</v>
      </c>
      <c r="C7" t="s">
        <v>270</v>
      </c>
      <c r="D7" t="s">
        <v>1972</v>
      </c>
      <c r="E7" t="s">
        <v>1973</v>
      </c>
      <c r="F7">
        <v>240</v>
      </c>
      <c r="G7">
        <v>78792</v>
      </c>
      <c r="H7">
        <v>7.9429678937035888</v>
      </c>
      <c r="I7">
        <v>0</v>
      </c>
      <c r="J7">
        <v>74.333332999999996</v>
      </c>
      <c r="K7">
        <v>60952.000080000005</v>
      </c>
      <c r="L7" t="s">
        <v>134</v>
      </c>
    </row>
    <row r="8" spans="1:12">
      <c r="A8">
        <v>7</v>
      </c>
      <c r="B8" t="s">
        <v>102</v>
      </c>
      <c r="C8" t="s">
        <v>270</v>
      </c>
      <c r="D8" t="s">
        <v>1972</v>
      </c>
      <c r="E8" t="s">
        <v>1974</v>
      </c>
      <c r="F8">
        <v>8</v>
      </c>
      <c r="G8">
        <v>54464</v>
      </c>
      <c r="H8">
        <v>5.4904787714827936</v>
      </c>
      <c r="I8">
        <v>0</v>
      </c>
      <c r="J8">
        <v>4004.8749999999995</v>
      </c>
      <c r="K8">
        <v>22425.000000000004</v>
      </c>
      <c r="L8" t="s">
        <v>101</v>
      </c>
    </row>
    <row r="9" spans="1:12">
      <c r="A9">
        <v>8</v>
      </c>
      <c r="B9" t="s">
        <v>771</v>
      </c>
      <c r="C9" t="s">
        <v>270</v>
      </c>
      <c r="D9" t="s">
        <v>1972</v>
      </c>
      <c r="E9" t="s">
        <v>1974</v>
      </c>
      <c r="F9">
        <v>50</v>
      </c>
      <c r="G9">
        <v>13830.000000000002</v>
      </c>
      <c r="H9">
        <v>1.3941928872210458</v>
      </c>
      <c r="I9">
        <v>0</v>
      </c>
      <c r="J9">
        <v>613</v>
      </c>
      <c r="K9">
        <v>-16820</v>
      </c>
      <c r="L9" t="s">
        <v>770</v>
      </c>
    </row>
    <row r="10" spans="1:12">
      <c r="A10">
        <v>9</v>
      </c>
      <c r="B10" t="s">
        <v>879</v>
      </c>
      <c r="C10" t="s">
        <v>270</v>
      </c>
      <c r="D10" t="s">
        <v>1972</v>
      </c>
      <c r="E10" t="s">
        <v>1974</v>
      </c>
      <c r="F10">
        <v>12</v>
      </c>
      <c r="G10">
        <v>7200</v>
      </c>
      <c r="H10">
        <v>0.72582709963785463</v>
      </c>
      <c r="I10">
        <v>0</v>
      </c>
      <c r="J10">
        <v>4514.6000000000004</v>
      </c>
      <c r="K10">
        <v>-46987.200000000004</v>
      </c>
      <c r="L10" t="s">
        <v>878</v>
      </c>
    </row>
    <row r="11" spans="1:12">
      <c r="A11">
        <v>10</v>
      </c>
      <c r="B11" t="s">
        <v>110</v>
      </c>
      <c r="C11" t="s">
        <v>270</v>
      </c>
      <c r="D11" t="s">
        <v>1972</v>
      </c>
      <c r="E11" t="s">
        <v>1974</v>
      </c>
      <c r="F11">
        <v>100</v>
      </c>
      <c r="G11">
        <v>5525</v>
      </c>
      <c r="H11">
        <v>0.5569714896526593</v>
      </c>
      <c r="I11">
        <v>0</v>
      </c>
      <c r="J11">
        <v>72.599999999999994</v>
      </c>
      <c r="K11">
        <v>-1734.9999999999995</v>
      </c>
      <c r="L11" t="s">
        <v>109</v>
      </c>
    </row>
    <row r="12" spans="1:12">
      <c r="A12">
        <v>11</v>
      </c>
      <c r="B12" t="s">
        <v>989</v>
      </c>
      <c r="C12" t="s">
        <v>270</v>
      </c>
      <c r="D12" t="s">
        <v>1972</v>
      </c>
      <c r="E12" t="s">
        <v>1974</v>
      </c>
      <c r="F12">
        <v>10000</v>
      </c>
      <c r="G12">
        <v>10985</v>
      </c>
      <c r="H12">
        <v>1.107390373544699</v>
      </c>
      <c r="I12">
        <v>0</v>
      </c>
      <c r="J12">
        <v>1.073</v>
      </c>
      <c r="K12">
        <v>240.00000000000023</v>
      </c>
      <c r="L12" t="s">
        <v>988</v>
      </c>
    </row>
    <row r="13" spans="1:12">
      <c r="A13">
        <v>12</v>
      </c>
      <c r="B13" t="s">
        <v>999</v>
      </c>
      <c r="C13" t="s">
        <v>270</v>
      </c>
      <c r="D13" t="s">
        <v>1972</v>
      </c>
      <c r="E13" t="s">
        <v>1974</v>
      </c>
      <c r="F13">
        <v>230000</v>
      </c>
      <c r="G13">
        <v>75899.999999999985</v>
      </c>
      <c r="H13">
        <v>7.6514273420157153</v>
      </c>
      <c r="I13">
        <v>0</v>
      </c>
      <c r="J13">
        <v>0.30294700000000008</v>
      </c>
      <c r="K13">
        <v>6153.1899999999805</v>
      </c>
      <c r="L13" t="s">
        <v>998</v>
      </c>
    </row>
    <row r="14" spans="1:12">
      <c r="A14">
        <v>13</v>
      </c>
      <c r="B14" t="s">
        <v>1153</v>
      </c>
      <c r="C14" t="s">
        <v>270</v>
      </c>
      <c r="D14" t="s">
        <v>1972</v>
      </c>
      <c r="E14" t="s">
        <v>1974</v>
      </c>
      <c r="F14">
        <v>400</v>
      </c>
      <c r="G14">
        <v>94376</v>
      </c>
      <c r="H14">
        <v>9.513980327141967</v>
      </c>
      <c r="I14">
        <v>0</v>
      </c>
      <c r="J14">
        <v>159.48874900000001</v>
      </c>
      <c r="K14">
        <v>30560.500400000001</v>
      </c>
      <c r="L14" t="s">
        <v>1152</v>
      </c>
    </row>
    <row r="15" spans="1:12">
      <c r="A15">
        <v>14</v>
      </c>
      <c r="B15" t="s">
        <v>1158</v>
      </c>
      <c r="C15" t="s">
        <v>270</v>
      </c>
      <c r="D15" t="s">
        <v>1972</v>
      </c>
      <c r="E15" t="s">
        <v>1974</v>
      </c>
      <c r="F15">
        <v>300</v>
      </c>
      <c r="G15">
        <v>70794</v>
      </c>
      <c r="H15">
        <v>7.1366949571892055</v>
      </c>
      <c r="I15">
        <v>0</v>
      </c>
      <c r="J15">
        <v>195.632666</v>
      </c>
      <c r="K15">
        <v>12080.200200000001</v>
      </c>
      <c r="L15" t="s">
        <v>1157</v>
      </c>
    </row>
    <row r="16" spans="1:12">
      <c r="A16">
        <v>15</v>
      </c>
      <c r="B16" t="s">
        <v>123</v>
      </c>
      <c r="C16" t="s">
        <v>270</v>
      </c>
      <c r="D16" t="s">
        <v>1972</v>
      </c>
      <c r="E16" t="s">
        <v>1974</v>
      </c>
      <c r="F16">
        <v>1000</v>
      </c>
      <c r="G16">
        <v>12735</v>
      </c>
      <c r="H16">
        <v>1.2838066824844554</v>
      </c>
      <c r="I16">
        <v>0</v>
      </c>
      <c r="J16">
        <v>19.16</v>
      </c>
      <c r="K16">
        <v>-6425.0000000000009</v>
      </c>
      <c r="L16" t="s">
        <v>122</v>
      </c>
    </row>
    <row r="17" spans="1:12">
      <c r="A17">
        <v>16</v>
      </c>
      <c r="B17" t="s">
        <v>113</v>
      </c>
      <c r="C17" t="s">
        <v>270</v>
      </c>
      <c r="D17" t="s">
        <v>1972</v>
      </c>
      <c r="E17" t="s">
        <v>1974</v>
      </c>
      <c r="F17">
        <v>500</v>
      </c>
      <c r="G17">
        <v>29087.5</v>
      </c>
      <c r="H17">
        <v>2.9322910778772355</v>
      </c>
      <c r="I17">
        <v>0</v>
      </c>
      <c r="J17">
        <v>52.92</v>
      </c>
      <c r="K17">
        <v>2627.4999999999977</v>
      </c>
      <c r="L17" t="s">
        <v>112</v>
      </c>
    </row>
    <row r="18" spans="1:12">
      <c r="A18">
        <v>17</v>
      </c>
      <c r="B18" t="s">
        <v>1337</v>
      </c>
      <c r="C18" t="s">
        <v>270</v>
      </c>
      <c r="D18" t="s">
        <v>1972</v>
      </c>
      <c r="E18" t="s">
        <v>1974</v>
      </c>
      <c r="F18">
        <v>50</v>
      </c>
      <c r="G18">
        <v>27500</v>
      </c>
      <c r="H18">
        <v>2.7722562833390278</v>
      </c>
      <c r="I18">
        <v>0</v>
      </c>
      <c r="J18">
        <v>497.40000000000003</v>
      </c>
      <c r="K18">
        <v>2624.9999999999973</v>
      </c>
      <c r="L18" t="s">
        <v>1336</v>
      </c>
    </row>
    <row r="19" spans="1:12">
      <c r="A19">
        <v>18</v>
      </c>
      <c r="B19" t="s">
        <v>115</v>
      </c>
      <c r="C19" t="s">
        <v>270</v>
      </c>
      <c r="D19" t="s">
        <v>1972</v>
      </c>
      <c r="E19" t="s">
        <v>1974</v>
      </c>
      <c r="F19">
        <v>9</v>
      </c>
      <c r="G19">
        <v>21582</v>
      </c>
      <c r="H19">
        <v>2.1756667311644691</v>
      </c>
      <c r="I19">
        <v>0</v>
      </c>
      <c r="J19">
        <v>3881.388887999999</v>
      </c>
      <c r="K19">
        <v>-13350.499991999992</v>
      </c>
      <c r="L19" t="s">
        <v>114</v>
      </c>
    </row>
    <row r="20" spans="1:12">
      <c r="A20">
        <v>19</v>
      </c>
      <c r="B20" t="s">
        <v>117</v>
      </c>
      <c r="C20" t="s">
        <v>270</v>
      </c>
      <c r="D20" t="s">
        <v>1972</v>
      </c>
      <c r="E20" t="s">
        <v>1974</v>
      </c>
      <c r="F20">
        <v>11</v>
      </c>
      <c r="G20">
        <v>11038.5</v>
      </c>
      <c r="H20">
        <v>1.1127836721322859</v>
      </c>
      <c r="I20">
        <v>0</v>
      </c>
      <c r="J20">
        <v>1369.5</v>
      </c>
      <c r="K20">
        <v>-4031.5</v>
      </c>
      <c r="L20" t="s">
        <v>116</v>
      </c>
    </row>
    <row r="21" spans="1:12">
      <c r="A21">
        <v>20</v>
      </c>
      <c r="B21" t="s">
        <v>125</v>
      </c>
      <c r="C21" t="s">
        <v>270</v>
      </c>
      <c r="D21" t="s">
        <v>1972</v>
      </c>
      <c r="E21" t="s">
        <v>1974</v>
      </c>
      <c r="F21">
        <v>5</v>
      </c>
      <c r="G21">
        <v>21335</v>
      </c>
      <c r="H21">
        <v>2.1507668292741151</v>
      </c>
      <c r="I21">
        <v>0</v>
      </c>
      <c r="J21">
        <v>4261</v>
      </c>
      <c r="K21">
        <v>20</v>
      </c>
      <c r="L21" t="s">
        <v>124</v>
      </c>
    </row>
    <row r="22" spans="1:12">
      <c r="A22">
        <v>21</v>
      </c>
      <c r="B22" t="s">
        <v>119</v>
      </c>
      <c r="C22" t="s">
        <v>270</v>
      </c>
      <c r="D22" t="s">
        <v>1972</v>
      </c>
      <c r="E22" t="s">
        <v>1974</v>
      </c>
      <c r="F22">
        <v>30</v>
      </c>
      <c r="G22">
        <v>101100</v>
      </c>
      <c r="H22">
        <v>10.191822190748208</v>
      </c>
      <c r="I22">
        <v>0</v>
      </c>
      <c r="J22">
        <v>4144.349999</v>
      </c>
      <c r="K22">
        <v>-23230.499970000001</v>
      </c>
      <c r="L22" t="s">
        <v>118</v>
      </c>
    </row>
    <row r="23" spans="1:12">
      <c r="A23">
        <v>22</v>
      </c>
      <c r="B23" t="s">
        <v>1975</v>
      </c>
      <c r="C23" t="s">
        <v>1976</v>
      </c>
      <c r="D23" t="s">
        <v>1972</v>
      </c>
      <c r="E23" t="s">
        <v>226</v>
      </c>
      <c r="F23">
        <v>50</v>
      </c>
      <c r="G23">
        <v>48283</v>
      </c>
      <c r="H23">
        <v>4.8673763683075739</v>
      </c>
      <c r="I23">
        <v>0</v>
      </c>
      <c r="J23">
        <v>94.3</v>
      </c>
      <c r="K23">
        <v>135.00000000000796</v>
      </c>
      <c r="L23" t="s">
        <v>1977</v>
      </c>
    </row>
    <row r="24" spans="1:12">
      <c r="A24">
        <v>23</v>
      </c>
      <c r="B24" t="s">
        <v>1978</v>
      </c>
      <c r="C24" t="s">
        <v>1976</v>
      </c>
      <c r="D24" t="s">
        <v>1972</v>
      </c>
      <c r="E24" t="s">
        <v>226</v>
      </c>
      <c r="F24">
        <v>32</v>
      </c>
      <c r="G24">
        <v>30201.279999999999</v>
      </c>
      <c r="H24">
        <v>3.0445704816320478</v>
      </c>
      <c r="I24">
        <v>0</v>
      </c>
      <c r="J24">
        <v>90.759375000000006</v>
      </c>
      <c r="K24">
        <v>-6.2000000000007276</v>
      </c>
      <c r="L24" t="s">
        <v>1979</v>
      </c>
    </row>
    <row r="25" spans="1:12">
      <c r="A25">
        <v>24</v>
      </c>
      <c r="B25" t="s">
        <v>1980</v>
      </c>
      <c r="C25" t="s">
        <v>1976</v>
      </c>
      <c r="D25" t="s">
        <v>1972</v>
      </c>
      <c r="E25" t="s">
        <v>226</v>
      </c>
      <c r="F25">
        <v>30</v>
      </c>
      <c r="G25">
        <v>27442.2</v>
      </c>
      <c r="H25">
        <v>2.7664295046780465</v>
      </c>
      <c r="I25">
        <v>0</v>
      </c>
      <c r="J25">
        <v>89.36</v>
      </c>
      <c r="K25">
        <v>45</v>
      </c>
      <c r="L25" t="s">
        <v>1981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7847D-3147-4806-BE2D-A76F66B1C8CC}">
  <sheetPr codeName="Лист18">
    <tabColor rgb="FFFF0000"/>
  </sheetPr>
  <dimension ref="A1:L5"/>
  <sheetViews>
    <sheetView workbookViewId="0">
      <selection activeCell="H17" sqref="H17"/>
    </sheetView>
  </sheetViews>
  <sheetFormatPr defaultRowHeight="15"/>
  <sheetData>
    <row r="1" spans="1:12">
      <c r="A1" t="s">
        <v>226</v>
      </c>
      <c r="B1" t="s">
        <v>1965</v>
      </c>
      <c r="C1" t="s">
        <v>52</v>
      </c>
      <c r="D1" t="s">
        <v>1982</v>
      </c>
      <c r="E1" t="s">
        <v>1983</v>
      </c>
      <c r="F1" t="s">
        <v>1984</v>
      </c>
      <c r="G1" t="s">
        <v>1985</v>
      </c>
      <c r="H1" t="s">
        <v>1986</v>
      </c>
      <c r="I1" t="s">
        <v>1987</v>
      </c>
      <c r="J1" t="s">
        <v>1988</v>
      </c>
      <c r="K1" t="s">
        <v>1989</v>
      </c>
      <c r="L1" t="s">
        <v>1990</v>
      </c>
    </row>
    <row r="2" spans="1:12">
      <c r="A2">
        <v>1</v>
      </c>
      <c r="B2" t="s">
        <v>1991</v>
      </c>
      <c r="C2" t="s">
        <v>94</v>
      </c>
      <c r="D2" t="s">
        <v>1992</v>
      </c>
      <c r="E2">
        <v>103.33</v>
      </c>
      <c r="F2">
        <v>0</v>
      </c>
      <c r="G2">
        <v>103.33</v>
      </c>
      <c r="H2">
        <v>0</v>
      </c>
      <c r="I2">
        <v>103.33</v>
      </c>
      <c r="J2">
        <v>103.33</v>
      </c>
      <c r="K2">
        <v>0</v>
      </c>
      <c r="L2">
        <v>10.119999999999999</v>
      </c>
    </row>
    <row r="3" spans="1:12">
      <c r="A3">
        <v>2</v>
      </c>
      <c r="B3" t="s">
        <v>1993</v>
      </c>
      <c r="C3" t="s">
        <v>94</v>
      </c>
      <c r="D3" t="s">
        <v>1992</v>
      </c>
      <c r="E3">
        <v>103.33</v>
      </c>
      <c r="F3">
        <v>0</v>
      </c>
      <c r="G3">
        <v>-21218.720000000001</v>
      </c>
      <c r="H3">
        <v>0</v>
      </c>
      <c r="I3">
        <v>-21218.720000000001</v>
      </c>
      <c r="J3">
        <v>-21218.720000000001</v>
      </c>
      <c r="K3">
        <v>0</v>
      </c>
      <c r="L3">
        <v>10.119999999999999</v>
      </c>
    </row>
    <row r="4" spans="1:12">
      <c r="A4">
        <v>3</v>
      </c>
      <c r="B4" t="s">
        <v>1994</v>
      </c>
      <c r="C4" t="s">
        <v>94</v>
      </c>
      <c r="D4" t="s">
        <v>1992</v>
      </c>
      <c r="E4">
        <v>103.33</v>
      </c>
      <c r="F4">
        <v>0</v>
      </c>
      <c r="G4">
        <v>-21218.720000000001</v>
      </c>
      <c r="H4">
        <v>0</v>
      </c>
      <c r="I4">
        <v>-21218.720000000001</v>
      </c>
      <c r="J4">
        <v>-21218.720000000001</v>
      </c>
      <c r="K4">
        <v>0</v>
      </c>
      <c r="L4">
        <v>10.119999999999999</v>
      </c>
    </row>
    <row r="5" spans="1:12">
      <c r="A5">
        <v>4</v>
      </c>
      <c r="B5" t="s">
        <v>1995</v>
      </c>
      <c r="C5" t="s">
        <v>94</v>
      </c>
      <c r="D5" t="s">
        <v>1992</v>
      </c>
      <c r="E5">
        <v>103.33</v>
      </c>
      <c r="F5">
        <v>0</v>
      </c>
      <c r="G5">
        <v>-21218.720000000001</v>
      </c>
      <c r="H5">
        <v>0</v>
      </c>
      <c r="I5">
        <v>-21218.720000000001</v>
      </c>
      <c r="J5">
        <v>-21218.720000000001</v>
      </c>
      <c r="K5">
        <v>0</v>
      </c>
      <c r="L5">
        <v>10.119999999999999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11A0-5A0A-4F8D-8B96-11BBB5C86682}">
  <sheetPr codeName="Лист19">
    <tabColor rgb="FFFF0000"/>
  </sheetPr>
  <dimension ref="A1:CJ5"/>
  <sheetViews>
    <sheetView workbookViewId="0">
      <selection activeCell="H17" sqref="H17"/>
    </sheetView>
  </sheetViews>
  <sheetFormatPr defaultRowHeight="15"/>
  <sheetData>
    <row r="1" spans="1:88">
      <c r="A1" t="s">
        <v>226</v>
      </c>
      <c r="B1" t="s">
        <v>1965</v>
      </c>
      <c r="C1" t="s">
        <v>1982</v>
      </c>
      <c r="D1" t="s">
        <v>1996</v>
      </c>
      <c r="E1" t="s">
        <v>1997</v>
      </c>
      <c r="F1" t="s">
        <v>1998</v>
      </c>
      <c r="G1" t="s">
        <v>1999</v>
      </c>
      <c r="H1" t="s">
        <v>2000</v>
      </c>
      <c r="I1" t="s">
        <v>262</v>
      </c>
      <c r="J1" t="s">
        <v>2001</v>
      </c>
      <c r="K1" t="s">
        <v>2002</v>
      </c>
      <c r="L1" t="s">
        <v>1990</v>
      </c>
      <c r="M1" t="s">
        <v>2003</v>
      </c>
      <c r="N1" t="s">
        <v>2004</v>
      </c>
      <c r="O1" t="s">
        <v>2005</v>
      </c>
      <c r="P1" t="s">
        <v>2006</v>
      </c>
      <c r="Q1" t="s">
        <v>2007</v>
      </c>
      <c r="R1" t="s">
        <v>2008</v>
      </c>
      <c r="S1" t="s">
        <v>1971</v>
      </c>
      <c r="T1" t="s">
        <v>2009</v>
      </c>
      <c r="U1" t="s">
        <v>2010</v>
      </c>
      <c r="V1" t="s">
        <v>1982</v>
      </c>
      <c r="W1" t="s">
        <v>1965</v>
      </c>
      <c r="X1" t="s">
        <v>2011</v>
      </c>
      <c r="Y1" t="s">
        <v>2012</v>
      </c>
      <c r="Z1" t="s">
        <v>1996</v>
      </c>
      <c r="AA1" t="s">
        <v>1997</v>
      </c>
      <c r="AB1" t="s">
        <v>1998</v>
      </c>
      <c r="AC1" t="s">
        <v>2000</v>
      </c>
      <c r="AD1" t="s">
        <v>262</v>
      </c>
      <c r="AE1" t="s">
        <v>2001</v>
      </c>
      <c r="AF1" t="s">
        <v>2002</v>
      </c>
      <c r="AG1" t="s">
        <v>2013</v>
      </c>
      <c r="AH1" t="s">
        <v>2014</v>
      </c>
      <c r="AI1" t="s">
        <v>2015</v>
      </c>
      <c r="AJ1" t="s">
        <v>1999</v>
      </c>
      <c r="AK1" t="s">
        <v>1990</v>
      </c>
      <c r="AL1" t="s">
        <v>2016</v>
      </c>
      <c r="AM1" t="s">
        <v>2003</v>
      </c>
      <c r="AN1" t="s">
        <v>2004</v>
      </c>
      <c r="AO1" t="s">
        <v>2017</v>
      </c>
      <c r="AP1" t="s">
        <v>2018</v>
      </c>
      <c r="AQ1" t="s">
        <v>2019</v>
      </c>
      <c r="AR1" t="s">
        <v>2020</v>
      </c>
      <c r="AS1" t="s">
        <v>2021</v>
      </c>
      <c r="AT1" t="s">
        <v>2022</v>
      </c>
      <c r="AU1" t="s">
        <v>2023</v>
      </c>
      <c r="AV1" t="s">
        <v>2024</v>
      </c>
      <c r="AW1" t="s">
        <v>2025</v>
      </c>
      <c r="AX1" t="s">
        <v>2026</v>
      </c>
      <c r="AY1" t="s">
        <v>2027</v>
      </c>
      <c r="AZ1" t="s">
        <v>2005</v>
      </c>
      <c r="BA1" t="s">
        <v>2006</v>
      </c>
      <c r="BB1" t="s">
        <v>1971</v>
      </c>
      <c r="BC1" t="s">
        <v>2009</v>
      </c>
      <c r="BD1" t="s">
        <v>2028</v>
      </c>
      <c r="BE1" t="s">
        <v>2029</v>
      </c>
      <c r="BF1" t="s">
        <v>2007</v>
      </c>
      <c r="BG1" t="s">
        <v>2030</v>
      </c>
      <c r="BH1" t="s">
        <v>2031</v>
      </c>
      <c r="BI1" t="s">
        <v>2032</v>
      </c>
      <c r="BJ1" t="s">
        <v>2033</v>
      </c>
      <c r="BK1" t="s">
        <v>2034</v>
      </c>
      <c r="BL1" t="s">
        <v>2008</v>
      </c>
      <c r="BM1" t="s">
        <v>2035</v>
      </c>
      <c r="BN1" t="s">
        <v>2036</v>
      </c>
      <c r="BO1" t="s">
        <v>2037</v>
      </c>
      <c r="BP1" t="s">
        <v>2038</v>
      </c>
      <c r="BQ1" t="s">
        <v>2039</v>
      </c>
      <c r="BR1" t="s">
        <v>2040</v>
      </c>
      <c r="BS1" t="s">
        <v>2041</v>
      </c>
      <c r="BT1" t="s">
        <v>2042</v>
      </c>
      <c r="BU1" t="s">
        <v>2043</v>
      </c>
      <c r="BV1" t="s">
        <v>2044</v>
      </c>
      <c r="BW1" t="s">
        <v>2045</v>
      </c>
      <c r="BX1" t="s">
        <v>2046</v>
      </c>
      <c r="BY1" t="s">
        <v>2047</v>
      </c>
      <c r="BZ1" t="s">
        <v>2048</v>
      </c>
      <c r="CA1" t="s">
        <v>2049</v>
      </c>
      <c r="CB1" t="s">
        <v>2050</v>
      </c>
      <c r="CC1" t="s">
        <v>2051</v>
      </c>
      <c r="CD1" t="s">
        <v>2052</v>
      </c>
      <c r="CE1" t="s">
        <v>2053</v>
      </c>
      <c r="CF1" t="s">
        <v>2054</v>
      </c>
      <c r="CG1" t="s">
        <v>2055</v>
      </c>
      <c r="CH1" t="s">
        <v>2056</v>
      </c>
      <c r="CI1" t="s">
        <v>2057</v>
      </c>
      <c r="CJ1" t="s">
        <v>2058</v>
      </c>
    </row>
    <row r="2" spans="1:88">
      <c r="A2">
        <v>1</v>
      </c>
      <c r="B2" t="s">
        <v>1991</v>
      </c>
      <c r="C2" t="s">
        <v>1992</v>
      </c>
      <c r="D2">
        <v>102988.28</v>
      </c>
      <c r="E2">
        <v>205976.55</v>
      </c>
      <c r="F2">
        <v>205976.55</v>
      </c>
      <c r="G2">
        <v>882409.41</v>
      </c>
      <c r="H2">
        <v>886058.37</v>
      </c>
      <c r="I2" t="s">
        <v>2059</v>
      </c>
      <c r="J2">
        <v>0</v>
      </c>
      <c r="K2">
        <v>7.6</v>
      </c>
      <c r="L2">
        <v>10.119999999999999</v>
      </c>
      <c r="M2">
        <v>0</v>
      </c>
      <c r="N2">
        <v>885955.04</v>
      </c>
      <c r="O2">
        <v>988203.89</v>
      </c>
      <c r="P2">
        <v>991969.85</v>
      </c>
      <c r="Q2">
        <v>680081.82</v>
      </c>
      <c r="R2">
        <v>103.33</v>
      </c>
      <c r="S2">
        <v>3765.96</v>
      </c>
      <c r="T2">
        <v>0.38</v>
      </c>
      <c r="U2" t="s">
        <v>2060</v>
      </c>
      <c r="V2" t="s">
        <v>1992</v>
      </c>
      <c r="W2" t="s">
        <v>1991</v>
      </c>
      <c r="X2" t="s">
        <v>226</v>
      </c>
      <c r="Y2" t="s">
        <v>2061</v>
      </c>
      <c r="Z2">
        <v>102988.28</v>
      </c>
      <c r="AA2">
        <v>205976.55</v>
      </c>
      <c r="AB2">
        <v>205976.55</v>
      </c>
      <c r="AC2">
        <v>886058.37</v>
      </c>
      <c r="AD2" t="s">
        <v>2059</v>
      </c>
      <c r="AE2">
        <v>0</v>
      </c>
      <c r="AF2">
        <v>7.6</v>
      </c>
      <c r="AG2">
        <v>680081.81</v>
      </c>
      <c r="AH2">
        <v>783070.09</v>
      </c>
      <c r="AI2" t="s">
        <v>226</v>
      </c>
      <c r="AJ2">
        <v>882409.41</v>
      </c>
      <c r="AK2">
        <v>10.119999999999999</v>
      </c>
      <c r="AL2">
        <v>0</v>
      </c>
      <c r="AM2">
        <v>0</v>
      </c>
      <c r="AN2">
        <v>885955.04</v>
      </c>
      <c r="AO2">
        <v>885955.04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988203.89</v>
      </c>
      <c r="BA2">
        <v>991969.85</v>
      </c>
      <c r="BB2">
        <v>3765.96</v>
      </c>
      <c r="BC2">
        <v>0.38</v>
      </c>
      <c r="BD2">
        <v>0</v>
      </c>
      <c r="BE2">
        <v>0</v>
      </c>
      <c r="BF2">
        <v>680081.82</v>
      </c>
      <c r="BG2">
        <v>0</v>
      </c>
      <c r="BH2">
        <v>0</v>
      </c>
      <c r="BI2">
        <v>0</v>
      </c>
      <c r="BJ2">
        <v>0</v>
      </c>
      <c r="BK2">
        <v>100</v>
      </c>
      <c r="BL2">
        <v>103.33</v>
      </c>
      <c r="BM2">
        <v>0</v>
      </c>
      <c r="BN2" t="s">
        <v>2062</v>
      </c>
      <c r="BO2">
        <v>0</v>
      </c>
      <c r="BP2">
        <v>885955.04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886058.37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 t="s">
        <v>226</v>
      </c>
    </row>
    <row r="3" spans="1:88">
      <c r="A3">
        <v>2</v>
      </c>
      <c r="B3" t="s">
        <v>1993</v>
      </c>
      <c r="C3" t="s">
        <v>1992</v>
      </c>
      <c r="D3">
        <v>106610.13</v>
      </c>
      <c r="E3">
        <v>213220.25</v>
      </c>
      <c r="F3">
        <v>213220.25</v>
      </c>
      <c r="G3">
        <v>882409.41</v>
      </c>
      <c r="H3">
        <v>886041.32</v>
      </c>
      <c r="I3" t="s">
        <v>2059</v>
      </c>
      <c r="J3">
        <v>0</v>
      </c>
      <c r="K3">
        <v>7.31</v>
      </c>
      <c r="L3">
        <v>10.119999999999999</v>
      </c>
      <c r="M3">
        <v>0</v>
      </c>
      <c r="N3">
        <v>907260.04</v>
      </c>
      <c r="O3">
        <v>988203.89</v>
      </c>
      <c r="P3">
        <v>991952.8</v>
      </c>
      <c r="Q3">
        <v>672821.07</v>
      </c>
      <c r="R3">
        <v>-21218.720000000001</v>
      </c>
      <c r="S3">
        <v>3748.91</v>
      </c>
      <c r="T3">
        <v>0.38</v>
      </c>
      <c r="U3" t="s">
        <v>2060</v>
      </c>
      <c r="V3" t="s">
        <v>1992</v>
      </c>
      <c r="W3" t="s">
        <v>1993</v>
      </c>
      <c r="X3" t="s">
        <v>226</v>
      </c>
      <c r="Y3" t="s">
        <v>2061</v>
      </c>
      <c r="Z3">
        <v>106610.13</v>
      </c>
      <c r="AA3">
        <v>213220.25</v>
      </c>
      <c r="AB3">
        <v>213220.25</v>
      </c>
      <c r="AC3">
        <v>886041.32</v>
      </c>
      <c r="AD3" t="s">
        <v>2059</v>
      </c>
      <c r="AE3">
        <v>0</v>
      </c>
      <c r="AF3">
        <v>7.31</v>
      </c>
      <c r="AG3">
        <v>672821.06</v>
      </c>
      <c r="AH3">
        <v>779431.19</v>
      </c>
      <c r="AI3" t="s">
        <v>226</v>
      </c>
      <c r="AJ3">
        <v>882409.41</v>
      </c>
      <c r="AK3">
        <v>10.119999999999999</v>
      </c>
      <c r="AL3">
        <v>0</v>
      </c>
      <c r="AM3">
        <v>0</v>
      </c>
      <c r="AN3">
        <v>907260.04</v>
      </c>
      <c r="AO3">
        <v>907260.04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988203.89</v>
      </c>
      <c r="BA3">
        <v>991952.8</v>
      </c>
      <c r="BB3">
        <v>3748.91</v>
      </c>
      <c r="BC3">
        <v>0.38</v>
      </c>
      <c r="BD3">
        <v>0</v>
      </c>
      <c r="BE3">
        <v>0</v>
      </c>
      <c r="BF3">
        <v>672821.07</v>
      </c>
      <c r="BG3">
        <v>0</v>
      </c>
      <c r="BH3">
        <v>0</v>
      </c>
      <c r="BI3">
        <v>0</v>
      </c>
      <c r="BJ3">
        <v>0</v>
      </c>
      <c r="BK3">
        <v>100</v>
      </c>
      <c r="BL3">
        <v>-21218.720000000001</v>
      </c>
      <c r="BM3">
        <v>0</v>
      </c>
      <c r="BN3" t="s">
        <v>2062</v>
      </c>
      <c r="BO3">
        <v>0</v>
      </c>
      <c r="BP3">
        <v>907260.04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886041.32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 t="s">
        <v>226</v>
      </c>
    </row>
    <row r="4" spans="1:88">
      <c r="A4">
        <v>3</v>
      </c>
      <c r="B4" t="s">
        <v>1994</v>
      </c>
      <c r="C4" t="s">
        <v>1992</v>
      </c>
      <c r="D4">
        <v>106610.13</v>
      </c>
      <c r="E4">
        <v>213220.25</v>
      </c>
      <c r="F4">
        <v>213220.25</v>
      </c>
      <c r="G4">
        <v>882409.41</v>
      </c>
      <c r="H4">
        <v>886041.32</v>
      </c>
      <c r="I4" t="s">
        <v>2059</v>
      </c>
      <c r="J4">
        <v>0</v>
      </c>
      <c r="K4">
        <v>7.31</v>
      </c>
      <c r="L4">
        <v>10.119999999999999</v>
      </c>
      <c r="M4">
        <v>0</v>
      </c>
      <c r="N4">
        <v>907260.04</v>
      </c>
      <c r="O4">
        <v>988203.89</v>
      </c>
      <c r="P4">
        <v>991952.8</v>
      </c>
      <c r="Q4">
        <v>672821.07</v>
      </c>
      <c r="R4">
        <v>-21218.720000000001</v>
      </c>
      <c r="S4">
        <v>3748.91</v>
      </c>
      <c r="T4">
        <v>0.38</v>
      </c>
      <c r="U4" t="s">
        <v>2060</v>
      </c>
      <c r="V4" t="s">
        <v>1992</v>
      </c>
      <c r="W4" t="s">
        <v>1994</v>
      </c>
      <c r="X4" t="s">
        <v>226</v>
      </c>
      <c r="Y4" t="s">
        <v>2061</v>
      </c>
      <c r="Z4">
        <v>106610.13</v>
      </c>
      <c r="AA4">
        <v>213220.25</v>
      </c>
      <c r="AB4">
        <v>213220.25</v>
      </c>
      <c r="AC4">
        <v>886041.32</v>
      </c>
      <c r="AD4" t="s">
        <v>2059</v>
      </c>
      <c r="AE4">
        <v>0</v>
      </c>
      <c r="AF4">
        <v>7.31</v>
      </c>
      <c r="AG4">
        <v>672821.06</v>
      </c>
      <c r="AH4">
        <v>779431.19</v>
      </c>
      <c r="AI4" t="s">
        <v>226</v>
      </c>
      <c r="AJ4">
        <v>882409.41</v>
      </c>
      <c r="AK4">
        <v>10.119999999999999</v>
      </c>
      <c r="AL4">
        <v>0</v>
      </c>
      <c r="AM4">
        <v>0</v>
      </c>
      <c r="AN4">
        <v>907260.04</v>
      </c>
      <c r="AO4">
        <v>907260.04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988203.89</v>
      </c>
      <c r="BA4">
        <v>991952.8</v>
      </c>
      <c r="BB4">
        <v>3748.91</v>
      </c>
      <c r="BC4">
        <v>0.38</v>
      </c>
      <c r="BD4">
        <v>0</v>
      </c>
      <c r="BE4">
        <v>0</v>
      </c>
      <c r="BF4">
        <v>672821.07</v>
      </c>
      <c r="BG4">
        <v>0</v>
      </c>
      <c r="BH4">
        <v>0</v>
      </c>
      <c r="BI4">
        <v>0</v>
      </c>
      <c r="BJ4">
        <v>0</v>
      </c>
      <c r="BK4">
        <v>100</v>
      </c>
      <c r="BL4">
        <v>-21218.720000000001</v>
      </c>
      <c r="BM4">
        <v>0</v>
      </c>
      <c r="BN4" t="s">
        <v>2062</v>
      </c>
      <c r="BO4">
        <v>0</v>
      </c>
      <c r="BP4">
        <v>907260.04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886041.32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 t="s">
        <v>226</v>
      </c>
    </row>
    <row r="5" spans="1:88">
      <c r="A5">
        <v>4</v>
      </c>
      <c r="B5" t="s">
        <v>1995</v>
      </c>
      <c r="C5" t="s">
        <v>1992</v>
      </c>
      <c r="D5">
        <v>106610.13</v>
      </c>
      <c r="E5">
        <v>213220.25</v>
      </c>
      <c r="F5">
        <v>213220.25</v>
      </c>
      <c r="G5">
        <v>882409.41</v>
      </c>
      <c r="H5">
        <v>886041.32</v>
      </c>
      <c r="I5" t="s">
        <v>2059</v>
      </c>
      <c r="J5">
        <v>0</v>
      </c>
      <c r="K5">
        <v>7.31</v>
      </c>
      <c r="L5">
        <v>10.119999999999999</v>
      </c>
      <c r="M5">
        <v>0</v>
      </c>
      <c r="N5">
        <v>907260.04</v>
      </c>
      <c r="O5">
        <v>988203.89</v>
      </c>
      <c r="P5">
        <v>991952.8</v>
      </c>
      <c r="Q5">
        <v>672821.07</v>
      </c>
      <c r="R5">
        <v>-21218.720000000001</v>
      </c>
      <c r="S5">
        <v>3748.91</v>
      </c>
      <c r="T5">
        <v>0.38</v>
      </c>
      <c r="U5" t="s">
        <v>2060</v>
      </c>
      <c r="V5" t="s">
        <v>1992</v>
      </c>
      <c r="W5" t="s">
        <v>1995</v>
      </c>
      <c r="X5" t="s">
        <v>226</v>
      </c>
      <c r="Y5" t="s">
        <v>2061</v>
      </c>
      <c r="Z5">
        <v>106610.13</v>
      </c>
      <c r="AA5">
        <v>213220.25</v>
      </c>
      <c r="AB5">
        <v>213220.25</v>
      </c>
      <c r="AC5">
        <v>886041.32</v>
      </c>
      <c r="AD5" t="s">
        <v>2059</v>
      </c>
      <c r="AE5">
        <v>0</v>
      </c>
      <c r="AF5">
        <v>7.31</v>
      </c>
      <c r="AG5">
        <v>672821.06</v>
      </c>
      <c r="AH5">
        <v>779431.19</v>
      </c>
      <c r="AI5" t="s">
        <v>226</v>
      </c>
      <c r="AJ5">
        <v>882409.41</v>
      </c>
      <c r="AK5">
        <v>10.119999999999999</v>
      </c>
      <c r="AL5">
        <v>0</v>
      </c>
      <c r="AM5">
        <v>0</v>
      </c>
      <c r="AN5">
        <v>907260.04</v>
      </c>
      <c r="AO5">
        <v>907260.04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988203.89</v>
      </c>
      <c r="BA5">
        <v>991952.8</v>
      </c>
      <c r="BB5">
        <v>3748.91</v>
      </c>
      <c r="BC5">
        <v>0.38</v>
      </c>
      <c r="BD5">
        <v>0</v>
      </c>
      <c r="BE5">
        <v>0</v>
      </c>
      <c r="BF5">
        <v>672821.07</v>
      </c>
      <c r="BG5">
        <v>0</v>
      </c>
      <c r="BH5">
        <v>0</v>
      </c>
      <c r="BI5">
        <v>0</v>
      </c>
      <c r="BJ5">
        <v>0</v>
      </c>
      <c r="BK5">
        <v>100</v>
      </c>
      <c r="BL5">
        <v>-21218.720000000001</v>
      </c>
      <c r="BM5">
        <v>0</v>
      </c>
      <c r="BN5" t="s">
        <v>2062</v>
      </c>
      <c r="BO5">
        <v>0</v>
      </c>
      <c r="BP5">
        <v>907260.04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886041.32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 t="s">
        <v>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Лист1</vt:lpstr>
      <vt:lpstr>Ввод</vt:lpstr>
      <vt:lpstr>Алгоритм (Процесс_last)</vt:lpstr>
      <vt:lpstr>Меню - Исполнения</vt:lpstr>
      <vt:lpstr>Процесс</vt:lpstr>
      <vt:lpstr>Меню - стратегии</vt:lpstr>
      <vt:lpstr>Меню - ввод модельного порфтеля</vt:lpstr>
      <vt:lpstr>Меню - Риск профили</vt:lpstr>
      <vt:lpstr>01</vt:lpstr>
      <vt:lpstr>Лист5</vt:lpstr>
      <vt:lpstr>02</vt:lpstr>
      <vt:lpstr>Лист4</vt:lpstr>
      <vt:lpstr>Лист12</vt:lpstr>
      <vt:lpstr>LQDT</vt:lpstr>
      <vt:lpstr>info</vt:lpstr>
      <vt:lpstr>QUIK</vt:lpstr>
      <vt:lpstr>QUIK_купитьпродать</vt:lpstr>
      <vt:lpstr>QUIK_деньги</vt:lpstr>
      <vt:lpstr>QUIK_портфель</vt:lpstr>
      <vt:lpstr>QUIK_купитьпродать (2)</vt:lpstr>
      <vt:lpstr>QUIK_деньги (2)</vt:lpstr>
      <vt:lpstr>QUIK_портфель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67577</dc:creator>
  <cp:lastModifiedBy>67577</cp:lastModifiedBy>
  <dcterms:created xsi:type="dcterms:W3CDTF">2024-11-05T07:49:52Z</dcterms:created>
  <dcterms:modified xsi:type="dcterms:W3CDTF">2025-06-30T10:00:49Z</dcterms:modified>
</cp:coreProperties>
</file>